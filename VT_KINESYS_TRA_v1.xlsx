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18350" windowHeight="8710" firstSheet="11" activeTab="12"/>
  </bookViews>
  <sheets>
    <sheet name="TRA balance" sheetId="1" r:id="rId1"/>
    <sheet name="2-w" sheetId="11" r:id="rId2"/>
    <sheet name="3-w" sheetId="12" r:id="rId3"/>
    <sheet name="Cars" sheetId="7" r:id="rId4"/>
    <sheet name="Bus" sheetId="10" r:id="rId5"/>
    <sheet name="Trucks-lcv" sheetId="13" r:id="rId6"/>
    <sheet name="Trucks-hdt" sheetId="14" r:id="rId7"/>
    <sheet name="Trucks" sheetId="9" r:id="rId8"/>
    <sheet name="TIAM15_assumptions" sheetId="6" r:id="rId9"/>
    <sheet name="vehicle population data" sheetId="8" r:id="rId10"/>
    <sheet name="EV data" sheetId="18" r:id="rId11"/>
    <sheet name="Assumptions" sheetId="3" r:id="rId12"/>
    <sheet name="non-road" sheetId="5" r:id="rId13"/>
    <sheet name="Average VMT by Vehicle Type" sheetId="16" r:id="rId14"/>
    <sheet name="fuel tech_update" sheetId="17" r:id="rId15"/>
    <sheet name="fuel tech" sheetId="19" r:id="rId16"/>
  </sheets>
  <definedNames>
    <definedName name="_xlnm._FilterDatabase" localSheetId="11" hidden="1">Assumptions!$E$2:$F$103</definedName>
    <definedName name="_xlnm._FilterDatabase" localSheetId="15" hidden="1">'fuel tech'!$A$40:$A$52</definedName>
    <definedName name="_xlnm._FilterDatabase" localSheetId="14" hidden="1">'fuel tech_update'!$A$39:$A$51</definedName>
    <definedName name="_xlnm._FilterDatabase" localSheetId="12" hidden="1">'non-road'!#REF!</definedName>
    <definedName name="_xlnm._FilterDatabase" localSheetId="8" hidden="1">TIAM15_assumptions!$E$2:$F$103</definedName>
    <definedName name="_xlnm._FilterDatabase" localSheetId="0" hidden="1">'TRA balance'!#REF!</definedName>
    <definedName name="_xlnm._FilterDatabase" localSheetId="9" hidden="1">'vehicle population data'!$A$1:$D$595</definedName>
  </definedNames>
  <calcPr calcId="191029"/>
  <pivotCaches>
    <pivotCache cacheId="0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AMIT</author>
  </authors>
  <commentList>
    <comment ref="AX28" authorId="0">
      <text>
        <r>
          <rPr>
            <b/>
            <sz val="9"/>
            <rFont val="Tahoma"/>
            <charset val="134"/>
          </rPr>
          <t>AMIT:</t>
        </r>
        <r>
          <rPr>
            <sz val="9"/>
            <rFont val="Tahoma"/>
            <charset val="134"/>
          </rPr>
          <t xml:space="preserve">
18-01-2023
PRIMES
</t>
        </r>
      </text>
    </comment>
  </commentList>
</comments>
</file>

<file path=xl/comments2.xml><?xml version="1.0" encoding="utf-8"?>
<comments xmlns="http://schemas.openxmlformats.org/spreadsheetml/2006/main">
  <authors>
    <author>AMIT</author>
  </authors>
  <commentList>
    <comment ref="AX28" authorId="0">
      <text>
        <r>
          <rPr>
            <b/>
            <sz val="9"/>
            <rFont val="Tahoma"/>
            <charset val="134"/>
          </rPr>
          <t>AMIT:</t>
        </r>
        <r>
          <rPr>
            <sz val="9"/>
            <rFont val="Tahoma"/>
            <charset val="134"/>
          </rPr>
          <t xml:space="preserve">
18-01-2023
PRIMES
</t>
        </r>
      </text>
    </comment>
  </commentList>
</comments>
</file>

<file path=xl/comments3.xml><?xml version="1.0" encoding="utf-8"?>
<comments xmlns="http://schemas.openxmlformats.org/spreadsheetml/2006/main">
  <authors>
    <author>Amit Kanudia</author>
  </authors>
  <commentList>
    <comment ref="AX28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17-01-2023
updated with PRIMES info
</t>
        </r>
      </text>
    </comment>
  </commentList>
</comments>
</file>

<file path=xl/comments4.xml><?xml version="1.0" encoding="utf-8"?>
<comments xmlns="http://schemas.openxmlformats.org/spreadsheetml/2006/main">
  <authors>
    <author>AMIT</author>
  </authors>
  <commentList>
    <comment ref="AX28" authorId="0">
      <text>
        <r>
          <rPr>
            <b/>
            <sz val="9"/>
            <rFont val="Tahoma"/>
            <charset val="134"/>
          </rPr>
          <t>AMIT:</t>
        </r>
        <r>
          <rPr>
            <sz val="9"/>
            <rFont val="Tahoma"/>
            <charset val="134"/>
          </rPr>
          <t xml:space="preserve">
18-01-2023
PRIMES
</t>
        </r>
      </text>
    </comment>
  </commentList>
</comments>
</file>

<file path=xl/comments5.xml><?xml version="1.0" encoding="utf-8"?>
<comments xmlns="http://schemas.openxmlformats.org/spreadsheetml/2006/main">
  <authors>
    <author>Amit Kanudia</author>
  </authors>
  <commentList>
    <comment ref="AX28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17-01-2023
PRIMES
</t>
        </r>
      </text>
    </comment>
  </commentList>
</comments>
</file>

<file path=xl/comments6.xml><?xml version="1.0" encoding="utf-8"?>
<comments xmlns="http://schemas.openxmlformats.org/spreadsheetml/2006/main">
  <authors>
    <author>Amit Kanudia</author>
  </authors>
  <commentList>
    <comment ref="AX28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17-01-2023
PRIMES
</t>
        </r>
      </text>
    </comment>
  </commentList>
</comments>
</file>

<file path=xl/comments7.xml><?xml version="1.0" encoding="utf-8"?>
<comments xmlns="http://schemas.openxmlformats.org/spreadsheetml/2006/main">
  <authors>
    <author>Amit Kanudia</author>
  </authors>
  <commentList>
    <comment ref="C12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07-02-2023
from lcv/hdt sheets
</t>
        </r>
      </text>
    </comment>
  </commentList>
</comments>
</file>

<file path=xl/comments8.xml><?xml version="1.0" encoding="utf-8"?>
<comments xmlns="http://schemas.openxmlformats.org/spreadsheetml/2006/main">
  <authors>
    <author>Amit Kanudia</author>
  </authors>
  <commentList>
    <comment ref="K21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31-07-2021
was .25
</t>
        </r>
      </text>
    </comment>
    <comment ref="H62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04-04-2022
same as Diesel
</t>
        </r>
      </text>
    </comment>
    <comment ref="H77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04-04-2022
same as Gasoline
</t>
        </r>
      </text>
    </comment>
    <comment ref="H78" authorId="0">
      <text>
        <r>
          <rPr>
            <b/>
            <sz val="9"/>
            <rFont val="Tahoma"/>
            <charset val="1"/>
          </rPr>
          <t>Amit Kanudia:</t>
        </r>
        <r>
          <rPr>
            <sz val="9"/>
            <rFont val="Tahoma"/>
            <charset val="1"/>
          </rPr>
          <t xml:space="preserve">
27-12-2023
to avoid tiny capacities
</t>
        </r>
      </text>
    </comment>
  </commentList>
</comments>
</file>

<file path=xl/comments9.xml><?xml version="1.0" encoding="utf-8"?>
<comments xmlns="http://schemas.openxmlformats.org/spreadsheetml/2006/main">
  <authors>
    <author>xli9</author>
  </authors>
  <commentList>
    <comment ref="G49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Those include bio+ammonia+hydrogen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<sst xmlns="http://schemas.openxmlformats.org/spreadsheetml/2006/main" count="5324" uniqueCount="598">
  <si>
    <t>ktoe to PJ</t>
  </si>
  <si>
    <t>Sector</t>
  </si>
  <si>
    <t>Sub-Sector</t>
  </si>
  <si>
    <t>sectfuel</t>
  </si>
  <si>
    <t>Africa_North</t>
  </si>
  <si>
    <t>Africa_Other</t>
  </si>
  <si>
    <t>Australia</t>
  </si>
  <si>
    <t>Austria</t>
  </si>
  <si>
    <t>Baltics</t>
  </si>
  <si>
    <t>BeNeLux</t>
  </si>
  <si>
    <t>Brazil</t>
  </si>
  <si>
    <t>China</t>
  </si>
  <si>
    <t>CroSloven</t>
  </si>
  <si>
    <t>CzechSlovak</t>
  </si>
  <si>
    <t>France</t>
  </si>
  <si>
    <t>Germany</t>
  </si>
  <si>
    <t>GreeceCyp</t>
  </si>
  <si>
    <t>HunRomBul</t>
  </si>
  <si>
    <t>Iceland</t>
  </si>
  <si>
    <t>India</t>
  </si>
  <si>
    <t>Ireland</t>
  </si>
  <si>
    <t>ItalyMal</t>
  </si>
  <si>
    <t>Japan</t>
  </si>
  <si>
    <t>LatAm</t>
  </si>
  <si>
    <t>MidEast</t>
  </si>
  <si>
    <t>NorthAm</t>
  </si>
  <si>
    <t>Norway</t>
  </si>
  <si>
    <t>Poland</t>
  </si>
  <si>
    <t>ROW</t>
  </si>
  <si>
    <t>Russia</t>
  </si>
  <si>
    <t>SaudiArabia</t>
  </si>
  <si>
    <t>SouthAfrica</t>
  </si>
  <si>
    <t>SpainPor</t>
  </si>
  <si>
    <t>SweFinDen</t>
  </si>
  <si>
    <t>Switzerland</t>
  </si>
  <si>
    <t>Turkey</t>
  </si>
  <si>
    <t>UK</t>
  </si>
  <si>
    <t>Ukraine</t>
  </si>
  <si>
    <t>WestBalkans</t>
  </si>
  <si>
    <t>\I:</t>
  </si>
  <si>
    <t>TRA</t>
  </si>
  <si>
    <t>NEU</t>
  </si>
  <si>
    <t>COACOK</t>
  </si>
  <si>
    <t>Bio Diesel</t>
  </si>
  <si>
    <t>TRABDS</t>
  </si>
  <si>
    <t>bdl</t>
  </si>
  <si>
    <t>OILASP</t>
  </si>
  <si>
    <t>Bio Gasoline</t>
  </si>
  <si>
    <t>TRABGS</t>
  </si>
  <si>
    <t>eth</t>
  </si>
  <si>
    <t>OILKER</t>
  </si>
  <si>
    <t>Biogas</t>
  </si>
  <si>
    <t>TRANGA</t>
  </si>
  <si>
    <t>nga</t>
  </si>
  <si>
    <t>OILLUB</t>
  </si>
  <si>
    <t>Coal</t>
  </si>
  <si>
    <t>TRACOA</t>
  </si>
  <si>
    <t>coa</t>
  </si>
  <si>
    <t>OILNSP</t>
  </si>
  <si>
    <t>Diesel</t>
  </si>
  <si>
    <t>TRADST</t>
  </si>
  <si>
    <t>dsl</t>
  </si>
  <si>
    <t>TAD</t>
  </si>
  <si>
    <t>Electricity</t>
  </si>
  <si>
    <t>TRAELC</t>
  </si>
  <si>
    <t>elc</t>
  </si>
  <si>
    <t>TRAGSL</t>
  </si>
  <si>
    <t>Gasoline</t>
  </si>
  <si>
    <t>gsl</t>
  </si>
  <si>
    <t>TRAHFO</t>
  </si>
  <si>
    <t>Heavy Fuel Oil</t>
  </si>
  <si>
    <t>hfo</t>
  </si>
  <si>
    <t>TRAJTK</t>
  </si>
  <si>
    <t>Liquified Petroleum Gases</t>
  </si>
  <si>
    <t>TRALPG</t>
  </si>
  <si>
    <t>lpg</t>
  </si>
  <si>
    <t>TAI</t>
  </si>
  <si>
    <t>Natural Gas</t>
  </si>
  <si>
    <t>TR</t>
  </si>
  <si>
    <t>GJ/lt Gasoline</t>
  </si>
  <si>
    <t>km/l</t>
  </si>
  <si>
    <t>equivalent to Bvkm/PJ = 1</t>
  </si>
  <si>
    <t>l/100km</t>
  </si>
  <si>
    <t>GJ/lt Diesel</t>
  </si>
  <si>
    <t>mtoe</t>
  </si>
  <si>
    <t>PJ</t>
  </si>
  <si>
    <t>TT</t>
  </si>
  <si>
    <t>TWD</t>
  </si>
  <si>
    <t>TWI</t>
  </si>
  <si>
    <t>Road</t>
  </si>
  <si>
    <t>BGS/GSL</t>
  </si>
  <si>
    <t>BDS/DST</t>
  </si>
  <si>
    <t>Bvkm</t>
  </si>
  <si>
    <t>Bvkm/POP</t>
  </si>
  <si>
    <t>Cars</t>
  </si>
  <si>
    <t>Bvkm/GDP</t>
  </si>
  <si>
    <t>H Trucks</t>
  </si>
  <si>
    <t>Year</t>
  </si>
  <si>
    <t>Drvr</t>
  </si>
  <si>
    <t>Australia_d</t>
  </si>
  <si>
    <t>Austria_d</t>
  </si>
  <si>
    <t>Brazil_d</t>
  </si>
  <si>
    <t>China_d</t>
  </si>
  <si>
    <t>France_d</t>
  </si>
  <si>
    <t>Germany_d</t>
  </si>
  <si>
    <t>Iceland_d</t>
  </si>
  <si>
    <t>India_d</t>
  </si>
  <si>
    <t>Ireland_d</t>
  </si>
  <si>
    <t>Japan_d</t>
  </si>
  <si>
    <t>Norway_d</t>
  </si>
  <si>
    <t>Poland_d</t>
  </si>
  <si>
    <t>Russia_d</t>
  </si>
  <si>
    <t>SaudiArabia_d</t>
  </si>
  <si>
    <t>SouthAfrica_d</t>
  </si>
  <si>
    <t>Switzerland_d</t>
  </si>
  <si>
    <t>Turkey_d</t>
  </si>
  <si>
    <t>UK_d</t>
  </si>
  <si>
    <t>Ukraine_d</t>
  </si>
  <si>
    <t>PRT</t>
  </si>
  <si>
    <t>ROM</t>
  </si>
  <si>
    <t>SRB</t>
  </si>
  <si>
    <t>SVK</t>
  </si>
  <si>
    <t>SVN</t>
  </si>
  <si>
    <t>SWE</t>
  </si>
  <si>
    <t>TUR</t>
  </si>
  <si>
    <t>UKR</t>
  </si>
  <si>
    <t>XXK</t>
  </si>
  <si>
    <t>GDP</t>
  </si>
  <si>
    <t>NULL</t>
  </si>
  <si>
    <t>POP</t>
  </si>
  <si>
    <t>~FI_T</t>
  </si>
  <si>
    <t>~FI_Process</t>
  </si>
  <si>
    <t>comm-in</t>
  </si>
  <si>
    <t>*</t>
  </si>
  <si>
    <t>attribute</t>
  </si>
  <si>
    <t>process</t>
  </si>
  <si>
    <t>comm-out</t>
  </si>
  <si>
    <t>LIFE</t>
  </si>
  <si>
    <t>Sets</t>
  </si>
  <si>
    <t>TechName</t>
  </si>
  <si>
    <t>TechDesc</t>
  </si>
  <si>
    <t>Tact</t>
  </si>
  <si>
    <t>Tcap</t>
  </si>
  <si>
    <t>Vintage</t>
  </si>
  <si>
    <t>million Vehicles</t>
  </si>
  <si>
    <t>yes</t>
  </si>
  <si>
    <t>Share of PJ</t>
  </si>
  <si>
    <t>m Vehicles</t>
  </si>
  <si>
    <t>Share of Veh</t>
  </si>
  <si>
    <t>PJ share/Veh share</t>
  </si>
  <si>
    <t>mVeh</t>
  </si>
  <si>
    <t>PASTI</t>
  </si>
  <si>
    <t>Efficiency</t>
  </si>
  <si>
    <t>EFF</t>
  </si>
  <si>
    <t>000km/veh</t>
  </si>
  <si>
    <t>AF</t>
  </si>
  <si>
    <t>Dem Bvkm</t>
  </si>
  <si>
    <t>Demand</t>
  </si>
  <si>
    <t>Trd_2w</t>
  </si>
  <si>
    <t>~FI_Comm</t>
  </si>
  <si>
    <t>CSet</t>
  </si>
  <si>
    <t>CommName</t>
  </si>
  <si>
    <t>CommDesc</t>
  </si>
  <si>
    <t>Unit</t>
  </si>
  <si>
    <t>DEM</t>
  </si>
  <si>
    <t>Trd_3w</t>
  </si>
  <si>
    <t>calibrated to estimated stock in 2018</t>
  </si>
  <si>
    <t>Trd_car</t>
  </si>
  <si>
    <t>Trd_bus</t>
  </si>
  <si>
    <t>Trd_lcv</t>
  </si>
  <si>
    <t>Trd_hdt</t>
  </si>
  <si>
    <t>1/2</t>
  </si>
  <si>
    <t>Fuel</t>
  </si>
  <si>
    <t>SubSector</t>
  </si>
  <si>
    <t>Mode</t>
  </si>
  <si>
    <t>Description</t>
  </si>
  <si>
    <t>Service</t>
  </si>
  <si>
    <t>AFR</t>
  </si>
  <si>
    <t>AUS</t>
  </si>
  <si>
    <t>CAN</t>
  </si>
  <si>
    <t>CHI</t>
  </si>
  <si>
    <t>CSA</t>
  </si>
  <si>
    <t>EEU</t>
  </si>
  <si>
    <t>FSU</t>
  </si>
  <si>
    <t>IND</t>
  </si>
  <si>
    <t>JPN</t>
  </si>
  <si>
    <t>MEA</t>
  </si>
  <si>
    <t>MEX</t>
  </si>
  <si>
    <t>ODA</t>
  </si>
  <si>
    <t>SKO</t>
  </si>
  <si>
    <t>USA</t>
  </si>
  <si>
    <t>WEU</t>
  </si>
  <si>
    <t>RAIL</t>
  </si>
  <si>
    <t>Freight</t>
  </si>
  <si>
    <t>TTF</t>
  </si>
  <si>
    <t>ActiveReg</t>
  </si>
  <si>
    <t>TIAMReg</t>
  </si>
  <si>
    <t>Passengers</t>
  </si>
  <si>
    <t>TTP</t>
  </si>
  <si>
    <t>Check Rail</t>
  </si>
  <si>
    <t>ROAD</t>
  </si>
  <si>
    <t>Light Duty Vehicles Share</t>
  </si>
  <si>
    <t>Auto</t>
  </si>
  <si>
    <t>TRT</t>
  </si>
  <si>
    <t>Light Trucks</t>
  </si>
  <si>
    <t>TRL</t>
  </si>
  <si>
    <t>Three Wheels</t>
  </si>
  <si>
    <t>TRE</t>
  </si>
  <si>
    <t>Two Wheels</t>
  </si>
  <si>
    <t>TRW</t>
  </si>
  <si>
    <t>Check Light Duty Vehicles Share</t>
  </si>
  <si>
    <t>Other Road Vehicles</t>
  </si>
  <si>
    <t>Bus</t>
  </si>
  <si>
    <t>TRB</t>
  </si>
  <si>
    <t>Heavy Trucks</t>
  </si>
  <si>
    <t>TRH</t>
  </si>
  <si>
    <t>Medium Trucks</t>
  </si>
  <si>
    <t>TRM</t>
  </si>
  <si>
    <t>Commercial Trucks</t>
  </si>
  <si>
    <t>TRC</t>
  </si>
  <si>
    <t>Check Other Road Vehicles</t>
  </si>
  <si>
    <t>veh_type</t>
  </si>
  <si>
    <t>year</t>
  </si>
  <si>
    <t>Sum of mVeh</t>
  </si>
  <si>
    <t>Column Labels</t>
  </si>
  <si>
    <t>cars</t>
  </si>
  <si>
    <t>Row Labels</t>
  </si>
  <si>
    <t>trucks</t>
  </si>
  <si>
    <t>metric</t>
  </si>
  <si>
    <t>Region</t>
  </si>
  <si>
    <t>million</t>
  </si>
  <si>
    <t>Sales</t>
  </si>
  <si>
    <t>Stock</t>
  </si>
  <si>
    <t>first level shares of road transport</t>
  </si>
  <si>
    <t>NCAP_TLIFE</t>
  </si>
  <si>
    <t>TRAAVG</t>
  </si>
  <si>
    <t>Comm-IN</t>
  </si>
  <si>
    <t>Comm-OUT</t>
  </si>
  <si>
    <t>TRBDST000</t>
  </si>
  <si>
    <t>TRBELC000</t>
  </si>
  <si>
    <t>TRBETH000</t>
  </si>
  <si>
    <t>TRBGAS000</t>
  </si>
  <si>
    <t>TRBLPG000</t>
  </si>
  <si>
    <t>TRBMET000</t>
  </si>
  <si>
    <t>TRBNGA000</t>
  </si>
  <si>
    <t>TRCDST000</t>
  </si>
  <si>
    <t>TRCETH000</t>
  </si>
  <si>
    <t>TRCGAS000</t>
  </si>
  <si>
    <t>TRCLPG000</t>
  </si>
  <si>
    <t>TRCMET000</t>
  </si>
  <si>
    <t>TRCNGA000</t>
  </si>
  <si>
    <t>TREDST000</t>
  </si>
  <si>
    <t>TREGSL000</t>
  </si>
  <si>
    <t>TRHDST000</t>
  </si>
  <si>
    <t>TRHETH000</t>
  </si>
  <si>
    <t>TRHGAS000</t>
  </si>
  <si>
    <t>TRHLPG000</t>
  </si>
  <si>
    <t>TRHMET000</t>
  </si>
  <si>
    <t>TRHNGA000</t>
  </si>
  <si>
    <t>TRLDST000</t>
  </si>
  <si>
    <t>COATAR</t>
  </si>
  <si>
    <t>TRLELC000</t>
  </si>
  <si>
    <t>TRLETH000</t>
  </si>
  <si>
    <t>OILCRD</t>
  </si>
  <si>
    <t>TRLGAS000</t>
  </si>
  <si>
    <t>TRLLPG000</t>
  </si>
  <si>
    <t>TRLMET000</t>
  </si>
  <si>
    <t>TRLNGA000</t>
  </si>
  <si>
    <t>OILPTC</t>
  </si>
  <si>
    <t>TRMDST000</t>
  </si>
  <si>
    <t>TRMETH000</t>
  </si>
  <si>
    <t>TRBDST</t>
  </si>
  <si>
    <t>TRMGAS000</t>
  </si>
  <si>
    <t>TRBELC</t>
  </si>
  <si>
    <t>TRMLPG000</t>
  </si>
  <si>
    <t>TRBETH</t>
  </si>
  <si>
    <t>TRMMET000</t>
  </si>
  <si>
    <t>TRBFUE</t>
  </si>
  <si>
    <t>TRMNGA000</t>
  </si>
  <si>
    <t>TRBGAS</t>
  </si>
  <si>
    <t>TRTDST000</t>
  </si>
  <si>
    <t>TRBHYB</t>
  </si>
  <si>
    <t>TRTELC000</t>
  </si>
  <si>
    <t>TRBLPG</t>
  </si>
  <si>
    <t>TRTETH000</t>
  </si>
  <si>
    <t>TRBMET</t>
  </si>
  <si>
    <t>TRTGAS000</t>
  </si>
  <si>
    <t>TRBNGA</t>
  </si>
  <si>
    <t>TRTLPG000</t>
  </si>
  <si>
    <t>TRCDSA</t>
  </si>
  <si>
    <t>TRTMET000</t>
  </si>
  <si>
    <t>TRCDSB</t>
  </si>
  <si>
    <t>TRTNGA000</t>
  </si>
  <si>
    <t>TRCDST</t>
  </si>
  <si>
    <t>GAS</t>
  </si>
  <si>
    <t>TRWMCG000</t>
  </si>
  <si>
    <t>TRCETA</t>
  </si>
  <si>
    <t>TRWMPG000</t>
  </si>
  <si>
    <t>TRCETB</t>
  </si>
  <si>
    <t>TRCETH</t>
  </si>
  <si>
    <t>TAD000</t>
  </si>
  <si>
    <t>TRCGAS</t>
  </si>
  <si>
    <t>TAI000</t>
  </si>
  <si>
    <t>TRCLPG</t>
  </si>
  <si>
    <t>TTF000</t>
  </si>
  <si>
    <t>TRCMET</t>
  </si>
  <si>
    <t>TTP000</t>
  </si>
  <si>
    <t>TRCNGA</t>
  </si>
  <si>
    <t>TWD000</t>
  </si>
  <si>
    <t>TREDST</t>
  </si>
  <si>
    <t>TWI000</t>
  </si>
  <si>
    <t>TREGSL</t>
  </si>
  <si>
    <t>TRHDSA</t>
  </si>
  <si>
    <t>TRHDSB</t>
  </si>
  <si>
    <t>Sum of val_field</t>
  </si>
  <si>
    <t>region</t>
  </si>
  <si>
    <t>TRHDST</t>
  </si>
  <si>
    <t>TRHETH</t>
  </si>
  <si>
    <t>TRBDST005</t>
  </si>
  <si>
    <t>TRHGAS</t>
  </si>
  <si>
    <t>TRBELC005</t>
  </si>
  <si>
    <t>TRHLPG</t>
  </si>
  <si>
    <t>TRBETH005</t>
  </si>
  <si>
    <t>TRHMET</t>
  </si>
  <si>
    <t>TRBGAS005</t>
  </si>
  <si>
    <t>TRHNGA</t>
  </si>
  <si>
    <t>TRBHYB005</t>
  </si>
  <si>
    <t>TRLDCA</t>
  </si>
  <si>
    <t>TRBLPG005</t>
  </si>
  <si>
    <t>TRLDCB</t>
  </si>
  <si>
    <t>TRBMET005</t>
  </si>
  <si>
    <t>TRLDCC</t>
  </si>
  <si>
    <t>TRBNGA005</t>
  </si>
  <si>
    <t>TRLDEG</t>
  </si>
  <si>
    <t>TRCDSA005</t>
  </si>
  <si>
    <t>TRLDMG</t>
  </si>
  <si>
    <t>TRCDSB005</t>
  </si>
  <si>
    <t>TRLELC</t>
  </si>
  <si>
    <t>TRCDST005</t>
  </si>
  <si>
    <t>TRLETH</t>
  </si>
  <si>
    <t>TRCETA005</t>
  </si>
  <si>
    <t>TRLGCA</t>
  </si>
  <si>
    <t>TRCETB005</t>
  </si>
  <si>
    <t>TRLGCB</t>
  </si>
  <si>
    <t>TRCETH005</t>
  </si>
  <si>
    <t>TRLGCC</t>
  </si>
  <si>
    <t>TRCGAS005</t>
  </si>
  <si>
    <t>TRLLPG</t>
  </si>
  <si>
    <t>TRCLPG005</t>
  </si>
  <si>
    <t>TRLMET</t>
  </si>
  <si>
    <t>TRCMET005</t>
  </si>
  <si>
    <t>TRLNGA</t>
  </si>
  <si>
    <t>TRCNGA005</t>
  </si>
  <si>
    <t>TRMDSA</t>
  </si>
  <si>
    <t>TREDST005</t>
  </si>
  <si>
    <t>TRMDSB</t>
  </si>
  <si>
    <t>TREGSL005</t>
  </si>
  <si>
    <t>TRMDST</t>
  </si>
  <si>
    <t>TRHDSA005</t>
  </si>
  <si>
    <t>TRMETA</t>
  </si>
  <si>
    <t>TRHDSB005</t>
  </si>
  <si>
    <t>TRMETB</t>
  </si>
  <si>
    <t>TRHDST005</t>
  </si>
  <si>
    <t>TRMETH</t>
  </si>
  <si>
    <t>TRHETH005</t>
  </si>
  <si>
    <t>TRMGAS</t>
  </si>
  <si>
    <t>TRHGAS005</t>
  </si>
  <si>
    <t>TRMLPG</t>
  </si>
  <si>
    <t>TRHLPG005</t>
  </si>
  <si>
    <t>TRMMET</t>
  </si>
  <si>
    <t>TRHMET005</t>
  </si>
  <si>
    <t>TRMNGA</t>
  </si>
  <si>
    <t>TRHNGA005</t>
  </si>
  <si>
    <t>TRTDCA</t>
  </si>
  <si>
    <t>DSA</t>
  </si>
  <si>
    <t>TRLDCA005</t>
  </si>
  <si>
    <t>TRTDCB</t>
  </si>
  <si>
    <t>TRLDCB005</t>
  </si>
  <si>
    <t>TRTDCC</t>
  </si>
  <si>
    <t>TRLDCC005</t>
  </si>
  <si>
    <t>TRTELC</t>
  </si>
  <si>
    <t>TRLDEG005</t>
  </si>
  <si>
    <t>TRTETA</t>
  </si>
  <si>
    <t>TRLDMG005</t>
  </si>
  <si>
    <t>TRTETB</t>
  </si>
  <si>
    <t>TRLELC005</t>
  </si>
  <si>
    <t>TRTETH</t>
  </si>
  <si>
    <t>TRLGCA005</t>
  </si>
  <si>
    <t>TRTGCA</t>
  </si>
  <si>
    <t>TRLGCB005</t>
  </si>
  <si>
    <t>TRTGCB</t>
  </si>
  <si>
    <t>TRLGCC005</t>
  </si>
  <si>
    <t>TRTGCC</t>
  </si>
  <si>
    <t>TRLHYB005</t>
  </si>
  <si>
    <t>TRTLPG</t>
  </si>
  <si>
    <t>TRLLPG005</t>
  </si>
  <si>
    <t>TRTMET</t>
  </si>
  <si>
    <t>TRLNGA005</t>
  </si>
  <si>
    <t>TRTNGA</t>
  </si>
  <si>
    <t>TRMDSA005</t>
  </si>
  <si>
    <t>TRWMCG</t>
  </si>
  <si>
    <t>TRMDSB005</t>
  </si>
  <si>
    <t>TRWMPG</t>
  </si>
  <si>
    <t>TRMDST005</t>
  </si>
  <si>
    <t>TRMETA005</t>
  </si>
  <si>
    <t>TRMETB005</t>
  </si>
  <si>
    <t>TRMETH005</t>
  </si>
  <si>
    <t>TRMGAS005</t>
  </si>
  <si>
    <t>TRMLPG005</t>
  </si>
  <si>
    <t>TRMMET005</t>
  </si>
  <si>
    <t>TRMNGA005</t>
  </si>
  <si>
    <t>TRTDCA005</t>
  </si>
  <si>
    <t>TRTDCB005</t>
  </si>
  <si>
    <t>TRTDCC005</t>
  </si>
  <si>
    <t>TRTDEG005</t>
  </si>
  <si>
    <t>TRTDMG005</t>
  </si>
  <si>
    <t>TRTELC005</t>
  </si>
  <si>
    <t>TRTETA005</t>
  </si>
  <si>
    <t>TRTETB005</t>
  </si>
  <si>
    <t>TRTETH005</t>
  </si>
  <si>
    <t>TRTGCA005</t>
  </si>
  <si>
    <t>TRTGCB005</t>
  </si>
  <si>
    <t>TRTGCC005</t>
  </si>
  <si>
    <t>TRTHYB005</t>
  </si>
  <si>
    <t>TRTLPG005</t>
  </si>
  <si>
    <t>TRTMET005</t>
  </si>
  <si>
    <t>TRTNGA005</t>
  </si>
  <si>
    <t>TRWMCG005</t>
  </si>
  <si>
    <t>TRWMPG005</t>
  </si>
  <si>
    <t>TTF005</t>
  </si>
  <si>
    <t>TTP005</t>
  </si>
  <si>
    <t>TWD005</t>
  </si>
  <si>
    <t>TWI005</t>
  </si>
  <si>
    <t>~FI_T: SHARE-I~UP</t>
  </si>
  <si>
    <t>~FI_T: EFF</t>
  </si>
  <si>
    <t>Tslvl</t>
  </si>
  <si>
    <t>PrimaryCG</t>
  </si>
  <si>
    <t>Techname</t>
  </si>
  <si>
    <t>LimType</t>
  </si>
  <si>
    <t>Generic Freight Train-Existing</t>
  </si>
  <si>
    <t>PJ_a</t>
  </si>
  <si>
    <t>COA</t>
  </si>
  <si>
    <t>DST</t>
  </si>
  <si>
    <t>HFO</t>
  </si>
  <si>
    <t>LPG</t>
  </si>
  <si>
    <t>ELC</t>
  </si>
  <si>
    <t>Generic Passengers Train-Existing</t>
  </si>
  <si>
    <t>Generic International Aircraft-Existing</t>
  </si>
  <si>
    <t>Generic Domestic Aircraft-Existing</t>
  </si>
  <si>
    <t>UP</t>
  </si>
  <si>
    <t>Generic Domestic Navigation Ship Existing</t>
  </si>
  <si>
    <t>Generic International Boat-Existing</t>
  </si>
  <si>
    <t>Non Energy Uses</t>
  </si>
  <si>
    <t>TAI_Generic</t>
  </si>
  <si>
    <t>TAD_Generic</t>
  </si>
  <si>
    <t>TWD_Generic</t>
  </si>
  <si>
    <t>TWI_Generic</t>
  </si>
  <si>
    <t>LO</t>
  </si>
  <si>
    <t>Average Annual Vehicle Miles Traveled per Vehicle by Major Vehicle Category</t>
  </si>
  <si>
    <t>Vehicle Type</t>
  </si>
  <si>
    <t>VMT per Vehicle</t>
  </si>
  <si>
    <t>Source</t>
  </si>
  <si>
    <t>Class 8 Truck</t>
  </si>
  <si>
    <t>A</t>
  </si>
  <si>
    <t>Transit Bus</t>
  </si>
  <si>
    <t>B</t>
  </si>
  <si>
    <t>Paratransit Shuttle</t>
  </si>
  <si>
    <t>Refuse Truck</t>
  </si>
  <si>
    <t>C</t>
  </si>
  <si>
    <t>Delivery Truck</t>
  </si>
  <si>
    <t>School Bus</t>
  </si>
  <si>
    <t>D</t>
  </si>
  <si>
    <t>Light Truck/Van</t>
  </si>
  <si>
    <t>Car</t>
  </si>
  <si>
    <t>Motorcycle</t>
  </si>
  <si>
    <t>Data Sources:</t>
  </si>
  <si>
    <t>Federal Highway Administration. Highway Statistics 2018, Table VM-1.  Accessed 02/11/20 at fhwa.dot.gov/policyinformation/statistics/2018/pdf/vm1.pdf</t>
  </si>
  <si>
    <t>Calculated from statistics found in American Public Transit Association's Public Transportation Fact Book 2019. Accessed 02/11/2020 at: www.apta.com/wp-content/uploads/APTA_Fact-Book-2019_FINAL.pdf</t>
  </si>
  <si>
    <t>Gordon, Deborah, Juliet Burdelski, and James S. Cannon.  Greening Garbage Trucks: New Technologies for Cleaner Air.  Inform, Inc. 2003.  ISBN #0-918780-80-2.</t>
  </si>
  <si>
    <t>American School Bus Council.  National School Bus Fuel Data.  Accessed 11/21/18 at americanschoolbuscouncil.org/insights/environment/</t>
  </si>
  <si>
    <t>Notes:</t>
  </si>
  <si>
    <t>Light-duty vehicles are a sales-weighted combination of cars, wagons, vans, sport utility vehicles, and pickups. Vehicles with short wheelbases (&lt;121") are generalized as cars and vehicles with long wheelbases are generalized as light trucks.</t>
  </si>
  <si>
    <t>Delivery trucks are single-unit trucks with 2 axles and 6 or more tires.</t>
  </si>
  <si>
    <t>Class 8 trucks are combined tractor/trailer trucks, also know as long-haul.</t>
  </si>
  <si>
    <t>Acronyms:</t>
  </si>
  <si>
    <t>VMT: Vehicle miles traveled</t>
  </si>
  <si>
    <t>Worksheet available at afdc.energy.gov/data</t>
  </si>
  <si>
    <t>Last updated 02/11/2020</t>
  </si>
  <si>
    <t>*XIAO delete the TraSupply of ELC</t>
  </si>
  <si>
    <t>~FI_T: FLO_COST</t>
  </si>
  <si>
    <t>Process</t>
  </si>
  <si>
    <t>Techdesc</t>
  </si>
  <si>
    <t>FT_TRABDS</t>
  </si>
  <si>
    <t>BIODST</t>
  </si>
  <si>
    <t>PRE</t>
  </si>
  <si>
    <t>Sector fuel tech for TRABDS</t>
  </si>
  <si>
    <t>PJ-a</t>
  </si>
  <si>
    <t>FT_TRABGS</t>
  </si>
  <si>
    <t>BIOGSL</t>
  </si>
  <si>
    <t>Sector fuel tech for TRABGS</t>
  </si>
  <si>
    <t>FT_TRABSL</t>
  </si>
  <si>
    <t>BIOBSL</t>
  </si>
  <si>
    <t>TRABSL</t>
  </si>
  <si>
    <t>Sector fuel tech for TRABSL</t>
  </si>
  <si>
    <t>FT_TRACOA</t>
  </si>
  <si>
    <t>COAHCO</t>
  </si>
  <si>
    <t>Sector fuel tech for TRACOA</t>
  </si>
  <si>
    <t>FT_TRADST</t>
  </si>
  <si>
    <t>OILDST</t>
  </si>
  <si>
    <t>Sector fuel tech for TRADST</t>
  </si>
  <si>
    <t>FT_TRAELC</t>
  </si>
  <si>
    <t>Sector fuel tech for TRAELC</t>
  </si>
  <si>
    <t>DAYNITE</t>
  </si>
  <si>
    <t>FT_TRAGSL</t>
  </si>
  <si>
    <t>OILGSL</t>
  </si>
  <si>
    <t>Sector fuel tech for TRAGSL</t>
  </si>
  <si>
    <t>FT_TRAHFO</t>
  </si>
  <si>
    <t>OILHFO</t>
  </si>
  <si>
    <t>Sector fuel tech for TRAHFO</t>
  </si>
  <si>
    <t>FT_TRAJTK</t>
  </si>
  <si>
    <t>OILJTK</t>
  </si>
  <si>
    <t>Sector fuel tech for TRAJTK</t>
  </si>
  <si>
    <t>FT_TRALPG</t>
  </si>
  <si>
    <t>OILLPG</t>
  </si>
  <si>
    <t>Sector fuel tech for TRALPG</t>
  </si>
  <si>
    <t>FT_TRANGA</t>
  </si>
  <si>
    <t>GASNGA</t>
  </si>
  <si>
    <t>Sector fuel tech for TRANGA</t>
  </si>
  <si>
    <t>SEASON</t>
  </si>
  <si>
    <t>MIN</t>
  </si>
  <si>
    <t>TraSupply</t>
  </si>
  <si>
    <t>Transport fuel supply</t>
  </si>
  <si>
    <t>COABCO</t>
  </si>
  <si>
    <t>GEO</t>
  </si>
  <si>
    <t>HYD</t>
  </si>
  <si>
    <t>NUC</t>
  </si>
  <si>
    <t>SPV</t>
  </si>
  <si>
    <t>STH</t>
  </si>
  <si>
    <t>TID</t>
  </si>
  <si>
    <t>WIN</t>
  </si>
  <si>
    <t>ELCDem</t>
  </si>
  <si>
    <t>DMD</t>
  </si>
  <si>
    <t>ElecDemand</t>
  </si>
  <si>
    <t>Non-transport electricity</t>
  </si>
  <si>
    <t>FT_ELCBSL</t>
  </si>
  <si>
    <t>ELCBSL</t>
  </si>
  <si>
    <t>Sector fuel tech for ELCBSL</t>
  </si>
  <si>
    <t>FT_ELCCOA</t>
  </si>
  <si>
    <t>ELCCOA</t>
  </si>
  <si>
    <t>Sector fuel tech for ELCCOA</t>
  </si>
  <si>
    <t>FT_ELCCOB</t>
  </si>
  <si>
    <t>ELCCOB</t>
  </si>
  <si>
    <t>Sector fuel tech for ELCCOB</t>
  </si>
  <si>
    <t>FT_ELCGEO</t>
  </si>
  <si>
    <t>ELCGEO</t>
  </si>
  <si>
    <t>Sector fuel tech for ELCGEO</t>
  </si>
  <si>
    <t>FT_ELCHYD</t>
  </si>
  <si>
    <t>ELCHYD</t>
  </si>
  <si>
    <t>Sector fuel tech for ELCHYD</t>
  </si>
  <si>
    <t>FT_ELCNGA</t>
  </si>
  <si>
    <t>ELCNGA</t>
  </si>
  <si>
    <t>Sector fuel tech for ELCNGA</t>
  </si>
  <si>
    <t>FT_ELCNUC</t>
  </si>
  <si>
    <t>ELCNUC</t>
  </si>
  <si>
    <t>Sector fuel tech for ELCNUC</t>
  </si>
  <si>
    <t>FT_ELCOIL</t>
  </si>
  <si>
    <t>ELCOIL</t>
  </si>
  <si>
    <t>Sector fuel tech for ELCOIL</t>
  </si>
  <si>
    <t>FT_ELCOIL_CRD</t>
  </si>
  <si>
    <t>ELCOIL_CRD</t>
  </si>
  <si>
    <t>Sector fuel tech for ELCOIL_CRD</t>
  </si>
  <si>
    <t>FT_ELCOIL_DST</t>
  </si>
  <si>
    <t>ELCOIL_DST</t>
  </si>
  <si>
    <t>Sector fuel tech for ELCOIL_DST</t>
  </si>
  <si>
    <t>FT_ELCSPV</t>
  </si>
  <si>
    <t>ELCSPV</t>
  </si>
  <si>
    <t>Sector fuel tech for ELCSPV</t>
  </si>
  <si>
    <t>FT_ELCSTH</t>
  </si>
  <si>
    <t>ELCSTH</t>
  </si>
  <si>
    <t>Sector fuel tech for ELCSTH</t>
  </si>
  <si>
    <t>FT_ELCTDL</t>
  </si>
  <si>
    <t>ELCTDL</t>
  </si>
  <si>
    <t>Sector fuel tech for ELCTDL</t>
  </si>
  <si>
    <t>FT_ELCWIN</t>
  </si>
  <si>
    <t>ELCWIN</t>
  </si>
  <si>
    <t>Sector fuel tech for ELCWIN</t>
  </si>
  <si>
    <t>FT_INDCOA</t>
  </si>
  <si>
    <t>INDCOA</t>
  </si>
  <si>
    <t>Sector fuel tech for INDCOA</t>
  </si>
  <si>
    <t>FT_INDELC</t>
  </si>
  <si>
    <t>INDELC</t>
  </si>
  <si>
    <t>Sector fuel tech for INDELC</t>
  </si>
  <si>
    <t>FT_INDHFO</t>
  </si>
  <si>
    <t>INDOIL</t>
  </si>
  <si>
    <t>Sector fuel tech for INDHFO</t>
  </si>
  <si>
    <t>FT_INDNGA</t>
  </si>
  <si>
    <t>INDNGA</t>
  </si>
  <si>
    <t>Sector fuel tech for INDNGA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</si>
</sst>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0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_(* #,##0.00_);_(* \(#,##0.00\);_(* &quot;-&quot;??_);_(@_)"/>
    <numFmt numFmtId="179" formatCode="0.0%"/>
    <numFmt numFmtId="180" formatCode="_ * #,##0.00_ ;_ * \-#,##0.00_ ;_ * &quot;-&quot;??_ ;_ @_ "/>
    <numFmt numFmtId="181" formatCode="_-&quot;$&quot;* #,##0.00_-;\-&quot;$&quot;* #,##0.00_-;_-&quot;$&quot;* &quot;-&quot;??_-;_-@_-"/>
    <numFmt numFmtId="182" formatCode="m\o\n\th\ d\,\ yyyy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-[$€-2]\ * #,##0.00_-;\-[$€-2]\ * #,##0.00_-;_-[$€-2]\ * &quot;-&quot;??_-"/>
    <numFmt numFmtId="186" formatCode="_-[$€]* #,##0.00_-;\-[$€]* #,##0.00_-;_-[$€]* &quot;-&quot;??_-;_-@_-"/>
    <numFmt numFmtId="187" formatCode="_-&quot;€&quot;\ * #,##0.00_-;\-&quot;€&quot;\ * #,##0.00_-;_-&quot;€&quot;\ * &quot;-&quot;??_-;_-@_-"/>
    <numFmt numFmtId="188" formatCode="#.00"/>
    <numFmt numFmtId="189" formatCode="#."/>
    <numFmt numFmtId="190" formatCode="_-* #,##0.00\ _€_-;\-* #,##0.00\ _€_-;_-* &quot;-&quot;??\ _€_-;_-@_-"/>
    <numFmt numFmtId="191" formatCode="&quot;$&quot;#,##0_);\(&quot;$&quot;#,##0\)"/>
    <numFmt numFmtId="192" formatCode="General_)"/>
    <numFmt numFmtId="193" formatCode="\(##\);\(##\)"/>
    <numFmt numFmtId="194" formatCode="#,##0;\-\ #,##0;_-\ &quot;- &quot;"/>
    <numFmt numFmtId="195" formatCode="_ * #,##0_ ;_ * \-#,##0_ ;_ * &quot;-&quot;_ ;_ @_ "/>
    <numFmt numFmtId="196" formatCode="_ &quot;kr&quot;\ * #,##0_ ;_ &quot;kr&quot;\ * \-#,##0_ ;_ &quot;kr&quot;\ * &quot;-&quot;_ ;_ @_ "/>
    <numFmt numFmtId="197" formatCode="yyyy"/>
    <numFmt numFmtId="198" formatCode="#,##0.0"/>
    <numFmt numFmtId="199" formatCode="_ &quot;kr&quot;\ * #,##0.00_ ;_ &quot;kr&quot;\ * \-#,##0.00_ ;_ &quot;kr&quot;\ * &quot;-&quot;??_ ;_ @_ "/>
    <numFmt numFmtId="200" formatCode="_(* #,##0_);_(* \(#,##0\);_(* &quot;-&quot;??_);_(@_)"/>
    <numFmt numFmtId="201" formatCode="_ * #,##0_ ;_ * \-#,##0_ ;_ * &quot;-&quot;??_ ;_ @_ "/>
    <numFmt numFmtId="202" formatCode="0.0"/>
    <numFmt numFmtId="203" formatCode="#,##0.000"/>
  </numFmts>
  <fonts count="94"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b/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i/>
      <sz val="10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i/>
      <sz val="10"/>
      <name val="Calibri"/>
      <charset val="134"/>
      <scheme val="minor"/>
    </font>
    <font>
      <b/>
      <sz val="10"/>
      <color rgb="FFFA7D00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i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9"/>
      <color indexed="8"/>
      <name val="Times New Roman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10"/>
      <name val="Calibri"/>
      <charset val="134"/>
    </font>
    <font>
      <b/>
      <sz val="11"/>
      <color indexed="9"/>
      <name val="Calibri"/>
      <charset val="134"/>
    </font>
    <font>
      <sz val="10"/>
      <name val="MS Sans Serif"/>
      <charset val="134"/>
    </font>
    <font>
      <sz val="9"/>
      <name val="Times New Roman"/>
      <charset val="134"/>
    </font>
    <font>
      <sz val="1"/>
      <color indexed="8"/>
      <name val="Courier"/>
      <charset val="134"/>
    </font>
    <font>
      <sz val="10"/>
      <color indexed="56"/>
      <name val="Arial"/>
      <charset val="134"/>
    </font>
    <font>
      <b/>
      <sz val="10"/>
      <name val="Arial"/>
      <charset val="134"/>
    </font>
    <font>
      <i/>
      <sz val="8"/>
      <color indexed="3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b/>
      <sz val="1"/>
      <color indexed="8"/>
      <name val="Courier"/>
      <charset val="134"/>
    </font>
    <font>
      <u/>
      <sz val="10"/>
      <color indexed="12"/>
      <name val="Arial"/>
      <charset val="134"/>
    </font>
    <font>
      <sz val="11"/>
      <color indexed="62"/>
      <name val="Calibri"/>
      <charset val="134"/>
    </font>
    <font>
      <b/>
      <sz val="12"/>
      <name val="Times New Roman"/>
      <charset val="134"/>
    </font>
    <font>
      <sz val="11"/>
      <color indexed="52"/>
      <name val="Calibri"/>
      <charset val="134"/>
    </font>
    <font>
      <sz val="11"/>
      <color indexed="10"/>
      <name val="Calibri"/>
      <charset val="134"/>
    </font>
    <font>
      <sz val="11"/>
      <color indexed="60"/>
      <name val="Calibri"/>
      <charset val="134"/>
    </font>
    <font>
      <sz val="11"/>
      <color indexed="19"/>
      <name val="Calibri"/>
      <charset val="134"/>
    </font>
    <font>
      <sz val="11"/>
      <color indexed="60"/>
      <name val="Calibri"/>
      <charset val="161"/>
    </font>
    <font>
      <sz val="8"/>
      <name val="Helv"/>
      <charset val="134"/>
    </font>
    <font>
      <b/>
      <sz val="9"/>
      <name val="Times New Roman"/>
      <charset val="134"/>
    </font>
    <font>
      <sz val="10"/>
      <name val="Courier"/>
      <charset val="134"/>
    </font>
    <font>
      <b/>
      <vertAlign val="superscript"/>
      <sz val="12"/>
      <color indexed="54"/>
      <name val="Arial"/>
      <charset val="134"/>
    </font>
    <font>
      <b/>
      <sz val="11"/>
      <color indexed="63"/>
      <name val="Calibri"/>
      <charset val="134"/>
    </font>
    <font>
      <sz val="10"/>
      <name val="Helvetica"/>
      <charset val="134"/>
    </font>
    <font>
      <b/>
      <sz val="12"/>
      <name val="Arial"/>
      <charset val="134"/>
    </font>
    <font>
      <sz val="8"/>
      <color indexed="9"/>
      <name val="Arial"/>
      <charset val="134"/>
    </font>
    <font>
      <sz val="9"/>
      <name val="Verdana"/>
      <charset val="134"/>
    </font>
    <font>
      <i/>
      <sz val="9"/>
      <color indexed="60"/>
      <name val="Verdana"/>
      <charset val="134"/>
    </font>
    <font>
      <b/>
      <sz val="9"/>
      <name val="Verdana"/>
      <charset val="134"/>
    </font>
    <font>
      <b/>
      <sz val="9"/>
      <name val="Arial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u/>
      <sz val="12"/>
      <color indexed="20"/>
      <name val="宋体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Tahoma"/>
      <charset val="1"/>
    </font>
    <font>
      <sz val="9"/>
      <name val="Times New Roman"/>
      <charset val="134"/>
    </font>
    <font>
      <sz val="9"/>
      <name val="Tahoma"/>
      <charset val="1"/>
    </font>
    <font>
      <b/>
      <sz val="9"/>
      <name val="Times New Roman"/>
      <charset val="134"/>
    </font>
  </fonts>
  <fills count="7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indexed="26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</fills>
  <borders count="43">
    <border>
      <left/>
      <right/>
      <top/>
      <bottom/>
      <diagonal/>
    </border>
    <border>
      <left/>
      <right/>
      <top/>
      <bottom style="medium">
        <color theme="4" tint="0.399945066682943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4506668294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343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9" borderId="19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1" fillId="0" borderId="1" applyNumberFormat="0" applyFill="0" applyAlignment="0" applyProtection="0"/>
    <xf numFmtId="0" fontId="1" fillId="0" borderId="0" applyNumberFormat="0" applyFill="0" applyBorder="0" applyAlignment="0" applyProtection="0">
      <alignment vertical="center"/>
    </xf>
    <xf numFmtId="0" fontId="27" fillId="17" borderId="18" applyNumberFormat="0" applyAlignment="0" applyProtection="0"/>
    <xf numFmtId="0" fontId="36" fillId="20" borderId="21" applyNumberFormat="0" applyAlignment="0" applyProtection="0">
      <alignment vertical="center"/>
    </xf>
    <xf numFmtId="0" fontId="37" fillId="20" borderId="18" applyNumberFormat="0" applyAlignment="0" applyProtection="0"/>
    <xf numFmtId="0" fontId="38" fillId="21" borderId="22" applyNumberFormat="0" applyAlignment="0" applyProtection="0">
      <alignment vertical="center"/>
    </xf>
    <xf numFmtId="0" fontId="12" fillId="0" borderId="15" applyNumberFormat="0" applyFill="0" applyAlignment="0" applyProtection="0"/>
    <xf numFmtId="0" fontId="39" fillId="0" borderId="23" applyNumberFormat="0" applyFill="0" applyAlignment="0" applyProtection="0">
      <alignment vertical="center"/>
    </xf>
    <xf numFmtId="0" fontId="24" fillId="16" borderId="0" applyNumberFormat="0" applyBorder="0" applyAlignment="0" applyProtection="0"/>
    <xf numFmtId="0" fontId="21" fillId="14" borderId="0" applyNumberFormat="0" applyBorder="0" applyAlignment="0" applyProtection="0"/>
    <xf numFmtId="0" fontId="28" fillId="18" borderId="0" applyNumberFormat="0" applyBorder="0" applyAlignment="0" applyProtection="0"/>
    <xf numFmtId="0" fontId="40" fillId="2" borderId="0" applyNumberFormat="0" applyBorder="0" applyAlignment="0" applyProtection="0">
      <alignment vertical="center"/>
    </xf>
    <xf numFmtId="0" fontId="0" fillId="5" borderId="0" applyNumberFormat="0" applyBorder="0" applyAlignment="0" applyProtection="0"/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1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51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5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45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0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50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5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45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5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55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43" fillId="56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6" borderId="0" applyNumberFormat="0" applyBorder="0" applyAlignment="0" applyProtection="0"/>
    <xf numFmtId="0" fontId="43" fillId="52" borderId="0" applyNumberFormat="0" applyBorder="0" applyAlignment="0" applyProtection="0"/>
    <xf numFmtId="0" fontId="43" fillId="4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47" borderId="0" applyNumberFormat="0" applyBorder="0" applyAlignment="0" applyProtection="0"/>
    <xf numFmtId="0" fontId="43" fillId="57" borderId="0" applyNumberFormat="0" applyBorder="0" applyAlignment="0" applyProtection="0"/>
    <xf numFmtId="0" fontId="43" fillId="53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3" borderId="0" applyNumberFormat="0" applyBorder="0" applyAlignment="0" applyProtection="0"/>
    <xf numFmtId="0" fontId="43" fillId="55" borderId="0" applyNumberFormat="0" applyBorder="0" applyAlignment="0" applyProtection="0"/>
    <xf numFmtId="0" fontId="43" fillId="58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58" borderId="0" applyNumberFormat="0" applyBorder="0" applyAlignment="0" applyProtection="0"/>
    <xf numFmtId="0" fontId="43" fillId="46" borderId="0" applyNumberFormat="0" applyBorder="0" applyAlignment="0" applyProtection="0"/>
    <xf numFmtId="0" fontId="43" fillId="59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9" borderId="0" applyNumberFormat="0" applyBorder="0" applyAlignment="0" applyProtection="0"/>
    <xf numFmtId="0" fontId="43" fillId="52" borderId="0" applyNumberFormat="0" applyBorder="0" applyAlignment="0" applyProtection="0"/>
    <xf numFmtId="0" fontId="43" fillId="60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60" borderId="0" applyNumberFormat="0" applyBorder="0" applyAlignment="0" applyProtection="0"/>
    <xf numFmtId="0" fontId="43" fillId="47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3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63" borderId="0" applyNumberFormat="0" applyBorder="0" applyAlignment="0" applyProtection="0"/>
    <xf numFmtId="0" fontId="43" fillId="57" borderId="0" applyNumberFormat="0" applyBorder="0" applyAlignment="0" applyProtection="0"/>
    <xf numFmtId="0" fontId="43" fillId="64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64" borderId="0" applyNumberFormat="0" applyBorder="0" applyAlignment="0" applyProtection="0"/>
    <xf numFmtId="0" fontId="43" fillId="55" borderId="0" applyNumberFormat="0" applyBorder="0" applyAlignment="0" applyProtection="0"/>
    <xf numFmtId="0" fontId="43" fillId="58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58" borderId="0" applyNumberFormat="0" applyBorder="0" applyAlignment="0" applyProtection="0"/>
    <xf numFmtId="0" fontId="43" fillId="65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7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57" borderId="0" applyNumberFormat="0" applyBorder="0" applyAlignment="0" applyProtection="0"/>
    <xf numFmtId="0" fontId="43" fillId="63" borderId="0" applyNumberFormat="0" applyBorder="0" applyAlignment="0" applyProtection="0"/>
    <xf numFmtId="4" fontId="44" fillId="51" borderId="9">
      <alignment horizontal="right" vertical="center"/>
    </xf>
    <xf numFmtId="4" fontId="44" fillId="51" borderId="9">
      <alignment horizontal="right" vertical="center"/>
    </xf>
    <xf numFmtId="0" fontId="45" fillId="46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46" borderId="0" applyNumberFormat="0" applyBorder="0" applyAlignment="0" applyProtection="0"/>
    <xf numFmtId="0" fontId="45" fillId="50" borderId="0" applyNumberFormat="0" applyBorder="0" applyAlignment="0" applyProtection="0"/>
    <xf numFmtId="0" fontId="46" fillId="66" borderId="24" applyNumberFormat="0" applyAlignment="0" applyProtection="0"/>
    <xf numFmtId="0" fontId="47" fillId="9" borderId="24" applyNumberFormat="0" applyAlignment="0" applyProtection="0"/>
    <xf numFmtId="0" fontId="47" fillId="9" borderId="24" applyNumberFormat="0" applyAlignment="0" applyProtection="0"/>
    <xf numFmtId="0" fontId="47" fillId="9" borderId="24" applyNumberFormat="0" applyAlignment="0" applyProtection="0"/>
    <xf numFmtId="0" fontId="47" fillId="9" borderId="24" applyNumberFormat="0" applyAlignment="0" applyProtection="0"/>
    <xf numFmtId="0" fontId="47" fillId="9" borderId="24" applyNumberFormat="0" applyAlignment="0" applyProtection="0"/>
    <xf numFmtId="0" fontId="47" fillId="9" borderId="24" applyNumberFormat="0" applyAlignment="0" applyProtection="0"/>
    <xf numFmtId="0" fontId="47" fillId="9" borderId="24" applyNumberFormat="0" applyAlignment="0" applyProtection="0"/>
    <xf numFmtId="0" fontId="47" fillId="9" borderId="24" applyNumberFormat="0" applyAlignment="0" applyProtection="0"/>
    <xf numFmtId="0" fontId="47" fillId="9" borderId="24" applyNumberFormat="0" applyAlignment="0" applyProtection="0"/>
    <xf numFmtId="0" fontId="46" fillId="66" borderId="24" applyNumberFormat="0" applyAlignment="0" applyProtection="0"/>
    <xf numFmtId="0" fontId="47" fillId="9" borderId="24" applyNumberFormat="0" applyAlignment="0" applyProtection="0"/>
    <xf numFmtId="0" fontId="48" fillId="67" borderId="25" applyNumberFormat="0" applyAlignment="0" applyProtection="0"/>
    <xf numFmtId="0" fontId="48" fillId="67" borderId="25" applyNumberFormat="0" applyAlignment="0" applyProtection="0"/>
    <xf numFmtId="0" fontId="48" fillId="67" borderId="25" applyNumberFormat="0" applyAlignment="0" applyProtection="0"/>
    <xf numFmtId="0" fontId="48" fillId="67" borderId="25" applyNumberFormat="0" applyAlignment="0" applyProtection="0"/>
    <xf numFmtId="0" fontId="48" fillId="67" borderId="25" applyNumberFormat="0" applyAlignment="0" applyProtection="0"/>
    <xf numFmtId="0" fontId="48" fillId="67" borderId="25" applyNumberFormat="0" applyAlignment="0" applyProtection="0"/>
    <xf numFmtId="0" fontId="48" fillId="67" borderId="25" applyNumberFormat="0" applyAlignment="0" applyProtection="0"/>
    <xf numFmtId="0" fontId="48" fillId="67" borderId="25" applyNumberFormat="0" applyAlignment="0" applyProtection="0"/>
    <xf numFmtId="0" fontId="48" fillId="67" borderId="25" applyNumberFormat="0" applyAlignment="0" applyProtection="0"/>
    <xf numFmtId="0" fontId="48" fillId="67" borderId="25" applyNumberFormat="0" applyAlignment="0" applyProtection="0"/>
    <xf numFmtId="0" fontId="48" fillId="67" borderId="25" applyNumberFormat="0" applyAlignment="0" applyProtection="0"/>
    <xf numFmtId="49" fontId="6" fillId="52" borderId="26">
      <alignment vertical="top" wrapText="1"/>
    </xf>
    <xf numFmtId="49" fontId="6" fillId="52" borderId="26">
      <alignment vertical="top" wrapText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8" fontId="3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0" fontId="49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0" fontId="50" fillId="0" borderId="27">
      <alignment horizontal="left" vertical="center" wrapText="1" indent="2"/>
    </xf>
    <xf numFmtId="182" fontId="51" fillId="0" borderId="0">
      <protection locked="0"/>
    </xf>
    <xf numFmtId="182" fontId="51" fillId="0" borderId="0">
      <protection locked="0"/>
    </xf>
    <xf numFmtId="3" fontId="52" fillId="0" borderId="26">
      <alignment horizontal="right" vertical="top"/>
    </xf>
    <xf numFmtId="0" fontId="53" fillId="59" borderId="9">
      <alignment horizontal="centerContinuous" vertical="top" wrapText="1"/>
    </xf>
    <xf numFmtId="0" fontId="54" fillId="0" borderId="0">
      <alignment vertical="top" wrapText="1"/>
    </xf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88" fontId="51" fillId="0" borderId="0">
      <protection locked="0"/>
    </xf>
    <xf numFmtId="188" fontId="51" fillId="0" borderId="0">
      <protection locked="0"/>
    </xf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56" fillId="48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48" borderId="0" applyNumberFormat="0" applyBorder="0" applyAlignment="0" applyProtection="0"/>
    <xf numFmtId="0" fontId="56" fillId="52" borderId="0" applyNumberFormat="0" applyBorder="0" applyAlignment="0" applyProtection="0"/>
    <xf numFmtId="0" fontId="57" fillId="0" borderId="28" applyNumberFormat="0" applyFill="0" applyAlignment="0" applyProtection="0"/>
    <xf numFmtId="0" fontId="58" fillId="0" borderId="29" applyNumberFormat="0" applyFill="0" applyAlignment="0" applyProtection="0"/>
    <xf numFmtId="0" fontId="58" fillId="0" borderId="29" applyNumberFormat="0" applyFill="0" applyAlignment="0" applyProtection="0"/>
    <xf numFmtId="0" fontId="58" fillId="0" borderId="29" applyNumberFormat="0" applyFill="0" applyAlignment="0" applyProtection="0"/>
    <xf numFmtId="0" fontId="58" fillId="0" borderId="29" applyNumberFormat="0" applyFill="0" applyAlignment="0" applyProtection="0"/>
    <xf numFmtId="0" fontId="58" fillId="0" borderId="29" applyNumberFormat="0" applyFill="0" applyAlignment="0" applyProtection="0"/>
    <xf numFmtId="0" fontId="58" fillId="0" borderId="29" applyNumberFormat="0" applyFill="0" applyAlignment="0" applyProtection="0"/>
    <xf numFmtId="0" fontId="58" fillId="0" borderId="29" applyNumberFormat="0" applyFill="0" applyAlignment="0" applyProtection="0"/>
    <xf numFmtId="0" fontId="58" fillId="0" borderId="29" applyNumberFormat="0" applyFill="0" applyAlignment="0" applyProtection="0"/>
    <xf numFmtId="0" fontId="58" fillId="0" borderId="29" applyNumberFormat="0" applyFill="0" applyAlignment="0" applyProtection="0"/>
    <xf numFmtId="0" fontId="57" fillId="0" borderId="28" applyNumberFormat="0" applyFill="0" applyAlignment="0" applyProtection="0"/>
    <xf numFmtId="0" fontId="58" fillId="0" borderId="29" applyNumberFormat="0" applyFill="0" applyAlignment="0" applyProtection="0"/>
    <xf numFmtId="0" fontId="59" fillId="0" borderId="30" applyNumberFormat="0" applyFill="0" applyAlignment="0" applyProtection="0"/>
    <xf numFmtId="0" fontId="60" fillId="0" borderId="31" applyNumberFormat="0" applyFill="0" applyAlignment="0" applyProtection="0"/>
    <xf numFmtId="0" fontId="60" fillId="0" borderId="31" applyNumberFormat="0" applyFill="0" applyAlignment="0" applyProtection="0"/>
    <xf numFmtId="0" fontId="60" fillId="0" borderId="31" applyNumberFormat="0" applyFill="0" applyAlignment="0" applyProtection="0"/>
    <xf numFmtId="0" fontId="60" fillId="0" borderId="31" applyNumberFormat="0" applyFill="0" applyAlignment="0" applyProtection="0"/>
    <xf numFmtId="0" fontId="60" fillId="0" borderId="31" applyNumberFormat="0" applyFill="0" applyAlignment="0" applyProtection="0"/>
    <xf numFmtId="0" fontId="60" fillId="0" borderId="31" applyNumberFormat="0" applyFill="0" applyAlignment="0" applyProtection="0"/>
    <xf numFmtId="0" fontId="60" fillId="0" borderId="31" applyNumberFormat="0" applyFill="0" applyAlignment="0" applyProtection="0"/>
    <xf numFmtId="0" fontId="60" fillId="0" borderId="31" applyNumberFormat="0" applyFill="0" applyAlignment="0" applyProtection="0"/>
    <xf numFmtId="0" fontId="60" fillId="0" borderId="31" applyNumberFormat="0" applyFill="0" applyAlignment="0" applyProtection="0"/>
    <xf numFmtId="0" fontId="59" fillId="0" borderId="30" applyNumberFormat="0" applyFill="0" applyAlignment="0" applyProtection="0"/>
    <xf numFmtId="0" fontId="60" fillId="0" borderId="31" applyNumberFormat="0" applyFill="0" applyAlignment="0" applyProtection="0"/>
    <xf numFmtId="0" fontId="61" fillId="0" borderId="32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1" fillId="0" borderId="32" applyNumberFormat="0" applyFill="0" applyAlignment="0" applyProtection="0"/>
    <xf numFmtId="0" fontId="62" fillId="0" borderId="33" applyNumberFormat="0" applyFill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9" fontId="63" fillId="0" borderId="0">
      <protection locked="0"/>
    </xf>
    <xf numFmtId="189" fontId="63" fillId="0" borderId="0">
      <protection locked="0"/>
    </xf>
    <xf numFmtId="189" fontId="63" fillId="0" borderId="0">
      <protection locked="0"/>
    </xf>
    <xf numFmtId="189" fontId="63" fillId="0" borderId="0"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51" borderId="24" applyNumberFormat="0" applyAlignment="0" applyProtection="0"/>
    <xf numFmtId="0" fontId="65" fillId="54" borderId="24" applyNumberFormat="0" applyAlignment="0" applyProtection="0"/>
    <xf numFmtId="0" fontId="65" fillId="54" borderId="24" applyNumberFormat="0" applyAlignment="0" applyProtection="0"/>
    <xf numFmtId="0" fontId="65" fillId="54" borderId="24" applyNumberFormat="0" applyAlignment="0" applyProtection="0"/>
    <xf numFmtId="0" fontId="65" fillId="54" borderId="24" applyNumberFormat="0" applyAlignment="0" applyProtection="0"/>
    <xf numFmtId="0" fontId="65" fillId="54" borderId="24" applyNumberFormat="0" applyAlignment="0" applyProtection="0"/>
    <xf numFmtId="0" fontId="65" fillId="54" borderId="24" applyNumberFormat="0" applyAlignment="0" applyProtection="0"/>
    <xf numFmtId="0" fontId="65" fillId="54" borderId="24" applyNumberFormat="0" applyAlignment="0" applyProtection="0"/>
    <xf numFmtId="0" fontId="65" fillId="54" borderId="24" applyNumberFormat="0" applyAlignment="0" applyProtection="0"/>
    <xf numFmtId="0" fontId="65" fillId="54" borderId="24" applyNumberFormat="0" applyAlignment="0" applyProtection="0"/>
    <xf numFmtId="0" fontId="65" fillId="51" borderId="24" applyNumberFormat="0" applyAlignment="0" applyProtection="0"/>
    <xf numFmtId="0" fontId="65" fillId="54" borderId="24" applyNumberFormat="0" applyAlignment="0" applyProtection="0"/>
    <xf numFmtId="4" fontId="50" fillId="0" borderId="0" applyBorder="0">
      <alignment horizontal="right" vertical="center"/>
    </xf>
    <xf numFmtId="0" fontId="66" fillId="0" borderId="0"/>
    <xf numFmtId="0" fontId="67" fillId="0" borderId="34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7" fillId="0" borderId="34" applyNumberFormat="0" applyFill="0" applyAlignment="0" applyProtection="0"/>
    <xf numFmtId="0" fontId="68" fillId="0" borderId="35" applyNumberFormat="0" applyFill="0" applyAlignment="0" applyProtection="0"/>
    <xf numFmtId="190" fontId="6" fillId="0" borderId="0" applyFont="0" applyFill="0" applyBorder="0" applyAlignment="0" applyProtection="0"/>
    <xf numFmtId="0" fontId="69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1" fillId="54" borderId="0" applyNumberFormat="0" applyBorder="0" applyAlignment="0" applyProtection="0"/>
    <xf numFmtId="0" fontId="70" fillId="54" borderId="0" applyNumberFormat="0" applyBorder="0" applyAlignment="0" applyProtection="0"/>
    <xf numFmtId="0" fontId="69" fillId="5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1" fontId="72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1" fontId="72" fillId="0" borderId="0">
      <alignment vertical="center"/>
    </xf>
    <xf numFmtId="191" fontId="72" fillId="0" borderId="0">
      <alignment vertical="center"/>
    </xf>
    <xf numFmtId="191" fontId="72" fillId="0" borderId="0">
      <alignment vertical="center"/>
    </xf>
    <xf numFmtId="191" fontId="72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1" fontId="72" fillId="0" borderId="0">
      <alignment vertical="center"/>
    </xf>
    <xf numFmtId="191" fontId="72" fillId="0" borderId="0">
      <alignment vertical="center"/>
    </xf>
    <xf numFmtId="191" fontId="72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1" fontId="72" fillId="0" borderId="0">
      <alignment vertical="center"/>
    </xf>
    <xf numFmtId="191" fontId="72" fillId="0" borderId="0">
      <alignment vertical="center"/>
    </xf>
    <xf numFmtId="191" fontId="72" fillId="0" borderId="0">
      <alignment vertical="center"/>
    </xf>
    <xf numFmtId="191" fontId="72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72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9" fontId="72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2" fillId="0" borderId="0"/>
    <xf numFmtId="0" fontId="6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92" fontId="72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2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50" fillId="0" borderId="9" applyFill="0" applyBorder="0" applyProtection="0">
      <alignment horizontal="right" vertical="center"/>
    </xf>
    <xf numFmtId="0" fontId="73" fillId="0" borderId="0" applyNumberFormat="0" applyFill="0" applyBorder="0" applyProtection="0">
      <alignment horizontal="left" vertical="center"/>
    </xf>
    <xf numFmtId="0" fontId="6" fillId="67" borderId="0" applyNumberFormat="0" applyFont="0" applyBorder="0" applyAlignment="0" applyProtection="0"/>
    <xf numFmtId="0" fontId="6" fillId="67" borderId="0" applyNumberFormat="0" applyFont="0" applyBorder="0" applyAlignment="0" applyProtection="0"/>
    <xf numFmtId="0" fontId="6" fillId="67" borderId="0" applyNumberFormat="0" applyFont="0" applyBorder="0" applyAlignment="0" applyProtection="0"/>
    <xf numFmtId="0" fontId="6" fillId="67" borderId="0" applyNumberFormat="0" applyFont="0" applyBorder="0" applyAlignment="0" applyProtection="0"/>
    <xf numFmtId="0" fontId="74" fillId="0" borderId="0"/>
    <xf numFmtId="0" fontId="42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42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42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0" fontId="6" fillId="49" borderId="36" applyNumberFormat="0" applyFont="0" applyAlignment="0" applyProtection="0"/>
    <xf numFmtId="193" fontId="75" fillId="0" borderId="0">
      <alignment horizontal="right"/>
    </xf>
    <xf numFmtId="194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0" fontId="76" fillId="66" borderId="37" applyNumberFormat="0" applyAlignment="0" applyProtection="0"/>
    <xf numFmtId="0" fontId="76" fillId="9" borderId="37" applyNumberFormat="0" applyAlignment="0" applyProtection="0"/>
    <xf numFmtId="0" fontId="76" fillId="9" borderId="37" applyNumberFormat="0" applyAlignment="0" applyProtection="0"/>
    <xf numFmtId="0" fontId="76" fillId="9" borderId="37" applyNumberFormat="0" applyAlignment="0" applyProtection="0"/>
    <xf numFmtId="0" fontId="76" fillId="9" borderId="37" applyNumberFormat="0" applyAlignment="0" applyProtection="0"/>
    <xf numFmtId="0" fontId="76" fillId="9" borderId="37" applyNumberFormat="0" applyAlignment="0" applyProtection="0"/>
    <xf numFmtId="0" fontId="76" fillId="9" borderId="37" applyNumberFormat="0" applyAlignment="0" applyProtection="0"/>
    <xf numFmtId="0" fontId="76" fillId="9" borderId="37" applyNumberFormat="0" applyAlignment="0" applyProtection="0"/>
    <xf numFmtId="0" fontId="76" fillId="9" borderId="37" applyNumberFormat="0" applyAlignment="0" applyProtection="0"/>
    <xf numFmtId="0" fontId="76" fillId="9" borderId="37" applyNumberFormat="0" applyAlignment="0" applyProtection="0"/>
    <xf numFmtId="0" fontId="76" fillId="66" borderId="37" applyNumberFormat="0" applyAlignment="0" applyProtection="0"/>
    <xf numFmtId="0" fontId="76" fillId="9" borderId="37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80" fontId="77" fillId="0" borderId="0" applyFont="0" applyFill="0" applyBorder="0" applyAlignment="0" applyProtection="0"/>
    <xf numFmtId="195" fontId="77" fillId="0" borderId="0" applyFont="0" applyFill="0" applyBorder="0" applyAlignment="0" applyProtection="0"/>
    <xf numFmtId="196" fontId="77" fillId="0" borderId="0" applyFont="0" applyFill="0" applyBorder="0" applyAlignment="0" applyProtection="0"/>
    <xf numFmtId="0" fontId="54" fillId="0" borderId="0">
      <alignment vertical="top" wrapText="1"/>
    </xf>
    <xf numFmtId="0" fontId="6" fillId="0" borderId="0"/>
    <xf numFmtId="0" fontId="6" fillId="0" borderId="9" applyNumberFormat="0" applyFill="0" applyProtection="0">
      <alignment horizontal="right"/>
    </xf>
    <xf numFmtId="0" fontId="6" fillId="0" borderId="9" applyNumberFormat="0" applyFill="0" applyProtection="0">
      <alignment horizontal="right"/>
    </xf>
    <xf numFmtId="0" fontId="53" fillId="68" borderId="9" applyNumberFormat="0" applyProtection="0">
      <alignment horizontal="right"/>
    </xf>
    <xf numFmtId="0" fontId="78" fillId="68" borderId="0" applyNumberFormat="0" applyBorder="0" applyProtection="0">
      <alignment horizontal="left"/>
    </xf>
    <xf numFmtId="0" fontId="53" fillId="68" borderId="9" applyNumberFormat="0" applyProtection="0">
      <alignment horizontal="left"/>
    </xf>
    <xf numFmtId="0" fontId="6" fillId="0" borderId="9" applyNumberFormat="0" applyFill="0" applyProtection="0">
      <alignment horizontal="right"/>
    </xf>
    <xf numFmtId="0" fontId="6" fillId="0" borderId="9" applyNumberFormat="0" applyFill="0" applyProtection="0">
      <alignment horizontal="right"/>
    </xf>
    <xf numFmtId="0" fontId="79" fillId="61" borderId="0" applyNumberFormat="0" applyBorder="0" applyProtection="0">
      <alignment horizontal="left"/>
    </xf>
    <xf numFmtId="197" fontId="6" fillId="0" borderId="0" applyFill="0" applyBorder="0" applyAlignment="0" applyProtection="0">
      <alignment wrapText="1"/>
    </xf>
    <xf numFmtId="197" fontId="6" fillId="0" borderId="0" applyFill="0" applyBorder="0" applyAlignment="0" applyProtection="0">
      <alignment wrapText="1"/>
    </xf>
    <xf numFmtId="197" fontId="6" fillId="0" borderId="0" applyFill="0" applyBorder="0" applyAlignment="0" applyProtection="0">
      <alignment wrapText="1"/>
    </xf>
    <xf numFmtId="197" fontId="6" fillId="0" borderId="0" applyFill="0" applyBorder="0" applyAlignment="0" applyProtection="0">
      <alignment wrapText="1"/>
    </xf>
    <xf numFmtId="0" fontId="53" fillId="0" borderId="0" applyNumberFormat="0" applyFill="0" applyBorder="0">
      <alignment horizontal="center" wrapText="1"/>
    </xf>
    <xf numFmtId="0" fontId="53" fillId="0" borderId="0" applyNumberFormat="0" applyFill="0" applyBorder="0">
      <alignment horizontal="center" wrapText="1"/>
    </xf>
    <xf numFmtId="0" fontId="53" fillId="0" borderId="0" applyNumberFormat="0" applyFill="0" applyBorder="0">
      <alignment horizontal="center" wrapText="1"/>
    </xf>
    <xf numFmtId="0" fontId="53" fillId="0" borderId="0" applyNumberFormat="0" applyFill="0" applyBorder="0">
      <alignment horizontal="center" wrapText="1"/>
    </xf>
    <xf numFmtId="198" fontId="80" fillId="69" borderId="38">
      <alignment vertical="center"/>
    </xf>
    <xf numFmtId="179" fontId="81" fillId="69" borderId="38">
      <alignment vertical="center"/>
    </xf>
    <xf numFmtId="198" fontId="82" fillId="70" borderId="38">
      <alignment vertical="center"/>
    </xf>
    <xf numFmtId="0" fontId="6" fillId="71" borderId="39" applyBorder="0">
      <alignment horizontal="left" vertical="center"/>
    </xf>
    <xf numFmtId="0" fontId="6" fillId="71" borderId="39" applyBorder="0">
      <alignment horizontal="left" vertical="center"/>
    </xf>
    <xf numFmtId="49" fontId="6" fillId="72" borderId="9">
      <alignment vertical="center" wrapText="1"/>
    </xf>
    <xf numFmtId="49" fontId="6" fillId="72" borderId="9">
      <alignment vertical="center" wrapText="1"/>
    </xf>
    <xf numFmtId="0" fontId="6" fillId="73" borderId="40">
      <alignment horizontal="left" vertical="center" wrapText="1"/>
    </xf>
    <xf numFmtId="0" fontId="6" fillId="73" borderId="40">
      <alignment horizontal="left" vertical="center" wrapText="1"/>
    </xf>
    <xf numFmtId="0" fontId="83" fillId="74" borderId="9">
      <alignment horizontal="left" vertical="center" wrapText="1"/>
    </xf>
    <xf numFmtId="0" fontId="6" fillId="60" borderId="9">
      <alignment horizontal="left" vertical="center" wrapText="1"/>
    </xf>
    <xf numFmtId="0" fontId="6" fillId="60" borderId="9">
      <alignment horizontal="left" vertical="center" wrapText="1"/>
    </xf>
    <xf numFmtId="0" fontId="6" fillId="75" borderId="9">
      <alignment horizontal="left" vertical="center" wrapText="1"/>
    </xf>
    <xf numFmtId="0" fontId="6" fillId="75" borderId="9">
      <alignment horizontal="left" vertical="center" wrapText="1"/>
    </xf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41" applyNumberFormat="0" applyFill="0" applyAlignment="0" applyProtection="0"/>
    <xf numFmtId="0" fontId="86" fillId="0" borderId="42" applyNumberFormat="0" applyFill="0" applyAlignment="0" applyProtection="0"/>
    <xf numFmtId="0" fontId="86" fillId="0" borderId="42" applyNumberFormat="0" applyFill="0" applyAlignment="0" applyProtection="0"/>
    <xf numFmtId="0" fontId="86" fillId="0" borderId="42" applyNumberFormat="0" applyFill="0" applyAlignment="0" applyProtection="0"/>
    <xf numFmtId="0" fontId="86" fillId="0" borderId="42" applyNumberFormat="0" applyFill="0" applyAlignment="0" applyProtection="0"/>
    <xf numFmtId="0" fontId="86" fillId="0" borderId="42" applyNumberFormat="0" applyFill="0" applyAlignment="0" applyProtection="0"/>
    <xf numFmtId="0" fontId="86" fillId="0" borderId="42" applyNumberFormat="0" applyFill="0" applyAlignment="0" applyProtection="0"/>
    <xf numFmtId="0" fontId="86" fillId="0" borderId="42" applyNumberFormat="0" applyFill="0" applyAlignment="0" applyProtection="0"/>
    <xf numFmtId="0" fontId="86" fillId="0" borderId="42" applyNumberFormat="0" applyFill="0" applyAlignment="0" applyProtection="0"/>
    <xf numFmtId="0" fontId="86" fillId="0" borderId="42" applyNumberFormat="0" applyFill="0" applyAlignment="0" applyProtection="0"/>
    <xf numFmtId="0" fontId="86" fillId="0" borderId="41" applyNumberFormat="0" applyFill="0" applyAlignment="0" applyProtection="0"/>
    <xf numFmtId="0" fontId="86" fillId="0" borderId="42" applyNumberFormat="0" applyFill="0" applyAlignment="0" applyProtection="0"/>
    <xf numFmtId="199" fontId="77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4" fontId="50" fillId="0" borderId="0"/>
    <xf numFmtId="0" fontId="87" fillId="0" borderId="0" applyNumberFormat="0" applyFill="0" applyBorder="0" applyAlignment="0" applyProtection="0">
      <alignment vertical="center"/>
    </xf>
  </cellStyleXfs>
  <cellXfs count="123">
    <xf numFmtId="0" fontId="0" fillId="0" borderId="0" xfId="0"/>
    <xf numFmtId="1" fontId="0" fillId="0" borderId="0" xfId="0" applyNumberFormat="1"/>
    <xf numFmtId="0" fontId="1" fillId="0" borderId="1" xfId="14"/>
    <xf numFmtId="2" fontId="0" fillId="0" borderId="0" xfId="0" applyNumberFormat="1"/>
    <xf numFmtId="0" fontId="0" fillId="2" borderId="0" xfId="0" applyFill="1"/>
    <xf numFmtId="0" fontId="1" fillId="3" borderId="1" xfId="14" applyFill="1"/>
    <xf numFmtId="0" fontId="0" fillId="3" borderId="0" xfId="0" applyFill="1"/>
    <xf numFmtId="0" fontId="2" fillId="4" borderId="0" xfId="0" applyFont="1" applyFill="1"/>
    <xf numFmtId="0" fontId="3" fillId="0" borderId="0" xfId="1457"/>
    <xf numFmtId="0" fontId="4" fillId="0" borderId="2" xfId="1457" applyFont="1" applyBorder="1" applyAlignment="1">
      <alignment horizontal="center" vertical="center" wrapText="1"/>
    </xf>
    <xf numFmtId="0" fontId="4" fillId="0" borderId="3" xfId="1457" applyFont="1" applyBorder="1" applyAlignment="1">
      <alignment horizontal="center" vertical="center" wrapText="1"/>
    </xf>
    <xf numFmtId="0" fontId="4" fillId="0" borderId="4" xfId="1457" applyFont="1" applyBorder="1" applyAlignment="1">
      <alignment horizontal="center" vertical="center" wrapText="1"/>
    </xf>
    <xf numFmtId="0" fontId="3" fillId="0" borderId="5" xfId="1457" applyBorder="1"/>
    <xf numFmtId="0" fontId="3" fillId="0" borderId="6" xfId="1457" applyBorder="1"/>
    <xf numFmtId="0" fontId="3" fillId="0" borderId="7" xfId="1457" applyBorder="1"/>
    <xf numFmtId="0" fontId="3" fillId="0" borderId="8" xfId="1457" applyBorder="1"/>
    <xf numFmtId="200" fontId="5" fillId="0" borderId="9" xfId="806" applyNumberFormat="1" applyFont="1" applyFill="1" applyBorder="1" applyAlignment="1" applyProtection="1">
      <alignment horizontal="right" vertical="top" wrapText="1"/>
    </xf>
    <xf numFmtId="0" fontId="3" fillId="0" borderId="10" xfId="1457" applyBorder="1" applyAlignment="1">
      <alignment horizontal="center"/>
    </xf>
    <xf numFmtId="201" fontId="3" fillId="0" borderId="0" xfId="1457" applyNumberFormat="1"/>
    <xf numFmtId="3" fontId="3" fillId="0" borderId="9" xfId="753" applyNumberFormat="1" applyFont="1" applyFill="1" applyBorder="1" applyAlignment="1">
      <alignment horizontal="right" wrapText="1"/>
    </xf>
    <xf numFmtId="3" fontId="6" fillId="0" borderId="9" xfId="753" applyNumberFormat="1" applyFont="1" applyFill="1" applyBorder="1" applyAlignment="1">
      <alignment horizontal="right" wrapText="1"/>
    </xf>
    <xf numFmtId="0" fontId="3" fillId="0" borderId="0" xfId="1457" applyAlignment="1">
      <alignment horizontal="left" wrapText="1"/>
    </xf>
    <xf numFmtId="0" fontId="3" fillId="0" borderId="11" xfId="1457" applyBorder="1"/>
    <xf numFmtId="200" fontId="5" fillId="0" borderId="12" xfId="806" applyNumberFormat="1" applyFont="1" applyFill="1" applyBorder="1" applyAlignment="1" applyProtection="1">
      <alignment horizontal="right" vertical="top" wrapText="1"/>
    </xf>
    <xf numFmtId="0" fontId="3" fillId="0" borderId="13" xfId="1457" applyBorder="1" applyAlignment="1">
      <alignment horizontal="center"/>
    </xf>
    <xf numFmtId="0" fontId="3" fillId="0" borderId="14" xfId="1457" applyBorder="1"/>
    <xf numFmtId="0" fontId="7" fillId="0" borderId="0" xfId="1457" applyFont="1" applyAlignment="1">
      <alignment horizontal="left" wrapText="1"/>
    </xf>
    <xf numFmtId="0" fontId="3" fillId="0" borderId="0" xfId="1457" applyAlignment="1">
      <alignment horizontal="center" vertical="center"/>
    </xf>
    <xf numFmtId="0" fontId="3" fillId="0" borderId="0" xfId="1457" applyAlignment="1">
      <alignment wrapText="1"/>
    </xf>
    <xf numFmtId="0" fontId="7" fillId="0" borderId="0" xfId="1457" applyFont="1"/>
    <xf numFmtId="3" fontId="6" fillId="0" borderId="0" xfId="753" applyNumberFormat="1" applyFont="1" applyFill="1" applyBorder="1" applyAlignment="1">
      <alignment horizontal="right" wrapText="1"/>
    </xf>
    <xf numFmtId="0" fontId="3" fillId="0" borderId="0" xfId="1457" applyAlignment="1">
      <alignment horizontal="center"/>
    </xf>
    <xf numFmtId="0" fontId="7" fillId="0" borderId="0" xfId="1457" applyFont="1" applyAlignment="1">
      <alignment horizontal="left" vertical="top" wrapText="1"/>
    </xf>
    <xf numFmtId="0" fontId="3" fillId="0" borderId="0" xfId="1457" applyAlignment="1">
      <alignment horizontal="left" vertical="top"/>
    </xf>
    <xf numFmtId="0" fontId="6" fillId="0" borderId="0" xfId="1732"/>
    <xf numFmtId="0" fontId="6" fillId="0" borderId="0" xfId="1732" applyAlignment="1">
      <alignment horizontal="left"/>
    </xf>
    <xf numFmtId="2" fontId="3" fillId="0" borderId="0" xfId="1457" applyNumberFormat="1"/>
    <xf numFmtId="0" fontId="8" fillId="0" borderId="0" xfId="1457" applyFont="1"/>
    <xf numFmtId="0" fontId="9" fillId="0" borderId="0" xfId="1457" applyFont="1"/>
    <xf numFmtId="0" fontId="10" fillId="0" borderId="0" xfId="0" applyFont="1"/>
    <xf numFmtId="2" fontId="10" fillId="0" borderId="0" xfId="0" applyNumberFormat="1" applyFont="1"/>
    <xf numFmtId="1" fontId="10" fillId="0" borderId="0" xfId="0" applyNumberFormat="1" applyFont="1"/>
    <xf numFmtId="0" fontId="11" fillId="5" borderId="0" xfId="26" applyFont="1"/>
    <xf numFmtId="202" fontId="10" fillId="0" borderId="0" xfId="0" applyNumberFormat="1" applyFont="1"/>
    <xf numFmtId="0" fontId="12" fillId="0" borderId="15" xfId="20"/>
    <xf numFmtId="1" fontId="12" fillId="0" borderId="15" xfId="20" applyNumberFormat="1"/>
    <xf numFmtId="2" fontId="10" fillId="4" borderId="0" xfId="0" applyNumberFormat="1" applyFont="1" applyFill="1"/>
    <xf numFmtId="0" fontId="0" fillId="6" borderId="0" xfId="0" applyFill="1"/>
    <xf numFmtId="0" fontId="10" fillId="6" borderId="0" xfId="0" applyFont="1" applyFill="1"/>
    <xf numFmtId="9" fontId="0" fillId="6" borderId="0" xfId="0" applyNumberFormat="1" applyFill="1"/>
    <xf numFmtId="0" fontId="10" fillId="2" borderId="0" xfId="0" applyFont="1" applyFill="1"/>
    <xf numFmtId="2" fontId="10" fillId="6" borderId="0" xfId="0" applyNumberFormat="1" applyFont="1" applyFill="1"/>
    <xf numFmtId="0" fontId="13" fillId="0" borderId="0" xfId="0" applyFont="1"/>
    <xf numFmtId="16" fontId="0" fillId="0" borderId="0" xfId="0" applyNumberFormat="1"/>
    <xf numFmtId="0" fontId="11" fillId="7" borderId="0" xfId="0" applyFont="1" applyFill="1"/>
    <xf numFmtId="0" fontId="11" fillId="0" borderId="0" xfId="0" applyFont="1" applyAlignment="1">
      <alignment horizontal="right"/>
    </xf>
    <xf numFmtId="0" fontId="10" fillId="7" borderId="0" xfId="0" applyFont="1" applyFill="1"/>
    <xf numFmtId="0" fontId="14" fillId="8" borderId="0" xfId="0" applyFont="1" applyFill="1"/>
    <xf numFmtId="0" fontId="15" fillId="9" borderId="0" xfId="1732" applyFont="1" applyFill="1"/>
    <xf numFmtId="2" fontId="10" fillId="7" borderId="0" xfId="0" applyNumberFormat="1" applyFont="1" applyFill="1" applyAlignment="1">
      <alignment horizontal="right"/>
    </xf>
    <xf numFmtId="0" fontId="10" fillId="7" borderId="16" xfId="0" applyFont="1" applyFill="1" applyBorder="1"/>
    <xf numFmtId="2" fontId="16" fillId="7" borderId="16" xfId="18" applyNumberFormat="1" applyFont="1" applyFill="1" applyBorder="1" applyAlignment="1">
      <alignment horizontal="right"/>
    </xf>
    <xf numFmtId="0" fontId="15" fillId="9" borderId="16" xfId="1732" applyFont="1" applyFill="1" applyBorder="1"/>
    <xf numFmtId="2" fontId="17" fillId="7" borderId="16" xfId="18" applyNumberFormat="1" applyFont="1" applyFill="1" applyBorder="1" applyAlignment="1">
      <alignment horizontal="right"/>
    </xf>
    <xf numFmtId="0" fontId="10" fillId="10" borderId="0" xfId="0" applyFont="1" applyFill="1"/>
    <xf numFmtId="0" fontId="14" fillId="11" borderId="0" xfId="0" applyFont="1" applyFill="1"/>
    <xf numFmtId="0" fontId="18" fillId="11" borderId="0" xfId="0" applyFont="1" applyFill="1"/>
    <xf numFmtId="2" fontId="10" fillId="12" borderId="0" xfId="0" applyNumberFormat="1" applyFont="1" applyFill="1" applyAlignment="1">
      <alignment horizontal="right"/>
    </xf>
    <xf numFmtId="0" fontId="19" fillId="8" borderId="0" xfId="0" applyFont="1" applyFill="1"/>
    <xf numFmtId="2" fontId="16" fillId="7" borderId="0" xfId="18" applyNumberFormat="1" applyFont="1" applyFill="1" applyBorder="1" applyAlignment="1">
      <alignment horizontal="right"/>
    </xf>
    <xf numFmtId="2" fontId="16" fillId="10" borderId="0" xfId="18" applyNumberFormat="1" applyFont="1" applyFill="1" applyBorder="1" applyAlignment="1">
      <alignment horizontal="left"/>
    </xf>
    <xf numFmtId="2" fontId="16" fillId="7" borderId="0" xfId="18" applyNumberFormat="1" applyFont="1" applyFill="1" applyBorder="1"/>
    <xf numFmtId="0" fontId="14" fillId="8" borderId="16" xfId="0" applyFont="1" applyFill="1" applyBorder="1"/>
    <xf numFmtId="2" fontId="16" fillId="7" borderId="16" xfId="18" applyNumberFormat="1" applyFont="1" applyFill="1" applyBorder="1"/>
    <xf numFmtId="2" fontId="16" fillId="0" borderId="0" xfId="18" applyNumberFormat="1" applyFont="1" applyFill="1" applyBorder="1" applyAlignment="1">
      <alignment horizontal="right"/>
    </xf>
    <xf numFmtId="0" fontId="15" fillId="0" borderId="0" xfId="1732" applyFont="1"/>
    <xf numFmtId="11" fontId="0" fillId="0" borderId="0" xfId="0" applyNumberFormat="1"/>
    <xf numFmtId="0" fontId="0" fillId="0" borderId="0" xfId="0" applyAlignment="1">
      <alignment horizontal="left"/>
    </xf>
    <xf numFmtId="202" fontId="0" fillId="0" borderId="0" xfId="0" applyNumberFormat="1"/>
    <xf numFmtId="0" fontId="0" fillId="0" borderId="0" xfId="0" applyAlignment="1">
      <alignment horizontal="left" indent="1"/>
    </xf>
    <xf numFmtId="2" fontId="20" fillId="0" borderId="0" xfId="0" applyNumberFormat="1" applyFont="1"/>
    <xf numFmtId="2" fontId="20" fillId="0" borderId="17" xfId="0" applyNumberFormat="1" applyFont="1" applyBorder="1"/>
    <xf numFmtId="2" fontId="1" fillId="0" borderId="1" xfId="14" applyNumberFormat="1" applyFill="1"/>
    <xf numFmtId="2" fontId="20" fillId="0" borderId="17" xfId="0" applyNumberFormat="1" applyFont="1" applyBorder="1" applyAlignment="1">
      <alignment horizontal="left"/>
    </xf>
    <xf numFmtId="1" fontId="0" fillId="0" borderId="0" xfId="0" applyNumberFormat="1" applyAlignment="1">
      <alignment horizontal="left" indent="1"/>
    </xf>
    <xf numFmtId="0" fontId="20" fillId="0" borderId="0" xfId="0" applyFont="1" applyAlignment="1">
      <alignment horizontal="left" indent="1"/>
    </xf>
    <xf numFmtId="1" fontId="20" fillId="0" borderId="0" xfId="0" applyNumberFormat="1" applyFont="1"/>
    <xf numFmtId="0" fontId="20" fillId="0" borderId="17" xfId="0" applyFont="1" applyBorder="1" applyAlignment="1">
      <alignment horizontal="left"/>
    </xf>
    <xf numFmtId="1" fontId="20" fillId="0" borderId="17" xfId="0" applyNumberFormat="1" applyFont="1" applyBorder="1"/>
    <xf numFmtId="0" fontId="10" fillId="7" borderId="0" xfId="0" applyFont="1" applyFill="1" applyAlignment="1">
      <alignment horizontal="right"/>
    </xf>
    <xf numFmtId="0" fontId="0" fillId="13" borderId="0" xfId="0" applyFill="1"/>
    <xf numFmtId="0" fontId="21" fillId="14" borderId="0" xfId="23"/>
    <xf numFmtId="2" fontId="22" fillId="7" borderId="16" xfId="18" applyNumberFormat="1" applyFont="1" applyFill="1" applyBorder="1" applyAlignment="1">
      <alignment horizontal="right"/>
    </xf>
    <xf numFmtId="2" fontId="14" fillId="10" borderId="0" xfId="18" applyNumberFormat="1" applyFont="1" applyFill="1" applyBorder="1" applyAlignment="1">
      <alignment horizontal="left"/>
    </xf>
    <xf numFmtId="2" fontId="22" fillId="10" borderId="0" xfId="18" applyNumberFormat="1" applyFont="1" applyFill="1" applyBorder="1" applyAlignment="1">
      <alignment horizontal="left"/>
    </xf>
    <xf numFmtId="2" fontId="14" fillId="4" borderId="0" xfId="18" applyNumberFormat="1" applyFont="1" applyFill="1" applyBorder="1" applyAlignment="1">
      <alignment horizontal="left"/>
    </xf>
    <xf numFmtId="2" fontId="11" fillId="7" borderId="0" xfId="0" applyNumberFormat="1" applyFont="1" applyFill="1" applyAlignment="1">
      <alignment horizontal="right"/>
    </xf>
    <xf numFmtId="2" fontId="10" fillId="13" borderId="0" xfId="0" applyNumberFormat="1" applyFont="1" applyFill="1" applyAlignment="1">
      <alignment horizontal="right"/>
    </xf>
    <xf numFmtId="2" fontId="14" fillId="13" borderId="0" xfId="18" applyNumberFormat="1" applyFont="1" applyFill="1" applyBorder="1" applyAlignment="1">
      <alignment horizontal="left"/>
    </xf>
    <xf numFmtId="2" fontId="14" fillId="15" borderId="0" xfId="18" applyNumberFormat="1" applyFont="1" applyFill="1" applyBorder="1" applyAlignment="1">
      <alignment horizontal="left"/>
    </xf>
    <xf numFmtId="2" fontId="10" fillId="4" borderId="0" xfId="0" applyNumberFormat="1" applyFont="1" applyFill="1" applyAlignment="1">
      <alignment horizontal="right"/>
    </xf>
    <xf numFmtId="0" fontId="23" fillId="0" borderId="0" xfId="0" applyFont="1"/>
    <xf numFmtId="9" fontId="0" fillId="0" borderId="0" xfId="3" applyFont="1"/>
    <xf numFmtId="2" fontId="21" fillId="14" borderId="0" xfId="23" applyNumberFormat="1"/>
    <xf numFmtId="2" fontId="24" fillId="16" borderId="0" xfId="22" applyNumberFormat="1"/>
    <xf numFmtId="1" fontId="25" fillId="0" borderId="0" xfId="0" applyNumberFormat="1" applyFont="1" applyAlignment="1">
      <alignment horizontal="right"/>
    </xf>
    <xf numFmtId="0" fontId="20" fillId="0" borderId="0" xfId="0" applyFont="1"/>
    <xf numFmtId="2" fontId="26" fillId="16" borderId="0" xfId="22" applyNumberFormat="1" applyFont="1"/>
    <xf numFmtId="0" fontId="27" fillId="17" borderId="18" xfId="16"/>
    <xf numFmtId="1" fontId="24" fillId="16" borderId="0" xfId="22" applyNumberFormat="1"/>
    <xf numFmtId="202" fontId="20" fillId="4" borderId="0" xfId="0" applyNumberFormat="1" applyFont="1" applyFill="1"/>
    <xf numFmtId="0" fontId="0" fillId="4" borderId="0" xfId="0" applyFill="1"/>
    <xf numFmtId="1" fontId="0" fillId="4" borderId="0" xfId="0" applyNumberFormat="1" applyFill="1"/>
    <xf numFmtId="9" fontId="0" fillId="4" borderId="0" xfId="3" applyFont="1" applyFill="1"/>
    <xf numFmtId="202" fontId="0" fillId="4" borderId="0" xfId="0" applyNumberFormat="1" applyFill="1"/>
    <xf numFmtId="2" fontId="0" fillId="4" borderId="0" xfId="0" applyNumberFormat="1" applyFill="1"/>
    <xf numFmtId="2" fontId="27" fillId="17" borderId="18" xfId="16" applyNumberFormat="1"/>
    <xf numFmtId="0" fontId="1" fillId="7" borderId="1" xfId="14" applyFill="1"/>
    <xf numFmtId="203" fontId="24" fillId="16" borderId="0" xfId="22" applyNumberFormat="1"/>
    <xf numFmtId="0" fontId="24" fillId="16" borderId="0" xfId="22"/>
    <xf numFmtId="0" fontId="0" fillId="0" borderId="0" xfId="0" applyAlignment="1">
      <alignment horizontal="right"/>
    </xf>
    <xf numFmtId="0" fontId="28" fillId="18" borderId="0" xfId="24"/>
    <xf numFmtId="2" fontId="0" fillId="13" borderId="0" xfId="3" applyNumberFormat="1" applyFont="1" applyFill="1"/>
    <xf numFmtId="16" fontId="0" fillId="0" borderId="0" xfId="0" applyNumberFormat="1" quotePrefix="1"/>
  </cellXfs>
  <cellStyles count="343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2" xfId="49"/>
    <cellStyle name="20% - Accent1 2 10" xfId="50"/>
    <cellStyle name="20% - Accent1 2 11" xfId="51"/>
    <cellStyle name="20% - Accent1 2 12" xfId="52"/>
    <cellStyle name="20% - Accent1 2 13" xfId="53"/>
    <cellStyle name="20% - Accent1 2 14" xfId="54"/>
    <cellStyle name="20% - Accent1 2 15" xfId="55"/>
    <cellStyle name="20% - Accent1 2 2" xfId="56"/>
    <cellStyle name="20% - Accent1 2 3" xfId="57"/>
    <cellStyle name="20% - Accent1 2 4" xfId="58"/>
    <cellStyle name="20% - Accent1 2 5" xfId="59"/>
    <cellStyle name="20% - Accent1 2 6" xfId="60"/>
    <cellStyle name="20% - Accent1 2 7" xfId="61"/>
    <cellStyle name="20% - Accent1 2 8" xfId="62"/>
    <cellStyle name="20% - Accent1 2 9" xfId="63"/>
    <cellStyle name="20% - Accent1 3" xfId="64"/>
    <cellStyle name="20% - Accent1 3 2" xfId="65"/>
    <cellStyle name="20% - Accent1 4" xfId="66"/>
    <cellStyle name="20% - Accent1 5" xfId="67"/>
    <cellStyle name="20% - Accent1 6" xfId="68"/>
    <cellStyle name="20% - Accent1 7" xfId="69"/>
    <cellStyle name="20% - Accent1 8" xfId="70"/>
    <cellStyle name="20% - Accent2 2" xfId="71"/>
    <cellStyle name="20% - Accent2 2 10" xfId="72"/>
    <cellStyle name="20% - Accent2 2 11" xfId="73"/>
    <cellStyle name="20% - Accent2 2 12" xfId="74"/>
    <cellStyle name="20% - Accent2 2 13" xfId="75"/>
    <cellStyle name="20% - Accent2 2 14" xfId="76"/>
    <cellStyle name="20% - Accent2 2 15" xfId="77"/>
    <cellStyle name="20% - Accent2 2 2" xfId="78"/>
    <cellStyle name="20% - Accent2 2 3" xfId="79"/>
    <cellStyle name="20% - Accent2 2 4" xfId="80"/>
    <cellStyle name="20% - Accent2 2 5" xfId="81"/>
    <cellStyle name="20% - Accent2 2 6" xfId="82"/>
    <cellStyle name="20% - Accent2 2 7" xfId="83"/>
    <cellStyle name="20% - Accent2 2 8" xfId="84"/>
    <cellStyle name="20% - Accent2 2 9" xfId="85"/>
    <cellStyle name="20% - Accent2 3" xfId="86"/>
    <cellStyle name="20% - Accent2 3 2" xfId="87"/>
    <cellStyle name="20% - Accent2 4" xfId="88"/>
    <cellStyle name="20% - Accent2 5" xfId="89"/>
    <cellStyle name="20% - Accent2 6" xfId="90"/>
    <cellStyle name="20% - Accent2 7" xfId="91"/>
    <cellStyle name="20% - Accent2 8" xfId="92"/>
    <cellStyle name="20% - Accent3 2" xfId="93"/>
    <cellStyle name="20% - Accent3 2 10" xfId="94"/>
    <cellStyle name="20% - Accent3 2 11" xfId="95"/>
    <cellStyle name="20% - Accent3 2 12" xfId="96"/>
    <cellStyle name="20% - Accent3 2 13" xfId="97"/>
    <cellStyle name="20% - Accent3 2 14" xfId="98"/>
    <cellStyle name="20% - Accent3 2 15" xfId="99"/>
    <cellStyle name="20% - Accent3 2 2" xfId="100"/>
    <cellStyle name="20% - Accent3 2 3" xfId="101"/>
    <cellStyle name="20% - Accent3 2 4" xfId="102"/>
    <cellStyle name="20% - Accent3 2 5" xfId="103"/>
    <cellStyle name="20% - Accent3 2 6" xfId="104"/>
    <cellStyle name="20% - Accent3 2 7" xfId="105"/>
    <cellStyle name="20% - Accent3 2 8" xfId="106"/>
    <cellStyle name="20% - Accent3 2 9" xfId="107"/>
    <cellStyle name="20% - Accent3 3" xfId="108"/>
    <cellStyle name="20% - Accent3 3 2" xfId="109"/>
    <cellStyle name="20% - Accent3 4" xfId="110"/>
    <cellStyle name="20% - Accent3 5" xfId="111"/>
    <cellStyle name="20% - Accent3 6" xfId="112"/>
    <cellStyle name="20% - Accent3 7" xfId="113"/>
    <cellStyle name="20% - Accent3 8" xfId="114"/>
    <cellStyle name="20% - Accent4 2" xfId="115"/>
    <cellStyle name="20% - Accent4 2 10" xfId="116"/>
    <cellStyle name="20% - Accent4 2 11" xfId="117"/>
    <cellStyle name="20% - Accent4 2 12" xfId="118"/>
    <cellStyle name="20% - Accent4 2 13" xfId="119"/>
    <cellStyle name="20% - Accent4 2 14" xfId="120"/>
    <cellStyle name="20% - Accent4 2 15" xfId="121"/>
    <cellStyle name="20% - Accent4 2 2" xfId="122"/>
    <cellStyle name="20% - Accent4 2 3" xfId="123"/>
    <cellStyle name="20% - Accent4 2 4" xfId="124"/>
    <cellStyle name="20% - Accent4 2 5" xfId="125"/>
    <cellStyle name="20% - Accent4 2 6" xfId="126"/>
    <cellStyle name="20% - Accent4 2 7" xfId="127"/>
    <cellStyle name="20% - Accent4 2 8" xfId="128"/>
    <cellStyle name="20% - Accent4 2 9" xfId="129"/>
    <cellStyle name="20% - Accent4 3" xfId="130"/>
    <cellStyle name="20% - Accent4 3 2" xfId="131"/>
    <cellStyle name="20% - Accent4 4" xfId="132"/>
    <cellStyle name="20% - Accent4 5" xfId="133"/>
    <cellStyle name="20% - Accent4 6" xfId="134"/>
    <cellStyle name="20% - Accent4 7" xfId="135"/>
    <cellStyle name="20% - Accent4 8" xfId="136"/>
    <cellStyle name="20% - Accent5 2" xfId="137"/>
    <cellStyle name="20% - Accent5 2 10" xfId="138"/>
    <cellStyle name="20% - Accent5 2 11" xfId="139"/>
    <cellStyle name="20% - Accent5 2 12" xfId="140"/>
    <cellStyle name="20% - Accent5 2 13" xfId="141"/>
    <cellStyle name="20% - Accent5 2 14" xfId="142"/>
    <cellStyle name="20% - Accent5 2 15" xfId="143"/>
    <cellStyle name="20% - Accent5 2 2" xfId="144"/>
    <cellStyle name="20% - Accent5 2 3" xfId="145"/>
    <cellStyle name="20% - Accent5 2 4" xfId="146"/>
    <cellStyle name="20% - Accent5 2 5" xfId="147"/>
    <cellStyle name="20% - Accent5 2 6" xfId="148"/>
    <cellStyle name="20% - Accent5 2 7" xfId="149"/>
    <cellStyle name="20% - Accent5 2 8" xfId="150"/>
    <cellStyle name="20% - Accent5 2 9" xfId="151"/>
    <cellStyle name="20% - Accent5 3" xfId="152"/>
    <cellStyle name="20% - Accent5 4" xfId="153"/>
    <cellStyle name="20% - Accent5 5" xfId="154"/>
    <cellStyle name="20% - Accent5 6" xfId="155"/>
    <cellStyle name="20% - Accent5 7" xfId="156"/>
    <cellStyle name="20% - Accent5 8" xfId="157"/>
    <cellStyle name="20% - Accent6 2" xfId="158"/>
    <cellStyle name="20% - Accent6 2 10" xfId="159"/>
    <cellStyle name="20% - Accent6 2 11" xfId="160"/>
    <cellStyle name="20% - Accent6 2 12" xfId="161"/>
    <cellStyle name="20% - Accent6 2 13" xfId="162"/>
    <cellStyle name="20% - Accent6 2 14" xfId="163"/>
    <cellStyle name="20% - Accent6 2 15" xfId="164"/>
    <cellStyle name="20% - Accent6 2 2" xfId="165"/>
    <cellStyle name="20% - Accent6 2 3" xfId="166"/>
    <cellStyle name="20% - Accent6 2 4" xfId="167"/>
    <cellStyle name="20% - Accent6 2 5" xfId="168"/>
    <cellStyle name="20% - Accent6 2 6" xfId="169"/>
    <cellStyle name="20% - Accent6 2 7" xfId="170"/>
    <cellStyle name="20% - Accent6 2 8" xfId="171"/>
    <cellStyle name="20% - Accent6 2 9" xfId="172"/>
    <cellStyle name="20% - Accent6 3" xfId="173"/>
    <cellStyle name="20% - Accent6 3 2" xfId="174"/>
    <cellStyle name="20% - Accent6 4" xfId="175"/>
    <cellStyle name="20% - Accent6 5" xfId="176"/>
    <cellStyle name="20% - Accent6 6" xfId="177"/>
    <cellStyle name="20% - Accent6 7" xfId="178"/>
    <cellStyle name="20% - Accent6 8" xfId="179"/>
    <cellStyle name="40% - Accent1 2" xfId="180"/>
    <cellStyle name="40% - Accent1 2 10" xfId="181"/>
    <cellStyle name="40% - Accent1 2 11" xfId="182"/>
    <cellStyle name="40% - Accent1 2 12" xfId="183"/>
    <cellStyle name="40% - Accent1 2 13" xfId="184"/>
    <cellStyle name="40% - Accent1 2 14" xfId="185"/>
    <cellStyle name="40% - Accent1 2 15" xfId="186"/>
    <cellStyle name="40% - Accent1 2 2" xfId="187"/>
    <cellStyle name="40% - Accent1 2 3" xfId="188"/>
    <cellStyle name="40% - Accent1 2 4" xfId="189"/>
    <cellStyle name="40% - Accent1 2 5" xfId="190"/>
    <cellStyle name="40% - Accent1 2 6" xfId="191"/>
    <cellStyle name="40% - Accent1 2 7" xfId="192"/>
    <cellStyle name="40% - Accent1 2 8" xfId="193"/>
    <cellStyle name="40% - Accent1 2 9" xfId="194"/>
    <cellStyle name="40% - Accent1 3" xfId="195"/>
    <cellStyle name="40% - Accent1 3 2" xfId="196"/>
    <cellStyle name="40% - Accent1 4" xfId="197"/>
    <cellStyle name="40% - Accent1 5" xfId="198"/>
    <cellStyle name="40% - Accent1 6" xfId="199"/>
    <cellStyle name="40% - Accent1 7" xfId="200"/>
    <cellStyle name="40% - Accent1 8" xfId="201"/>
    <cellStyle name="40% - Accent2 2" xfId="202"/>
    <cellStyle name="40% - Accent2 2 10" xfId="203"/>
    <cellStyle name="40% - Accent2 2 11" xfId="204"/>
    <cellStyle name="40% - Accent2 2 12" xfId="205"/>
    <cellStyle name="40% - Accent2 2 13" xfId="206"/>
    <cellStyle name="40% - Accent2 2 14" xfId="207"/>
    <cellStyle name="40% - Accent2 2 15" xfId="208"/>
    <cellStyle name="40% - Accent2 2 2" xfId="209"/>
    <cellStyle name="40% - Accent2 2 3" xfId="210"/>
    <cellStyle name="40% - Accent2 2 4" xfId="211"/>
    <cellStyle name="40% - Accent2 2 5" xfId="212"/>
    <cellStyle name="40% - Accent2 2 6" xfId="213"/>
    <cellStyle name="40% - Accent2 2 7" xfId="214"/>
    <cellStyle name="40% - Accent2 2 8" xfId="215"/>
    <cellStyle name="40% - Accent2 2 9" xfId="216"/>
    <cellStyle name="40% - Accent2 3" xfId="217"/>
    <cellStyle name="40% - Accent2 4" xfId="218"/>
    <cellStyle name="40% - Accent2 5" xfId="219"/>
    <cellStyle name="40% - Accent2 6" xfId="220"/>
    <cellStyle name="40% - Accent2 7" xfId="221"/>
    <cellStyle name="40% - Accent2 8" xfId="222"/>
    <cellStyle name="40% - Accent3 2" xfId="223"/>
    <cellStyle name="40% - Accent3 2 10" xfId="224"/>
    <cellStyle name="40% - Accent3 2 11" xfId="225"/>
    <cellStyle name="40% - Accent3 2 12" xfId="226"/>
    <cellStyle name="40% - Accent3 2 13" xfId="227"/>
    <cellStyle name="40% - Accent3 2 14" xfId="228"/>
    <cellStyle name="40% - Accent3 2 15" xfId="229"/>
    <cellStyle name="40% - Accent3 2 2" xfId="230"/>
    <cellStyle name="40% - Accent3 2 3" xfId="231"/>
    <cellStyle name="40% - Accent3 2 4" xfId="232"/>
    <cellStyle name="40% - Accent3 2 5" xfId="233"/>
    <cellStyle name="40% - Accent3 2 6" xfId="234"/>
    <cellStyle name="40% - Accent3 2 7" xfId="235"/>
    <cellStyle name="40% - Accent3 2 8" xfId="236"/>
    <cellStyle name="40% - Accent3 2 9" xfId="237"/>
    <cellStyle name="40% - Accent3 3" xfId="238"/>
    <cellStyle name="40% - Accent3 3 2" xfId="239"/>
    <cellStyle name="40% - Accent3 4" xfId="240"/>
    <cellStyle name="40% - Accent3 5" xfId="241"/>
    <cellStyle name="40% - Accent3 6" xfId="242"/>
    <cellStyle name="40% - Accent3 7" xfId="243"/>
    <cellStyle name="40% - Accent3 8" xfId="244"/>
    <cellStyle name="40% - Accent4 2" xfId="245"/>
    <cellStyle name="40% - Accent4 2 10" xfId="246"/>
    <cellStyle name="40% - Accent4 2 11" xfId="247"/>
    <cellStyle name="40% - Accent4 2 12" xfId="248"/>
    <cellStyle name="40% - Accent4 2 13" xfId="249"/>
    <cellStyle name="40% - Accent4 2 14" xfId="250"/>
    <cellStyle name="40% - Accent4 2 15" xfId="251"/>
    <cellStyle name="40% - Accent4 2 2" xfId="252"/>
    <cellStyle name="40% - Accent4 2 3" xfId="253"/>
    <cellStyle name="40% - Accent4 2 4" xfId="254"/>
    <cellStyle name="40% - Accent4 2 5" xfId="255"/>
    <cellStyle name="40% - Accent4 2 6" xfId="256"/>
    <cellStyle name="40% - Accent4 2 7" xfId="257"/>
    <cellStyle name="40% - Accent4 2 8" xfId="258"/>
    <cellStyle name="40% - Accent4 2 9" xfId="259"/>
    <cellStyle name="40% - Accent4 3" xfId="260"/>
    <cellStyle name="40% - Accent4 3 2" xfId="261"/>
    <cellStyle name="40% - Accent4 4" xfId="262"/>
    <cellStyle name="40% - Accent4 5" xfId="263"/>
    <cellStyle name="40% - Accent4 6" xfId="264"/>
    <cellStyle name="40% - Accent4 7" xfId="265"/>
    <cellStyle name="40% - Accent4 8" xfId="266"/>
    <cellStyle name="40% - Accent5 2" xfId="267"/>
    <cellStyle name="40% - Accent5 2 10" xfId="268"/>
    <cellStyle name="40% - Accent5 2 11" xfId="269"/>
    <cellStyle name="40% - Accent5 2 12" xfId="270"/>
    <cellStyle name="40% - Accent5 2 13" xfId="271"/>
    <cellStyle name="40% - Accent5 2 14" xfId="272"/>
    <cellStyle name="40% - Accent5 2 15" xfId="273"/>
    <cellStyle name="40% - Accent5 2 2" xfId="274"/>
    <cellStyle name="40% - Accent5 2 3" xfId="275"/>
    <cellStyle name="40% - Accent5 2 4" xfId="276"/>
    <cellStyle name="40% - Accent5 2 5" xfId="277"/>
    <cellStyle name="40% - Accent5 2 6" xfId="278"/>
    <cellStyle name="40% - Accent5 2 7" xfId="279"/>
    <cellStyle name="40% - Accent5 2 8" xfId="280"/>
    <cellStyle name="40% - Accent5 2 9" xfId="281"/>
    <cellStyle name="40% - Accent5 3" xfId="282"/>
    <cellStyle name="40% - Accent5 3 2" xfId="283"/>
    <cellStyle name="40% - Accent5 4" xfId="284"/>
    <cellStyle name="40% - Accent5 5" xfId="285"/>
    <cellStyle name="40% - Accent5 6" xfId="286"/>
    <cellStyle name="40% - Accent5 7" xfId="287"/>
    <cellStyle name="40% - Accent5 8" xfId="288"/>
    <cellStyle name="40% - Accent6 2" xfId="289"/>
    <cellStyle name="40% - Accent6 2 10" xfId="290"/>
    <cellStyle name="40% - Accent6 2 11" xfId="291"/>
    <cellStyle name="40% - Accent6 2 12" xfId="292"/>
    <cellStyle name="40% - Accent6 2 13" xfId="293"/>
    <cellStyle name="40% - Accent6 2 14" xfId="294"/>
    <cellStyle name="40% - Accent6 2 15" xfId="295"/>
    <cellStyle name="40% - Accent6 2 2" xfId="296"/>
    <cellStyle name="40% - Accent6 2 3" xfId="297"/>
    <cellStyle name="40% - Accent6 2 4" xfId="298"/>
    <cellStyle name="40% - Accent6 2 5" xfId="299"/>
    <cellStyle name="40% - Accent6 2 6" xfId="300"/>
    <cellStyle name="40% - Accent6 2 7" xfId="301"/>
    <cellStyle name="40% - Accent6 2 8" xfId="302"/>
    <cellStyle name="40% - Accent6 2 9" xfId="303"/>
    <cellStyle name="40% - Accent6 3" xfId="304"/>
    <cellStyle name="40% - Accent6 3 2" xfId="305"/>
    <cellStyle name="40% - Accent6 4" xfId="306"/>
    <cellStyle name="40% - Accent6 5" xfId="307"/>
    <cellStyle name="40% - Accent6 6" xfId="308"/>
    <cellStyle name="40% - Accent6 7" xfId="309"/>
    <cellStyle name="40% - Accent6 8" xfId="310"/>
    <cellStyle name="5x indented GHG Textfiels" xfId="311"/>
    <cellStyle name="5x indented GHG Textfiels 2" xfId="312"/>
    <cellStyle name="5x indented GHG Textfiels 2 2" xfId="313"/>
    <cellStyle name="5x indented GHG Textfiels 3" xfId="314"/>
    <cellStyle name="60% - Accent1 2" xfId="315"/>
    <cellStyle name="60% - Accent1 2 10" xfId="316"/>
    <cellStyle name="60% - Accent1 2 2" xfId="317"/>
    <cellStyle name="60% - Accent1 2 3" xfId="318"/>
    <cellStyle name="60% - Accent1 2 4" xfId="319"/>
    <cellStyle name="60% - Accent1 2 5" xfId="320"/>
    <cellStyle name="60% - Accent1 2 6" xfId="321"/>
    <cellStyle name="60% - Accent1 2 7" xfId="322"/>
    <cellStyle name="60% - Accent1 2 8" xfId="323"/>
    <cellStyle name="60% - Accent1 2 9" xfId="324"/>
    <cellStyle name="60% - Accent1 3" xfId="325"/>
    <cellStyle name="60% - Accent1 3 2" xfId="326"/>
    <cellStyle name="60% - Accent2 2" xfId="327"/>
    <cellStyle name="60% - Accent2 2 10" xfId="328"/>
    <cellStyle name="60% - Accent2 2 2" xfId="329"/>
    <cellStyle name="60% - Accent2 2 3" xfId="330"/>
    <cellStyle name="60% - Accent2 2 4" xfId="331"/>
    <cellStyle name="60% - Accent2 2 5" xfId="332"/>
    <cellStyle name="60% - Accent2 2 6" xfId="333"/>
    <cellStyle name="60% - Accent2 2 7" xfId="334"/>
    <cellStyle name="60% - Accent2 2 8" xfId="335"/>
    <cellStyle name="60% - Accent2 2 9" xfId="336"/>
    <cellStyle name="60% - Accent2 3" xfId="337"/>
    <cellStyle name="60% - Accent2 3 2" xfId="338"/>
    <cellStyle name="60% - Accent3 2" xfId="339"/>
    <cellStyle name="60% - Accent3 2 10" xfId="340"/>
    <cellStyle name="60% - Accent3 2 2" xfId="341"/>
    <cellStyle name="60% - Accent3 2 3" xfId="342"/>
    <cellStyle name="60% - Accent3 2 4" xfId="343"/>
    <cellStyle name="60% - Accent3 2 5" xfId="344"/>
    <cellStyle name="60% - Accent3 2 6" xfId="345"/>
    <cellStyle name="60% - Accent3 2 7" xfId="346"/>
    <cellStyle name="60% - Accent3 2 8" xfId="347"/>
    <cellStyle name="60% - Accent3 2 9" xfId="348"/>
    <cellStyle name="60% - Accent3 3" xfId="349"/>
    <cellStyle name="60% - Accent3 3 2" xfId="350"/>
    <cellStyle name="60% - Accent4 2" xfId="351"/>
    <cellStyle name="60% - Accent4 2 10" xfId="352"/>
    <cellStyle name="60% - Accent4 2 2" xfId="353"/>
    <cellStyle name="60% - Accent4 2 3" xfId="354"/>
    <cellStyle name="60% - Accent4 2 4" xfId="355"/>
    <cellStyle name="60% - Accent4 2 5" xfId="356"/>
    <cellStyle name="60% - Accent4 2 6" xfId="357"/>
    <cellStyle name="60% - Accent4 2 7" xfId="358"/>
    <cellStyle name="60% - Accent4 2 8" xfId="359"/>
    <cellStyle name="60% - Accent4 2 9" xfId="360"/>
    <cellStyle name="60% - Accent4 3" xfId="361"/>
    <cellStyle name="60% - Accent4 3 2" xfId="362"/>
    <cellStyle name="60% - Accent5 2" xfId="363"/>
    <cellStyle name="60% - Accent5 2 10" xfId="364"/>
    <cellStyle name="60% - Accent5 2 2" xfId="365"/>
    <cellStyle name="60% - Accent5 2 3" xfId="366"/>
    <cellStyle name="60% - Accent5 2 4" xfId="367"/>
    <cellStyle name="60% - Accent5 2 5" xfId="368"/>
    <cellStyle name="60% - Accent5 2 6" xfId="369"/>
    <cellStyle name="60% - Accent5 2 7" xfId="370"/>
    <cellStyle name="60% - Accent5 2 8" xfId="371"/>
    <cellStyle name="60% - Accent5 2 9" xfId="372"/>
    <cellStyle name="60% - Accent5 3" xfId="373"/>
    <cellStyle name="60% - Accent5 3 2" xfId="374"/>
    <cellStyle name="60% - Accent6 2" xfId="375"/>
    <cellStyle name="60% - Accent6 2 10" xfId="376"/>
    <cellStyle name="60% - Accent6 2 2" xfId="377"/>
    <cellStyle name="60% - Accent6 2 3" xfId="378"/>
    <cellStyle name="60% - Accent6 2 4" xfId="379"/>
    <cellStyle name="60% - Accent6 2 5" xfId="380"/>
    <cellStyle name="60% - Accent6 2 6" xfId="381"/>
    <cellStyle name="60% - Accent6 2 7" xfId="382"/>
    <cellStyle name="60% - Accent6 2 8" xfId="383"/>
    <cellStyle name="60% - Accent6 2 9" xfId="384"/>
    <cellStyle name="60% - Accent6 3" xfId="385"/>
    <cellStyle name="60% - Accent6 3 2" xfId="386"/>
    <cellStyle name="Accent1 2" xfId="387"/>
    <cellStyle name="Accent1 2 10" xfId="388"/>
    <cellStyle name="Accent1 2 2" xfId="389"/>
    <cellStyle name="Accent1 2 3" xfId="390"/>
    <cellStyle name="Accent1 2 4" xfId="391"/>
    <cellStyle name="Accent1 2 5" xfId="392"/>
    <cellStyle name="Accent1 2 6" xfId="393"/>
    <cellStyle name="Accent1 2 7" xfId="394"/>
    <cellStyle name="Accent1 2 8" xfId="395"/>
    <cellStyle name="Accent1 2 9" xfId="396"/>
    <cellStyle name="Accent1 3" xfId="397"/>
    <cellStyle name="Accent1 3 2" xfId="398"/>
    <cellStyle name="Accent2 2" xfId="399"/>
    <cellStyle name="Accent2 2 10" xfId="400"/>
    <cellStyle name="Accent2 2 2" xfId="401"/>
    <cellStyle name="Accent2 2 3" xfId="402"/>
    <cellStyle name="Accent2 2 4" xfId="403"/>
    <cellStyle name="Accent2 2 5" xfId="404"/>
    <cellStyle name="Accent2 2 6" xfId="405"/>
    <cellStyle name="Accent2 2 7" xfId="406"/>
    <cellStyle name="Accent2 2 8" xfId="407"/>
    <cellStyle name="Accent2 2 9" xfId="408"/>
    <cellStyle name="Accent2 3" xfId="409"/>
    <cellStyle name="Accent2 3 2" xfId="410"/>
    <cellStyle name="Accent3 2" xfId="411"/>
    <cellStyle name="Accent3 2 10" xfId="412"/>
    <cellStyle name="Accent3 2 2" xfId="413"/>
    <cellStyle name="Accent3 2 3" xfId="414"/>
    <cellStyle name="Accent3 2 4" xfId="415"/>
    <cellStyle name="Accent3 2 5" xfId="416"/>
    <cellStyle name="Accent3 2 6" xfId="417"/>
    <cellStyle name="Accent3 2 7" xfId="418"/>
    <cellStyle name="Accent3 2 8" xfId="419"/>
    <cellStyle name="Accent3 2 9" xfId="420"/>
    <cellStyle name="Accent3 3" xfId="421"/>
    <cellStyle name="Accent3 3 2" xfId="422"/>
    <cellStyle name="Accent4 2" xfId="423"/>
    <cellStyle name="Accent4 2 10" xfId="424"/>
    <cellStyle name="Accent4 2 2" xfId="425"/>
    <cellStyle name="Accent4 2 3" xfId="426"/>
    <cellStyle name="Accent4 2 4" xfId="427"/>
    <cellStyle name="Accent4 2 5" xfId="428"/>
    <cellStyle name="Accent4 2 6" xfId="429"/>
    <cellStyle name="Accent4 2 7" xfId="430"/>
    <cellStyle name="Accent4 2 8" xfId="431"/>
    <cellStyle name="Accent4 2 9" xfId="432"/>
    <cellStyle name="Accent4 3" xfId="433"/>
    <cellStyle name="Accent4 3 2" xfId="434"/>
    <cellStyle name="Accent5 2" xfId="435"/>
    <cellStyle name="Accent5 2 10" xfId="436"/>
    <cellStyle name="Accent5 2 2" xfId="437"/>
    <cellStyle name="Accent5 2 3" xfId="438"/>
    <cellStyle name="Accent5 2 4" xfId="439"/>
    <cellStyle name="Accent5 2 5" xfId="440"/>
    <cellStyle name="Accent5 2 6" xfId="441"/>
    <cellStyle name="Accent5 2 7" xfId="442"/>
    <cellStyle name="Accent5 2 8" xfId="443"/>
    <cellStyle name="Accent5 2 9" xfId="444"/>
    <cellStyle name="Accent5 3" xfId="445"/>
    <cellStyle name="Accent6 2" xfId="446"/>
    <cellStyle name="Accent6 2 10" xfId="447"/>
    <cellStyle name="Accent6 2 2" xfId="448"/>
    <cellStyle name="Accent6 2 3" xfId="449"/>
    <cellStyle name="Accent6 2 4" xfId="450"/>
    <cellStyle name="Accent6 2 5" xfId="451"/>
    <cellStyle name="Accent6 2 6" xfId="452"/>
    <cellStyle name="Accent6 2 7" xfId="453"/>
    <cellStyle name="Accent6 2 8" xfId="454"/>
    <cellStyle name="Accent6 2 9" xfId="455"/>
    <cellStyle name="Accent6 3" xfId="456"/>
    <cellStyle name="Accent6 3 2" xfId="457"/>
    <cellStyle name="AggOrange_CRFReport-template" xfId="458"/>
    <cellStyle name="AggOrange9_CRFReport-template" xfId="459"/>
    <cellStyle name="Bad 2" xfId="460"/>
    <cellStyle name="Bad 2 10" xfId="461"/>
    <cellStyle name="Bad 2 2" xfId="462"/>
    <cellStyle name="Bad 2 3" xfId="463"/>
    <cellStyle name="Bad 2 4" xfId="464"/>
    <cellStyle name="Bad 2 5" xfId="465"/>
    <cellStyle name="Bad 2 6" xfId="466"/>
    <cellStyle name="Bad 2 7" xfId="467"/>
    <cellStyle name="Bad 2 8" xfId="468"/>
    <cellStyle name="Bad 2 9" xfId="469"/>
    <cellStyle name="Bad 3" xfId="470"/>
    <cellStyle name="Bad 3 2" xfId="471"/>
    <cellStyle name="Calculation 2" xfId="472"/>
    <cellStyle name="Calculation 2 10" xfId="473"/>
    <cellStyle name="Calculation 2 2" xfId="474"/>
    <cellStyle name="Calculation 2 3" xfId="475"/>
    <cellStyle name="Calculation 2 4" xfId="476"/>
    <cellStyle name="Calculation 2 5" xfId="477"/>
    <cellStyle name="Calculation 2 6" xfId="478"/>
    <cellStyle name="Calculation 2 7" xfId="479"/>
    <cellStyle name="Calculation 2 8" xfId="480"/>
    <cellStyle name="Calculation 2 9" xfId="481"/>
    <cellStyle name="Calculation 3" xfId="482"/>
    <cellStyle name="Calculation 3 2" xfId="483"/>
    <cellStyle name="Check Cell 2" xfId="484"/>
    <cellStyle name="Check Cell 2 10" xfId="485"/>
    <cellStyle name="Check Cell 2 2" xfId="486"/>
    <cellStyle name="Check Cell 2 3" xfId="487"/>
    <cellStyle name="Check Cell 2 4" xfId="488"/>
    <cellStyle name="Check Cell 2 5" xfId="489"/>
    <cellStyle name="Check Cell 2 6" xfId="490"/>
    <cellStyle name="Check Cell 2 7" xfId="491"/>
    <cellStyle name="Check Cell 2 8" xfId="492"/>
    <cellStyle name="Check Cell 2 9" xfId="493"/>
    <cellStyle name="Check Cell 3" xfId="494"/>
    <cellStyle name="coin" xfId="495"/>
    <cellStyle name="coin 2" xfId="496"/>
    <cellStyle name="Comma [0] 2 10" xfId="497"/>
    <cellStyle name="Comma [0] 2 10 2" xfId="498"/>
    <cellStyle name="Comma [0] 2 2" xfId="499"/>
    <cellStyle name="Comma [0] 2 2 2" xfId="500"/>
    <cellStyle name="Comma [0] 2 3" xfId="501"/>
    <cellStyle name="Comma [0] 2 3 2" xfId="502"/>
    <cellStyle name="Comma [0] 2 4" xfId="503"/>
    <cellStyle name="Comma [0] 2 4 2" xfId="504"/>
    <cellStyle name="Comma [0] 2 5" xfId="505"/>
    <cellStyle name="Comma [0] 2 5 2" xfId="506"/>
    <cellStyle name="Comma [0] 2 6" xfId="507"/>
    <cellStyle name="Comma [0] 2 6 2" xfId="508"/>
    <cellStyle name="Comma [0] 2 7" xfId="509"/>
    <cellStyle name="Comma [0] 2 7 2" xfId="510"/>
    <cellStyle name="Comma [0] 2 8" xfId="511"/>
    <cellStyle name="Comma [0] 2 8 2" xfId="512"/>
    <cellStyle name="Comma [0] 2 9" xfId="513"/>
    <cellStyle name="Comma [0] 2 9 2" xfId="514"/>
    <cellStyle name="Comma 10 2" xfId="515"/>
    <cellStyle name="Comma 10 2 10" xfId="516"/>
    <cellStyle name="Comma 10 2 10 2" xfId="517"/>
    <cellStyle name="Comma 10 2 11" xfId="518"/>
    <cellStyle name="Comma 10 2 11 2" xfId="519"/>
    <cellStyle name="Comma 10 2 12" xfId="520"/>
    <cellStyle name="Comma 10 2 12 2" xfId="521"/>
    <cellStyle name="Comma 10 2 13" xfId="522"/>
    <cellStyle name="Comma 10 2 13 2" xfId="523"/>
    <cellStyle name="Comma 10 2 14" xfId="524"/>
    <cellStyle name="Comma 10 2 14 2" xfId="525"/>
    <cellStyle name="Comma 10 2 15" xfId="526"/>
    <cellStyle name="Comma 10 2 15 2" xfId="527"/>
    <cellStyle name="Comma 10 2 16" xfId="528"/>
    <cellStyle name="Comma 10 2 16 2" xfId="529"/>
    <cellStyle name="Comma 10 2 17" xfId="530"/>
    <cellStyle name="Comma 10 2 17 2" xfId="531"/>
    <cellStyle name="Comma 10 2 18" xfId="532"/>
    <cellStyle name="Comma 10 2 2" xfId="533"/>
    <cellStyle name="Comma 10 2 2 2" xfId="534"/>
    <cellStyle name="Comma 10 2 3" xfId="535"/>
    <cellStyle name="Comma 10 2 3 2" xfId="536"/>
    <cellStyle name="Comma 10 2 4" xfId="537"/>
    <cellStyle name="Comma 10 2 4 2" xfId="538"/>
    <cellStyle name="Comma 10 2 5" xfId="539"/>
    <cellStyle name="Comma 10 2 5 2" xfId="540"/>
    <cellStyle name="Comma 10 2 6" xfId="541"/>
    <cellStyle name="Comma 10 2 6 2" xfId="542"/>
    <cellStyle name="Comma 10 2 7" xfId="543"/>
    <cellStyle name="Comma 10 2 7 2" xfId="544"/>
    <cellStyle name="Comma 10 2 8" xfId="545"/>
    <cellStyle name="Comma 10 2 8 2" xfId="546"/>
    <cellStyle name="Comma 10 2 9" xfId="547"/>
    <cellStyle name="Comma 10 2 9 2" xfId="548"/>
    <cellStyle name="Comma 10 3" xfId="549"/>
    <cellStyle name="Comma 10 3 10" xfId="550"/>
    <cellStyle name="Comma 10 3 10 2" xfId="551"/>
    <cellStyle name="Comma 10 3 11" xfId="552"/>
    <cellStyle name="Comma 10 3 11 2" xfId="553"/>
    <cellStyle name="Comma 10 3 12" xfId="554"/>
    <cellStyle name="Comma 10 3 12 2" xfId="555"/>
    <cellStyle name="Comma 10 3 13" xfId="556"/>
    <cellStyle name="Comma 10 3 13 2" xfId="557"/>
    <cellStyle name="Comma 10 3 14" xfId="558"/>
    <cellStyle name="Comma 10 3 14 2" xfId="559"/>
    <cellStyle name="Comma 10 3 15" xfId="560"/>
    <cellStyle name="Comma 10 3 15 2" xfId="561"/>
    <cellStyle name="Comma 10 3 16" xfId="562"/>
    <cellStyle name="Comma 10 3 16 2" xfId="563"/>
    <cellStyle name="Comma 10 3 17" xfId="564"/>
    <cellStyle name="Comma 10 3 17 2" xfId="565"/>
    <cellStyle name="Comma 10 3 18" xfId="566"/>
    <cellStyle name="Comma 10 3 2" xfId="567"/>
    <cellStyle name="Comma 10 3 2 2" xfId="568"/>
    <cellStyle name="Comma 10 3 3" xfId="569"/>
    <cellStyle name="Comma 10 3 3 2" xfId="570"/>
    <cellStyle name="Comma 10 3 4" xfId="571"/>
    <cellStyle name="Comma 10 3 4 2" xfId="572"/>
    <cellStyle name="Comma 10 3 5" xfId="573"/>
    <cellStyle name="Comma 10 3 5 2" xfId="574"/>
    <cellStyle name="Comma 10 3 6" xfId="575"/>
    <cellStyle name="Comma 10 3 6 2" xfId="576"/>
    <cellStyle name="Comma 10 3 7" xfId="577"/>
    <cellStyle name="Comma 10 3 7 2" xfId="578"/>
    <cellStyle name="Comma 10 3 8" xfId="579"/>
    <cellStyle name="Comma 10 3 8 2" xfId="580"/>
    <cellStyle name="Comma 10 3 9" xfId="581"/>
    <cellStyle name="Comma 10 3 9 2" xfId="582"/>
    <cellStyle name="Comma 10 4" xfId="583"/>
    <cellStyle name="Comma 10 4 10" xfId="584"/>
    <cellStyle name="Comma 10 4 10 2" xfId="585"/>
    <cellStyle name="Comma 10 4 11" xfId="586"/>
    <cellStyle name="Comma 10 4 11 2" xfId="587"/>
    <cellStyle name="Comma 10 4 12" xfId="588"/>
    <cellStyle name="Comma 10 4 12 2" xfId="589"/>
    <cellStyle name="Comma 10 4 13" xfId="590"/>
    <cellStyle name="Comma 10 4 13 2" xfId="591"/>
    <cellStyle name="Comma 10 4 14" xfId="592"/>
    <cellStyle name="Comma 10 4 14 2" xfId="593"/>
    <cellStyle name="Comma 10 4 15" xfId="594"/>
    <cellStyle name="Comma 10 4 15 2" xfId="595"/>
    <cellStyle name="Comma 10 4 16" xfId="596"/>
    <cellStyle name="Comma 10 4 16 2" xfId="597"/>
    <cellStyle name="Comma 10 4 17" xfId="598"/>
    <cellStyle name="Comma 10 4 17 2" xfId="599"/>
    <cellStyle name="Comma 10 4 18" xfId="600"/>
    <cellStyle name="Comma 10 4 2" xfId="601"/>
    <cellStyle name="Comma 10 4 2 2" xfId="602"/>
    <cellStyle name="Comma 10 4 3" xfId="603"/>
    <cellStyle name="Comma 10 4 3 2" xfId="604"/>
    <cellStyle name="Comma 10 4 4" xfId="605"/>
    <cellStyle name="Comma 10 4 4 2" xfId="606"/>
    <cellStyle name="Comma 10 4 5" xfId="607"/>
    <cellStyle name="Comma 10 4 5 2" xfId="608"/>
    <cellStyle name="Comma 10 4 6" xfId="609"/>
    <cellStyle name="Comma 10 4 6 2" xfId="610"/>
    <cellStyle name="Comma 10 4 7" xfId="611"/>
    <cellStyle name="Comma 10 4 7 2" xfId="612"/>
    <cellStyle name="Comma 10 4 8" xfId="613"/>
    <cellStyle name="Comma 10 4 8 2" xfId="614"/>
    <cellStyle name="Comma 10 4 9" xfId="615"/>
    <cellStyle name="Comma 10 4 9 2" xfId="616"/>
    <cellStyle name="Comma 10 5" xfId="617"/>
    <cellStyle name="Comma 10 5 10" xfId="618"/>
    <cellStyle name="Comma 10 5 10 2" xfId="619"/>
    <cellStyle name="Comma 10 5 11" xfId="620"/>
    <cellStyle name="Comma 10 5 11 2" xfId="621"/>
    <cellStyle name="Comma 10 5 12" xfId="622"/>
    <cellStyle name="Comma 10 5 12 2" xfId="623"/>
    <cellStyle name="Comma 10 5 13" xfId="624"/>
    <cellStyle name="Comma 10 5 13 2" xfId="625"/>
    <cellStyle name="Comma 10 5 14" xfId="626"/>
    <cellStyle name="Comma 10 5 14 2" xfId="627"/>
    <cellStyle name="Comma 10 5 15" xfId="628"/>
    <cellStyle name="Comma 10 5 15 2" xfId="629"/>
    <cellStyle name="Comma 10 5 16" xfId="630"/>
    <cellStyle name="Comma 10 5 16 2" xfId="631"/>
    <cellStyle name="Comma 10 5 17" xfId="632"/>
    <cellStyle name="Comma 10 5 17 2" xfId="633"/>
    <cellStyle name="Comma 10 5 18" xfId="634"/>
    <cellStyle name="Comma 10 5 2" xfId="635"/>
    <cellStyle name="Comma 10 5 2 2" xfId="636"/>
    <cellStyle name="Comma 10 5 3" xfId="637"/>
    <cellStyle name="Comma 10 5 3 2" xfId="638"/>
    <cellStyle name="Comma 10 5 4" xfId="639"/>
    <cellStyle name="Comma 10 5 4 2" xfId="640"/>
    <cellStyle name="Comma 10 5 5" xfId="641"/>
    <cellStyle name="Comma 10 5 5 2" xfId="642"/>
    <cellStyle name="Comma 10 5 6" xfId="643"/>
    <cellStyle name="Comma 10 5 6 2" xfId="644"/>
    <cellStyle name="Comma 10 5 7" xfId="645"/>
    <cellStyle name="Comma 10 5 7 2" xfId="646"/>
    <cellStyle name="Comma 10 5 8" xfId="647"/>
    <cellStyle name="Comma 10 5 8 2" xfId="648"/>
    <cellStyle name="Comma 10 5 9" xfId="649"/>
    <cellStyle name="Comma 10 5 9 2" xfId="650"/>
    <cellStyle name="Comma 10 6" xfId="651"/>
    <cellStyle name="Comma 10 6 10" xfId="652"/>
    <cellStyle name="Comma 10 6 10 2" xfId="653"/>
    <cellStyle name="Comma 10 6 11" xfId="654"/>
    <cellStyle name="Comma 10 6 11 2" xfId="655"/>
    <cellStyle name="Comma 10 6 12" xfId="656"/>
    <cellStyle name="Comma 10 6 12 2" xfId="657"/>
    <cellStyle name="Comma 10 6 13" xfId="658"/>
    <cellStyle name="Comma 10 6 13 2" xfId="659"/>
    <cellStyle name="Comma 10 6 14" xfId="660"/>
    <cellStyle name="Comma 10 6 14 2" xfId="661"/>
    <cellStyle name="Comma 10 6 15" xfId="662"/>
    <cellStyle name="Comma 10 6 15 2" xfId="663"/>
    <cellStyle name="Comma 10 6 16" xfId="664"/>
    <cellStyle name="Comma 10 6 16 2" xfId="665"/>
    <cellStyle name="Comma 10 6 17" xfId="666"/>
    <cellStyle name="Comma 10 6 17 2" xfId="667"/>
    <cellStyle name="Comma 10 6 18" xfId="668"/>
    <cellStyle name="Comma 10 6 2" xfId="669"/>
    <cellStyle name="Comma 10 6 2 2" xfId="670"/>
    <cellStyle name="Comma 10 6 3" xfId="671"/>
    <cellStyle name="Comma 10 6 3 2" xfId="672"/>
    <cellStyle name="Comma 10 6 4" xfId="673"/>
    <cellStyle name="Comma 10 6 4 2" xfId="674"/>
    <cellStyle name="Comma 10 6 5" xfId="675"/>
    <cellStyle name="Comma 10 6 5 2" xfId="676"/>
    <cellStyle name="Comma 10 6 6" xfId="677"/>
    <cellStyle name="Comma 10 6 6 2" xfId="678"/>
    <cellStyle name="Comma 10 6 7" xfId="679"/>
    <cellStyle name="Comma 10 6 7 2" xfId="680"/>
    <cellStyle name="Comma 10 6 8" xfId="681"/>
    <cellStyle name="Comma 10 6 8 2" xfId="682"/>
    <cellStyle name="Comma 10 6 9" xfId="683"/>
    <cellStyle name="Comma 10 6 9 2" xfId="684"/>
    <cellStyle name="Comma 10 7" xfId="685"/>
    <cellStyle name="Comma 10 7 10" xfId="686"/>
    <cellStyle name="Comma 10 7 10 2" xfId="687"/>
    <cellStyle name="Comma 10 7 11" xfId="688"/>
    <cellStyle name="Comma 10 7 11 2" xfId="689"/>
    <cellStyle name="Comma 10 7 12" xfId="690"/>
    <cellStyle name="Comma 10 7 12 2" xfId="691"/>
    <cellStyle name="Comma 10 7 13" xfId="692"/>
    <cellStyle name="Comma 10 7 13 2" xfId="693"/>
    <cellStyle name="Comma 10 7 14" xfId="694"/>
    <cellStyle name="Comma 10 7 14 2" xfId="695"/>
    <cellStyle name="Comma 10 7 15" xfId="696"/>
    <cellStyle name="Comma 10 7 15 2" xfId="697"/>
    <cellStyle name="Comma 10 7 16" xfId="698"/>
    <cellStyle name="Comma 10 7 16 2" xfId="699"/>
    <cellStyle name="Comma 10 7 17" xfId="700"/>
    <cellStyle name="Comma 10 7 17 2" xfId="701"/>
    <cellStyle name="Comma 10 7 18" xfId="702"/>
    <cellStyle name="Comma 10 7 2" xfId="703"/>
    <cellStyle name="Comma 10 7 2 2" xfId="704"/>
    <cellStyle name="Comma 10 7 3" xfId="705"/>
    <cellStyle name="Comma 10 7 3 2" xfId="706"/>
    <cellStyle name="Comma 10 7 4" xfId="707"/>
    <cellStyle name="Comma 10 7 4 2" xfId="708"/>
    <cellStyle name="Comma 10 7 5" xfId="709"/>
    <cellStyle name="Comma 10 7 5 2" xfId="710"/>
    <cellStyle name="Comma 10 7 6" xfId="711"/>
    <cellStyle name="Comma 10 7 6 2" xfId="712"/>
    <cellStyle name="Comma 10 7 7" xfId="713"/>
    <cellStyle name="Comma 10 7 7 2" xfId="714"/>
    <cellStyle name="Comma 10 7 8" xfId="715"/>
    <cellStyle name="Comma 10 7 8 2" xfId="716"/>
    <cellStyle name="Comma 10 7 9" xfId="717"/>
    <cellStyle name="Comma 10 7 9 2" xfId="718"/>
    <cellStyle name="Comma 10 8" xfId="719"/>
    <cellStyle name="Comma 10 8 10" xfId="720"/>
    <cellStyle name="Comma 10 8 10 2" xfId="721"/>
    <cellStyle name="Comma 10 8 11" xfId="722"/>
    <cellStyle name="Comma 10 8 11 2" xfId="723"/>
    <cellStyle name="Comma 10 8 12" xfId="724"/>
    <cellStyle name="Comma 10 8 12 2" xfId="725"/>
    <cellStyle name="Comma 10 8 13" xfId="726"/>
    <cellStyle name="Comma 10 8 13 2" xfId="727"/>
    <cellStyle name="Comma 10 8 14" xfId="728"/>
    <cellStyle name="Comma 10 8 14 2" xfId="729"/>
    <cellStyle name="Comma 10 8 15" xfId="730"/>
    <cellStyle name="Comma 10 8 15 2" xfId="731"/>
    <cellStyle name="Comma 10 8 16" xfId="732"/>
    <cellStyle name="Comma 10 8 16 2" xfId="733"/>
    <cellStyle name="Comma 10 8 17" xfId="734"/>
    <cellStyle name="Comma 10 8 17 2" xfId="735"/>
    <cellStyle name="Comma 10 8 18" xfId="736"/>
    <cellStyle name="Comma 10 8 2" xfId="737"/>
    <cellStyle name="Comma 10 8 2 2" xfId="738"/>
    <cellStyle name="Comma 10 8 3" xfId="739"/>
    <cellStyle name="Comma 10 8 3 2" xfId="740"/>
    <cellStyle name="Comma 10 8 4" xfId="741"/>
    <cellStyle name="Comma 10 8 4 2" xfId="742"/>
    <cellStyle name="Comma 10 8 5" xfId="743"/>
    <cellStyle name="Comma 10 8 5 2" xfId="744"/>
    <cellStyle name="Comma 10 8 6" xfId="745"/>
    <cellStyle name="Comma 10 8 6 2" xfId="746"/>
    <cellStyle name="Comma 10 8 7" xfId="747"/>
    <cellStyle name="Comma 10 8 7 2" xfId="748"/>
    <cellStyle name="Comma 10 8 8" xfId="749"/>
    <cellStyle name="Comma 10 8 8 2" xfId="750"/>
    <cellStyle name="Comma 10 8 9" xfId="751"/>
    <cellStyle name="Comma 10 8 9 2" xfId="752"/>
    <cellStyle name="Comma 2" xfId="753"/>
    <cellStyle name="Comma 2 10" xfId="754"/>
    <cellStyle name="Comma 2 10 2" xfId="755"/>
    <cellStyle name="Comma 2 11" xfId="756"/>
    <cellStyle name="Comma 2 11 2" xfId="757"/>
    <cellStyle name="Comma 2 12" xfId="758"/>
    <cellStyle name="Comma 2 12 2" xfId="759"/>
    <cellStyle name="Comma 2 13" xfId="760"/>
    <cellStyle name="Comma 2 13 2" xfId="761"/>
    <cellStyle name="Comma 2 14" xfId="762"/>
    <cellStyle name="Comma 2 14 2" xfId="763"/>
    <cellStyle name="Comma 2 15" xfId="764"/>
    <cellStyle name="Comma 2 15 2" xfId="765"/>
    <cellStyle name="Comma 2 16" xfId="766"/>
    <cellStyle name="Comma 2 16 2" xfId="767"/>
    <cellStyle name="Comma 2 17" xfId="768"/>
    <cellStyle name="Comma 2 17 2" xfId="769"/>
    <cellStyle name="Comma 2 17 3" xfId="770"/>
    <cellStyle name="Comma 2 18" xfId="771"/>
    <cellStyle name="Comma 2 19" xfId="772"/>
    <cellStyle name="Comma 2 2" xfId="773"/>
    <cellStyle name="Comma 2 2 2" xfId="774"/>
    <cellStyle name="Comma 2 2 3" xfId="775"/>
    <cellStyle name="Comma 2 3" xfId="776"/>
    <cellStyle name="Comma 2 3 2" xfId="777"/>
    <cellStyle name="Comma 2 4" xfId="778"/>
    <cellStyle name="Comma 2 4 2" xfId="779"/>
    <cellStyle name="Comma 2 5" xfId="780"/>
    <cellStyle name="Comma 2 5 2" xfId="781"/>
    <cellStyle name="Comma 2 6" xfId="782"/>
    <cellStyle name="Comma 2 6 2" xfId="783"/>
    <cellStyle name="Comma 2 7" xfId="784"/>
    <cellStyle name="Comma 2 7 2" xfId="785"/>
    <cellStyle name="Comma 2 8" xfId="786"/>
    <cellStyle name="Comma 2 8 2" xfId="787"/>
    <cellStyle name="Comma 2 9" xfId="788"/>
    <cellStyle name="Comma 2 9 2" xfId="789"/>
    <cellStyle name="Comma 3" xfId="790"/>
    <cellStyle name="Comma 3 2" xfId="791"/>
    <cellStyle name="Comma 3 2 2" xfId="792"/>
    <cellStyle name="Comma 3 3" xfId="793"/>
    <cellStyle name="Comma 3 3 2" xfId="794"/>
    <cellStyle name="Comma 3 4" xfId="795"/>
    <cellStyle name="Comma 3 4 2" xfId="796"/>
    <cellStyle name="Comma 3 5" xfId="797"/>
    <cellStyle name="Comma 3 5 2" xfId="798"/>
    <cellStyle name="Comma 3 6" xfId="799"/>
    <cellStyle name="Comma 3 6 2" xfId="800"/>
    <cellStyle name="Comma 3 7" xfId="801"/>
    <cellStyle name="Comma 3 7 2" xfId="802"/>
    <cellStyle name="Comma 3 8" xfId="803"/>
    <cellStyle name="Comma 3 8 2" xfId="804"/>
    <cellStyle name="Comma 3 9" xfId="805"/>
    <cellStyle name="Comma 4" xfId="806"/>
    <cellStyle name="Comma 4 10" xfId="807"/>
    <cellStyle name="Comma 4 2" xfId="808"/>
    <cellStyle name="Comma 4 2 2" xfId="809"/>
    <cellStyle name="Comma 4 3" xfId="810"/>
    <cellStyle name="Comma 4 3 2" xfId="811"/>
    <cellStyle name="Comma 4 4" xfId="812"/>
    <cellStyle name="Comma 4 4 2" xfId="813"/>
    <cellStyle name="Comma 4 5" xfId="814"/>
    <cellStyle name="Comma 4 5 2" xfId="815"/>
    <cellStyle name="Comma 4 6" xfId="816"/>
    <cellStyle name="Comma 4 6 2" xfId="817"/>
    <cellStyle name="Comma 4 7" xfId="818"/>
    <cellStyle name="Comma 4 7 2" xfId="819"/>
    <cellStyle name="Comma 4 8" xfId="820"/>
    <cellStyle name="Comma 4 8 2" xfId="821"/>
    <cellStyle name="Comma 4 9" xfId="822"/>
    <cellStyle name="Comma 5" xfId="823"/>
    <cellStyle name="Comma 5 2" xfId="824"/>
    <cellStyle name="Comma 5 2 2" xfId="825"/>
    <cellStyle name="Comma 5 3" xfId="826"/>
    <cellStyle name="Comma 5 3 2" xfId="827"/>
    <cellStyle name="Comma 5 4" xfId="828"/>
    <cellStyle name="Comma 5 4 2" xfId="829"/>
    <cellStyle name="Comma 5 5" xfId="830"/>
    <cellStyle name="Comma 5 5 2" xfId="831"/>
    <cellStyle name="Comma 5 6" xfId="832"/>
    <cellStyle name="Comma 5 6 2" xfId="833"/>
    <cellStyle name="Comma 5 7" xfId="834"/>
    <cellStyle name="Comma 5 7 2" xfId="835"/>
    <cellStyle name="Comma 5 8" xfId="836"/>
    <cellStyle name="Comma 5 8 2" xfId="837"/>
    <cellStyle name="Comma 5 9" xfId="838"/>
    <cellStyle name="Comma 6" xfId="839"/>
    <cellStyle name="Comma 6 2" xfId="840"/>
    <cellStyle name="Comma 6 2 2" xfId="841"/>
    <cellStyle name="Comma 6 3" xfId="842"/>
    <cellStyle name="Comma 6 3 2" xfId="843"/>
    <cellStyle name="Comma 6 4" xfId="844"/>
    <cellStyle name="Comma 6 4 2" xfId="845"/>
    <cellStyle name="Comma 6 5" xfId="846"/>
    <cellStyle name="Comma 6 5 2" xfId="847"/>
    <cellStyle name="Comma 6 6" xfId="848"/>
    <cellStyle name="Comma 6 6 2" xfId="849"/>
    <cellStyle name="Comma 6 7" xfId="850"/>
    <cellStyle name="Comma 6 7 2" xfId="851"/>
    <cellStyle name="Comma 6 8" xfId="852"/>
    <cellStyle name="Comma 6 8 2" xfId="853"/>
    <cellStyle name="Comma 6 9" xfId="854"/>
    <cellStyle name="Comma 7" xfId="855"/>
    <cellStyle name="Comma 7 10" xfId="856"/>
    <cellStyle name="Comma 7 10 2" xfId="857"/>
    <cellStyle name="Comma 7 11" xfId="858"/>
    <cellStyle name="Comma 7 11 2" xfId="859"/>
    <cellStyle name="Comma 7 11 2 2" xfId="860"/>
    <cellStyle name="Comma 7 11 2 3" xfId="861"/>
    <cellStyle name="Comma 7 12" xfId="862"/>
    <cellStyle name="Comma 7 12 2" xfId="863"/>
    <cellStyle name="Comma 7 13" xfId="864"/>
    <cellStyle name="Comma 7 13 2" xfId="865"/>
    <cellStyle name="Comma 7 14" xfId="866"/>
    <cellStyle name="Comma 7 14 2" xfId="867"/>
    <cellStyle name="Comma 7 15" xfId="868"/>
    <cellStyle name="Comma 7 15 2" xfId="869"/>
    <cellStyle name="Comma 7 16" xfId="870"/>
    <cellStyle name="Comma 7 16 2" xfId="871"/>
    <cellStyle name="Comma 7 16 2 2" xfId="872"/>
    <cellStyle name="Comma 7 16 2 3" xfId="873"/>
    <cellStyle name="Comma 7 17" xfId="874"/>
    <cellStyle name="Comma 7 17 2" xfId="875"/>
    <cellStyle name="Comma 7 17 2 2" xfId="876"/>
    <cellStyle name="Comma 7 17 2 3" xfId="877"/>
    <cellStyle name="Comma 7 18" xfId="878"/>
    <cellStyle name="Comma 7 18 2" xfId="879"/>
    <cellStyle name="Comma 7 18 2 2" xfId="880"/>
    <cellStyle name="Comma 7 18 2 3" xfId="881"/>
    <cellStyle name="Comma 7 19" xfId="882"/>
    <cellStyle name="Comma 7 19 2" xfId="883"/>
    <cellStyle name="Comma 7 19 2 2" xfId="884"/>
    <cellStyle name="Comma 7 19 2 3" xfId="885"/>
    <cellStyle name="Comma 7 2" xfId="886"/>
    <cellStyle name="Comma 7 2 2" xfId="887"/>
    <cellStyle name="Comma 7 20" xfId="888"/>
    <cellStyle name="Comma 7 20 2" xfId="889"/>
    <cellStyle name="Comma 7 20 2 2" xfId="890"/>
    <cellStyle name="Comma 7 20 2 3" xfId="891"/>
    <cellStyle name="Comma 7 21" xfId="892"/>
    <cellStyle name="Comma 7 21 2" xfId="893"/>
    <cellStyle name="Comma 7 21 2 2" xfId="894"/>
    <cellStyle name="Comma 7 21 2 3" xfId="895"/>
    <cellStyle name="Comma 7 3" xfId="896"/>
    <cellStyle name="Comma 7 3 10" xfId="897"/>
    <cellStyle name="Comma 7 3 10 2" xfId="898"/>
    <cellStyle name="Comma 7 3 11" xfId="899"/>
    <cellStyle name="Comma 7 3 11 2" xfId="900"/>
    <cellStyle name="Comma 7 3 12" xfId="901"/>
    <cellStyle name="Comma 7 3 12 2" xfId="902"/>
    <cellStyle name="Comma 7 3 13" xfId="903"/>
    <cellStyle name="Comma 7 3 13 2" xfId="904"/>
    <cellStyle name="Comma 7 3 14" xfId="905"/>
    <cellStyle name="Comma 7 3 14 2" xfId="906"/>
    <cellStyle name="Comma 7 3 15" xfId="907"/>
    <cellStyle name="Comma 7 3 15 2" xfId="908"/>
    <cellStyle name="Comma 7 3 16" xfId="909"/>
    <cellStyle name="Comma 7 3 16 2" xfId="910"/>
    <cellStyle name="Comma 7 3 16 3" xfId="911"/>
    <cellStyle name="Comma 7 3 2" xfId="912"/>
    <cellStyle name="Comma 7 3 2 2" xfId="913"/>
    <cellStyle name="Comma 7 3 3" xfId="914"/>
    <cellStyle name="Comma 7 3 3 2" xfId="915"/>
    <cellStyle name="Comma 7 3 4" xfId="916"/>
    <cellStyle name="Comma 7 3 4 2" xfId="917"/>
    <cellStyle name="Comma 7 3 5" xfId="918"/>
    <cellStyle name="Comma 7 3 5 2" xfId="919"/>
    <cellStyle name="Comma 7 3 6" xfId="920"/>
    <cellStyle name="Comma 7 3 6 2" xfId="921"/>
    <cellStyle name="Comma 7 3 7" xfId="922"/>
    <cellStyle name="Comma 7 3 7 2" xfId="923"/>
    <cellStyle name="Comma 7 3 8" xfId="924"/>
    <cellStyle name="Comma 7 3 8 2" xfId="925"/>
    <cellStyle name="Comma 7 3 9" xfId="926"/>
    <cellStyle name="Comma 7 3 9 2" xfId="927"/>
    <cellStyle name="Comma 7 4" xfId="928"/>
    <cellStyle name="Comma 7 4 2" xfId="929"/>
    <cellStyle name="Comma 7 5" xfId="930"/>
    <cellStyle name="Comma 7 5 2" xfId="931"/>
    <cellStyle name="Comma 7 6" xfId="932"/>
    <cellStyle name="Comma 7 6 2" xfId="933"/>
    <cellStyle name="Comma 7 7" xfId="934"/>
    <cellStyle name="Comma 7 7 2" xfId="935"/>
    <cellStyle name="Comma 7 8" xfId="936"/>
    <cellStyle name="Comma 7 8 2" xfId="937"/>
    <cellStyle name="Comma 7 9" xfId="938"/>
    <cellStyle name="Comma 7 9 2" xfId="939"/>
    <cellStyle name="Comma 8" xfId="940"/>
    <cellStyle name="Comma 8 2" xfId="941"/>
    <cellStyle name="Comma 8 2 2" xfId="942"/>
    <cellStyle name="Comma 8 2 2 2" xfId="943"/>
    <cellStyle name="Comma 8 2 2 3" xfId="944"/>
    <cellStyle name="Comma 8 3" xfId="945"/>
    <cellStyle name="Comma 8 3 2" xfId="946"/>
    <cellStyle name="Comma 8 3 2 2" xfId="947"/>
    <cellStyle name="Comma 8 3 2 3" xfId="948"/>
    <cellStyle name="Comma 8 4" xfId="949"/>
    <cellStyle name="Comma 8 4 2" xfId="950"/>
    <cellStyle name="Comma 8 4 2 2" xfId="951"/>
    <cellStyle name="Comma 8 4 2 3" xfId="952"/>
    <cellStyle name="Comma 8 5" xfId="953"/>
    <cellStyle name="Comma 8 5 2" xfId="954"/>
    <cellStyle name="Comma 8 5 2 2" xfId="955"/>
    <cellStyle name="Comma 8 5 2 3" xfId="956"/>
    <cellStyle name="Comma 8 6" xfId="957"/>
    <cellStyle name="Comma 8 6 2" xfId="958"/>
    <cellStyle name="Comma 8 6 2 2" xfId="959"/>
    <cellStyle name="Comma 8 6 2 3" xfId="960"/>
    <cellStyle name="Comma 8 7" xfId="961"/>
    <cellStyle name="Comma 8 7 2" xfId="962"/>
    <cellStyle name="Comma 8 7 2 2" xfId="963"/>
    <cellStyle name="Comma 8 7 2 3" xfId="964"/>
    <cellStyle name="Comma 8 8" xfId="965"/>
    <cellStyle name="Comma 8 8 2" xfId="966"/>
    <cellStyle name="Comma 8 8 2 2" xfId="967"/>
    <cellStyle name="Comma 8 8 2 3" xfId="968"/>
    <cellStyle name="Comma 9 2" xfId="969"/>
    <cellStyle name="Comma 9 2 2" xfId="970"/>
    <cellStyle name="Comma 9 3" xfId="971"/>
    <cellStyle name="Comma 9 4" xfId="972"/>
    <cellStyle name="Comma 9 5" xfId="973"/>
    <cellStyle name="Comma 9 6" xfId="974"/>
    <cellStyle name="Comma 9 7" xfId="975"/>
    <cellStyle name="Comma 9 8" xfId="976"/>
    <cellStyle name="Comma 9 9" xfId="977"/>
    <cellStyle name="Currency 2 2" xfId="978"/>
    <cellStyle name="Currency 2 2 2" xfId="979"/>
    <cellStyle name="CustomizationCells" xfId="980"/>
    <cellStyle name="Date" xfId="981"/>
    <cellStyle name="Date 2" xfId="982"/>
    <cellStyle name="donn_normal" xfId="983"/>
    <cellStyle name="ent_col_ser" xfId="984"/>
    <cellStyle name="entete_source" xfId="985"/>
    <cellStyle name="Euro" xfId="986"/>
    <cellStyle name="Euro 2" xfId="987"/>
    <cellStyle name="Euro 2 2" xfId="988"/>
    <cellStyle name="Euro 2 2 2" xfId="989"/>
    <cellStyle name="Euro 2 2 2 2" xfId="990"/>
    <cellStyle name="Euro 2 2 2 3" xfId="991"/>
    <cellStyle name="Euro 2 2 3" xfId="992"/>
    <cellStyle name="Euro 2 2 4" xfId="993"/>
    <cellStyle name="Euro 2 3" xfId="994"/>
    <cellStyle name="Euro 2 3 2" xfId="995"/>
    <cellStyle name="Euro 2 4" xfId="996"/>
    <cellStyle name="Euro 2 5" xfId="997"/>
    <cellStyle name="Euro 3" xfId="998"/>
    <cellStyle name="Euro 3 2" xfId="999"/>
    <cellStyle name="Euro 3 3" xfId="1000"/>
    <cellStyle name="Euro 4" xfId="1001"/>
    <cellStyle name="Euro 4 2" xfId="1002"/>
    <cellStyle name="Euro 4 3" xfId="1003"/>
    <cellStyle name="Euro 5" xfId="1004"/>
    <cellStyle name="Explanatory Text 2" xfId="1005"/>
    <cellStyle name="Explanatory Text 2 10" xfId="1006"/>
    <cellStyle name="Explanatory Text 2 2" xfId="1007"/>
    <cellStyle name="Explanatory Text 2 3" xfId="1008"/>
    <cellStyle name="Explanatory Text 2 4" xfId="1009"/>
    <cellStyle name="Explanatory Text 2 5" xfId="1010"/>
    <cellStyle name="Explanatory Text 2 6" xfId="1011"/>
    <cellStyle name="Explanatory Text 2 7" xfId="1012"/>
    <cellStyle name="Explanatory Text 2 8" xfId="1013"/>
    <cellStyle name="Explanatory Text 2 9" xfId="1014"/>
    <cellStyle name="Explanatory Text 3" xfId="1015"/>
    <cellStyle name="Fixed" xfId="1016"/>
    <cellStyle name="Fixed 2" xfId="1017"/>
    <cellStyle name="Float" xfId="1018"/>
    <cellStyle name="Float 2" xfId="1019"/>
    <cellStyle name="Good 2" xfId="1020"/>
    <cellStyle name="Good 2 10" xfId="1021"/>
    <cellStyle name="Good 2 2" xfId="1022"/>
    <cellStyle name="Good 2 3" xfId="1023"/>
    <cellStyle name="Good 2 4" xfId="1024"/>
    <cellStyle name="Good 2 5" xfId="1025"/>
    <cellStyle name="Good 2 6" xfId="1026"/>
    <cellStyle name="Good 2 7" xfId="1027"/>
    <cellStyle name="Good 2 8" xfId="1028"/>
    <cellStyle name="Good 2 9" xfId="1029"/>
    <cellStyle name="Good 3" xfId="1030"/>
    <cellStyle name="Good 3 2" xfId="1031"/>
    <cellStyle name="Heading 1 2" xfId="1032"/>
    <cellStyle name="Heading 1 2 10" xfId="1033"/>
    <cellStyle name="Heading 1 2 2" xfId="1034"/>
    <cellStyle name="Heading 1 2 3" xfId="1035"/>
    <cellStyle name="Heading 1 2 4" xfId="1036"/>
    <cellStyle name="Heading 1 2 5" xfId="1037"/>
    <cellStyle name="Heading 1 2 6" xfId="1038"/>
    <cellStyle name="Heading 1 2 7" xfId="1039"/>
    <cellStyle name="Heading 1 2 8" xfId="1040"/>
    <cellStyle name="Heading 1 2 9" xfId="1041"/>
    <cellStyle name="Heading 1 3" xfId="1042"/>
    <cellStyle name="Heading 1 3 2" xfId="1043"/>
    <cellStyle name="Heading 2 2" xfId="1044"/>
    <cellStyle name="Heading 2 2 10" xfId="1045"/>
    <cellStyle name="Heading 2 2 2" xfId="1046"/>
    <cellStyle name="Heading 2 2 3" xfId="1047"/>
    <cellStyle name="Heading 2 2 4" xfId="1048"/>
    <cellStyle name="Heading 2 2 5" xfId="1049"/>
    <cellStyle name="Heading 2 2 6" xfId="1050"/>
    <cellStyle name="Heading 2 2 7" xfId="1051"/>
    <cellStyle name="Heading 2 2 8" xfId="1052"/>
    <cellStyle name="Heading 2 2 9" xfId="1053"/>
    <cellStyle name="Heading 2 3" xfId="1054"/>
    <cellStyle name="Heading 2 3 2" xfId="1055"/>
    <cellStyle name="Heading 3 2" xfId="1056"/>
    <cellStyle name="Heading 3 2 10" xfId="1057"/>
    <cellStyle name="Heading 3 2 2" xfId="1058"/>
    <cellStyle name="Heading 3 2 3" xfId="1059"/>
    <cellStyle name="Heading 3 2 4" xfId="1060"/>
    <cellStyle name="Heading 3 2 5" xfId="1061"/>
    <cellStyle name="Heading 3 2 6" xfId="1062"/>
    <cellStyle name="Heading 3 2 7" xfId="1063"/>
    <cellStyle name="Heading 3 2 8" xfId="1064"/>
    <cellStyle name="Heading 3 2 9" xfId="1065"/>
    <cellStyle name="Heading 3 3" xfId="1066"/>
    <cellStyle name="Heading 3 3 2" xfId="1067"/>
    <cellStyle name="Heading 4 2" xfId="1068"/>
    <cellStyle name="Heading 4 2 10" xfId="1069"/>
    <cellStyle name="Heading 4 2 2" xfId="1070"/>
    <cellStyle name="Heading 4 2 3" xfId="1071"/>
    <cellStyle name="Heading 4 2 4" xfId="1072"/>
    <cellStyle name="Heading 4 2 5" xfId="1073"/>
    <cellStyle name="Heading 4 2 6" xfId="1074"/>
    <cellStyle name="Heading 4 2 7" xfId="1075"/>
    <cellStyle name="Heading 4 2 8" xfId="1076"/>
    <cellStyle name="Heading 4 2 9" xfId="1077"/>
    <cellStyle name="Heading 4 3" xfId="1078"/>
    <cellStyle name="Heading 4 3 2" xfId="1079"/>
    <cellStyle name="Heading1" xfId="1080"/>
    <cellStyle name="Heading1 2" xfId="1081"/>
    <cellStyle name="Heading2" xfId="1082"/>
    <cellStyle name="Heading2 2" xfId="1083"/>
    <cellStyle name="Hyperlink 2" xfId="1084"/>
    <cellStyle name="Input 2" xfId="1085"/>
    <cellStyle name="Input 2 10" xfId="1086"/>
    <cellStyle name="Input 2 2" xfId="1087"/>
    <cellStyle name="Input 2 3" xfId="1088"/>
    <cellStyle name="Input 2 4" xfId="1089"/>
    <cellStyle name="Input 2 5" xfId="1090"/>
    <cellStyle name="Input 2 6" xfId="1091"/>
    <cellStyle name="Input 2 7" xfId="1092"/>
    <cellStyle name="Input 2 8" xfId="1093"/>
    <cellStyle name="Input 2 9" xfId="1094"/>
    <cellStyle name="Input 3" xfId="1095"/>
    <cellStyle name="Input 3 2" xfId="1096"/>
    <cellStyle name="InputCells" xfId="1097"/>
    <cellStyle name="ligne_titre_0" xfId="1098"/>
    <cellStyle name="Linked Cell 2" xfId="1099"/>
    <cellStyle name="Linked Cell 2 10" xfId="1100"/>
    <cellStyle name="Linked Cell 2 2" xfId="1101"/>
    <cellStyle name="Linked Cell 2 3" xfId="1102"/>
    <cellStyle name="Linked Cell 2 4" xfId="1103"/>
    <cellStyle name="Linked Cell 2 5" xfId="1104"/>
    <cellStyle name="Linked Cell 2 6" xfId="1105"/>
    <cellStyle name="Linked Cell 2 7" xfId="1106"/>
    <cellStyle name="Linked Cell 2 8" xfId="1107"/>
    <cellStyle name="Linked Cell 2 9" xfId="1108"/>
    <cellStyle name="Linked Cell 3" xfId="1109"/>
    <cellStyle name="Linked Cell 3 2" xfId="1110"/>
    <cellStyle name="Migliaia_Oil&amp;Gas IFE ARC POLITO" xfId="1111"/>
    <cellStyle name="Neutral 2" xfId="1112"/>
    <cellStyle name="Neutral 2 10" xfId="1113"/>
    <cellStyle name="Neutral 2 2" xfId="1114"/>
    <cellStyle name="Neutral 2 3" xfId="1115"/>
    <cellStyle name="Neutral 2 4" xfId="1116"/>
    <cellStyle name="Neutral 2 5" xfId="1117"/>
    <cellStyle name="Neutral 2 6" xfId="1118"/>
    <cellStyle name="Neutral 2 7" xfId="1119"/>
    <cellStyle name="Neutral 2 8" xfId="1120"/>
    <cellStyle name="Neutral 2 9" xfId="1121"/>
    <cellStyle name="Neutral 3" xfId="1122"/>
    <cellStyle name="Neutral 3 2" xfId="1123"/>
    <cellStyle name="Neutral 3 3" xfId="1124"/>
    <cellStyle name="Normal 10" xfId="1125"/>
    <cellStyle name="Normal 10 2" xfId="1126"/>
    <cellStyle name="Normal 10 2 2" xfId="1127"/>
    <cellStyle name="Normal 10 3" xfId="1128"/>
    <cellStyle name="Normal 10 3 2" xfId="1129"/>
    <cellStyle name="Normal 10 4" xfId="1130"/>
    <cellStyle name="Normal 10 4 2" xfId="1131"/>
    <cellStyle name="Normal 10 5" xfId="1132"/>
    <cellStyle name="Normal 10 5 2" xfId="1133"/>
    <cellStyle name="Normal 10 6" xfId="1134"/>
    <cellStyle name="Normal 10 6 2" xfId="1135"/>
    <cellStyle name="Normal 10 7" xfId="1136"/>
    <cellStyle name="Normal 10 7 2" xfId="1137"/>
    <cellStyle name="Normal 10 8" xfId="1138"/>
    <cellStyle name="Normal 10 8 2" xfId="1139"/>
    <cellStyle name="Normal 10 9" xfId="1140"/>
    <cellStyle name="Normal 11" xfId="1141"/>
    <cellStyle name="Normal 11 10" xfId="1142"/>
    <cellStyle name="Normal 11 2" xfId="1143"/>
    <cellStyle name="Normal 11 2 2" xfId="1144"/>
    <cellStyle name="Normal 11 3" xfId="1145"/>
    <cellStyle name="Normal 11 3 2" xfId="1146"/>
    <cellStyle name="Normal 11 4" xfId="1147"/>
    <cellStyle name="Normal 11 4 2" xfId="1148"/>
    <cellStyle name="Normal 11 5" xfId="1149"/>
    <cellStyle name="Normal 11 5 2" xfId="1150"/>
    <cellStyle name="Normal 11 6" xfId="1151"/>
    <cellStyle name="Normal 11 6 2" xfId="1152"/>
    <cellStyle name="Normal 11 7" xfId="1153"/>
    <cellStyle name="Normal 11 7 2" xfId="1154"/>
    <cellStyle name="Normal 11 8" xfId="1155"/>
    <cellStyle name="Normal 11 8 2" xfId="1156"/>
    <cellStyle name="Normal 11 9" xfId="1157"/>
    <cellStyle name="Normal 12" xfId="1158"/>
    <cellStyle name="Normal 12 10" xfId="1159"/>
    <cellStyle name="Normal 12 2" xfId="1160"/>
    <cellStyle name="Normal 12 2 2" xfId="1161"/>
    <cellStyle name="Normal 12 3" xfId="1162"/>
    <cellStyle name="Normal 12 3 2" xfId="1163"/>
    <cellStyle name="Normal 12 4" xfId="1164"/>
    <cellStyle name="Normal 12 4 2" xfId="1165"/>
    <cellStyle name="Normal 12 5" xfId="1166"/>
    <cellStyle name="Normal 12 5 2" xfId="1167"/>
    <cellStyle name="Normal 12 6" xfId="1168"/>
    <cellStyle name="Normal 12 6 2" xfId="1169"/>
    <cellStyle name="Normal 12 7" xfId="1170"/>
    <cellStyle name="Normal 12 7 2" xfId="1171"/>
    <cellStyle name="Normal 12 8" xfId="1172"/>
    <cellStyle name="Normal 12 8 2" xfId="1173"/>
    <cellStyle name="Normal 12 9" xfId="1174"/>
    <cellStyle name="Normal 13" xfId="1175"/>
    <cellStyle name="Normal 13 10" xfId="1176"/>
    <cellStyle name="Normal 13 10 2" xfId="1177"/>
    <cellStyle name="Normal 13 10 2 2" xfId="1178"/>
    <cellStyle name="Normal 13 10 2 3" xfId="1179"/>
    <cellStyle name="Normal 13 10 3" xfId="1180"/>
    <cellStyle name="Normal 13 10 4" xfId="1181"/>
    <cellStyle name="Normal 13 11" xfId="1182"/>
    <cellStyle name="Normal 13 11 2" xfId="1183"/>
    <cellStyle name="Normal 13 11 2 2" xfId="1184"/>
    <cellStyle name="Normal 13 11 2 3" xfId="1185"/>
    <cellStyle name="Normal 13 11 3" xfId="1186"/>
    <cellStyle name="Normal 13 11 4" xfId="1187"/>
    <cellStyle name="Normal 13 12" xfId="1188"/>
    <cellStyle name="Normal 13 13" xfId="1189"/>
    <cellStyle name="Normal 13 13 2" xfId="1190"/>
    <cellStyle name="Normal 13 13 2 2" xfId="1191"/>
    <cellStyle name="Normal 13 13 2 3" xfId="1192"/>
    <cellStyle name="Normal 13 13 3" xfId="1193"/>
    <cellStyle name="Normal 13 13 4" xfId="1194"/>
    <cellStyle name="Normal 13 14" xfId="1195"/>
    <cellStyle name="Normal 13 14 2" xfId="1196"/>
    <cellStyle name="Normal 13 14 2 2" xfId="1197"/>
    <cellStyle name="Normal 13 14 2 3" xfId="1198"/>
    <cellStyle name="Normal 13 14 3" xfId="1199"/>
    <cellStyle name="Normal 13 14 4" xfId="1200"/>
    <cellStyle name="Normal 13 15" xfId="1201"/>
    <cellStyle name="Normal 13 15 2" xfId="1202"/>
    <cellStyle name="Normal 13 15 2 2" xfId="1203"/>
    <cellStyle name="Normal 13 15 2 3" xfId="1204"/>
    <cellStyle name="Normal 13 15 3" xfId="1205"/>
    <cellStyle name="Normal 13 15 4" xfId="1206"/>
    <cellStyle name="Normal 13 16" xfId="1207"/>
    <cellStyle name="Normal 13 16 2" xfId="1208"/>
    <cellStyle name="Normal 13 16 2 2" xfId="1209"/>
    <cellStyle name="Normal 13 16 2 3" xfId="1210"/>
    <cellStyle name="Normal 13 16 3" xfId="1211"/>
    <cellStyle name="Normal 13 16 4" xfId="1212"/>
    <cellStyle name="Normal 13 17" xfId="1213"/>
    <cellStyle name="Normal 13 18" xfId="1214"/>
    <cellStyle name="Normal 13 19" xfId="1215"/>
    <cellStyle name="Normal 13 2" xfId="1216"/>
    <cellStyle name="Normal 13 2 2" xfId="1217"/>
    <cellStyle name="Normal 13 2 2 2" xfId="1218"/>
    <cellStyle name="Normal 13 2 2 2 2" xfId="1219"/>
    <cellStyle name="Normal 13 2 2 2 3" xfId="1220"/>
    <cellStyle name="Normal 13 2 2 3" xfId="1221"/>
    <cellStyle name="Normal 13 2 2 4" xfId="1222"/>
    <cellStyle name="Normal 13 2 3" xfId="1223"/>
    <cellStyle name="Normal 13 2 3 2" xfId="1224"/>
    <cellStyle name="Normal 13 2 3 2 2" xfId="1225"/>
    <cellStyle name="Normal 13 2 3 2 3" xfId="1226"/>
    <cellStyle name="Normal 13 2 3 3" xfId="1227"/>
    <cellStyle name="Normal 13 2 3 4" xfId="1228"/>
    <cellStyle name="Normal 13 2 4" xfId="1229"/>
    <cellStyle name="Normal 13 2 4 2" xfId="1230"/>
    <cellStyle name="Normal 13 2 4 2 2" xfId="1231"/>
    <cellStyle name="Normal 13 2 4 2 3" xfId="1232"/>
    <cellStyle name="Normal 13 2 4 3" xfId="1233"/>
    <cellStyle name="Normal 13 2 4 4" xfId="1234"/>
    <cellStyle name="Normal 13 2 5" xfId="1235"/>
    <cellStyle name="Normal 13 2 5 2" xfId="1236"/>
    <cellStyle name="Normal 13 2 5 2 2" xfId="1237"/>
    <cellStyle name="Normal 13 2 5 2 3" xfId="1238"/>
    <cellStyle name="Normal 13 2 5 3" xfId="1239"/>
    <cellStyle name="Normal 13 2 5 4" xfId="1240"/>
    <cellStyle name="Normal 13 2 6" xfId="1241"/>
    <cellStyle name="Normal 13 2 6 2" xfId="1242"/>
    <cellStyle name="Normal 13 2 6 2 2" xfId="1243"/>
    <cellStyle name="Normal 13 2 6 2 3" xfId="1244"/>
    <cellStyle name="Normal 13 2 6 3" xfId="1245"/>
    <cellStyle name="Normal 13 2 6 4" xfId="1246"/>
    <cellStyle name="Normal 13 2 7" xfId="1247"/>
    <cellStyle name="Normal 13 2 7 2" xfId="1248"/>
    <cellStyle name="Normal 13 2 7 2 2" xfId="1249"/>
    <cellStyle name="Normal 13 2 7 2 3" xfId="1250"/>
    <cellStyle name="Normal 13 2 7 3" xfId="1251"/>
    <cellStyle name="Normal 13 2 7 4" xfId="1252"/>
    <cellStyle name="Normal 13 2 8" xfId="1253"/>
    <cellStyle name="Normal 13 2 8 2" xfId="1254"/>
    <cellStyle name="Normal 13 2 8 2 2" xfId="1255"/>
    <cellStyle name="Normal 13 2 8 2 3" xfId="1256"/>
    <cellStyle name="Normal 13 2 8 3" xfId="1257"/>
    <cellStyle name="Normal 13 2 8 4" xfId="1258"/>
    <cellStyle name="Normal 13 20" xfId="1259"/>
    <cellStyle name="Normal 13 21" xfId="1260"/>
    <cellStyle name="Normal 13 22" xfId="1261"/>
    <cellStyle name="Normal 13 23" xfId="1262"/>
    <cellStyle name="Normal 13 23 2" xfId="1263"/>
    <cellStyle name="Normal 13 24" xfId="1264"/>
    <cellStyle name="Normal 13 24 2" xfId="1265"/>
    <cellStyle name="Normal 13 25" xfId="1266"/>
    <cellStyle name="Normal 13 25 2" xfId="1267"/>
    <cellStyle name="Normal 13 26" xfId="1268"/>
    <cellStyle name="Normal 13 26 2" xfId="1269"/>
    <cellStyle name="Normal 13 27" xfId="1270"/>
    <cellStyle name="Normal 13 27 2" xfId="1271"/>
    <cellStyle name="Normal 13 28" xfId="1272"/>
    <cellStyle name="Normal 13 28 2" xfId="1273"/>
    <cellStyle name="Normal 13 29" xfId="1274"/>
    <cellStyle name="Normal 13 29 2" xfId="1275"/>
    <cellStyle name="Normal 13 3" xfId="1276"/>
    <cellStyle name="Normal 13 3 2" xfId="1277"/>
    <cellStyle name="Normal 13 3 2 2" xfId="1278"/>
    <cellStyle name="Normal 13 3 2 3" xfId="1279"/>
    <cellStyle name="Normal 13 3 3" xfId="1280"/>
    <cellStyle name="Normal 13 3 4" xfId="1281"/>
    <cellStyle name="Normal 13 30" xfId="1282"/>
    <cellStyle name="Normal 13 30 2" xfId="1283"/>
    <cellStyle name="Normal 13 31" xfId="1284"/>
    <cellStyle name="Normal 13 31 2" xfId="1285"/>
    <cellStyle name="Normal 13 32" xfId="1286"/>
    <cellStyle name="Normal 13 32 2" xfId="1287"/>
    <cellStyle name="Normal 13 33" xfId="1288"/>
    <cellStyle name="Normal 13 33 2" xfId="1289"/>
    <cellStyle name="Normal 13 34" xfId="1290"/>
    <cellStyle name="Normal 13 34 2" xfId="1291"/>
    <cellStyle name="Normal 13 35" xfId="1292"/>
    <cellStyle name="Normal 13 35 2" xfId="1293"/>
    <cellStyle name="Normal 13 36" xfId="1294"/>
    <cellStyle name="Normal 13 36 2" xfId="1295"/>
    <cellStyle name="Normal 13 37" xfId="1296"/>
    <cellStyle name="Normal 13 37 2" xfId="1297"/>
    <cellStyle name="Normal 13 38" xfId="1298"/>
    <cellStyle name="Normal 13 38 2" xfId="1299"/>
    <cellStyle name="Normal 13 39" xfId="1300"/>
    <cellStyle name="Normal 13 4" xfId="1301"/>
    <cellStyle name="Normal 13 4 2" xfId="1302"/>
    <cellStyle name="Normal 13 4 2 2" xfId="1303"/>
    <cellStyle name="Normal 13 4 2 3" xfId="1304"/>
    <cellStyle name="Normal 13 4 3" xfId="1305"/>
    <cellStyle name="Normal 13 4 4" xfId="1306"/>
    <cellStyle name="Normal 13 5" xfId="1307"/>
    <cellStyle name="Normal 13 6" xfId="1308"/>
    <cellStyle name="Normal 13 7" xfId="1309"/>
    <cellStyle name="Normal 13 8" xfId="1310"/>
    <cellStyle name="Normal 13 9" xfId="1311"/>
    <cellStyle name="Normal 13 9 2" xfId="1312"/>
    <cellStyle name="Normal 13 9 2 2" xfId="1313"/>
    <cellStyle name="Normal 13 9 2 3" xfId="1314"/>
    <cellStyle name="Normal 13 9 3" xfId="1315"/>
    <cellStyle name="Normal 13 9 4" xfId="1316"/>
    <cellStyle name="Normal 14" xfId="1317"/>
    <cellStyle name="Normal 14 10" xfId="1318"/>
    <cellStyle name="Normal 14 10 2" xfId="1319"/>
    <cellStyle name="Normal 14 10 2 2" xfId="1320"/>
    <cellStyle name="Normal 14 10 2 3" xfId="1321"/>
    <cellStyle name="Normal 14 10 3" xfId="1322"/>
    <cellStyle name="Normal 14 10 4" xfId="1323"/>
    <cellStyle name="Normal 14 11" xfId="1324"/>
    <cellStyle name="Normal 14 11 2" xfId="1325"/>
    <cellStyle name="Normal 14 11 2 2" xfId="1326"/>
    <cellStyle name="Normal 14 11 2 3" xfId="1327"/>
    <cellStyle name="Normal 14 11 3" xfId="1328"/>
    <cellStyle name="Normal 14 11 4" xfId="1329"/>
    <cellStyle name="Normal 14 12" xfId="1330"/>
    <cellStyle name="Normal 14 12 2" xfId="1331"/>
    <cellStyle name="Normal 14 12 2 2" xfId="1332"/>
    <cellStyle name="Normal 14 12 2 3" xfId="1333"/>
    <cellStyle name="Normal 14 12 3" xfId="1334"/>
    <cellStyle name="Normal 14 12 4" xfId="1335"/>
    <cellStyle name="Normal 14 13" xfId="1336"/>
    <cellStyle name="Normal 14 13 2" xfId="1337"/>
    <cellStyle name="Normal 14 13 2 2" xfId="1338"/>
    <cellStyle name="Normal 14 13 2 3" xfId="1339"/>
    <cellStyle name="Normal 14 13 3" xfId="1340"/>
    <cellStyle name="Normal 14 13 4" xfId="1341"/>
    <cellStyle name="Normal 14 14" xfId="1342"/>
    <cellStyle name="Normal 14 14 2" xfId="1343"/>
    <cellStyle name="Normal 14 14 2 2" xfId="1344"/>
    <cellStyle name="Normal 14 14 2 3" xfId="1345"/>
    <cellStyle name="Normal 14 14 3" xfId="1346"/>
    <cellStyle name="Normal 14 14 4" xfId="1347"/>
    <cellStyle name="Normal 14 15" xfId="1348"/>
    <cellStyle name="Normal 14 15 2" xfId="1349"/>
    <cellStyle name="Normal 14 15 2 2" xfId="1350"/>
    <cellStyle name="Normal 14 15 2 3" xfId="1351"/>
    <cellStyle name="Normal 14 15 3" xfId="1352"/>
    <cellStyle name="Normal 14 15 4" xfId="1353"/>
    <cellStyle name="Normal 14 2" xfId="1354"/>
    <cellStyle name="Normal 14 2 10" xfId="1355"/>
    <cellStyle name="Normal 14 2 2" xfId="1356"/>
    <cellStyle name="Normal 14 2 2 2" xfId="1357"/>
    <cellStyle name="Normal 14 2 3" xfId="1358"/>
    <cellStyle name="Normal 14 2 3 2" xfId="1359"/>
    <cellStyle name="Normal 14 2 4" xfId="1360"/>
    <cellStyle name="Normal 14 2 4 2" xfId="1361"/>
    <cellStyle name="Normal 14 2 5" xfId="1362"/>
    <cellStyle name="Normal 14 2 5 2" xfId="1363"/>
    <cellStyle name="Normal 14 2 6" xfId="1364"/>
    <cellStyle name="Normal 14 2 6 2" xfId="1365"/>
    <cellStyle name="Normal 14 2 7" xfId="1366"/>
    <cellStyle name="Normal 14 2 7 2" xfId="1367"/>
    <cellStyle name="Normal 14 2 8" xfId="1368"/>
    <cellStyle name="Normal 14 2 8 2" xfId="1369"/>
    <cellStyle name="Normal 14 2 8 3" xfId="1370"/>
    <cellStyle name="Normal 14 2 9" xfId="1371"/>
    <cellStyle name="Normal 14 3" xfId="1372"/>
    <cellStyle name="Normal 14 3 2" xfId="1373"/>
    <cellStyle name="Normal 14 4" xfId="1374"/>
    <cellStyle name="Normal 14 4 2" xfId="1375"/>
    <cellStyle name="Normal 14 4 2 2" xfId="1376"/>
    <cellStyle name="Normal 14 4 2 3" xfId="1377"/>
    <cellStyle name="Normal 14 4 3" xfId="1378"/>
    <cellStyle name="Normal 14 4 4" xfId="1379"/>
    <cellStyle name="Normal 14 5" xfId="1380"/>
    <cellStyle name="Normal 14 5 2" xfId="1381"/>
    <cellStyle name="Normal 14 5 2 2" xfId="1382"/>
    <cellStyle name="Normal 14 5 2 3" xfId="1383"/>
    <cellStyle name="Normal 14 5 3" xfId="1384"/>
    <cellStyle name="Normal 14 5 4" xfId="1385"/>
    <cellStyle name="Normal 14 6" xfId="1386"/>
    <cellStyle name="Normal 14 6 2" xfId="1387"/>
    <cellStyle name="Normal 14 7" xfId="1388"/>
    <cellStyle name="Normal 14 7 2" xfId="1389"/>
    <cellStyle name="Normal 14 8" xfId="1390"/>
    <cellStyle name="Normal 14 8 2" xfId="1391"/>
    <cellStyle name="Normal 14 9" xfId="1392"/>
    <cellStyle name="Normal 14 9 2" xfId="1393"/>
    <cellStyle name="Normal 15" xfId="1394"/>
    <cellStyle name="Normal 15 2" xfId="1395"/>
    <cellStyle name="Normal 15 2 2" xfId="1396"/>
    <cellStyle name="Normal 15 3" xfId="1397"/>
    <cellStyle name="Normal 15 3 2" xfId="1398"/>
    <cellStyle name="Normal 15 4" xfId="1399"/>
    <cellStyle name="Normal 15 4 2" xfId="1400"/>
    <cellStyle name="Normal 15 5" xfId="1401"/>
    <cellStyle name="Normal 15 5 2" xfId="1402"/>
    <cellStyle name="Normal 15 6" xfId="1403"/>
    <cellStyle name="Normal 15 6 2" xfId="1404"/>
    <cellStyle name="Normal 16" xfId="1405"/>
    <cellStyle name="Normal 16 2" xfId="1406"/>
    <cellStyle name="Normal 16 2 2" xfId="1407"/>
    <cellStyle name="Normal 16 3" xfId="1408"/>
    <cellStyle name="Normal 16 3 2" xfId="1409"/>
    <cellStyle name="Normal 16 4" xfId="1410"/>
    <cellStyle name="Normal 16 4 2" xfId="1411"/>
    <cellStyle name="Normal 16 5" xfId="1412"/>
    <cellStyle name="Normal 16 5 2" xfId="1413"/>
    <cellStyle name="Normal 16 6" xfId="1414"/>
    <cellStyle name="Normal 16 6 2" xfId="1415"/>
    <cellStyle name="Normal 16 7" xfId="1416"/>
    <cellStyle name="Normal 16 7 2" xfId="1417"/>
    <cellStyle name="Normal 16 7 3" xfId="1418"/>
    <cellStyle name="Normal 16 8" xfId="1419"/>
    <cellStyle name="Normal 16 9" xfId="1420"/>
    <cellStyle name="Normal 17" xfId="1421"/>
    <cellStyle name="Normal 17 10" xfId="1422"/>
    <cellStyle name="Normal 17 10 2" xfId="1423"/>
    <cellStyle name="Normal 17 11" xfId="1424"/>
    <cellStyle name="Normal 17 11 2" xfId="1425"/>
    <cellStyle name="Normal 17 12" xfId="1426"/>
    <cellStyle name="Normal 17 12 2" xfId="1427"/>
    <cellStyle name="Normal 17 13" xfId="1428"/>
    <cellStyle name="Normal 17 13 2" xfId="1429"/>
    <cellStyle name="Normal 17 14" xfId="1430"/>
    <cellStyle name="Normal 17 14 2" xfId="1431"/>
    <cellStyle name="Normal 17 14 3" xfId="1432"/>
    <cellStyle name="Normal 17 15" xfId="1433"/>
    <cellStyle name="Normal 17 16" xfId="1434"/>
    <cellStyle name="Normal 17 2" xfId="1435"/>
    <cellStyle name="Normal 17 2 2" xfId="1436"/>
    <cellStyle name="Normal 17 3" xfId="1437"/>
    <cellStyle name="Normal 17 3 2" xfId="1438"/>
    <cellStyle name="Normal 17 4" xfId="1439"/>
    <cellStyle name="Normal 17 4 2" xfId="1440"/>
    <cellStyle name="Normal 17 5" xfId="1441"/>
    <cellStyle name="Normal 17 5 2" xfId="1442"/>
    <cellStyle name="Normal 17 6" xfId="1443"/>
    <cellStyle name="Normal 17 6 2" xfId="1444"/>
    <cellStyle name="Normal 17 7" xfId="1445"/>
    <cellStyle name="Normal 17 7 2" xfId="1446"/>
    <cellStyle name="Normal 17 8" xfId="1447"/>
    <cellStyle name="Normal 17 8 2" xfId="1448"/>
    <cellStyle name="Normal 17 9" xfId="1449"/>
    <cellStyle name="Normal 17 9 2" xfId="1450"/>
    <cellStyle name="Normal 18" xfId="1451"/>
    <cellStyle name="Normal 18 2" xfId="1452"/>
    <cellStyle name="Normal 18 2 2" xfId="1453"/>
    <cellStyle name="Normal 18 2 3" xfId="1454"/>
    <cellStyle name="Normal 18 3" xfId="1455"/>
    <cellStyle name="Normal 18 4" xfId="1456"/>
    <cellStyle name="Normal 2" xfId="1457"/>
    <cellStyle name="Normal 2 10" xfId="1458"/>
    <cellStyle name="Normal 2 10 2" xfId="1459"/>
    <cellStyle name="Normal 2 11" xfId="1460"/>
    <cellStyle name="Normal 2 11 2" xfId="1461"/>
    <cellStyle name="Normal 2 12" xfId="1462"/>
    <cellStyle name="Normal 2 12 2" xfId="1463"/>
    <cellStyle name="Normal 2 13" xfId="1464"/>
    <cellStyle name="Normal 2 13 2" xfId="1465"/>
    <cellStyle name="Normal 2 14" xfId="1466"/>
    <cellStyle name="Normal 2 14 2" xfId="1467"/>
    <cellStyle name="Normal 2 15" xfId="1468"/>
    <cellStyle name="Normal 2 15 2" xfId="1469"/>
    <cellStyle name="Normal 2 16" xfId="1470"/>
    <cellStyle name="Normal 2 16 2" xfId="1471"/>
    <cellStyle name="Normal 2 17" xfId="1472"/>
    <cellStyle name="Normal 2 17 2" xfId="1473"/>
    <cellStyle name="Normal 2 18" xfId="1474"/>
    <cellStyle name="Normal 2 18 2" xfId="1475"/>
    <cellStyle name="Normal 2 18 3" xfId="1476"/>
    <cellStyle name="Normal 2 19" xfId="1477"/>
    <cellStyle name="Normal 2 2" xfId="1478"/>
    <cellStyle name="Normal 2 2 10" xfId="1479"/>
    <cellStyle name="Normal 2 2 10 2" xfId="1480"/>
    <cellStyle name="Normal 2 2 10 2 2" xfId="1481"/>
    <cellStyle name="Normal 2 2 10 2 3" xfId="1482"/>
    <cellStyle name="Normal 2 2 10 3" xfId="1483"/>
    <cellStyle name="Normal 2 2 10 4" xfId="1484"/>
    <cellStyle name="Normal 2 2 11" xfId="1485"/>
    <cellStyle name="Normal 2 2 11 2" xfId="1486"/>
    <cellStyle name="Normal 2 2 11 2 2" xfId="1487"/>
    <cellStyle name="Normal 2 2 11 2 3" xfId="1488"/>
    <cellStyle name="Normal 2 2 11 3" xfId="1489"/>
    <cellStyle name="Normal 2 2 11 4" xfId="1490"/>
    <cellStyle name="Normal 2 2 12" xfId="1491"/>
    <cellStyle name="Normal 2 2 12 2" xfId="1492"/>
    <cellStyle name="Normal 2 2 12 2 2" xfId="1493"/>
    <cellStyle name="Normal 2 2 12 2 3" xfId="1494"/>
    <cellStyle name="Normal 2 2 12 3" xfId="1495"/>
    <cellStyle name="Normal 2 2 12 4" xfId="1496"/>
    <cellStyle name="Normal 2 2 13" xfId="1497"/>
    <cellStyle name="Normal 2 2 13 2" xfId="1498"/>
    <cellStyle name="Normal 2 2 13 2 2" xfId="1499"/>
    <cellStyle name="Normal 2 2 13 2 3" xfId="1500"/>
    <cellStyle name="Normal 2 2 13 3" xfId="1501"/>
    <cellStyle name="Normal 2 2 13 4" xfId="1502"/>
    <cellStyle name="Normal 2 2 14" xfId="1503"/>
    <cellStyle name="Normal 2 2 14 2" xfId="1504"/>
    <cellStyle name="Normal 2 2 15" xfId="1505"/>
    <cellStyle name="Normal 2 2 16" xfId="1506"/>
    <cellStyle name="Normal 2 2 2" xfId="1507"/>
    <cellStyle name="Normal 2 2 2 2" xfId="1508"/>
    <cellStyle name="Normal 2 2 2 2 2" xfId="1509"/>
    <cellStyle name="Normal 2 2 2 2 3" xfId="1510"/>
    <cellStyle name="Normal 2 2 2 3" xfId="1511"/>
    <cellStyle name="Normal 2 2 2 4" xfId="1512"/>
    <cellStyle name="Normal 2 2 2 5" xfId="1513"/>
    <cellStyle name="Normal 2 2 3" xfId="1514"/>
    <cellStyle name="Normal 2 2 3 2" xfId="1515"/>
    <cellStyle name="Normal 2 2 3 2 2" xfId="1516"/>
    <cellStyle name="Normal 2 2 3 2 3" xfId="1517"/>
    <cellStyle name="Normal 2 2 3 3" xfId="1518"/>
    <cellStyle name="Normal 2 2 3 4" xfId="1519"/>
    <cellStyle name="Normal 2 2 3 5" xfId="1520"/>
    <cellStyle name="Normal 2 2 4" xfId="1521"/>
    <cellStyle name="Normal 2 2 4 2" xfId="1522"/>
    <cellStyle name="Normal 2 2 4 2 2" xfId="1523"/>
    <cellStyle name="Normal 2 2 4 2 3" xfId="1524"/>
    <cellStyle name="Normal 2 2 4 3" xfId="1525"/>
    <cellStyle name="Normal 2 2 4 4" xfId="1526"/>
    <cellStyle name="Normal 2 2 5" xfId="1527"/>
    <cellStyle name="Normal 2 2 5 2" xfId="1528"/>
    <cellStyle name="Normal 2 2 5 2 2" xfId="1529"/>
    <cellStyle name="Normal 2 2 5 2 3" xfId="1530"/>
    <cellStyle name="Normal 2 2 5 3" xfId="1531"/>
    <cellStyle name="Normal 2 2 5 4" xfId="1532"/>
    <cellStyle name="Normal 2 2 6" xfId="1533"/>
    <cellStyle name="Normal 2 2 6 2" xfId="1534"/>
    <cellStyle name="Normal 2 2 6 2 2" xfId="1535"/>
    <cellStyle name="Normal 2 2 6 2 3" xfId="1536"/>
    <cellStyle name="Normal 2 2 6 3" xfId="1537"/>
    <cellStyle name="Normal 2 2 6 4" xfId="1538"/>
    <cellStyle name="Normal 2 2 7" xfId="1539"/>
    <cellStyle name="Normal 2 2 7 2" xfId="1540"/>
    <cellStyle name="Normal 2 2 7 2 2" xfId="1541"/>
    <cellStyle name="Normal 2 2 7 2 3" xfId="1542"/>
    <cellStyle name="Normal 2 2 7 3" xfId="1543"/>
    <cellStyle name="Normal 2 2 7 4" xfId="1544"/>
    <cellStyle name="Normal 2 2 8" xfId="1545"/>
    <cellStyle name="Normal 2 2 8 2" xfId="1546"/>
    <cellStyle name="Normal 2 2 8 2 2" xfId="1547"/>
    <cellStyle name="Normal 2 2 8 2 3" xfId="1548"/>
    <cellStyle name="Normal 2 2 8 3" xfId="1549"/>
    <cellStyle name="Normal 2 2 8 4" xfId="1550"/>
    <cellStyle name="Normal 2 2 9" xfId="1551"/>
    <cellStyle name="Normal 2 2 9 2" xfId="1552"/>
    <cellStyle name="Normal 2 2 9 2 2" xfId="1553"/>
    <cellStyle name="Normal 2 2 9 2 3" xfId="1554"/>
    <cellStyle name="Normal 2 2 9 3" xfId="1555"/>
    <cellStyle name="Normal 2 2 9 4" xfId="1556"/>
    <cellStyle name="Normal 2 20" xfId="1557"/>
    <cellStyle name="Normal 2 21" xfId="1558"/>
    <cellStyle name="Normal 2 22" xfId="1559"/>
    <cellStyle name="Normal 2 3" xfId="1560"/>
    <cellStyle name="Normal 2 3 10" xfId="1561"/>
    <cellStyle name="Normal 2 3 10 2" xfId="1562"/>
    <cellStyle name="Normal 2 3 10 2 2" xfId="1563"/>
    <cellStyle name="Normal 2 3 10 2 3" xfId="1564"/>
    <cellStyle name="Normal 2 3 10 3" xfId="1565"/>
    <cellStyle name="Normal 2 3 10 4" xfId="1566"/>
    <cellStyle name="Normal 2 3 11" xfId="1567"/>
    <cellStyle name="Normal 2 3 11 2" xfId="1568"/>
    <cellStyle name="Normal 2 3 11 2 2" xfId="1569"/>
    <cellStyle name="Normal 2 3 11 2 3" xfId="1570"/>
    <cellStyle name="Normal 2 3 11 3" xfId="1571"/>
    <cellStyle name="Normal 2 3 11 4" xfId="1572"/>
    <cellStyle name="Normal 2 3 12" xfId="1573"/>
    <cellStyle name="Normal 2 3 12 2" xfId="1574"/>
    <cellStyle name="Normal 2 3 12 2 2" xfId="1575"/>
    <cellStyle name="Normal 2 3 12 2 3" xfId="1576"/>
    <cellStyle name="Normal 2 3 12 3" xfId="1577"/>
    <cellStyle name="Normal 2 3 12 4" xfId="1578"/>
    <cellStyle name="Normal 2 3 13" xfId="1579"/>
    <cellStyle name="Normal 2 3 13 2" xfId="1580"/>
    <cellStyle name="Normal 2 3 13 2 2" xfId="1581"/>
    <cellStyle name="Normal 2 3 13 2 3" xfId="1582"/>
    <cellStyle name="Normal 2 3 13 3" xfId="1583"/>
    <cellStyle name="Normal 2 3 13 4" xfId="1584"/>
    <cellStyle name="Normal 2 3 14" xfId="1585"/>
    <cellStyle name="Normal 2 3 15" xfId="1586"/>
    <cellStyle name="Normal 2 3 2" xfId="1587"/>
    <cellStyle name="Normal 2 3 2 2" xfId="1588"/>
    <cellStyle name="Normal 2 3 2 2 2" xfId="1589"/>
    <cellStyle name="Normal 2 3 2 2 3" xfId="1590"/>
    <cellStyle name="Normal 2 3 2 3" xfId="1591"/>
    <cellStyle name="Normal 2 3 2 4" xfId="1592"/>
    <cellStyle name="Normal 2 3 2 5" xfId="1593"/>
    <cellStyle name="Normal 2 3 3" xfId="1594"/>
    <cellStyle name="Normal 2 3 3 2" xfId="1595"/>
    <cellStyle name="Normal 2 3 3 2 2" xfId="1596"/>
    <cellStyle name="Normal 2 3 3 2 3" xfId="1597"/>
    <cellStyle name="Normal 2 3 3 3" xfId="1598"/>
    <cellStyle name="Normal 2 3 3 4" xfId="1599"/>
    <cellStyle name="Normal 2 3 3 5" xfId="1600"/>
    <cellStyle name="Normal 2 3 4" xfId="1601"/>
    <cellStyle name="Normal 2 3 4 2" xfId="1602"/>
    <cellStyle name="Normal 2 3 4 2 2" xfId="1603"/>
    <cellStyle name="Normal 2 3 4 2 3" xfId="1604"/>
    <cellStyle name="Normal 2 3 4 3" xfId="1605"/>
    <cellStyle name="Normal 2 3 4 4" xfId="1606"/>
    <cellStyle name="Normal 2 3 5" xfId="1607"/>
    <cellStyle name="Normal 2 3 5 2" xfId="1608"/>
    <cellStyle name="Normal 2 3 5 2 2" xfId="1609"/>
    <cellStyle name="Normal 2 3 5 2 3" xfId="1610"/>
    <cellStyle name="Normal 2 3 5 3" xfId="1611"/>
    <cellStyle name="Normal 2 3 5 4" xfId="1612"/>
    <cellStyle name="Normal 2 3 6" xfId="1613"/>
    <cellStyle name="Normal 2 3 6 2" xfId="1614"/>
    <cellStyle name="Normal 2 3 6 2 2" xfId="1615"/>
    <cellStyle name="Normal 2 3 6 2 3" xfId="1616"/>
    <cellStyle name="Normal 2 3 6 3" xfId="1617"/>
    <cellStyle name="Normal 2 3 6 4" xfId="1618"/>
    <cellStyle name="Normal 2 3 7" xfId="1619"/>
    <cellStyle name="Normal 2 3 7 2" xfId="1620"/>
    <cellStyle name="Normal 2 3 7 2 2" xfId="1621"/>
    <cellStyle name="Normal 2 3 7 2 3" xfId="1622"/>
    <cellStyle name="Normal 2 3 7 3" xfId="1623"/>
    <cellStyle name="Normal 2 3 7 4" xfId="1624"/>
    <cellStyle name="Normal 2 3 8" xfId="1625"/>
    <cellStyle name="Normal 2 3 8 2" xfId="1626"/>
    <cellStyle name="Normal 2 3 8 2 2" xfId="1627"/>
    <cellStyle name="Normal 2 3 8 2 3" xfId="1628"/>
    <cellStyle name="Normal 2 3 8 3" xfId="1629"/>
    <cellStyle name="Normal 2 3 8 4" xfId="1630"/>
    <cellStyle name="Normal 2 3 9" xfId="1631"/>
    <cellStyle name="Normal 2 3 9 2" xfId="1632"/>
    <cellStyle name="Normal 2 3 9 2 2" xfId="1633"/>
    <cellStyle name="Normal 2 3 9 2 3" xfId="1634"/>
    <cellStyle name="Normal 2 3 9 3" xfId="1635"/>
    <cellStyle name="Normal 2 3 9 4" xfId="1636"/>
    <cellStyle name="Normal 2 4" xfId="1637"/>
    <cellStyle name="Normal 2 4 10" xfId="1638"/>
    <cellStyle name="Normal 2 4 10 2" xfId="1639"/>
    <cellStyle name="Normal 2 4 10 2 2" xfId="1640"/>
    <cellStyle name="Normal 2 4 10 2 3" xfId="1641"/>
    <cellStyle name="Normal 2 4 10 3" xfId="1642"/>
    <cellStyle name="Normal 2 4 10 4" xfId="1643"/>
    <cellStyle name="Normal 2 4 11" xfId="1644"/>
    <cellStyle name="Normal 2 4 11 2" xfId="1645"/>
    <cellStyle name="Normal 2 4 11 2 2" xfId="1646"/>
    <cellStyle name="Normal 2 4 11 2 3" xfId="1647"/>
    <cellStyle name="Normal 2 4 11 3" xfId="1648"/>
    <cellStyle name="Normal 2 4 11 4" xfId="1649"/>
    <cellStyle name="Normal 2 4 12" xfId="1650"/>
    <cellStyle name="Normal 2 4 12 2" xfId="1651"/>
    <cellStyle name="Normal 2 4 12 2 2" xfId="1652"/>
    <cellStyle name="Normal 2 4 12 2 3" xfId="1653"/>
    <cellStyle name="Normal 2 4 12 3" xfId="1654"/>
    <cellStyle name="Normal 2 4 12 4" xfId="1655"/>
    <cellStyle name="Normal 2 4 13" xfId="1656"/>
    <cellStyle name="Normal 2 4 13 2" xfId="1657"/>
    <cellStyle name="Normal 2 4 13 2 2" xfId="1658"/>
    <cellStyle name="Normal 2 4 13 2 3" xfId="1659"/>
    <cellStyle name="Normal 2 4 13 3" xfId="1660"/>
    <cellStyle name="Normal 2 4 13 4" xfId="1661"/>
    <cellStyle name="Normal 2 4 14" xfId="1662"/>
    <cellStyle name="Normal 2 4 15" xfId="1663"/>
    <cellStyle name="Normal 2 4 2" xfId="1664"/>
    <cellStyle name="Normal 2 4 2 2" xfId="1665"/>
    <cellStyle name="Normal 2 4 2 2 2" xfId="1666"/>
    <cellStyle name="Normal 2 4 2 2 3" xfId="1667"/>
    <cellStyle name="Normal 2 4 2 3" xfId="1668"/>
    <cellStyle name="Normal 2 4 2 4" xfId="1669"/>
    <cellStyle name="Normal 2 4 3" xfId="1670"/>
    <cellStyle name="Normal 2 4 3 2" xfId="1671"/>
    <cellStyle name="Normal 2 4 3 2 2" xfId="1672"/>
    <cellStyle name="Normal 2 4 3 2 3" xfId="1673"/>
    <cellStyle name="Normal 2 4 3 3" xfId="1674"/>
    <cellStyle name="Normal 2 4 3 4" xfId="1675"/>
    <cellStyle name="Normal 2 4 4" xfId="1676"/>
    <cellStyle name="Normal 2 4 4 2" xfId="1677"/>
    <cellStyle name="Normal 2 4 4 2 2" xfId="1678"/>
    <cellStyle name="Normal 2 4 4 2 3" xfId="1679"/>
    <cellStyle name="Normal 2 4 4 3" xfId="1680"/>
    <cellStyle name="Normal 2 4 4 4" xfId="1681"/>
    <cellStyle name="Normal 2 4 5" xfId="1682"/>
    <cellStyle name="Normal 2 4 5 2" xfId="1683"/>
    <cellStyle name="Normal 2 4 5 2 2" xfId="1684"/>
    <cellStyle name="Normal 2 4 5 2 3" xfId="1685"/>
    <cellStyle name="Normal 2 4 5 3" xfId="1686"/>
    <cellStyle name="Normal 2 4 5 4" xfId="1687"/>
    <cellStyle name="Normal 2 4 6" xfId="1688"/>
    <cellStyle name="Normal 2 4 6 2" xfId="1689"/>
    <cellStyle name="Normal 2 4 6 2 2" xfId="1690"/>
    <cellStyle name="Normal 2 4 6 2 3" xfId="1691"/>
    <cellStyle name="Normal 2 4 6 3" xfId="1692"/>
    <cellStyle name="Normal 2 4 6 4" xfId="1693"/>
    <cellStyle name="Normal 2 4 7" xfId="1694"/>
    <cellStyle name="Normal 2 4 7 2" xfId="1695"/>
    <cellStyle name="Normal 2 4 7 2 2" xfId="1696"/>
    <cellStyle name="Normal 2 4 7 2 3" xfId="1697"/>
    <cellStyle name="Normal 2 4 7 3" xfId="1698"/>
    <cellStyle name="Normal 2 4 7 4" xfId="1699"/>
    <cellStyle name="Normal 2 4 8" xfId="1700"/>
    <cellStyle name="Normal 2 4 8 2" xfId="1701"/>
    <cellStyle name="Normal 2 4 8 2 2" xfId="1702"/>
    <cellStyle name="Normal 2 4 8 2 3" xfId="1703"/>
    <cellStyle name="Normal 2 4 8 3" xfId="1704"/>
    <cellStyle name="Normal 2 4 8 4" xfId="1705"/>
    <cellStyle name="Normal 2 4 9" xfId="1706"/>
    <cellStyle name="Normal 2 4 9 2" xfId="1707"/>
    <cellStyle name="Normal 2 4 9 2 2" xfId="1708"/>
    <cellStyle name="Normal 2 4 9 2 3" xfId="1709"/>
    <cellStyle name="Normal 2 4 9 3" xfId="1710"/>
    <cellStyle name="Normal 2 4 9 4" xfId="1711"/>
    <cellStyle name="Normal 2 5" xfId="1712"/>
    <cellStyle name="Normal 2 5 2" xfId="1713"/>
    <cellStyle name="Normal 2 5 3" xfId="1714"/>
    <cellStyle name="Normal 2 6" xfId="1715"/>
    <cellStyle name="Normal 2 6 2" xfId="1716"/>
    <cellStyle name="Normal 2 6 3" xfId="1717"/>
    <cellStyle name="Normal 2 7" xfId="1718"/>
    <cellStyle name="Normal 2 7 2" xfId="1719"/>
    <cellStyle name="Normal 2 7 3" xfId="1720"/>
    <cellStyle name="Normal 2 8" xfId="1721"/>
    <cellStyle name="Normal 2 8 2" xfId="1722"/>
    <cellStyle name="Normal 2 8 3" xfId="1723"/>
    <cellStyle name="Normal 2 9" xfId="1724"/>
    <cellStyle name="Normal 2 9 2" xfId="1725"/>
    <cellStyle name="Normal 2_OTHsectors" xfId="1726"/>
    <cellStyle name="Normal 20" xfId="1727"/>
    <cellStyle name="Normal 21" xfId="1728"/>
    <cellStyle name="Normal 21 2" xfId="1729"/>
    <cellStyle name="Normal 26" xfId="1730"/>
    <cellStyle name="Normal 26 2" xfId="1731"/>
    <cellStyle name="Normal 3" xfId="1732"/>
    <cellStyle name="Normal 3 10" xfId="1733"/>
    <cellStyle name="Normal 3 10 2" xfId="1734"/>
    <cellStyle name="Normal 3 11" xfId="1735"/>
    <cellStyle name="Normal 3 11 2" xfId="1736"/>
    <cellStyle name="Normal 3 12" xfId="1737"/>
    <cellStyle name="Normal 3 12 2" xfId="1738"/>
    <cellStyle name="Normal 3 13" xfId="1739"/>
    <cellStyle name="Normal 3 13 2" xfId="1740"/>
    <cellStyle name="Normal 3 14" xfId="1741"/>
    <cellStyle name="Normal 3 14 2" xfId="1742"/>
    <cellStyle name="Normal 3 14 3" xfId="1743"/>
    <cellStyle name="Normal 3 15" xfId="1744"/>
    <cellStyle name="Normal 3 16" xfId="1745"/>
    <cellStyle name="Normal 3 17" xfId="1746"/>
    <cellStyle name="Normal 3 2" xfId="1747"/>
    <cellStyle name="Normal 3 2 10" xfId="1748"/>
    <cellStyle name="Normal 3 2 2" xfId="1749"/>
    <cellStyle name="Normal 3 2 2 2" xfId="1750"/>
    <cellStyle name="Normal 3 2 2 3" xfId="1751"/>
    <cellStyle name="Normal 3 2 3" xfId="1752"/>
    <cellStyle name="Normal 3 2 3 2" xfId="1753"/>
    <cellStyle name="Normal 3 2 4" xfId="1754"/>
    <cellStyle name="Normal 3 2 4 2" xfId="1755"/>
    <cellStyle name="Normal 3 2 5" xfId="1756"/>
    <cellStyle name="Normal 3 2 5 2" xfId="1757"/>
    <cellStyle name="Normal 3 2 6" xfId="1758"/>
    <cellStyle name="Normal 3 2 6 2" xfId="1759"/>
    <cellStyle name="Normal 3 2 7" xfId="1760"/>
    <cellStyle name="Normal 3 2 7 2" xfId="1761"/>
    <cellStyle name="Normal 3 2 8" xfId="1762"/>
    <cellStyle name="Normal 3 2 8 2" xfId="1763"/>
    <cellStyle name="Normal 3 2 9" xfId="1764"/>
    <cellStyle name="Normal 3 3" xfId="1765"/>
    <cellStyle name="Normal 3 3 10" xfId="1766"/>
    <cellStyle name="Normal 3 3 2" xfId="1767"/>
    <cellStyle name="Normal 3 3 2 2" xfId="1768"/>
    <cellStyle name="Normal 3 3 3" xfId="1769"/>
    <cellStyle name="Normal 3 3 3 2" xfId="1770"/>
    <cellStyle name="Normal 3 3 4" xfId="1771"/>
    <cellStyle name="Normal 3 3 4 2" xfId="1772"/>
    <cellStyle name="Normal 3 3 5" xfId="1773"/>
    <cellStyle name="Normal 3 3 5 2" xfId="1774"/>
    <cellStyle name="Normal 3 3 6" xfId="1775"/>
    <cellStyle name="Normal 3 3 6 2" xfId="1776"/>
    <cellStyle name="Normal 3 3 7" xfId="1777"/>
    <cellStyle name="Normal 3 3 7 2" xfId="1778"/>
    <cellStyle name="Normal 3 3 8" xfId="1779"/>
    <cellStyle name="Normal 3 3 8 2" xfId="1780"/>
    <cellStyle name="Normal 3 3 9" xfId="1781"/>
    <cellStyle name="Normal 3 4" xfId="1782"/>
    <cellStyle name="Normal 3 4 10" xfId="1783"/>
    <cellStyle name="Normal 3 4 2" xfId="1784"/>
    <cellStyle name="Normal 3 4 2 2" xfId="1785"/>
    <cellStyle name="Normal 3 4 2 3" xfId="1786"/>
    <cellStyle name="Normal 3 4 3" xfId="1787"/>
    <cellStyle name="Normal 3 4 3 2" xfId="1788"/>
    <cellStyle name="Normal 3 4 4" xfId="1789"/>
    <cellStyle name="Normal 3 4 4 2" xfId="1790"/>
    <cellStyle name="Normal 3 4 5" xfId="1791"/>
    <cellStyle name="Normal 3 4 5 2" xfId="1792"/>
    <cellStyle name="Normal 3 4 6" xfId="1793"/>
    <cellStyle name="Normal 3 4 6 2" xfId="1794"/>
    <cellStyle name="Normal 3 4 7" xfId="1795"/>
    <cellStyle name="Normal 3 4 7 2" xfId="1796"/>
    <cellStyle name="Normal 3 4 8" xfId="1797"/>
    <cellStyle name="Normal 3 4 8 2" xfId="1798"/>
    <cellStyle name="Normal 3 4 9" xfId="1799"/>
    <cellStyle name="Normal 3 5" xfId="1800"/>
    <cellStyle name="Normal 3 5 10" xfId="1801"/>
    <cellStyle name="Normal 3 5 2" xfId="1802"/>
    <cellStyle name="Normal 3 5 2 2" xfId="1803"/>
    <cellStyle name="Normal 3 5 3" xfId="1804"/>
    <cellStyle name="Normal 3 5 3 2" xfId="1805"/>
    <cellStyle name="Normal 3 5 4" xfId="1806"/>
    <cellStyle name="Normal 3 5 4 2" xfId="1807"/>
    <cellStyle name="Normal 3 5 5" xfId="1808"/>
    <cellStyle name="Normal 3 5 5 2" xfId="1809"/>
    <cellStyle name="Normal 3 5 6" xfId="1810"/>
    <cellStyle name="Normal 3 5 6 2" xfId="1811"/>
    <cellStyle name="Normal 3 5 7" xfId="1812"/>
    <cellStyle name="Normal 3 5 7 2" xfId="1813"/>
    <cellStyle name="Normal 3 5 8" xfId="1814"/>
    <cellStyle name="Normal 3 5 8 2" xfId="1815"/>
    <cellStyle name="Normal 3 5 9" xfId="1816"/>
    <cellStyle name="Normal 3 6" xfId="1817"/>
    <cellStyle name="Normal 3 6 2" xfId="1818"/>
    <cellStyle name="Normal 3 6 3" xfId="1819"/>
    <cellStyle name="Normal 3 7" xfId="1820"/>
    <cellStyle name="Normal 3 7 2" xfId="1821"/>
    <cellStyle name="Normal 3 8" xfId="1822"/>
    <cellStyle name="Normal 3 8 2" xfId="1823"/>
    <cellStyle name="Normal 3 9" xfId="1824"/>
    <cellStyle name="Normal 3 9 2" xfId="1825"/>
    <cellStyle name="Normal 4" xfId="1826"/>
    <cellStyle name="Normal 4 10" xfId="1827"/>
    <cellStyle name="Normal 4 10 2" xfId="1828"/>
    <cellStyle name="Normal 4 11" xfId="1829"/>
    <cellStyle name="Normal 4 11 2" xfId="1830"/>
    <cellStyle name="Normal 4 12" xfId="1831"/>
    <cellStyle name="Normal 4 12 2" xfId="1832"/>
    <cellStyle name="Normal 4 13" xfId="1833"/>
    <cellStyle name="Normal 4 14" xfId="1834"/>
    <cellStyle name="Normal 4 2" xfId="1835"/>
    <cellStyle name="Normal 4 2 10" xfId="1836"/>
    <cellStyle name="Normal 4 2 2" xfId="1837"/>
    <cellStyle name="Normal 4 2 2 10" xfId="1838"/>
    <cellStyle name="Normal 4 2 2 10 2" xfId="1839"/>
    <cellStyle name="Normal 4 2 2 10 2 2" xfId="1840"/>
    <cellStyle name="Normal 4 2 2 10 2 3" xfId="1841"/>
    <cellStyle name="Normal 4 2 2 10 3" xfId="1842"/>
    <cellStyle name="Normal 4 2 2 10 4" xfId="1843"/>
    <cellStyle name="Normal 4 2 2 11" xfId="1844"/>
    <cellStyle name="Normal 4 2 2 11 2" xfId="1845"/>
    <cellStyle name="Normal 4 2 2 11 2 2" xfId="1846"/>
    <cellStyle name="Normal 4 2 2 11 2 3" xfId="1847"/>
    <cellStyle name="Normal 4 2 2 11 3" xfId="1848"/>
    <cellStyle name="Normal 4 2 2 11 4" xfId="1849"/>
    <cellStyle name="Normal 4 2 2 12" xfId="1850"/>
    <cellStyle name="Normal 4 2 2 12 2" xfId="1851"/>
    <cellStyle name="Normal 4 2 2 12 2 2" xfId="1852"/>
    <cellStyle name="Normal 4 2 2 12 2 3" xfId="1853"/>
    <cellStyle name="Normal 4 2 2 12 3" xfId="1854"/>
    <cellStyle name="Normal 4 2 2 12 4" xfId="1855"/>
    <cellStyle name="Normal 4 2 2 13" xfId="1856"/>
    <cellStyle name="Normal 4 2 2 13 2" xfId="1857"/>
    <cellStyle name="Normal 4 2 2 13 2 2" xfId="1858"/>
    <cellStyle name="Normal 4 2 2 13 2 3" xfId="1859"/>
    <cellStyle name="Normal 4 2 2 13 3" xfId="1860"/>
    <cellStyle name="Normal 4 2 2 13 4" xfId="1861"/>
    <cellStyle name="Normal 4 2 2 14" xfId="1862"/>
    <cellStyle name="Normal 4 2 2 2" xfId="1863"/>
    <cellStyle name="Normal 4 2 2 2 10" xfId="1864"/>
    <cellStyle name="Normal 4 2 2 2 10 2" xfId="1865"/>
    <cellStyle name="Normal 4 2 2 2 11" xfId="1866"/>
    <cellStyle name="Normal 4 2 2 2 11 2" xfId="1867"/>
    <cellStyle name="Normal 4 2 2 2 12" xfId="1868"/>
    <cellStyle name="Normal 4 2 2 2 12 2" xfId="1869"/>
    <cellStyle name="Normal 4 2 2 2 13" xfId="1870"/>
    <cellStyle name="Normal 4 2 2 2 13 2" xfId="1871"/>
    <cellStyle name="Normal 4 2 2 2 14" xfId="1872"/>
    <cellStyle name="Normal 4 2 2 2 14 2" xfId="1873"/>
    <cellStyle name="Normal 4 2 2 2 14 3" xfId="1874"/>
    <cellStyle name="Normal 4 2 2 2 15" xfId="1875"/>
    <cellStyle name="Normal 4 2 2 2 16" xfId="1876"/>
    <cellStyle name="Normal 4 2 2 2 2" xfId="1877"/>
    <cellStyle name="Normal 4 2 2 2 2 2" xfId="1878"/>
    <cellStyle name="Normal 4 2 2 2 3" xfId="1879"/>
    <cellStyle name="Normal 4 2 2 2 3 2" xfId="1880"/>
    <cellStyle name="Normal 4 2 2 2 4" xfId="1881"/>
    <cellStyle name="Normal 4 2 2 2 4 2" xfId="1882"/>
    <cellStyle name="Normal 4 2 2 2 5" xfId="1883"/>
    <cellStyle name="Normal 4 2 2 2 5 2" xfId="1884"/>
    <cellStyle name="Normal 4 2 2 2 6" xfId="1885"/>
    <cellStyle name="Normal 4 2 2 2 6 2" xfId="1886"/>
    <cellStyle name="Normal 4 2 2 2 7" xfId="1887"/>
    <cellStyle name="Normal 4 2 2 2 7 2" xfId="1888"/>
    <cellStyle name="Normal 4 2 2 2 8" xfId="1889"/>
    <cellStyle name="Normal 4 2 2 2 8 2" xfId="1890"/>
    <cellStyle name="Normal 4 2 2 2 9" xfId="1891"/>
    <cellStyle name="Normal 4 2 2 2 9 2" xfId="1892"/>
    <cellStyle name="Normal 4 2 2 3" xfId="1893"/>
    <cellStyle name="Normal 4 2 2 3 2" xfId="1894"/>
    <cellStyle name="Normal 4 2 2 3 2 2" xfId="1895"/>
    <cellStyle name="Normal 4 2 2 3 2 3" xfId="1896"/>
    <cellStyle name="Normal 4 2 2 3 3" xfId="1897"/>
    <cellStyle name="Normal 4 2 2 3 4" xfId="1898"/>
    <cellStyle name="Normal 4 2 2 4" xfId="1899"/>
    <cellStyle name="Normal 4 2 2 4 2" xfId="1900"/>
    <cellStyle name="Normal 4 2 2 4 2 2" xfId="1901"/>
    <cellStyle name="Normal 4 2 2 4 2 3" xfId="1902"/>
    <cellStyle name="Normal 4 2 2 4 3" xfId="1903"/>
    <cellStyle name="Normal 4 2 2 4 4" xfId="1904"/>
    <cellStyle name="Normal 4 2 2 5" xfId="1905"/>
    <cellStyle name="Normal 4 2 2 5 2" xfId="1906"/>
    <cellStyle name="Normal 4 2 2 5 2 2" xfId="1907"/>
    <cellStyle name="Normal 4 2 2 5 2 3" xfId="1908"/>
    <cellStyle name="Normal 4 2 2 5 3" xfId="1909"/>
    <cellStyle name="Normal 4 2 2 5 4" xfId="1910"/>
    <cellStyle name="Normal 4 2 2 6" xfId="1911"/>
    <cellStyle name="Normal 4 2 2 6 2" xfId="1912"/>
    <cellStyle name="Normal 4 2 2 6 2 2" xfId="1913"/>
    <cellStyle name="Normal 4 2 2 6 2 3" xfId="1914"/>
    <cellStyle name="Normal 4 2 2 6 3" xfId="1915"/>
    <cellStyle name="Normal 4 2 2 6 4" xfId="1916"/>
    <cellStyle name="Normal 4 2 2 7" xfId="1917"/>
    <cellStyle name="Normal 4 2 2 7 2" xfId="1918"/>
    <cellStyle name="Normal 4 2 2 7 2 2" xfId="1919"/>
    <cellStyle name="Normal 4 2 2 7 2 3" xfId="1920"/>
    <cellStyle name="Normal 4 2 2 7 3" xfId="1921"/>
    <cellStyle name="Normal 4 2 2 7 4" xfId="1922"/>
    <cellStyle name="Normal 4 2 2 8" xfId="1923"/>
    <cellStyle name="Normal 4 2 2 8 2" xfId="1924"/>
    <cellStyle name="Normal 4 2 2 8 2 2" xfId="1925"/>
    <cellStyle name="Normal 4 2 2 8 2 3" xfId="1926"/>
    <cellStyle name="Normal 4 2 2 8 3" xfId="1927"/>
    <cellStyle name="Normal 4 2 2 8 4" xfId="1928"/>
    <cellStyle name="Normal 4 2 2 9" xfId="1929"/>
    <cellStyle name="Normal 4 2 2 9 2" xfId="1930"/>
    <cellStyle name="Normal 4 2 2 9 2 2" xfId="1931"/>
    <cellStyle name="Normal 4 2 2 9 2 3" xfId="1932"/>
    <cellStyle name="Normal 4 2 2 9 3" xfId="1933"/>
    <cellStyle name="Normal 4 2 2 9 4" xfId="1934"/>
    <cellStyle name="Normal 4 2 3" xfId="1935"/>
    <cellStyle name="Normal 4 2 3 2" xfId="1936"/>
    <cellStyle name="Normal 4 2 4" xfId="1937"/>
    <cellStyle name="Normal 4 2 4 2" xfId="1938"/>
    <cellStyle name="Normal 4 2 5" xfId="1939"/>
    <cellStyle name="Normal 4 2 5 2" xfId="1940"/>
    <cellStyle name="Normal 4 2 6" xfId="1941"/>
    <cellStyle name="Normal 4 2 6 2" xfId="1942"/>
    <cellStyle name="Normal 4 2 7" xfId="1943"/>
    <cellStyle name="Normal 4 2 7 2" xfId="1944"/>
    <cellStyle name="Normal 4 2 8" xfId="1945"/>
    <cellStyle name="Normal 4 2 8 2" xfId="1946"/>
    <cellStyle name="Normal 4 2 9" xfId="1947"/>
    <cellStyle name="Normal 4 3" xfId="1948"/>
    <cellStyle name="Normal 4 3 10" xfId="1949"/>
    <cellStyle name="Normal 4 3 2" xfId="1950"/>
    <cellStyle name="Normal 4 3 2 2" xfId="1951"/>
    <cellStyle name="Normal 4 3 3" xfId="1952"/>
    <cellStyle name="Normal 4 3 3 2" xfId="1953"/>
    <cellStyle name="Normal 4 3 4" xfId="1954"/>
    <cellStyle name="Normal 4 3 4 2" xfId="1955"/>
    <cellStyle name="Normal 4 3 5" xfId="1956"/>
    <cellStyle name="Normal 4 3 5 2" xfId="1957"/>
    <cellStyle name="Normal 4 3 6" xfId="1958"/>
    <cellStyle name="Normal 4 3 6 2" xfId="1959"/>
    <cellStyle name="Normal 4 3 7" xfId="1960"/>
    <cellStyle name="Normal 4 3 7 2" xfId="1961"/>
    <cellStyle name="Normal 4 3 8" xfId="1962"/>
    <cellStyle name="Normal 4 3 8 2" xfId="1963"/>
    <cellStyle name="Normal 4 3 9" xfId="1964"/>
    <cellStyle name="Normal 4 4" xfId="1965"/>
    <cellStyle name="Normal 4 4 10" xfId="1966"/>
    <cellStyle name="Normal 4 4 2" xfId="1967"/>
    <cellStyle name="Normal 4 4 2 2" xfId="1968"/>
    <cellStyle name="Normal 4 4 3" xfId="1969"/>
    <cellStyle name="Normal 4 4 3 2" xfId="1970"/>
    <cellStyle name="Normal 4 4 4" xfId="1971"/>
    <cellStyle name="Normal 4 4 4 2" xfId="1972"/>
    <cellStyle name="Normal 4 4 5" xfId="1973"/>
    <cellStyle name="Normal 4 4 5 2" xfId="1974"/>
    <cellStyle name="Normal 4 4 6" xfId="1975"/>
    <cellStyle name="Normal 4 4 6 2" xfId="1976"/>
    <cellStyle name="Normal 4 4 7" xfId="1977"/>
    <cellStyle name="Normal 4 4 7 2" xfId="1978"/>
    <cellStyle name="Normal 4 4 8" xfId="1979"/>
    <cellStyle name="Normal 4 4 8 2" xfId="1980"/>
    <cellStyle name="Normal 4 4 9" xfId="1981"/>
    <cellStyle name="Normal 4 5" xfId="1982"/>
    <cellStyle name="Normal 4 5 2" xfId="1983"/>
    <cellStyle name="Normal 4 5 2 2" xfId="1984"/>
    <cellStyle name="Normal 4 5 3" xfId="1985"/>
    <cellStyle name="Normal 4 5 3 2" xfId="1986"/>
    <cellStyle name="Normal 4 5 4" xfId="1987"/>
    <cellStyle name="Normal 4 5 4 2" xfId="1988"/>
    <cellStyle name="Normal 4 5 5" xfId="1989"/>
    <cellStyle name="Normal 4 5 5 2" xfId="1990"/>
    <cellStyle name="Normal 4 5 6" xfId="1991"/>
    <cellStyle name="Normal 4 5 6 2" xfId="1992"/>
    <cellStyle name="Normal 4 5 7" xfId="1993"/>
    <cellStyle name="Normal 4 5 7 2" xfId="1994"/>
    <cellStyle name="Normal 4 5 8" xfId="1995"/>
    <cellStyle name="Normal 4 5 8 2" xfId="1996"/>
    <cellStyle name="Normal 4 5 9" xfId="1997"/>
    <cellStyle name="Normal 4 6" xfId="1998"/>
    <cellStyle name="Normal 4 6 2" xfId="1999"/>
    <cellStyle name="Normal 4 7" xfId="2000"/>
    <cellStyle name="Normal 4 7 2" xfId="2001"/>
    <cellStyle name="Normal 4 8" xfId="2002"/>
    <cellStyle name="Normal 4 8 2" xfId="2003"/>
    <cellStyle name="Normal 4 9" xfId="2004"/>
    <cellStyle name="Normal 4 9 2" xfId="2005"/>
    <cellStyle name="Normal 5" xfId="2006"/>
    <cellStyle name="Normal 5 10" xfId="2007"/>
    <cellStyle name="Normal 5 10 2" xfId="2008"/>
    <cellStyle name="Normal 5 11" xfId="2009"/>
    <cellStyle name="Normal 5 11 2" xfId="2010"/>
    <cellStyle name="Normal 5 12" xfId="2011"/>
    <cellStyle name="Normal 5 12 2" xfId="2012"/>
    <cellStyle name="Normal 5 13" xfId="2013"/>
    <cellStyle name="Normal 5 13 2" xfId="2014"/>
    <cellStyle name="Normal 5 14" xfId="2015"/>
    <cellStyle name="Normal 5 14 2" xfId="2016"/>
    <cellStyle name="Normal 5 14 3" xfId="2017"/>
    <cellStyle name="Normal 5 15" xfId="2018"/>
    <cellStyle name="Normal 5 16" xfId="2019"/>
    <cellStyle name="Normal 5 17" xfId="2020"/>
    <cellStyle name="Normal 5 2" xfId="2021"/>
    <cellStyle name="Normal 5 2 10" xfId="2022"/>
    <cellStyle name="Normal 5 2 10 2" xfId="2023"/>
    <cellStyle name="Normal 5 2 10 3" xfId="2024"/>
    <cellStyle name="Normal 5 2 11" xfId="2025"/>
    <cellStyle name="Normal 5 2 12" xfId="2026"/>
    <cellStyle name="Normal 5 2 13" xfId="2027"/>
    <cellStyle name="Normal 5 2 2" xfId="2028"/>
    <cellStyle name="Normal 5 2 2 10" xfId="2029"/>
    <cellStyle name="Normal 5 2 2 10 2" xfId="2030"/>
    <cellStyle name="Normal 5 2 2 10 2 2" xfId="2031"/>
    <cellStyle name="Normal 5 2 2 10 2 3" xfId="2032"/>
    <cellStyle name="Normal 5 2 2 10 3" xfId="2033"/>
    <cellStyle name="Normal 5 2 2 10 4" xfId="2034"/>
    <cellStyle name="Normal 5 2 2 11" xfId="2035"/>
    <cellStyle name="Normal 5 2 2 11 2" xfId="2036"/>
    <cellStyle name="Normal 5 2 2 11 2 2" xfId="2037"/>
    <cellStyle name="Normal 5 2 2 11 2 3" xfId="2038"/>
    <cellStyle name="Normal 5 2 2 11 3" xfId="2039"/>
    <cellStyle name="Normal 5 2 2 11 4" xfId="2040"/>
    <cellStyle name="Normal 5 2 2 12" xfId="2041"/>
    <cellStyle name="Normal 5 2 2 12 2" xfId="2042"/>
    <cellStyle name="Normal 5 2 2 12 2 2" xfId="2043"/>
    <cellStyle name="Normal 5 2 2 12 2 3" xfId="2044"/>
    <cellStyle name="Normal 5 2 2 12 3" xfId="2045"/>
    <cellStyle name="Normal 5 2 2 12 4" xfId="2046"/>
    <cellStyle name="Normal 5 2 2 13" xfId="2047"/>
    <cellStyle name="Normal 5 2 2 13 2" xfId="2048"/>
    <cellStyle name="Normal 5 2 2 13 2 2" xfId="2049"/>
    <cellStyle name="Normal 5 2 2 13 2 3" xfId="2050"/>
    <cellStyle name="Normal 5 2 2 13 3" xfId="2051"/>
    <cellStyle name="Normal 5 2 2 13 4" xfId="2052"/>
    <cellStyle name="Normal 5 2 2 14" xfId="2053"/>
    <cellStyle name="Normal 5 2 2 2" xfId="2054"/>
    <cellStyle name="Normal 5 2 2 2 10" xfId="2055"/>
    <cellStyle name="Normal 5 2 2 2 10 2" xfId="2056"/>
    <cellStyle name="Normal 5 2 2 2 11" xfId="2057"/>
    <cellStyle name="Normal 5 2 2 2 11 2" xfId="2058"/>
    <cellStyle name="Normal 5 2 2 2 12" xfId="2059"/>
    <cellStyle name="Normal 5 2 2 2 12 2" xfId="2060"/>
    <cellStyle name="Normal 5 2 2 2 13" xfId="2061"/>
    <cellStyle name="Normal 5 2 2 2 13 2" xfId="2062"/>
    <cellStyle name="Normal 5 2 2 2 14" xfId="2063"/>
    <cellStyle name="Normal 5 2 2 2 14 2" xfId="2064"/>
    <cellStyle name="Normal 5 2 2 2 14 3" xfId="2065"/>
    <cellStyle name="Normal 5 2 2 2 15" xfId="2066"/>
    <cellStyle name="Normal 5 2 2 2 16" xfId="2067"/>
    <cellStyle name="Normal 5 2 2 2 2" xfId="2068"/>
    <cellStyle name="Normal 5 2 2 2 2 2" xfId="2069"/>
    <cellStyle name="Normal 5 2 2 2 3" xfId="2070"/>
    <cellStyle name="Normal 5 2 2 2 3 2" xfId="2071"/>
    <cellStyle name="Normal 5 2 2 2 4" xfId="2072"/>
    <cellStyle name="Normal 5 2 2 2 4 2" xfId="2073"/>
    <cellStyle name="Normal 5 2 2 2 5" xfId="2074"/>
    <cellStyle name="Normal 5 2 2 2 5 2" xfId="2075"/>
    <cellStyle name="Normal 5 2 2 2 6" xfId="2076"/>
    <cellStyle name="Normal 5 2 2 2 6 2" xfId="2077"/>
    <cellStyle name="Normal 5 2 2 2 7" xfId="2078"/>
    <cellStyle name="Normal 5 2 2 2 7 2" xfId="2079"/>
    <cellStyle name="Normal 5 2 2 2 8" xfId="2080"/>
    <cellStyle name="Normal 5 2 2 2 8 2" xfId="2081"/>
    <cellStyle name="Normal 5 2 2 2 9" xfId="2082"/>
    <cellStyle name="Normal 5 2 2 2 9 2" xfId="2083"/>
    <cellStyle name="Normal 5 2 2 3" xfId="2084"/>
    <cellStyle name="Normal 5 2 2 3 2" xfId="2085"/>
    <cellStyle name="Normal 5 2 2 3 2 2" xfId="2086"/>
    <cellStyle name="Normal 5 2 2 3 2 3" xfId="2087"/>
    <cellStyle name="Normal 5 2 2 3 3" xfId="2088"/>
    <cellStyle name="Normal 5 2 2 3 4" xfId="2089"/>
    <cellStyle name="Normal 5 2 2 4" xfId="2090"/>
    <cellStyle name="Normal 5 2 2 4 2" xfId="2091"/>
    <cellStyle name="Normal 5 2 2 4 2 2" xfId="2092"/>
    <cellStyle name="Normal 5 2 2 4 2 3" xfId="2093"/>
    <cellStyle name="Normal 5 2 2 4 3" xfId="2094"/>
    <cellStyle name="Normal 5 2 2 4 4" xfId="2095"/>
    <cellStyle name="Normal 5 2 2 5" xfId="2096"/>
    <cellStyle name="Normal 5 2 2 5 2" xfId="2097"/>
    <cellStyle name="Normal 5 2 2 5 2 2" xfId="2098"/>
    <cellStyle name="Normal 5 2 2 5 2 3" xfId="2099"/>
    <cellStyle name="Normal 5 2 2 5 3" xfId="2100"/>
    <cellStyle name="Normal 5 2 2 5 4" xfId="2101"/>
    <cellStyle name="Normal 5 2 2 6" xfId="2102"/>
    <cellStyle name="Normal 5 2 2 6 2" xfId="2103"/>
    <cellStyle name="Normal 5 2 2 6 2 2" xfId="2104"/>
    <cellStyle name="Normal 5 2 2 6 2 3" xfId="2105"/>
    <cellStyle name="Normal 5 2 2 6 3" xfId="2106"/>
    <cellStyle name="Normal 5 2 2 6 4" xfId="2107"/>
    <cellStyle name="Normal 5 2 2 7" xfId="2108"/>
    <cellStyle name="Normal 5 2 2 7 2" xfId="2109"/>
    <cellStyle name="Normal 5 2 2 7 2 2" xfId="2110"/>
    <cellStyle name="Normal 5 2 2 7 2 3" xfId="2111"/>
    <cellStyle name="Normal 5 2 2 7 3" xfId="2112"/>
    <cellStyle name="Normal 5 2 2 7 4" xfId="2113"/>
    <cellStyle name="Normal 5 2 2 8" xfId="2114"/>
    <cellStyle name="Normal 5 2 2 8 2" xfId="2115"/>
    <cellStyle name="Normal 5 2 2 8 2 2" xfId="2116"/>
    <cellStyle name="Normal 5 2 2 8 2 3" xfId="2117"/>
    <cellStyle name="Normal 5 2 2 8 3" xfId="2118"/>
    <cellStyle name="Normal 5 2 2 8 4" xfId="2119"/>
    <cellStyle name="Normal 5 2 2 9" xfId="2120"/>
    <cellStyle name="Normal 5 2 2 9 2" xfId="2121"/>
    <cellStyle name="Normal 5 2 2 9 2 2" xfId="2122"/>
    <cellStyle name="Normal 5 2 2 9 2 3" xfId="2123"/>
    <cellStyle name="Normal 5 2 2 9 3" xfId="2124"/>
    <cellStyle name="Normal 5 2 2 9 4" xfId="2125"/>
    <cellStyle name="Normal 5 2 3" xfId="2126"/>
    <cellStyle name="Normal 5 2 3 2" xfId="2127"/>
    <cellStyle name="Normal 5 2 4" xfId="2128"/>
    <cellStyle name="Normal 5 2 4 2" xfId="2129"/>
    <cellStyle name="Normal 5 2 5" xfId="2130"/>
    <cellStyle name="Normal 5 2 5 2" xfId="2131"/>
    <cellStyle name="Normal 5 2 6" xfId="2132"/>
    <cellStyle name="Normal 5 2 6 2" xfId="2133"/>
    <cellStyle name="Normal 5 2 7" xfId="2134"/>
    <cellStyle name="Normal 5 2 7 2" xfId="2135"/>
    <cellStyle name="Normal 5 2 8" xfId="2136"/>
    <cellStyle name="Normal 5 2 8 2" xfId="2137"/>
    <cellStyle name="Normal 5 2 9" xfId="2138"/>
    <cellStyle name="Normal 5 2 9 2" xfId="2139"/>
    <cellStyle name="Normal 5 3" xfId="2140"/>
    <cellStyle name="Normal 5 3 10" xfId="2141"/>
    <cellStyle name="Normal 5 3 2" xfId="2142"/>
    <cellStyle name="Normal 5 3 2 2" xfId="2143"/>
    <cellStyle name="Normal 5 3 3" xfId="2144"/>
    <cellStyle name="Normal 5 3 3 2" xfId="2145"/>
    <cellStyle name="Normal 5 3 4" xfId="2146"/>
    <cellStyle name="Normal 5 3 4 2" xfId="2147"/>
    <cellStyle name="Normal 5 3 5" xfId="2148"/>
    <cellStyle name="Normal 5 3 5 2" xfId="2149"/>
    <cellStyle name="Normal 5 3 6" xfId="2150"/>
    <cellStyle name="Normal 5 3 6 2" xfId="2151"/>
    <cellStyle name="Normal 5 3 7" xfId="2152"/>
    <cellStyle name="Normal 5 3 7 2" xfId="2153"/>
    <cellStyle name="Normal 5 3 8" xfId="2154"/>
    <cellStyle name="Normal 5 3 8 2" xfId="2155"/>
    <cellStyle name="Normal 5 3 9" xfId="2156"/>
    <cellStyle name="Normal 5 4" xfId="2157"/>
    <cellStyle name="Normal 5 4 10" xfId="2158"/>
    <cellStyle name="Normal 5 4 2" xfId="2159"/>
    <cellStyle name="Normal 5 4 2 2" xfId="2160"/>
    <cellStyle name="Normal 5 4 3" xfId="2161"/>
    <cellStyle name="Normal 5 4 3 2" xfId="2162"/>
    <cellStyle name="Normal 5 4 4" xfId="2163"/>
    <cellStyle name="Normal 5 4 4 2" xfId="2164"/>
    <cellStyle name="Normal 5 4 5" xfId="2165"/>
    <cellStyle name="Normal 5 4 5 2" xfId="2166"/>
    <cellStyle name="Normal 5 4 6" xfId="2167"/>
    <cellStyle name="Normal 5 4 6 2" xfId="2168"/>
    <cellStyle name="Normal 5 4 7" xfId="2169"/>
    <cellStyle name="Normal 5 4 7 2" xfId="2170"/>
    <cellStyle name="Normal 5 4 8" xfId="2171"/>
    <cellStyle name="Normal 5 4 8 2" xfId="2172"/>
    <cellStyle name="Normal 5 4 9" xfId="2173"/>
    <cellStyle name="Normal 5 5" xfId="2174"/>
    <cellStyle name="Normal 5 5 2" xfId="2175"/>
    <cellStyle name="Normal 5 5 2 2" xfId="2176"/>
    <cellStyle name="Normal 5 5 3" xfId="2177"/>
    <cellStyle name="Normal 5 5 3 2" xfId="2178"/>
    <cellStyle name="Normal 5 5 4" xfId="2179"/>
    <cellStyle name="Normal 5 5 4 2" xfId="2180"/>
    <cellStyle name="Normal 5 5 5" xfId="2181"/>
    <cellStyle name="Normal 5 5 5 2" xfId="2182"/>
    <cellStyle name="Normal 5 5 6" xfId="2183"/>
    <cellStyle name="Normal 5 5 6 2" xfId="2184"/>
    <cellStyle name="Normal 5 5 7" xfId="2185"/>
    <cellStyle name="Normal 5 5 7 2" xfId="2186"/>
    <cellStyle name="Normal 5 5 8" xfId="2187"/>
    <cellStyle name="Normal 5 5 8 2" xfId="2188"/>
    <cellStyle name="Normal 5 5 9" xfId="2189"/>
    <cellStyle name="Normal 5 6" xfId="2190"/>
    <cellStyle name="Normal 5 6 2" xfId="2191"/>
    <cellStyle name="Normal 5 7" xfId="2192"/>
    <cellStyle name="Normal 5 7 2" xfId="2193"/>
    <cellStyle name="Normal 5 8" xfId="2194"/>
    <cellStyle name="Normal 5 8 2" xfId="2195"/>
    <cellStyle name="Normal 5 9" xfId="2196"/>
    <cellStyle name="Normal 5 9 2" xfId="2197"/>
    <cellStyle name="Normal 6" xfId="2198"/>
    <cellStyle name="Normal 6 10" xfId="2199"/>
    <cellStyle name="Normal 6 10 2" xfId="2200"/>
    <cellStyle name="Normal 6 11" xfId="2201"/>
    <cellStyle name="Normal 6 11 2" xfId="2202"/>
    <cellStyle name="Normal 6 12" xfId="2203"/>
    <cellStyle name="Normal 6 12 2" xfId="2204"/>
    <cellStyle name="Normal 6 13" xfId="2205"/>
    <cellStyle name="Normal 6 13 2" xfId="2206"/>
    <cellStyle name="Normal 6 14" xfId="2207"/>
    <cellStyle name="Normal 6 15" xfId="2208"/>
    <cellStyle name="Normal 6 2" xfId="2209"/>
    <cellStyle name="Normal 6 2 10" xfId="2210"/>
    <cellStyle name="Normal 6 2 2" xfId="2211"/>
    <cellStyle name="Normal 6 2 2 10" xfId="2212"/>
    <cellStyle name="Normal 6 2 2 10 2" xfId="2213"/>
    <cellStyle name="Normal 6 2 2 10 2 2" xfId="2214"/>
    <cellStyle name="Normal 6 2 2 10 2 3" xfId="2215"/>
    <cellStyle name="Normal 6 2 2 10 3" xfId="2216"/>
    <cellStyle name="Normal 6 2 2 10 4" xfId="2217"/>
    <cellStyle name="Normal 6 2 2 11" xfId="2218"/>
    <cellStyle name="Normal 6 2 2 11 2" xfId="2219"/>
    <cellStyle name="Normal 6 2 2 11 2 2" xfId="2220"/>
    <cellStyle name="Normal 6 2 2 11 2 3" xfId="2221"/>
    <cellStyle name="Normal 6 2 2 11 3" xfId="2222"/>
    <cellStyle name="Normal 6 2 2 11 4" xfId="2223"/>
    <cellStyle name="Normal 6 2 2 12" xfId="2224"/>
    <cellStyle name="Normal 6 2 2 12 2" xfId="2225"/>
    <cellStyle name="Normal 6 2 2 12 2 2" xfId="2226"/>
    <cellStyle name="Normal 6 2 2 12 2 3" xfId="2227"/>
    <cellStyle name="Normal 6 2 2 12 3" xfId="2228"/>
    <cellStyle name="Normal 6 2 2 12 4" xfId="2229"/>
    <cellStyle name="Normal 6 2 2 13" xfId="2230"/>
    <cellStyle name="Normal 6 2 2 13 2" xfId="2231"/>
    <cellStyle name="Normal 6 2 2 13 2 2" xfId="2232"/>
    <cellStyle name="Normal 6 2 2 13 2 3" xfId="2233"/>
    <cellStyle name="Normal 6 2 2 13 3" xfId="2234"/>
    <cellStyle name="Normal 6 2 2 13 4" xfId="2235"/>
    <cellStyle name="Normal 6 2 2 14" xfId="2236"/>
    <cellStyle name="Normal 6 2 2 15" xfId="2237"/>
    <cellStyle name="Normal 6 2 2 2" xfId="2238"/>
    <cellStyle name="Normal 6 2 2 2 2" xfId="2239"/>
    <cellStyle name="Normal 6 2 2 2 2 2" xfId="2240"/>
    <cellStyle name="Normal 6 2 2 2 2 3" xfId="2241"/>
    <cellStyle name="Normal 6 2 2 2 3" xfId="2242"/>
    <cellStyle name="Normal 6 2 2 2 4" xfId="2243"/>
    <cellStyle name="Normal 6 2 2 3" xfId="2244"/>
    <cellStyle name="Normal 6 2 2 3 2" xfId="2245"/>
    <cellStyle name="Normal 6 2 2 3 2 2" xfId="2246"/>
    <cellStyle name="Normal 6 2 2 3 2 3" xfId="2247"/>
    <cellStyle name="Normal 6 2 2 3 3" xfId="2248"/>
    <cellStyle name="Normal 6 2 2 3 4" xfId="2249"/>
    <cellStyle name="Normal 6 2 2 4" xfId="2250"/>
    <cellStyle name="Normal 6 2 2 4 2" xfId="2251"/>
    <cellStyle name="Normal 6 2 2 4 2 2" xfId="2252"/>
    <cellStyle name="Normal 6 2 2 4 2 3" xfId="2253"/>
    <cellStyle name="Normal 6 2 2 4 3" xfId="2254"/>
    <cellStyle name="Normal 6 2 2 4 4" xfId="2255"/>
    <cellStyle name="Normal 6 2 2 5" xfId="2256"/>
    <cellStyle name="Normal 6 2 2 5 2" xfId="2257"/>
    <cellStyle name="Normal 6 2 2 5 2 2" xfId="2258"/>
    <cellStyle name="Normal 6 2 2 5 2 3" xfId="2259"/>
    <cellStyle name="Normal 6 2 2 5 3" xfId="2260"/>
    <cellStyle name="Normal 6 2 2 5 4" xfId="2261"/>
    <cellStyle name="Normal 6 2 2 6" xfId="2262"/>
    <cellStyle name="Normal 6 2 2 6 2" xfId="2263"/>
    <cellStyle name="Normal 6 2 2 6 2 2" xfId="2264"/>
    <cellStyle name="Normal 6 2 2 6 2 3" xfId="2265"/>
    <cellStyle name="Normal 6 2 2 6 3" xfId="2266"/>
    <cellStyle name="Normal 6 2 2 6 4" xfId="2267"/>
    <cellStyle name="Normal 6 2 2 7" xfId="2268"/>
    <cellStyle name="Normal 6 2 2 7 2" xfId="2269"/>
    <cellStyle name="Normal 6 2 2 7 2 2" xfId="2270"/>
    <cellStyle name="Normal 6 2 2 7 2 3" xfId="2271"/>
    <cellStyle name="Normal 6 2 2 7 3" xfId="2272"/>
    <cellStyle name="Normal 6 2 2 7 4" xfId="2273"/>
    <cellStyle name="Normal 6 2 2 8" xfId="2274"/>
    <cellStyle name="Normal 6 2 2 8 2" xfId="2275"/>
    <cellStyle name="Normal 6 2 2 8 2 2" xfId="2276"/>
    <cellStyle name="Normal 6 2 2 8 2 3" xfId="2277"/>
    <cellStyle name="Normal 6 2 2 8 3" xfId="2278"/>
    <cellStyle name="Normal 6 2 2 8 4" xfId="2279"/>
    <cellStyle name="Normal 6 2 2 9" xfId="2280"/>
    <cellStyle name="Normal 6 2 2 9 2" xfId="2281"/>
    <cellStyle name="Normal 6 2 2 9 2 2" xfId="2282"/>
    <cellStyle name="Normal 6 2 2 9 2 3" xfId="2283"/>
    <cellStyle name="Normal 6 2 2 9 3" xfId="2284"/>
    <cellStyle name="Normal 6 2 2 9 4" xfId="2285"/>
    <cellStyle name="Normal 6 2 3" xfId="2286"/>
    <cellStyle name="Normal 6 2 3 2" xfId="2287"/>
    <cellStyle name="Normal 6 2 4" xfId="2288"/>
    <cellStyle name="Normal 6 2 4 2" xfId="2289"/>
    <cellStyle name="Normal 6 2 5" xfId="2290"/>
    <cellStyle name="Normal 6 2 5 2" xfId="2291"/>
    <cellStyle name="Normal 6 2 6" xfId="2292"/>
    <cellStyle name="Normal 6 2 6 2" xfId="2293"/>
    <cellStyle name="Normal 6 2 7" xfId="2294"/>
    <cellStyle name="Normal 6 2 7 2" xfId="2295"/>
    <cellStyle name="Normal 6 2 8" xfId="2296"/>
    <cellStyle name="Normal 6 2 8 2" xfId="2297"/>
    <cellStyle name="Normal 6 2 9" xfId="2298"/>
    <cellStyle name="Normal 6 3" xfId="2299"/>
    <cellStyle name="Normal 6 3 10" xfId="2300"/>
    <cellStyle name="Normal 6 3 2" xfId="2301"/>
    <cellStyle name="Normal 6 3 2 2" xfId="2302"/>
    <cellStyle name="Normal 6 3 3" xfId="2303"/>
    <cellStyle name="Normal 6 3 3 2" xfId="2304"/>
    <cellStyle name="Normal 6 3 4" xfId="2305"/>
    <cellStyle name="Normal 6 3 4 2" xfId="2306"/>
    <cellStyle name="Normal 6 3 5" xfId="2307"/>
    <cellStyle name="Normal 6 3 5 2" xfId="2308"/>
    <cellStyle name="Normal 6 3 6" xfId="2309"/>
    <cellStyle name="Normal 6 3 6 2" xfId="2310"/>
    <cellStyle name="Normal 6 3 7" xfId="2311"/>
    <cellStyle name="Normal 6 3 7 2" xfId="2312"/>
    <cellStyle name="Normal 6 3 8" xfId="2313"/>
    <cellStyle name="Normal 6 3 8 2" xfId="2314"/>
    <cellStyle name="Normal 6 3 9" xfId="2315"/>
    <cellStyle name="Normal 6 4" xfId="2316"/>
    <cellStyle name="Normal 6 4 10" xfId="2317"/>
    <cellStyle name="Normal 6 4 2" xfId="2318"/>
    <cellStyle name="Normal 6 4 2 2" xfId="2319"/>
    <cellStyle name="Normal 6 4 3" xfId="2320"/>
    <cellStyle name="Normal 6 4 3 2" xfId="2321"/>
    <cellStyle name="Normal 6 4 4" xfId="2322"/>
    <cellStyle name="Normal 6 4 4 2" xfId="2323"/>
    <cellStyle name="Normal 6 4 5" xfId="2324"/>
    <cellStyle name="Normal 6 4 5 2" xfId="2325"/>
    <cellStyle name="Normal 6 4 6" xfId="2326"/>
    <cellStyle name="Normal 6 4 6 2" xfId="2327"/>
    <cellStyle name="Normal 6 4 7" xfId="2328"/>
    <cellStyle name="Normal 6 4 7 2" xfId="2329"/>
    <cellStyle name="Normal 6 4 8" xfId="2330"/>
    <cellStyle name="Normal 6 4 8 2" xfId="2331"/>
    <cellStyle name="Normal 6 4 9" xfId="2332"/>
    <cellStyle name="Normal 6 5" xfId="2333"/>
    <cellStyle name="Normal 6 5 2" xfId="2334"/>
    <cellStyle name="Normal 6 5 2 2" xfId="2335"/>
    <cellStyle name="Normal 6 5 3" xfId="2336"/>
    <cellStyle name="Normal 6 5 3 2" xfId="2337"/>
    <cellStyle name="Normal 6 5 4" xfId="2338"/>
    <cellStyle name="Normal 6 5 4 2" xfId="2339"/>
    <cellStyle name="Normal 6 5 5" xfId="2340"/>
    <cellStyle name="Normal 6 5 5 2" xfId="2341"/>
    <cellStyle name="Normal 6 5 6" xfId="2342"/>
    <cellStyle name="Normal 6 5 6 2" xfId="2343"/>
    <cellStyle name="Normal 6 5 7" xfId="2344"/>
    <cellStyle name="Normal 6 5 7 2" xfId="2345"/>
    <cellStyle name="Normal 6 5 8" xfId="2346"/>
    <cellStyle name="Normal 6 5 8 2" xfId="2347"/>
    <cellStyle name="Normal 6 5 9" xfId="2348"/>
    <cellStyle name="Normal 6 6" xfId="2349"/>
    <cellStyle name="Normal 6 6 2" xfId="2350"/>
    <cellStyle name="Normal 6 7" xfId="2351"/>
    <cellStyle name="Normal 6 7 2" xfId="2352"/>
    <cellStyle name="Normal 6 8" xfId="2353"/>
    <cellStyle name="Normal 6 8 2" xfId="2354"/>
    <cellStyle name="Normal 6 9" xfId="2355"/>
    <cellStyle name="Normal 6 9 2" xfId="2356"/>
    <cellStyle name="Normal 7" xfId="2357"/>
    <cellStyle name="Normal 7 10" xfId="2358"/>
    <cellStyle name="Normal 7 10 2" xfId="2359"/>
    <cellStyle name="Normal 7 11" xfId="2360"/>
    <cellStyle name="Normal 7 11 2" xfId="2361"/>
    <cellStyle name="Normal 7 12" xfId="2362"/>
    <cellStyle name="Normal 7 12 2" xfId="2363"/>
    <cellStyle name="Normal 7 13" xfId="2364"/>
    <cellStyle name="Normal 7 14" xfId="2365"/>
    <cellStyle name="Normal 7 2" xfId="2366"/>
    <cellStyle name="Normal 7 2 10" xfId="2367"/>
    <cellStyle name="Normal 7 2 2" xfId="2368"/>
    <cellStyle name="Normal 7 2 2 2" xfId="2369"/>
    <cellStyle name="Normal 7 2 3" xfId="2370"/>
    <cellStyle name="Normal 7 2 3 2" xfId="2371"/>
    <cellStyle name="Normal 7 2 4" xfId="2372"/>
    <cellStyle name="Normal 7 2 4 2" xfId="2373"/>
    <cellStyle name="Normal 7 2 5" xfId="2374"/>
    <cellStyle name="Normal 7 2 5 2" xfId="2375"/>
    <cellStyle name="Normal 7 2 6" xfId="2376"/>
    <cellStyle name="Normal 7 2 6 2" xfId="2377"/>
    <cellStyle name="Normal 7 2 7" xfId="2378"/>
    <cellStyle name="Normal 7 2 7 2" xfId="2379"/>
    <cellStyle name="Normal 7 2 8" xfId="2380"/>
    <cellStyle name="Normal 7 2 8 2" xfId="2381"/>
    <cellStyle name="Normal 7 2 9" xfId="2382"/>
    <cellStyle name="Normal 7 3" xfId="2383"/>
    <cellStyle name="Normal 7 3 2" xfId="2384"/>
    <cellStyle name="Normal 7 3 2 2" xfId="2385"/>
    <cellStyle name="Normal 7 3 3" xfId="2386"/>
    <cellStyle name="Normal 7 3 3 2" xfId="2387"/>
    <cellStyle name="Normal 7 3 4" xfId="2388"/>
    <cellStyle name="Normal 7 3 4 2" xfId="2389"/>
    <cellStyle name="Normal 7 3 5" xfId="2390"/>
    <cellStyle name="Normal 7 3 5 2" xfId="2391"/>
    <cellStyle name="Normal 7 3 6" xfId="2392"/>
    <cellStyle name="Normal 7 3 6 2" xfId="2393"/>
    <cellStyle name="Normal 7 3 7" xfId="2394"/>
    <cellStyle name="Normal 7 3 7 2" xfId="2395"/>
    <cellStyle name="Normal 7 3 8" xfId="2396"/>
    <cellStyle name="Normal 7 3 8 2" xfId="2397"/>
    <cellStyle name="Normal 7 3 9" xfId="2398"/>
    <cellStyle name="Normal 7 4" xfId="2399"/>
    <cellStyle name="Normal 7 4 2" xfId="2400"/>
    <cellStyle name="Normal 7 4 2 2" xfId="2401"/>
    <cellStyle name="Normal 7 4 3" xfId="2402"/>
    <cellStyle name="Normal 7 4 3 2" xfId="2403"/>
    <cellStyle name="Normal 7 4 4" xfId="2404"/>
    <cellStyle name="Normal 7 4 4 2" xfId="2405"/>
    <cellStyle name="Normal 7 4 5" xfId="2406"/>
    <cellStyle name="Normal 7 4 5 2" xfId="2407"/>
    <cellStyle name="Normal 7 4 6" xfId="2408"/>
    <cellStyle name="Normal 7 4 6 2" xfId="2409"/>
    <cellStyle name="Normal 7 4 7" xfId="2410"/>
    <cellStyle name="Normal 7 4 7 2" xfId="2411"/>
    <cellStyle name="Normal 7 4 8" xfId="2412"/>
    <cellStyle name="Normal 7 4 8 2" xfId="2413"/>
    <cellStyle name="Normal 7 4 9" xfId="2414"/>
    <cellStyle name="Normal 7 5" xfId="2415"/>
    <cellStyle name="Normal 7 5 2" xfId="2416"/>
    <cellStyle name="Normal 7 5 2 2" xfId="2417"/>
    <cellStyle name="Normal 7 5 3" xfId="2418"/>
    <cellStyle name="Normal 7 5 3 2" xfId="2419"/>
    <cellStyle name="Normal 7 5 4" xfId="2420"/>
    <cellStyle name="Normal 7 5 4 2" xfId="2421"/>
    <cellStyle name="Normal 7 5 5" xfId="2422"/>
    <cellStyle name="Normal 7 5 5 2" xfId="2423"/>
    <cellStyle name="Normal 7 5 6" xfId="2424"/>
    <cellStyle name="Normal 7 5 6 2" xfId="2425"/>
    <cellStyle name="Normal 7 5 7" xfId="2426"/>
    <cellStyle name="Normal 7 5 7 2" xfId="2427"/>
    <cellStyle name="Normal 7 5 8" xfId="2428"/>
    <cellStyle name="Normal 7 5 8 2" xfId="2429"/>
    <cellStyle name="Normal 7 5 9" xfId="2430"/>
    <cellStyle name="Normal 7 6" xfId="2431"/>
    <cellStyle name="Normal 7 6 2" xfId="2432"/>
    <cellStyle name="Normal 7 7" xfId="2433"/>
    <cellStyle name="Normal 7 7 2" xfId="2434"/>
    <cellStyle name="Normal 7 8" xfId="2435"/>
    <cellStyle name="Normal 7 8 2" xfId="2436"/>
    <cellStyle name="Normal 7 9" xfId="2437"/>
    <cellStyle name="Normal 7 9 2" xfId="2438"/>
    <cellStyle name="Normal 8" xfId="2439"/>
    <cellStyle name="Normal 8 10" xfId="2440"/>
    <cellStyle name="Normal 8 10 2" xfId="2441"/>
    <cellStyle name="Normal 8 11" xfId="2442"/>
    <cellStyle name="Normal 8 11 2" xfId="2443"/>
    <cellStyle name="Normal 8 12" xfId="2444"/>
    <cellStyle name="Normal 8 12 2" xfId="2445"/>
    <cellStyle name="Normal 8 13" xfId="2446"/>
    <cellStyle name="Normal 8 14" xfId="2447"/>
    <cellStyle name="Normal 8 2" xfId="2448"/>
    <cellStyle name="Normal 8 2 10" xfId="2449"/>
    <cellStyle name="Normal 8 2 2" xfId="2450"/>
    <cellStyle name="Normal 8 2 2 2" xfId="2451"/>
    <cellStyle name="Normal 8 2 3" xfId="2452"/>
    <cellStyle name="Normal 8 2 3 2" xfId="2453"/>
    <cellStyle name="Normal 8 2 4" xfId="2454"/>
    <cellStyle name="Normal 8 2 4 2" xfId="2455"/>
    <cellStyle name="Normal 8 2 5" xfId="2456"/>
    <cellStyle name="Normal 8 2 5 2" xfId="2457"/>
    <cellStyle name="Normal 8 2 6" xfId="2458"/>
    <cellStyle name="Normal 8 2 6 2" xfId="2459"/>
    <cellStyle name="Normal 8 2 7" xfId="2460"/>
    <cellStyle name="Normal 8 2 7 2" xfId="2461"/>
    <cellStyle name="Normal 8 2 8" xfId="2462"/>
    <cellStyle name="Normal 8 2 8 2" xfId="2463"/>
    <cellStyle name="Normal 8 2 9" xfId="2464"/>
    <cellStyle name="Normal 8 3" xfId="2465"/>
    <cellStyle name="Normal 8 3 2" xfId="2466"/>
    <cellStyle name="Normal 8 3 2 2" xfId="2467"/>
    <cellStyle name="Normal 8 3 3" xfId="2468"/>
    <cellStyle name="Normal 8 3 3 2" xfId="2469"/>
    <cellStyle name="Normal 8 3 4" xfId="2470"/>
    <cellStyle name="Normal 8 3 4 2" xfId="2471"/>
    <cellStyle name="Normal 8 3 5" xfId="2472"/>
    <cellStyle name="Normal 8 3 5 2" xfId="2473"/>
    <cellStyle name="Normal 8 3 6" xfId="2474"/>
    <cellStyle name="Normal 8 3 6 2" xfId="2475"/>
    <cellStyle name="Normal 8 3 7" xfId="2476"/>
    <cellStyle name="Normal 8 3 7 2" xfId="2477"/>
    <cellStyle name="Normal 8 3 8" xfId="2478"/>
    <cellStyle name="Normal 8 3 8 2" xfId="2479"/>
    <cellStyle name="Normal 8 3 9" xfId="2480"/>
    <cellStyle name="Normal 8 4" xfId="2481"/>
    <cellStyle name="Normal 8 4 2" xfId="2482"/>
    <cellStyle name="Normal 8 4 2 2" xfId="2483"/>
    <cellStyle name="Normal 8 4 3" xfId="2484"/>
    <cellStyle name="Normal 8 4 3 2" xfId="2485"/>
    <cellStyle name="Normal 8 4 4" xfId="2486"/>
    <cellStyle name="Normal 8 4 4 2" xfId="2487"/>
    <cellStyle name="Normal 8 4 5" xfId="2488"/>
    <cellStyle name="Normal 8 4 5 2" xfId="2489"/>
    <cellStyle name="Normal 8 4 6" xfId="2490"/>
    <cellStyle name="Normal 8 4 6 2" xfId="2491"/>
    <cellStyle name="Normal 8 4 7" xfId="2492"/>
    <cellStyle name="Normal 8 4 7 2" xfId="2493"/>
    <cellStyle name="Normal 8 4 8" xfId="2494"/>
    <cellStyle name="Normal 8 4 8 2" xfId="2495"/>
    <cellStyle name="Normal 8 4 9" xfId="2496"/>
    <cellStyle name="Normal 8 5" xfId="2497"/>
    <cellStyle name="Normal 8 5 2" xfId="2498"/>
    <cellStyle name="Normal 8 5 2 2" xfId="2499"/>
    <cellStyle name="Normal 8 5 3" xfId="2500"/>
    <cellStyle name="Normal 8 5 3 2" xfId="2501"/>
    <cellStyle name="Normal 8 5 4" xfId="2502"/>
    <cellStyle name="Normal 8 5 4 2" xfId="2503"/>
    <cellStyle name="Normal 8 5 5" xfId="2504"/>
    <cellStyle name="Normal 8 5 5 2" xfId="2505"/>
    <cellStyle name="Normal 8 5 6" xfId="2506"/>
    <cellStyle name="Normal 8 5 6 2" xfId="2507"/>
    <cellStyle name="Normal 8 5 7" xfId="2508"/>
    <cellStyle name="Normal 8 5 7 2" xfId="2509"/>
    <cellStyle name="Normal 8 5 8" xfId="2510"/>
    <cellStyle name="Normal 8 5 8 2" xfId="2511"/>
    <cellStyle name="Normal 8 5 9" xfId="2512"/>
    <cellStyle name="Normal 8 6" xfId="2513"/>
    <cellStyle name="Normal 8 6 2" xfId="2514"/>
    <cellStyle name="Normal 8 7" xfId="2515"/>
    <cellStyle name="Normal 8 7 2" xfId="2516"/>
    <cellStyle name="Normal 8 8" xfId="2517"/>
    <cellStyle name="Normal 8 8 2" xfId="2518"/>
    <cellStyle name="Normal 8 9" xfId="2519"/>
    <cellStyle name="Normal 8 9 2" xfId="2520"/>
    <cellStyle name="Normal 9" xfId="2521"/>
    <cellStyle name="Normal 9 10" xfId="2522"/>
    <cellStyle name="Normal 9 2" xfId="2523"/>
    <cellStyle name="Normal 9 2 2" xfId="2524"/>
    <cellStyle name="Normal 9 3" xfId="2525"/>
    <cellStyle name="Normal 9 3 2" xfId="2526"/>
    <cellStyle name="Normal 9 4" xfId="2527"/>
    <cellStyle name="Normal 9 4 2" xfId="2528"/>
    <cellStyle name="Normal 9 5" xfId="2529"/>
    <cellStyle name="Normal 9 5 2" xfId="2530"/>
    <cellStyle name="Normal 9 6" xfId="2531"/>
    <cellStyle name="Normal 9 6 2" xfId="2532"/>
    <cellStyle name="Normal 9 7" xfId="2533"/>
    <cellStyle name="Normal 9 7 2" xfId="2534"/>
    <cellStyle name="Normal 9 8" xfId="2535"/>
    <cellStyle name="Normal 9 8 2" xfId="2536"/>
    <cellStyle name="Normal 9 9" xfId="2537"/>
    <cellStyle name="Normal GHG Numbers (0.00)" xfId="2538"/>
    <cellStyle name="Normal GHG Textfiels Bold" xfId="2539"/>
    <cellStyle name="Normal GHG-Shade" xfId="2540"/>
    <cellStyle name="Normal GHG-Shade 2" xfId="2541"/>
    <cellStyle name="Normal GHG-Shade 2 2" xfId="2542"/>
    <cellStyle name="Normal GHG-Shade 3" xfId="2543"/>
    <cellStyle name="Normale_B2020" xfId="2544"/>
    <cellStyle name="Note 2" xfId="2545"/>
    <cellStyle name="Note 2 10" xfId="2546"/>
    <cellStyle name="Note 2 10 2" xfId="2547"/>
    <cellStyle name="Note 2 11" xfId="2548"/>
    <cellStyle name="Note 2 11 2" xfId="2549"/>
    <cellStyle name="Note 2 12" xfId="2550"/>
    <cellStyle name="Note 2 12 2" xfId="2551"/>
    <cellStyle name="Note 2 13" xfId="2552"/>
    <cellStyle name="Note 2 13 2" xfId="2553"/>
    <cellStyle name="Note 2 14" xfId="2554"/>
    <cellStyle name="Note 2 14 2" xfId="2555"/>
    <cellStyle name="Note 2 15" xfId="2556"/>
    <cellStyle name="Note 2 15 2" xfId="2557"/>
    <cellStyle name="Note 2 16" xfId="2558"/>
    <cellStyle name="Note 2 17" xfId="2559"/>
    <cellStyle name="Note 2 2" xfId="2560"/>
    <cellStyle name="Note 2 2 2" xfId="2561"/>
    <cellStyle name="Note 2 2 2 2" xfId="2562"/>
    <cellStyle name="Note 2 3" xfId="2563"/>
    <cellStyle name="Note 2 3 2" xfId="2564"/>
    <cellStyle name="Note 2 4" xfId="2565"/>
    <cellStyle name="Note 2 4 2" xfId="2566"/>
    <cellStyle name="Note 2 5" xfId="2567"/>
    <cellStyle name="Note 2 5 2" xfId="2568"/>
    <cellStyle name="Note 2 6" xfId="2569"/>
    <cellStyle name="Note 2 6 2" xfId="2570"/>
    <cellStyle name="Note 2 7" xfId="2571"/>
    <cellStyle name="Note 2 7 2" xfId="2572"/>
    <cellStyle name="Note 2 8" xfId="2573"/>
    <cellStyle name="Note 2 8 2" xfId="2574"/>
    <cellStyle name="Note 2 9" xfId="2575"/>
    <cellStyle name="Note 2 9 2" xfId="2576"/>
    <cellStyle name="Note 3" xfId="2577"/>
    <cellStyle name="Note 3 2" xfId="2578"/>
    <cellStyle name="Note 3 2 2" xfId="2579"/>
    <cellStyle name="Note 3 2 3" xfId="2580"/>
    <cellStyle name="Note 3 3" xfId="2581"/>
    <cellStyle name="Note 4" xfId="2582"/>
    <cellStyle name="Note 4 2" xfId="2583"/>
    <cellStyle name="Note 5" xfId="2584"/>
    <cellStyle name="Note 5 2" xfId="2585"/>
    <cellStyle name="Note 6" xfId="2586"/>
    <cellStyle name="Note 6 2" xfId="2587"/>
    <cellStyle name="Note 7" xfId="2588"/>
    <cellStyle name="Note 7 2" xfId="2589"/>
    <cellStyle name="Note 8" xfId="2590"/>
    <cellStyle name="Note 8 2" xfId="2591"/>
    <cellStyle name="num_note" xfId="2592"/>
    <cellStyle name="Nuovo" xfId="2593"/>
    <cellStyle name="Nuovo 2" xfId="2594"/>
    <cellStyle name="Output 2" xfId="2595"/>
    <cellStyle name="Output 2 10" xfId="2596"/>
    <cellStyle name="Output 2 2" xfId="2597"/>
    <cellStyle name="Output 2 3" xfId="2598"/>
    <cellStyle name="Output 2 4" xfId="2599"/>
    <cellStyle name="Output 2 5" xfId="2600"/>
    <cellStyle name="Output 2 6" xfId="2601"/>
    <cellStyle name="Output 2 7" xfId="2602"/>
    <cellStyle name="Output 2 8" xfId="2603"/>
    <cellStyle name="Output 2 9" xfId="2604"/>
    <cellStyle name="Output 3" xfId="2605"/>
    <cellStyle name="Output 3 2" xfId="2606"/>
    <cellStyle name="Percent 10" xfId="2607"/>
    <cellStyle name="Percent 10 2" xfId="2608"/>
    <cellStyle name="Percent 10 2 2" xfId="2609"/>
    <cellStyle name="Percent 10 3" xfId="2610"/>
    <cellStyle name="Percent 10 3 2" xfId="2611"/>
    <cellStyle name="Percent 10 4" xfId="2612"/>
    <cellStyle name="Percent 10 4 2" xfId="2613"/>
    <cellStyle name="Percent 10 5" xfId="2614"/>
    <cellStyle name="Percent 10 5 2" xfId="2615"/>
    <cellStyle name="Percent 10 6" xfId="2616"/>
    <cellStyle name="Percent 10 6 2" xfId="2617"/>
    <cellStyle name="Percent 10 7" xfId="2618"/>
    <cellStyle name="Percent 10 7 2" xfId="2619"/>
    <cellStyle name="Percent 10 8" xfId="2620"/>
    <cellStyle name="Percent 10 8 2" xfId="2621"/>
    <cellStyle name="Percent 10 9" xfId="2622"/>
    <cellStyle name="Percent 11" xfId="2623"/>
    <cellStyle name="Percent 11 2" xfId="2624"/>
    <cellStyle name="Percent 11 2 2" xfId="2625"/>
    <cellStyle name="Percent 11 3" xfId="2626"/>
    <cellStyle name="Percent 11 3 2" xfId="2627"/>
    <cellStyle name="Percent 11 4" xfId="2628"/>
    <cellStyle name="Percent 11 4 2" xfId="2629"/>
    <cellStyle name="Percent 11 5" xfId="2630"/>
    <cellStyle name="Percent 11 5 2" xfId="2631"/>
    <cellStyle name="Percent 11 6" xfId="2632"/>
    <cellStyle name="Percent 11 6 2" xfId="2633"/>
    <cellStyle name="Percent 11 7" xfId="2634"/>
    <cellStyle name="Percent 11 7 2" xfId="2635"/>
    <cellStyle name="Percent 11 8" xfId="2636"/>
    <cellStyle name="Percent 11 8 2" xfId="2637"/>
    <cellStyle name="Percent 11 9" xfId="2638"/>
    <cellStyle name="Percent 12" xfId="2639"/>
    <cellStyle name="Percent 12 2" xfId="2640"/>
    <cellStyle name="Percent 12 2 2" xfId="2641"/>
    <cellStyle name="Percent 12 3" xfId="2642"/>
    <cellStyle name="Percent 12 3 2" xfId="2643"/>
    <cellStyle name="Percent 12 4" xfId="2644"/>
    <cellStyle name="Percent 12 4 2" xfId="2645"/>
    <cellStyle name="Percent 12 5" xfId="2646"/>
    <cellStyle name="Percent 12 5 2" xfId="2647"/>
    <cellStyle name="Percent 12 6" xfId="2648"/>
    <cellStyle name="Percent 12 6 2" xfId="2649"/>
    <cellStyle name="Percent 12 7" xfId="2650"/>
    <cellStyle name="Percent 12 7 2" xfId="2651"/>
    <cellStyle name="Percent 12 8" xfId="2652"/>
    <cellStyle name="Percent 12 8 2" xfId="2653"/>
    <cellStyle name="Percent 12 9" xfId="2654"/>
    <cellStyle name="Percent 13" xfId="2655"/>
    <cellStyle name="Percent 13 2" xfId="2656"/>
    <cellStyle name="Percent 13 2 2" xfId="2657"/>
    <cellStyle name="Percent 13 3" xfId="2658"/>
    <cellStyle name="Percent 13 3 2" xfId="2659"/>
    <cellStyle name="Percent 13 4" xfId="2660"/>
    <cellStyle name="Percent 13 4 2" xfId="2661"/>
    <cellStyle name="Percent 13 5" xfId="2662"/>
    <cellStyle name="Percent 13 5 2" xfId="2663"/>
    <cellStyle name="Percent 13 6" xfId="2664"/>
    <cellStyle name="Percent 13 6 2" xfId="2665"/>
    <cellStyle name="Percent 13 7" xfId="2666"/>
    <cellStyle name="Percent 13 7 2" xfId="2667"/>
    <cellStyle name="Percent 13 8" xfId="2668"/>
    <cellStyle name="Percent 13 8 2" xfId="2669"/>
    <cellStyle name="Percent 13 9" xfId="2670"/>
    <cellStyle name="Percent 14" xfId="2671"/>
    <cellStyle name="Percent 14 2" xfId="2672"/>
    <cellStyle name="Percent 14 2 2" xfId="2673"/>
    <cellStyle name="Percent 14 3" xfId="2674"/>
    <cellStyle name="Percent 14 3 2" xfId="2675"/>
    <cellStyle name="Percent 14 4" xfId="2676"/>
    <cellStyle name="Percent 14 4 2" xfId="2677"/>
    <cellStyle name="Percent 14 5" xfId="2678"/>
    <cellStyle name="Percent 14 5 2" xfId="2679"/>
    <cellStyle name="Percent 14 6" xfId="2680"/>
    <cellStyle name="Percent 14 6 2" xfId="2681"/>
    <cellStyle name="Percent 14 7" xfId="2682"/>
    <cellStyle name="Percent 14 7 2" xfId="2683"/>
    <cellStyle name="Percent 14 8" xfId="2684"/>
    <cellStyle name="Percent 14 8 2" xfId="2685"/>
    <cellStyle name="Percent 14 9" xfId="2686"/>
    <cellStyle name="Percent 15" xfId="2687"/>
    <cellStyle name="Percent 15 10" xfId="2688"/>
    <cellStyle name="Percent 15 10 2" xfId="2689"/>
    <cellStyle name="Percent 15 11" xfId="2690"/>
    <cellStyle name="Percent 15 11 2" xfId="2691"/>
    <cellStyle name="Percent 15 12" xfId="2692"/>
    <cellStyle name="Percent 15 12 2" xfId="2693"/>
    <cellStyle name="Percent 15 13" xfId="2694"/>
    <cellStyle name="Percent 15 13 2" xfId="2695"/>
    <cellStyle name="Percent 15 14" xfId="2696"/>
    <cellStyle name="Percent 15 14 2" xfId="2697"/>
    <cellStyle name="Percent 15 2" xfId="2698"/>
    <cellStyle name="Percent 15 2 2" xfId="2699"/>
    <cellStyle name="Percent 15 2 3" xfId="2700"/>
    <cellStyle name="Percent 15 2 4" xfId="2701"/>
    <cellStyle name="Percent 15 2 5" xfId="2702"/>
    <cellStyle name="Percent 15 2 6" xfId="2703"/>
    <cellStyle name="Percent 15 2 7" xfId="2704"/>
    <cellStyle name="Percent 15 2 8" xfId="2705"/>
    <cellStyle name="Percent 15 3" xfId="2706"/>
    <cellStyle name="Percent 15 4" xfId="2707"/>
    <cellStyle name="Percent 15 4 2" xfId="2708"/>
    <cellStyle name="Percent 15 5" xfId="2709"/>
    <cellStyle name="Percent 15 6" xfId="2710"/>
    <cellStyle name="Percent 15 7" xfId="2711"/>
    <cellStyle name="Percent 15 8" xfId="2712"/>
    <cellStyle name="Percent 15 9" xfId="2713"/>
    <cellStyle name="Percent 15 9 2" xfId="2714"/>
    <cellStyle name="Percent 16 2" xfId="2715"/>
    <cellStyle name="Percent 16 3" xfId="2716"/>
    <cellStyle name="Percent 16 3 10" xfId="2717"/>
    <cellStyle name="Percent 16 3 10 2" xfId="2718"/>
    <cellStyle name="Percent 16 3 11" xfId="2719"/>
    <cellStyle name="Percent 16 3 11 2" xfId="2720"/>
    <cellStyle name="Percent 16 3 12" xfId="2721"/>
    <cellStyle name="Percent 16 3 12 2" xfId="2722"/>
    <cellStyle name="Percent 16 3 13" xfId="2723"/>
    <cellStyle name="Percent 16 3 13 2" xfId="2724"/>
    <cellStyle name="Percent 16 3 14" xfId="2725"/>
    <cellStyle name="Percent 16 3 14 2" xfId="2726"/>
    <cellStyle name="Percent 16 3 15" xfId="2727"/>
    <cellStyle name="Percent 16 3 15 2" xfId="2728"/>
    <cellStyle name="Percent 16 3 16" xfId="2729"/>
    <cellStyle name="Percent 16 3 16 2" xfId="2730"/>
    <cellStyle name="Percent 16 3 17" xfId="2731"/>
    <cellStyle name="Percent 16 3 17 2" xfId="2732"/>
    <cellStyle name="Percent 16 3 18" xfId="2733"/>
    <cellStyle name="Percent 16 3 2" xfId="2734"/>
    <cellStyle name="Percent 16 3 2 2" xfId="2735"/>
    <cellStyle name="Percent 16 3 3" xfId="2736"/>
    <cellStyle name="Percent 16 3 3 2" xfId="2737"/>
    <cellStyle name="Percent 16 3 4" xfId="2738"/>
    <cellStyle name="Percent 16 3 4 2" xfId="2739"/>
    <cellStyle name="Percent 16 3 5" xfId="2740"/>
    <cellStyle name="Percent 16 3 5 2" xfId="2741"/>
    <cellStyle name="Percent 16 3 6" xfId="2742"/>
    <cellStyle name="Percent 16 3 6 2" xfId="2743"/>
    <cellStyle name="Percent 16 3 7" xfId="2744"/>
    <cellStyle name="Percent 16 3 7 2" xfId="2745"/>
    <cellStyle name="Percent 16 3 8" xfId="2746"/>
    <cellStyle name="Percent 16 3 8 2" xfId="2747"/>
    <cellStyle name="Percent 16 3 9" xfId="2748"/>
    <cellStyle name="Percent 16 3 9 2" xfId="2749"/>
    <cellStyle name="Percent 16 4" xfId="2750"/>
    <cellStyle name="Percent 16 4 10" xfId="2751"/>
    <cellStyle name="Percent 16 4 10 2" xfId="2752"/>
    <cellStyle name="Percent 16 4 11" xfId="2753"/>
    <cellStyle name="Percent 16 4 11 2" xfId="2754"/>
    <cellStyle name="Percent 16 4 12" xfId="2755"/>
    <cellStyle name="Percent 16 4 12 2" xfId="2756"/>
    <cellStyle name="Percent 16 4 13" xfId="2757"/>
    <cellStyle name="Percent 16 4 13 2" xfId="2758"/>
    <cellStyle name="Percent 16 4 14" xfId="2759"/>
    <cellStyle name="Percent 16 4 14 2" xfId="2760"/>
    <cellStyle name="Percent 16 4 15" xfId="2761"/>
    <cellStyle name="Percent 16 4 15 2" xfId="2762"/>
    <cellStyle name="Percent 16 4 16" xfId="2763"/>
    <cellStyle name="Percent 16 4 16 2" xfId="2764"/>
    <cellStyle name="Percent 16 4 17" xfId="2765"/>
    <cellStyle name="Percent 16 4 17 2" xfId="2766"/>
    <cellStyle name="Percent 16 4 18" xfId="2767"/>
    <cellStyle name="Percent 16 4 2" xfId="2768"/>
    <cellStyle name="Percent 16 4 2 2" xfId="2769"/>
    <cellStyle name="Percent 16 4 3" xfId="2770"/>
    <cellStyle name="Percent 16 4 3 2" xfId="2771"/>
    <cellStyle name="Percent 16 4 4" xfId="2772"/>
    <cellStyle name="Percent 16 4 4 2" xfId="2773"/>
    <cellStyle name="Percent 16 4 5" xfId="2774"/>
    <cellStyle name="Percent 16 4 5 2" xfId="2775"/>
    <cellStyle name="Percent 16 4 6" xfId="2776"/>
    <cellStyle name="Percent 16 4 6 2" xfId="2777"/>
    <cellStyle name="Percent 16 4 7" xfId="2778"/>
    <cellStyle name="Percent 16 4 7 2" xfId="2779"/>
    <cellStyle name="Percent 16 4 8" xfId="2780"/>
    <cellStyle name="Percent 16 4 8 2" xfId="2781"/>
    <cellStyle name="Percent 16 4 9" xfId="2782"/>
    <cellStyle name="Percent 16 4 9 2" xfId="2783"/>
    <cellStyle name="Percent 16 5" xfId="2784"/>
    <cellStyle name="Percent 16 5 10" xfId="2785"/>
    <cellStyle name="Percent 16 5 10 2" xfId="2786"/>
    <cellStyle name="Percent 16 5 11" xfId="2787"/>
    <cellStyle name="Percent 16 5 11 2" xfId="2788"/>
    <cellStyle name="Percent 16 5 12" xfId="2789"/>
    <cellStyle name="Percent 16 5 12 2" xfId="2790"/>
    <cellStyle name="Percent 16 5 13" xfId="2791"/>
    <cellStyle name="Percent 16 5 13 2" xfId="2792"/>
    <cellStyle name="Percent 16 5 14" xfId="2793"/>
    <cellStyle name="Percent 16 5 14 2" xfId="2794"/>
    <cellStyle name="Percent 16 5 15" xfId="2795"/>
    <cellStyle name="Percent 16 5 15 2" xfId="2796"/>
    <cellStyle name="Percent 16 5 16" xfId="2797"/>
    <cellStyle name="Percent 16 5 16 2" xfId="2798"/>
    <cellStyle name="Percent 16 5 17" xfId="2799"/>
    <cellStyle name="Percent 16 5 17 2" xfId="2800"/>
    <cellStyle name="Percent 16 5 18" xfId="2801"/>
    <cellStyle name="Percent 16 5 2" xfId="2802"/>
    <cellStyle name="Percent 16 5 2 2" xfId="2803"/>
    <cellStyle name="Percent 16 5 3" xfId="2804"/>
    <cellStyle name="Percent 16 5 3 2" xfId="2805"/>
    <cellStyle name="Percent 16 5 4" xfId="2806"/>
    <cellStyle name="Percent 16 5 4 2" xfId="2807"/>
    <cellStyle name="Percent 16 5 5" xfId="2808"/>
    <cellStyle name="Percent 16 5 5 2" xfId="2809"/>
    <cellStyle name="Percent 16 5 6" xfId="2810"/>
    <cellStyle name="Percent 16 5 6 2" xfId="2811"/>
    <cellStyle name="Percent 16 5 7" xfId="2812"/>
    <cellStyle name="Percent 16 5 7 2" xfId="2813"/>
    <cellStyle name="Percent 16 5 8" xfId="2814"/>
    <cellStyle name="Percent 16 5 8 2" xfId="2815"/>
    <cellStyle name="Percent 16 5 9" xfId="2816"/>
    <cellStyle name="Percent 16 5 9 2" xfId="2817"/>
    <cellStyle name="Percent 16 6" xfId="2818"/>
    <cellStyle name="Percent 16 6 10" xfId="2819"/>
    <cellStyle name="Percent 16 6 10 2" xfId="2820"/>
    <cellStyle name="Percent 16 6 11" xfId="2821"/>
    <cellStyle name="Percent 16 6 11 2" xfId="2822"/>
    <cellStyle name="Percent 16 6 12" xfId="2823"/>
    <cellStyle name="Percent 16 6 12 2" xfId="2824"/>
    <cellStyle name="Percent 16 6 13" xfId="2825"/>
    <cellStyle name="Percent 16 6 13 2" xfId="2826"/>
    <cellStyle name="Percent 16 6 14" xfId="2827"/>
    <cellStyle name="Percent 16 6 14 2" xfId="2828"/>
    <cellStyle name="Percent 16 6 15" xfId="2829"/>
    <cellStyle name="Percent 16 6 15 2" xfId="2830"/>
    <cellStyle name="Percent 16 6 16" xfId="2831"/>
    <cellStyle name="Percent 16 6 16 2" xfId="2832"/>
    <cellStyle name="Percent 16 6 17" xfId="2833"/>
    <cellStyle name="Percent 16 6 17 2" xfId="2834"/>
    <cellStyle name="Percent 16 6 18" xfId="2835"/>
    <cellStyle name="Percent 16 6 2" xfId="2836"/>
    <cellStyle name="Percent 16 6 2 2" xfId="2837"/>
    <cellStyle name="Percent 16 6 3" xfId="2838"/>
    <cellStyle name="Percent 16 6 3 2" xfId="2839"/>
    <cellStyle name="Percent 16 6 4" xfId="2840"/>
    <cellStyle name="Percent 16 6 4 2" xfId="2841"/>
    <cellStyle name="Percent 16 6 5" xfId="2842"/>
    <cellStyle name="Percent 16 6 5 2" xfId="2843"/>
    <cellStyle name="Percent 16 6 6" xfId="2844"/>
    <cellStyle name="Percent 16 6 6 2" xfId="2845"/>
    <cellStyle name="Percent 16 6 7" xfId="2846"/>
    <cellStyle name="Percent 16 6 7 2" xfId="2847"/>
    <cellStyle name="Percent 16 6 8" xfId="2848"/>
    <cellStyle name="Percent 16 6 8 2" xfId="2849"/>
    <cellStyle name="Percent 16 6 9" xfId="2850"/>
    <cellStyle name="Percent 16 6 9 2" xfId="2851"/>
    <cellStyle name="Percent 16 7" xfId="2852"/>
    <cellStyle name="Percent 16 7 10" xfId="2853"/>
    <cellStyle name="Percent 16 7 10 2" xfId="2854"/>
    <cellStyle name="Percent 16 7 11" xfId="2855"/>
    <cellStyle name="Percent 16 7 11 2" xfId="2856"/>
    <cellStyle name="Percent 16 7 12" xfId="2857"/>
    <cellStyle name="Percent 16 7 12 2" xfId="2858"/>
    <cellStyle name="Percent 16 7 13" xfId="2859"/>
    <cellStyle name="Percent 16 7 13 2" xfId="2860"/>
    <cellStyle name="Percent 16 7 14" xfId="2861"/>
    <cellStyle name="Percent 16 7 14 2" xfId="2862"/>
    <cellStyle name="Percent 16 7 15" xfId="2863"/>
    <cellStyle name="Percent 16 7 15 2" xfId="2864"/>
    <cellStyle name="Percent 16 7 16" xfId="2865"/>
    <cellStyle name="Percent 16 7 16 2" xfId="2866"/>
    <cellStyle name="Percent 16 7 17" xfId="2867"/>
    <cellStyle name="Percent 16 7 17 2" xfId="2868"/>
    <cellStyle name="Percent 16 7 18" xfId="2869"/>
    <cellStyle name="Percent 16 7 2" xfId="2870"/>
    <cellStyle name="Percent 16 7 2 2" xfId="2871"/>
    <cellStyle name="Percent 16 7 3" xfId="2872"/>
    <cellStyle name="Percent 16 7 3 2" xfId="2873"/>
    <cellStyle name="Percent 16 7 4" xfId="2874"/>
    <cellStyle name="Percent 16 7 4 2" xfId="2875"/>
    <cellStyle name="Percent 16 7 5" xfId="2876"/>
    <cellStyle name="Percent 16 7 5 2" xfId="2877"/>
    <cellStyle name="Percent 16 7 6" xfId="2878"/>
    <cellStyle name="Percent 16 7 6 2" xfId="2879"/>
    <cellStyle name="Percent 16 7 7" xfId="2880"/>
    <cellStyle name="Percent 16 7 7 2" xfId="2881"/>
    <cellStyle name="Percent 16 7 8" xfId="2882"/>
    <cellStyle name="Percent 16 7 8 2" xfId="2883"/>
    <cellStyle name="Percent 16 7 9" xfId="2884"/>
    <cellStyle name="Percent 16 7 9 2" xfId="2885"/>
    <cellStyle name="Percent 16 8" xfId="2886"/>
    <cellStyle name="Percent 16 8 10" xfId="2887"/>
    <cellStyle name="Percent 16 8 10 2" xfId="2888"/>
    <cellStyle name="Percent 16 8 11" xfId="2889"/>
    <cellStyle name="Percent 16 8 11 2" xfId="2890"/>
    <cellStyle name="Percent 16 8 12" xfId="2891"/>
    <cellStyle name="Percent 16 8 12 2" xfId="2892"/>
    <cellStyle name="Percent 16 8 13" xfId="2893"/>
    <cellStyle name="Percent 16 8 13 2" xfId="2894"/>
    <cellStyle name="Percent 16 8 14" xfId="2895"/>
    <cellStyle name="Percent 16 8 14 2" xfId="2896"/>
    <cellStyle name="Percent 16 8 15" xfId="2897"/>
    <cellStyle name="Percent 16 8 15 2" xfId="2898"/>
    <cellStyle name="Percent 16 8 16" xfId="2899"/>
    <cellStyle name="Percent 16 8 16 2" xfId="2900"/>
    <cellStyle name="Percent 16 8 17" xfId="2901"/>
    <cellStyle name="Percent 16 8 17 2" xfId="2902"/>
    <cellStyle name="Percent 16 8 18" xfId="2903"/>
    <cellStyle name="Percent 16 8 2" xfId="2904"/>
    <cellStyle name="Percent 16 8 2 2" xfId="2905"/>
    <cellStyle name="Percent 16 8 3" xfId="2906"/>
    <cellStyle name="Percent 16 8 3 2" xfId="2907"/>
    <cellStyle name="Percent 16 8 4" xfId="2908"/>
    <cellStyle name="Percent 16 8 4 2" xfId="2909"/>
    <cellStyle name="Percent 16 8 5" xfId="2910"/>
    <cellStyle name="Percent 16 8 5 2" xfId="2911"/>
    <cellStyle name="Percent 16 8 6" xfId="2912"/>
    <cellStyle name="Percent 16 8 6 2" xfId="2913"/>
    <cellStyle name="Percent 16 8 7" xfId="2914"/>
    <cellStyle name="Percent 16 8 7 2" xfId="2915"/>
    <cellStyle name="Percent 16 8 8" xfId="2916"/>
    <cellStyle name="Percent 16 8 8 2" xfId="2917"/>
    <cellStyle name="Percent 16 8 9" xfId="2918"/>
    <cellStyle name="Percent 16 8 9 2" xfId="2919"/>
    <cellStyle name="Percent 16 9" xfId="2920"/>
    <cellStyle name="Percent 16 9 10" xfId="2921"/>
    <cellStyle name="Percent 16 9 10 2" xfId="2922"/>
    <cellStyle name="Percent 16 9 11" xfId="2923"/>
    <cellStyle name="Percent 16 9 11 2" xfId="2924"/>
    <cellStyle name="Percent 16 9 12" xfId="2925"/>
    <cellStyle name="Percent 16 9 12 2" xfId="2926"/>
    <cellStyle name="Percent 16 9 13" xfId="2927"/>
    <cellStyle name="Percent 16 9 13 2" xfId="2928"/>
    <cellStyle name="Percent 16 9 14" xfId="2929"/>
    <cellStyle name="Percent 16 9 14 2" xfId="2930"/>
    <cellStyle name="Percent 16 9 15" xfId="2931"/>
    <cellStyle name="Percent 16 9 15 2" xfId="2932"/>
    <cellStyle name="Percent 16 9 16" xfId="2933"/>
    <cellStyle name="Percent 16 9 16 2" xfId="2934"/>
    <cellStyle name="Percent 16 9 17" xfId="2935"/>
    <cellStyle name="Percent 16 9 17 2" xfId="2936"/>
    <cellStyle name="Percent 16 9 18" xfId="2937"/>
    <cellStyle name="Percent 16 9 2" xfId="2938"/>
    <cellStyle name="Percent 16 9 2 2" xfId="2939"/>
    <cellStyle name="Percent 16 9 3" xfId="2940"/>
    <cellStyle name="Percent 16 9 3 2" xfId="2941"/>
    <cellStyle name="Percent 16 9 4" xfId="2942"/>
    <cellStyle name="Percent 16 9 4 2" xfId="2943"/>
    <cellStyle name="Percent 16 9 5" xfId="2944"/>
    <cellStyle name="Percent 16 9 5 2" xfId="2945"/>
    <cellStyle name="Percent 16 9 6" xfId="2946"/>
    <cellStyle name="Percent 16 9 6 2" xfId="2947"/>
    <cellStyle name="Percent 16 9 7" xfId="2948"/>
    <cellStyle name="Percent 16 9 7 2" xfId="2949"/>
    <cellStyle name="Percent 16 9 8" xfId="2950"/>
    <cellStyle name="Percent 16 9 8 2" xfId="2951"/>
    <cellStyle name="Percent 16 9 9" xfId="2952"/>
    <cellStyle name="Percent 16 9 9 2" xfId="2953"/>
    <cellStyle name="Percent 17" xfId="2954"/>
    <cellStyle name="Percent 17 2" xfId="2955"/>
    <cellStyle name="Percent 2" xfId="2956"/>
    <cellStyle name="Percent 2 10" xfId="2957"/>
    <cellStyle name="Percent 2 10 2" xfId="2958"/>
    <cellStyle name="Percent 2 10 2 2" xfId="2959"/>
    <cellStyle name="Percent 2 10 3" xfId="2960"/>
    <cellStyle name="Percent 2 10 3 2" xfId="2961"/>
    <cellStyle name="Percent 2 10 4" xfId="2962"/>
    <cellStyle name="Percent 2 10 4 2" xfId="2963"/>
    <cellStyle name="Percent 2 10 5" xfId="2964"/>
    <cellStyle name="Percent 2 10 5 2" xfId="2965"/>
    <cellStyle name="Percent 2 10 6" xfId="2966"/>
    <cellStyle name="Percent 2 10 6 2" xfId="2967"/>
    <cellStyle name="Percent 2 10 7" xfId="2968"/>
    <cellStyle name="Percent 2 10 7 2" xfId="2969"/>
    <cellStyle name="Percent 2 10 8" xfId="2970"/>
    <cellStyle name="Percent 2 10 8 2" xfId="2971"/>
    <cellStyle name="Percent 2 10 9" xfId="2972"/>
    <cellStyle name="Percent 2 11" xfId="2973"/>
    <cellStyle name="Percent 2 11 2" xfId="2974"/>
    <cellStyle name="Percent 2 11 2 2" xfId="2975"/>
    <cellStyle name="Percent 2 11 3" xfId="2976"/>
    <cellStyle name="Percent 2 11 3 2" xfId="2977"/>
    <cellStyle name="Percent 2 11 4" xfId="2978"/>
    <cellStyle name="Percent 2 11 4 2" xfId="2979"/>
    <cellStyle name="Percent 2 11 5" xfId="2980"/>
    <cellStyle name="Percent 2 11 5 2" xfId="2981"/>
    <cellStyle name="Percent 2 11 6" xfId="2982"/>
    <cellStyle name="Percent 2 11 6 2" xfId="2983"/>
    <cellStyle name="Percent 2 11 7" xfId="2984"/>
    <cellStyle name="Percent 2 11 7 2" xfId="2985"/>
    <cellStyle name="Percent 2 11 8" xfId="2986"/>
    <cellStyle name="Percent 2 11 8 2" xfId="2987"/>
    <cellStyle name="Percent 2 11 9" xfId="2988"/>
    <cellStyle name="Percent 2 12" xfId="2989"/>
    <cellStyle name="Percent 2 12 2" xfId="2990"/>
    <cellStyle name="Percent 2 13" xfId="2991"/>
    <cellStyle name="Percent 2 13 2" xfId="2992"/>
    <cellStyle name="Percent 2 14" xfId="2993"/>
    <cellStyle name="Percent 2 14 2" xfId="2994"/>
    <cellStyle name="Percent 2 15" xfId="2995"/>
    <cellStyle name="Percent 2 15 2" xfId="2996"/>
    <cellStyle name="Percent 2 16" xfId="2997"/>
    <cellStyle name="Percent 2 16 2" xfId="2998"/>
    <cellStyle name="Percent 2 17" xfId="2999"/>
    <cellStyle name="Percent 2 17 2" xfId="3000"/>
    <cellStyle name="Percent 2 18" xfId="3001"/>
    <cellStyle name="Percent 2 18 2" xfId="3002"/>
    <cellStyle name="Percent 2 19" xfId="3003"/>
    <cellStyle name="Percent 2 2" xfId="3004"/>
    <cellStyle name="Percent 2 2 10" xfId="3005"/>
    <cellStyle name="Percent 2 2 2" xfId="3006"/>
    <cellStyle name="Percent 2 2 2 2" xfId="3007"/>
    <cellStyle name="Percent 2 2 2 3" xfId="3008"/>
    <cellStyle name="Percent 2 2 3" xfId="3009"/>
    <cellStyle name="Percent 2 2 3 2" xfId="3010"/>
    <cellStyle name="Percent 2 2 3 2 2" xfId="3011"/>
    <cellStyle name="Percent 2 2 3 3" xfId="3012"/>
    <cellStyle name="Percent 2 2 4" xfId="3013"/>
    <cellStyle name="Percent 2 2 4 2" xfId="3014"/>
    <cellStyle name="Percent 2 2 5" xfId="3015"/>
    <cellStyle name="Percent 2 2 5 2" xfId="3016"/>
    <cellStyle name="Percent 2 2 6" xfId="3017"/>
    <cellStyle name="Percent 2 2 6 2" xfId="3018"/>
    <cellStyle name="Percent 2 2 7" xfId="3019"/>
    <cellStyle name="Percent 2 2 7 2" xfId="3020"/>
    <cellStyle name="Percent 2 2 8" xfId="3021"/>
    <cellStyle name="Percent 2 2 8 2" xfId="3022"/>
    <cellStyle name="Percent 2 2 9" xfId="3023"/>
    <cellStyle name="Percent 2 20" xfId="3024"/>
    <cellStyle name="Percent 2 3" xfId="3025"/>
    <cellStyle name="Percent 2 3 10" xfId="3026"/>
    <cellStyle name="Percent 2 3 2" xfId="3027"/>
    <cellStyle name="Percent 2 3 2 2" xfId="3028"/>
    <cellStyle name="Percent 2 3 2 3" xfId="3029"/>
    <cellStyle name="Percent 2 3 3" xfId="3030"/>
    <cellStyle name="Percent 2 3 3 2" xfId="3031"/>
    <cellStyle name="Percent 2 3 3 2 2" xfId="3032"/>
    <cellStyle name="Percent 2 3 3 3" xfId="3033"/>
    <cellStyle name="Percent 2 3 4" xfId="3034"/>
    <cellStyle name="Percent 2 3 4 2" xfId="3035"/>
    <cellStyle name="Percent 2 3 5" xfId="3036"/>
    <cellStyle name="Percent 2 3 5 2" xfId="3037"/>
    <cellStyle name="Percent 2 3 6" xfId="3038"/>
    <cellStyle name="Percent 2 3 6 2" xfId="3039"/>
    <cellStyle name="Percent 2 3 7" xfId="3040"/>
    <cellStyle name="Percent 2 3 7 2" xfId="3041"/>
    <cellStyle name="Percent 2 3 8" xfId="3042"/>
    <cellStyle name="Percent 2 3 8 2" xfId="3043"/>
    <cellStyle name="Percent 2 3 9" xfId="3044"/>
    <cellStyle name="Percent 2 4" xfId="3045"/>
    <cellStyle name="Percent 2 4 10" xfId="3046"/>
    <cellStyle name="Percent 2 4 2" xfId="3047"/>
    <cellStyle name="Percent 2 4 2 2" xfId="3048"/>
    <cellStyle name="Percent 2 4 3" xfId="3049"/>
    <cellStyle name="Percent 2 4 3 2" xfId="3050"/>
    <cellStyle name="Percent 2 4 4" xfId="3051"/>
    <cellStyle name="Percent 2 4 4 2" xfId="3052"/>
    <cellStyle name="Percent 2 4 5" xfId="3053"/>
    <cellStyle name="Percent 2 4 5 2" xfId="3054"/>
    <cellStyle name="Percent 2 4 6" xfId="3055"/>
    <cellStyle name="Percent 2 4 6 2" xfId="3056"/>
    <cellStyle name="Percent 2 4 7" xfId="3057"/>
    <cellStyle name="Percent 2 4 7 2" xfId="3058"/>
    <cellStyle name="Percent 2 4 8" xfId="3059"/>
    <cellStyle name="Percent 2 4 8 2" xfId="3060"/>
    <cellStyle name="Percent 2 4 9" xfId="3061"/>
    <cellStyle name="Percent 2 5" xfId="3062"/>
    <cellStyle name="Percent 2 5 2" xfId="3063"/>
    <cellStyle name="Percent 2 5 2 2" xfId="3064"/>
    <cellStyle name="Percent 2 5 3" xfId="3065"/>
    <cellStyle name="Percent 2 5 3 2" xfId="3066"/>
    <cellStyle name="Percent 2 5 4" xfId="3067"/>
    <cellStyle name="Percent 2 5 4 2" xfId="3068"/>
    <cellStyle name="Percent 2 5 5" xfId="3069"/>
    <cellStyle name="Percent 2 5 5 2" xfId="3070"/>
    <cellStyle name="Percent 2 5 6" xfId="3071"/>
    <cellStyle name="Percent 2 5 6 2" xfId="3072"/>
    <cellStyle name="Percent 2 5 7" xfId="3073"/>
    <cellStyle name="Percent 2 5 7 2" xfId="3074"/>
    <cellStyle name="Percent 2 5 8" xfId="3075"/>
    <cellStyle name="Percent 2 5 8 2" xfId="3076"/>
    <cellStyle name="Percent 2 5 9" xfId="3077"/>
    <cellStyle name="Percent 2 6" xfId="3078"/>
    <cellStyle name="Percent 2 6 2" xfId="3079"/>
    <cellStyle name="Percent 2 6 2 2" xfId="3080"/>
    <cellStyle name="Percent 2 6 3" xfId="3081"/>
    <cellStyle name="Percent 2 6 3 2" xfId="3082"/>
    <cellStyle name="Percent 2 6 4" xfId="3083"/>
    <cellStyle name="Percent 2 6 4 2" xfId="3084"/>
    <cellStyle name="Percent 2 6 5" xfId="3085"/>
    <cellStyle name="Percent 2 6 5 2" xfId="3086"/>
    <cellStyle name="Percent 2 6 6" xfId="3087"/>
    <cellStyle name="Percent 2 6 6 2" xfId="3088"/>
    <cellStyle name="Percent 2 6 7" xfId="3089"/>
    <cellStyle name="Percent 2 6 7 2" xfId="3090"/>
    <cellStyle name="Percent 2 6 8" xfId="3091"/>
    <cellStyle name="Percent 2 6 8 2" xfId="3092"/>
    <cellStyle name="Percent 2 6 9" xfId="3093"/>
    <cellStyle name="Percent 2 7" xfId="3094"/>
    <cellStyle name="Percent 2 7 2" xfId="3095"/>
    <cellStyle name="Percent 2 7 2 2" xfId="3096"/>
    <cellStyle name="Percent 2 7 3" xfId="3097"/>
    <cellStyle name="Percent 2 7 3 2" xfId="3098"/>
    <cellStyle name="Percent 2 7 4" xfId="3099"/>
    <cellStyle name="Percent 2 7 4 2" xfId="3100"/>
    <cellStyle name="Percent 2 7 5" xfId="3101"/>
    <cellStyle name="Percent 2 7 5 2" xfId="3102"/>
    <cellStyle name="Percent 2 7 6" xfId="3103"/>
    <cellStyle name="Percent 2 7 6 2" xfId="3104"/>
    <cellStyle name="Percent 2 7 7" xfId="3105"/>
    <cellStyle name="Percent 2 7 7 2" xfId="3106"/>
    <cellStyle name="Percent 2 7 8" xfId="3107"/>
    <cellStyle name="Percent 2 7 8 2" xfId="3108"/>
    <cellStyle name="Percent 2 7 9" xfId="3109"/>
    <cellStyle name="Percent 2 8" xfId="3110"/>
    <cellStyle name="Percent 2 8 2" xfId="3111"/>
    <cellStyle name="Percent 2 8 2 2" xfId="3112"/>
    <cellStyle name="Percent 2 8 3" xfId="3113"/>
    <cellStyle name="Percent 2 8 3 2" xfId="3114"/>
    <cellStyle name="Percent 2 8 4" xfId="3115"/>
    <cellStyle name="Percent 2 8 4 2" xfId="3116"/>
    <cellStyle name="Percent 2 8 5" xfId="3117"/>
    <cellStyle name="Percent 2 8 5 2" xfId="3118"/>
    <cellStyle name="Percent 2 8 6" xfId="3119"/>
    <cellStyle name="Percent 2 8 6 2" xfId="3120"/>
    <cellStyle name="Percent 2 8 7" xfId="3121"/>
    <cellStyle name="Percent 2 8 7 2" xfId="3122"/>
    <cellStyle name="Percent 2 8 8" xfId="3123"/>
    <cellStyle name="Percent 2 8 8 2" xfId="3124"/>
    <cellStyle name="Percent 2 8 9" xfId="3125"/>
    <cellStyle name="Percent 2 9" xfId="3126"/>
    <cellStyle name="Percent 2 9 2" xfId="3127"/>
    <cellStyle name="Percent 2 9 2 2" xfId="3128"/>
    <cellStyle name="Percent 2 9 3" xfId="3129"/>
    <cellStyle name="Percent 2 9 3 2" xfId="3130"/>
    <cellStyle name="Percent 2 9 4" xfId="3131"/>
    <cellStyle name="Percent 2 9 4 2" xfId="3132"/>
    <cellStyle name="Percent 2 9 5" xfId="3133"/>
    <cellStyle name="Percent 2 9 5 2" xfId="3134"/>
    <cellStyle name="Percent 2 9 6" xfId="3135"/>
    <cellStyle name="Percent 2 9 6 2" xfId="3136"/>
    <cellStyle name="Percent 2 9 7" xfId="3137"/>
    <cellStyle name="Percent 2 9 7 2" xfId="3138"/>
    <cellStyle name="Percent 2 9 8" xfId="3139"/>
    <cellStyle name="Percent 2 9 8 2" xfId="3140"/>
    <cellStyle name="Percent 2 9 9" xfId="3141"/>
    <cellStyle name="Percent 3" xfId="3142"/>
    <cellStyle name="Percent 3 10" xfId="3143"/>
    <cellStyle name="Percent 3 11" xfId="3144"/>
    <cellStyle name="Percent 3 12" xfId="3145"/>
    <cellStyle name="Percent 3 2" xfId="3146"/>
    <cellStyle name="Percent 3 2 2" xfId="3147"/>
    <cellStyle name="Percent 3 2 2 2" xfId="3148"/>
    <cellStyle name="Percent 3 2 3" xfId="3149"/>
    <cellStyle name="Percent 3 2 4" xfId="3150"/>
    <cellStyle name="Percent 3 3" xfId="3151"/>
    <cellStyle name="Percent 3 3 2" xfId="3152"/>
    <cellStyle name="Percent 3 3 2 2" xfId="3153"/>
    <cellStyle name="Percent 3 3 3" xfId="3154"/>
    <cellStyle name="Percent 3 3 3 2" xfId="3155"/>
    <cellStyle name="Percent 3 3 4" xfId="3156"/>
    <cellStyle name="Percent 3 4" xfId="3157"/>
    <cellStyle name="Percent 3 4 2" xfId="3158"/>
    <cellStyle name="Percent 3 4 2 2" xfId="3159"/>
    <cellStyle name="Percent 3 4 3" xfId="3160"/>
    <cellStyle name="Percent 3 5" xfId="3161"/>
    <cellStyle name="Percent 3 5 2" xfId="3162"/>
    <cellStyle name="Percent 3 5 3" xfId="3163"/>
    <cellStyle name="Percent 3 6" xfId="3164"/>
    <cellStyle name="Percent 3 6 2" xfId="3165"/>
    <cellStyle name="Percent 3 7" xfId="3166"/>
    <cellStyle name="Percent 3 7 2" xfId="3167"/>
    <cellStyle name="Percent 3 8" xfId="3168"/>
    <cellStyle name="Percent 3 8 2" xfId="3169"/>
    <cellStyle name="Percent 3 9" xfId="3170"/>
    <cellStyle name="Percent 3 9 2" xfId="3171"/>
    <cellStyle name="Percent 3 9 3" xfId="3172"/>
    <cellStyle name="Percent 4" xfId="3173"/>
    <cellStyle name="Percent 4 10" xfId="3174"/>
    <cellStyle name="Percent 4 10 2" xfId="3175"/>
    <cellStyle name="Percent 4 11" xfId="3176"/>
    <cellStyle name="Percent 4 11 2" xfId="3177"/>
    <cellStyle name="Percent 4 12" xfId="3178"/>
    <cellStyle name="Percent 4 12 2" xfId="3179"/>
    <cellStyle name="Percent 4 13" xfId="3180"/>
    <cellStyle name="Percent 4 13 2" xfId="3181"/>
    <cellStyle name="Percent 4 14" xfId="3182"/>
    <cellStyle name="Percent 4 15" xfId="3183"/>
    <cellStyle name="Percent 4 2" xfId="3184"/>
    <cellStyle name="Percent 4 2 10" xfId="3185"/>
    <cellStyle name="Percent 4 2 2" xfId="3186"/>
    <cellStyle name="Percent 4 2 2 2" xfId="3187"/>
    <cellStyle name="Percent 4 2 2 3" xfId="3188"/>
    <cellStyle name="Percent 4 2 3" xfId="3189"/>
    <cellStyle name="Percent 4 2 3 2" xfId="3190"/>
    <cellStyle name="Percent 4 2 4" xfId="3191"/>
    <cellStyle name="Percent 4 2 4 2" xfId="3192"/>
    <cellStyle name="Percent 4 2 5" xfId="3193"/>
    <cellStyle name="Percent 4 2 5 2" xfId="3194"/>
    <cellStyle name="Percent 4 2 6" xfId="3195"/>
    <cellStyle name="Percent 4 2 6 2" xfId="3196"/>
    <cellStyle name="Percent 4 2 7" xfId="3197"/>
    <cellStyle name="Percent 4 2 7 2" xfId="3198"/>
    <cellStyle name="Percent 4 2 8" xfId="3199"/>
    <cellStyle name="Percent 4 2 8 2" xfId="3200"/>
    <cellStyle name="Percent 4 2 9" xfId="3201"/>
    <cellStyle name="Percent 4 3" xfId="3202"/>
    <cellStyle name="Percent 4 3 10" xfId="3203"/>
    <cellStyle name="Percent 4 3 2" xfId="3204"/>
    <cellStyle name="Percent 4 3 2 2" xfId="3205"/>
    <cellStyle name="Percent 4 3 3" xfId="3206"/>
    <cellStyle name="Percent 4 3 3 2" xfId="3207"/>
    <cellStyle name="Percent 4 3 4" xfId="3208"/>
    <cellStyle name="Percent 4 3 4 2" xfId="3209"/>
    <cellStyle name="Percent 4 3 5" xfId="3210"/>
    <cellStyle name="Percent 4 3 5 2" xfId="3211"/>
    <cellStyle name="Percent 4 3 6" xfId="3212"/>
    <cellStyle name="Percent 4 3 6 2" xfId="3213"/>
    <cellStyle name="Percent 4 3 7" xfId="3214"/>
    <cellStyle name="Percent 4 3 7 2" xfId="3215"/>
    <cellStyle name="Percent 4 3 8" xfId="3216"/>
    <cellStyle name="Percent 4 3 8 2" xfId="3217"/>
    <cellStyle name="Percent 4 3 9" xfId="3218"/>
    <cellStyle name="Percent 4 4" xfId="3219"/>
    <cellStyle name="Percent 4 4 10" xfId="3220"/>
    <cellStyle name="Percent 4 4 2" xfId="3221"/>
    <cellStyle name="Percent 4 4 2 2" xfId="3222"/>
    <cellStyle name="Percent 4 4 3" xfId="3223"/>
    <cellStyle name="Percent 4 4 3 2" xfId="3224"/>
    <cellStyle name="Percent 4 4 4" xfId="3225"/>
    <cellStyle name="Percent 4 4 4 2" xfId="3226"/>
    <cellStyle name="Percent 4 4 5" xfId="3227"/>
    <cellStyle name="Percent 4 4 5 2" xfId="3228"/>
    <cellStyle name="Percent 4 4 6" xfId="3229"/>
    <cellStyle name="Percent 4 4 6 2" xfId="3230"/>
    <cellStyle name="Percent 4 4 7" xfId="3231"/>
    <cellStyle name="Percent 4 4 7 2" xfId="3232"/>
    <cellStyle name="Percent 4 4 8" xfId="3233"/>
    <cellStyle name="Percent 4 4 8 2" xfId="3234"/>
    <cellStyle name="Percent 4 4 9" xfId="3235"/>
    <cellStyle name="Percent 4 5" xfId="3236"/>
    <cellStyle name="Percent 4 5 2" xfId="3237"/>
    <cellStyle name="Percent 4 5 2 2" xfId="3238"/>
    <cellStyle name="Percent 4 5 3" xfId="3239"/>
    <cellStyle name="Percent 4 5 3 2" xfId="3240"/>
    <cellStyle name="Percent 4 5 4" xfId="3241"/>
    <cellStyle name="Percent 4 5 4 2" xfId="3242"/>
    <cellStyle name="Percent 4 5 5" xfId="3243"/>
    <cellStyle name="Percent 4 5 5 2" xfId="3244"/>
    <cellStyle name="Percent 4 5 6" xfId="3245"/>
    <cellStyle name="Percent 4 5 6 2" xfId="3246"/>
    <cellStyle name="Percent 4 5 7" xfId="3247"/>
    <cellStyle name="Percent 4 5 7 2" xfId="3248"/>
    <cellStyle name="Percent 4 5 8" xfId="3249"/>
    <cellStyle name="Percent 4 5 8 2" xfId="3250"/>
    <cellStyle name="Percent 4 5 9" xfId="3251"/>
    <cellStyle name="Percent 4 6" xfId="3252"/>
    <cellStyle name="Percent 4 6 2" xfId="3253"/>
    <cellStyle name="Percent 4 6 2 2" xfId="3254"/>
    <cellStyle name="Percent 4 6 3" xfId="3255"/>
    <cellStyle name="Percent 4 6 3 2" xfId="3256"/>
    <cellStyle name="Percent 4 6 4" xfId="3257"/>
    <cellStyle name="Percent 4 6 4 2" xfId="3258"/>
    <cellStyle name="Percent 4 6 5" xfId="3259"/>
    <cellStyle name="Percent 4 6 5 2" xfId="3260"/>
    <cellStyle name="Percent 4 6 6" xfId="3261"/>
    <cellStyle name="Percent 4 6 6 2" xfId="3262"/>
    <cellStyle name="Percent 4 6 7" xfId="3263"/>
    <cellStyle name="Percent 4 6 7 2" xfId="3264"/>
    <cellStyle name="Percent 4 6 8" xfId="3265"/>
    <cellStyle name="Percent 4 6 8 2" xfId="3266"/>
    <cellStyle name="Percent 4 6 9" xfId="3267"/>
    <cellStyle name="Percent 4 7" xfId="3268"/>
    <cellStyle name="Percent 4 7 2" xfId="3269"/>
    <cellStyle name="Percent 4 8" xfId="3270"/>
    <cellStyle name="Percent 4 8 2" xfId="3271"/>
    <cellStyle name="Percent 4 9" xfId="3272"/>
    <cellStyle name="Percent 4 9 2" xfId="3273"/>
    <cellStyle name="Percent 5" xfId="3274"/>
    <cellStyle name="Percent 5 10" xfId="3275"/>
    <cellStyle name="Percent 5 2" xfId="3276"/>
    <cellStyle name="Percent 5 2 2" xfId="3277"/>
    <cellStyle name="Percent 5 2 3" xfId="3278"/>
    <cellStyle name="Percent 5 3" xfId="3279"/>
    <cellStyle name="Percent 5 3 2" xfId="3280"/>
    <cellStyle name="Percent 5 4" xfId="3281"/>
    <cellStyle name="Percent 5 4 2" xfId="3282"/>
    <cellStyle name="Percent 5 5" xfId="3283"/>
    <cellStyle name="Percent 5 5 2" xfId="3284"/>
    <cellStyle name="Percent 5 6" xfId="3285"/>
    <cellStyle name="Percent 5 6 2" xfId="3286"/>
    <cellStyle name="Percent 5 7" xfId="3287"/>
    <cellStyle name="Percent 5 7 2" xfId="3288"/>
    <cellStyle name="Percent 5 8" xfId="3289"/>
    <cellStyle name="Percent 5 8 2" xfId="3290"/>
    <cellStyle name="Percent 5 9" xfId="3291"/>
    <cellStyle name="Percent 6" xfId="3292"/>
    <cellStyle name="Percent 6 10" xfId="3293"/>
    <cellStyle name="Percent 6 2" xfId="3294"/>
    <cellStyle name="Percent 6 2 2" xfId="3295"/>
    <cellStyle name="Percent 6 3" xfId="3296"/>
    <cellStyle name="Percent 6 3 2" xfId="3297"/>
    <cellStyle name="Percent 6 4" xfId="3298"/>
    <cellStyle name="Percent 6 4 2" xfId="3299"/>
    <cellStyle name="Percent 6 5" xfId="3300"/>
    <cellStyle name="Percent 6 5 2" xfId="3301"/>
    <cellStyle name="Percent 6 6" xfId="3302"/>
    <cellStyle name="Percent 6 6 2" xfId="3303"/>
    <cellStyle name="Percent 6 7" xfId="3304"/>
    <cellStyle name="Percent 6 7 2" xfId="3305"/>
    <cellStyle name="Percent 6 8" xfId="3306"/>
    <cellStyle name="Percent 6 8 2" xfId="3307"/>
    <cellStyle name="Percent 6 9" xfId="3308"/>
    <cellStyle name="Percent 7" xfId="3309"/>
    <cellStyle name="Percent 7 2" xfId="3310"/>
    <cellStyle name="Percent 7 2 2" xfId="3311"/>
    <cellStyle name="Percent 7 3" xfId="3312"/>
    <cellStyle name="Percent 7 3 2" xfId="3313"/>
    <cellStyle name="Percent 7 4" xfId="3314"/>
    <cellStyle name="Percent 7 4 2" xfId="3315"/>
    <cellStyle name="Percent 7 5" xfId="3316"/>
    <cellStyle name="Percent 7 5 2" xfId="3317"/>
    <cellStyle name="Percent 7 6" xfId="3318"/>
    <cellStyle name="Percent 7 6 2" xfId="3319"/>
    <cellStyle name="Percent 7 7" xfId="3320"/>
    <cellStyle name="Percent 7 7 2" xfId="3321"/>
    <cellStyle name="Percent 7 8" xfId="3322"/>
    <cellStyle name="Percent 7 8 2" xfId="3323"/>
    <cellStyle name="Percent 7 9" xfId="3324"/>
    <cellStyle name="Percent 8" xfId="3325"/>
    <cellStyle name="Percent 8 2" xfId="3326"/>
    <cellStyle name="Percent 8 2 2" xfId="3327"/>
    <cellStyle name="Percent 8 3" xfId="3328"/>
    <cellStyle name="Percent 8 3 2" xfId="3329"/>
    <cellStyle name="Percent 8 4" xfId="3330"/>
    <cellStyle name="Percent 8 4 2" xfId="3331"/>
    <cellStyle name="Percent 8 5" xfId="3332"/>
    <cellStyle name="Percent 8 5 2" xfId="3333"/>
    <cellStyle name="Percent 8 6" xfId="3334"/>
    <cellStyle name="Percent 8 6 2" xfId="3335"/>
    <cellStyle name="Percent 8 7" xfId="3336"/>
    <cellStyle name="Percent 8 7 2" xfId="3337"/>
    <cellStyle name="Percent 8 8" xfId="3338"/>
    <cellStyle name="Percent 8 8 2" xfId="3339"/>
    <cellStyle name="Percent 8 9" xfId="3340"/>
    <cellStyle name="Percent 9" xfId="3341"/>
    <cellStyle name="Percent 9 2" xfId="3342"/>
    <cellStyle name="Percent 9 2 2" xfId="3343"/>
    <cellStyle name="Percent 9 3" xfId="3344"/>
    <cellStyle name="Percent 9 3 2" xfId="3345"/>
    <cellStyle name="Percent 9 4" xfId="3346"/>
    <cellStyle name="Percent 9 4 2" xfId="3347"/>
    <cellStyle name="Percent 9 5" xfId="3348"/>
    <cellStyle name="Percent 9 5 2" xfId="3349"/>
    <cellStyle name="Percent 9 6" xfId="3350"/>
    <cellStyle name="Percent 9 6 2" xfId="3351"/>
    <cellStyle name="Percent 9 7" xfId="3352"/>
    <cellStyle name="Percent 9 7 2" xfId="3353"/>
    <cellStyle name="Percent 9 8" xfId="3354"/>
    <cellStyle name="Percent 9 8 2" xfId="3355"/>
    <cellStyle name="Percent 9 9" xfId="3356"/>
    <cellStyle name="Pilkku_Layo9704" xfId="3357"/>
    <cellStyle name="Pyör. luku_Layo9704" xfId="3358"/>
    <cellStyle name="Pyör. valuutta_Layo9704" xfId="3359"/>
    <cellStyle name="source" xfId="3360"/>
    <cellStyle name="Standard_Sce_D_Extraction" xfId="3361"/>
    <cellStyle name="Style 21" xfId="3362"/>
    <cellStyle name="Style 21 2" xfId="3363"/>
    <cellStyle name="Style 22" xfId="3364"/>
    <cellStyle name="Style 23" xfId="3365"/>
    <cellStyle name="Style 24" xfId="3366"/>
    <cellStyle name="Style 25" xfId="3367"/>
    <cellStyle name="Style 25 2" xfId="3368"/>
    <cellStyle name="Style 26" xfId="3369"/>
    <cellStyle name="Style 29" xfId="3370"/>
    <cellStyle name="Style 29 2" xfId="3371"/>
    <cellStyle name="Style 29 2 2" xfId="3372"/>
    <cellStyle name="Style 29 3" xfId="3373"/>
    <cellStyle name="Style 35" xfId="3374"/>
    <cellStyle name="Style 35 2" xfId="3375"/>
    <cellStyle name="Style 36" xfId="3376"/>
    <cellStyle name="Style 36 2" xfId="3377"/>
    <cellStyle name="tableau | cellule | normal | decimal 1" xfId="3378"/>
    <cellStyle name="tableau | cellule | normal | pourcentage | decimal 1" xfId="3379"/>
    <cellStyle name="tableau | cellule | total | decimal 1" xfId="3380"/>
    <cellStyle name="tableau | coin superieur gauche" xfId="3381"/>
    <cellStyle name="tableau | coin superieur gauche 2" xfId="3382"/>
    <cellStyle name="tableau | entete-colonne | series" xfId="3383"/>
    <cellStyle name="tableau | entete-colonne | series 2" xfId="3384"/>
    <cellStyle name="tableau | entete-ligne | normal" xfId="3385"/>
    <cellStyle name="tableau | entete-ligne | normal 2" xfId="3386"/>
    <cellStyle name="tableau | entete-ligne | total" xfId="3387"/>
    <cellStyle name="tableau | ligne-titre | niveau1" xfId="3388"/>
    <cellStyle name="tableau | ligne-titre | niveau1 2" xfId="3389"/>
    <cellStyle name="tableau | ligne-titre | niveau2" xfId="3390"/>
    <cellStyle name="tableau | ligne-titre | niveau2 2" xfId="3391"/>
    <cellStyle name="Title 2" xfId="3392"/>
    <cellStyle name="Title 2 10" xfId="3393"/>
    <cellStyle name="Title 2 2" xfId="3394"/>
    <cellStyle name="Title 2 3" xfId="3395"/>
    <cellStyle name="Title 2 4" xfId="3396"/>
    <cellStyle name="Title 2 5" xfId="3397"/>
    <cellStyle name="Title 2 6" xfId="3398"/>
    <cellStyle name="Title 2 7" xfId="3399"/>
    <cellStyle name="Title 2 8" xfId="3400"/>
    <cellStyle name="Title 2 9" xfId="3401"/>
    <cellStyle name="Title 3" xfId="3402"/>
    <cellStyle name="Title 3 2" xfId="3403"/>
    <cellStyle name="Total 2" xfId="3404"/>
    <cellStyle name="Total 2 10" xfId="3405"/>
    <cellStyle name="Total 2 2" xfId="3406"/>
    <cellStyle name="Total 2 3" xfId="3407"/>
    <cellStyle name="Total 2 4" xfId="3408"/>
    <cellStyle name="Total 2 5" xfId="3409"/>
    <cellStyle name="Total 2 6" xfId="3410"/>
    <cellStyle name="Total 2 7" xfId="3411"/>
    <cellStyle name="Total 2 8" xfId="3412"/>
    <cellStyle name="Total 2 9" xfId="3413"/>
    <cellStyle name="Total 3" xfId="3414"/>
    <cellStyle name="Total 3 2" xfId="3415"/>
    <cellStyle name="Valuutta_Layo9704" xfId="3416"/>
    <cellStyle name="Warning Text 2" xfId="3417"/>
    <cellStyle name="Warning Text 2 10" xfId="3418"/>
    <cellStyle name="Warning Text 2 2" xfId="3419"/>
    <cellStyle name="Warning Text 2 3" xfId="3420"/>
    <cellStyle name="Warning Text 2 4" xfId="3421"/>
    <cellStyle name="Warning Text 2 5" xfId="3422"/>
    <cellStyle name="Warning Text 2 6" xfId="3423"/>
    <cellStyle name="Warning Text 2 7" xfId="3424"/>
    <cellStyle name="Warning Text 2 8" xfId="3425"/>
    <cellStyle name="Warning Text 2 9" xfId="3426"/>
    <cellStyle name="Warning Text 3" xfId="3427"/>
    <cellStyle name="Обычный_CRF2002 (1)" xfId="3428"/>
    <cellStyle name="已访问的超链接" xfId="342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Average Annual Vehicle Miles Traveled by Major Vehicle Category</a:t>
            </a:r>
            <a:endParaRPr lang="en-US" sz="1600" b="1"/>
          </a:p>
        </c:rich>
      </c:tx>
      <c:layout>
        <c:manualLayout>
          <c:xMode val="edge"/>
          <c:yMode val="edge"/>
          <c:x val="0.118832847405409"/>
          <c:y val="0.028478964401294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38274592250276"/>
          <c:y val="0.111521610420367"/>
          <c:w val="0.907700668398818"/>
          <c:h val="0.78163320847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'Average VMT by Vehicle Type'!$D$3</c:f>
              <c:strCache>
                <c:ptCount val="1"/>
                <c:pt idx="0">
                  <c:v>VMT per Vehicle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VMT by Vehicle Type'!$C$4:$C$12</c:f>
              <c:strCache>
                <c:ptCount val="9"/>
                <c:pt idx="0">
                  <c:v>Class 8 Truck</c:v>
                </c:pt>
                <c:pt idx="1">
                  <c:v>Transit Bus</c:v>
                </c:pt>
                <c:pt idx="2">
                  <c:v>Paratransit Shuttle</c:v>
                </c:pt>
                <c:pt idx="3">
                  <c:v>Refuse Truck</c:v>
                </c:pt>
                <c:pt idx="4">
                  <c:v>Delivery Truck</c:v>
                </c:pt>
                <c:pt idx="5">
                  <c:v>School Bus</c:v>
                </c:pt>
                <c:pt idx="6">
                  <c:v>Light Truck/Van</c:v>
                </c:pt>
                <c:pt idx="7">
                  <c:v>Car</c:v>
                </c:pt>
                <c:pt idx="8">
                  <c:v>Motorcycle</c:v>
                </c:pt>
              </c:strCache>
            </c:strRef>
          </c:cat>
          <c:val>
            <c:numRef>
              <c:f>'Average VMT by Vehicle Type'!$D$4:$D$12</c:f>
              <c:numCache>
                <c:formatCode>_(* #,##0_);_(* \(#,##0\);_(* "-"??_);_(@_)</c:formatCode>
                <c:ptCount val="9"/>
                <c:pt idx="0">
                  <c:v>62751</c:v>
                </c:pt>
                <c:pt idx="1" c:formatCode="#,##0">
                  <c:v>43647</c:v>
                </c:pt>
                <c:pt idx="2" c:formatCode="#,##0">
                  <c:v>29429</c:v>
                </c:pt>
                <c:pt idx="3" c:formatCode="#,##0">
                  <c:v>25000</c:v>
                </c:pt>
                <c:pt idx="4">
                  <c:v>12435</c:v>
                </c:pt>
                <c:pt idx="5" c:formatCode="#,##0">
                  <c:v>12000</c:v>
                </c:pt>
                <c:pt idx="6">
                  <c:v>11543</c:v>
                </c:pt>
                <c:pt idx="7">
                  <c:v>11467</c:v>
                </c:pt>
                <c:pt idx="8">
                  <c:v>2312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718752"/>
        <c:axId val="305720320"/>
      </c:barChart>
      <c:catAx>
        <c:axId val="3057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5720320"/>
        <c:crosses val="autoZero"/>
        <c:auto val="1"/>
        <c:lblAlgn val="ctr"/>
        <c:lblOffset val="100"/>
        <c:noMultiLvlLbl val="0"/>
      </c:catAx>
      <c:valAx>
        <c:axId val="30572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57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5ea0616-b4ed-4bcd-9454-f76be0dfe46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19050</xdr:colOff>
      <xdr:row>0</xdr:row>
      <xdr:rowOff>152400</xdr:rowOff>
    </xdr:from>
    <xdr:to>
      <xdr:col>20</xdr:col>
      <xdr:colOff>28575</xdr:colOff>
      <xdr:row>21</xdr:row>
      <xdr:rowOff>76200</xdr:rowOff>
    </xdr:to>
    <xdr:graphicFrame>
      <xdr:nvGraphicFramePr>
        <xdr:cNvPr id="2" name="Chart 1"/>
        <xdr:cNvGraphicFramePr/>
      </xdr:nvGraphicFramePr>
      <xdr:xfrm>
        <a:off x="6313805" y="152400"/>
        <a:ext cx="7934325" cy="4641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0.81024</cdr:x>
      <cdr:y>0.95987</cdr:y>
    </cdr:from>
    <cdr:to>
      <cdr:x>0.99344</cdr:x>
      <cdr:y>0.99509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6127750" y="4708525"/>
          <a:ext cx="1385455" cy="172774"/>
        </a:xfrm>
        <a:prstGeom xmlns:a="http://schemas.openxmlformats.org/drawingml/2006/main" prst="rect">
          <a:avLst/>
        </a:prstGeom>
        <a:solidFill>
          <a:srgbClr val="FFFFFF">
            <a:alpha val="0"/>
          </a:srgbClr>
        </a:solidFill>
        <a:ln w="9525">
          <a:noFill/>
          <a:miter lim="800000"/>
        </a:ln>
      </cdr:spPr>
      <cdr:txBody xmlns:a="http://schemas.openxmlformats.org/drawingml/2006/main">
        <a:bodyPr wrap="square" lIns="0" tIns="0" rIns="27432" bIns="22860" anchor="b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afdc.energy.gov/data</a:t>
          </a:r>
          <a:endParaRPr lang="en-US" sz="8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688.6283876157" refreshedBy="Amit Kanudia" recordCount="770">
  <cacheSource type="worksheet">
    <worksheetSource ref="A1:D771" sheet="vehicle population data"/>
  </cacheSource>
  <cacheFields count="4">
    <cacheField name="veh_type" numFmtId="0">
      <sharedItems count="2">
        <s v="cars"/>
        <s v="trucks"/>
      </sharedItems>
    </cacheField>
    <cacheField name="year" numFmtId="0">
      <sharedItems containsSemiMixedTypes="0" containsString="0" containsNumber="1" containsInteger="1" minValue="0" maxValue="2015" count="11">
        <n v="2005"/>
        <n v="2006"/>
        <n v="2007"/>
        <n v="2008"/>
        <n v="2009"/>
        <n v="2010"/>
        <n v="2011"/>
        <n v="2012"/>
        <n v="2013"/>
        <n v="2014"/>
        <n v="2015"/>
      </sharedItems>
    </cacheField>
    <cacheField name="ActiveReg" numFmtId="0">
      <sharedItems count="54">
        <s v="Africa_North"/>
        <s v="Africa_Other"/>
        <s v="Australia"/>
        <s v="Austria"/>
        <s v="Baltics"/>
        <s v="BeNeLux"/>
        <s v="Brazil"/>
        <s v="China"/>
        <s v="CroSloven"/>
        <s v="CzechSlovak"/>
        <s v="France"/>
        <s v="Germany"/>
        <s v="GreeceCyp"/>
        <s v="HunRomBul"/>
        <s v="Iceland"/>
        <s v="India"/>
        <s v="Ireland"/>
        <s v="ItalyMal"/>
        <s v="Japan"/>
        <s v="LatAm"/>
        <s v="MidEast"/>
        <s v="NorthAm"/>
        <s v="Norway"/>
        <s v="Poland"/>
        <s v="ROW"/>
        <s v="Russia"/>
        <s v="SaudiArabia"/>
        <s v="SouthAfrica"/>
        <s v="SpainPor"/>
        <s v="SweFinDen"/>
        <s v="Switzerland"/>
        <s v="Turkey"/>
        <s v="UK"/>
        <s v="Ukraine"/>
        <s v="WestBalkans"/>
        <s v="Australia_d" u="1"/>
        <s v="Austria_d" u="1"/>
        <s v="Brazil_d" u="1"/>
        <s v="China_d" u="1"/>
        <s v="France_d" u="1"/>
        <s v="Germany_d" u="1"/>
        <s v="Iceland_d" u="1"/>
        <s v="India_d" u="1"/>
        <s v="Ireland_d" u="1"/>
        <s v="Japan_d" u="1"/>
        <s v="Norway_d" u="1"/>
        <s v="Poland_d" u="1"/>
        <s v="Russia_d" u="1"/>
        <s v="SaudiArabia_d" u="1"/>
        <s v="SouthAfrica_d" u="1"/>
        <s v="Switzerland_d" u="1"/>
        <s v="Turkey_d" u="1"/>
        <s v="UK_d" u="1"/>
        <s v="Ukraine_d" u="1"/>
      </sharedItems>
    </cacheField>
    <cacheField name="mVeh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x v="0"/>
    <x v="0"/>
    <x v="0"/>
    <n v="7.4080000000000004"/>
  </r>
  <r>
    <x v="0"/>
    <x v="1"/>
    <x v="0"/>
    <n v="8.0644279999999995"/>
  </r>
  <r>
    <x v="0"/>
    <x v="2"/>
    <x v="0"/>
    <n v="8.4715699999999998"/>
  </r>
  <r>
    <x v="0"/>
    <x v="3"/>
    <x v="0"/>
    <n v="8.8680289999999999"/>
  </r>
  <r>
    <x v="0"/>
    <x v="4"/>
    <x v="0"/>
    <n v="9.4617059999999995"/>
  </r>
  <r>
    <x v="0"/>
    <x v="5"/>
    <x v="0"/>
    <n v="10.341404000000001"/>
  </r>
  <r>
    <x v="0"/>
    <x v="6"/>
    <x v="0"/>
    <n v="10.914955000000001"/>
  </r>
  <r>
    <x v="0"/>
    <x v="7"/>
    <x v="0"/>
    <n v="11.497769999999999"/>
  </r>
  <r>
    <x v="0"/>
    <x v="8"/>
    <x v="0"/>
    <n v="12.123381"/>
  </r>
  <r>
    <x v="0"/>
    <x v="9"/>
    <x v="0"/>
    <n v="12.821766"/>
  </r>
  <r>
    <x v="0"/>
    <x v="10"/>
    <x v="0"/>
    <n v="13.794338"/>
  </r>
  <r>
    <x v="0"/>
    <x v="0"/>
    <x v="1"/>
    <n v="5.2352020000000001"/>
  </r>
  <r>
    <x v="0"/>
    <x v="1"/>
    <x v="1"/>
    <n v="6.6282420000000002"/>
  </r>
  <r>
    <x v="0"/>
    <x v="2"/>
    <x v="1"/>
    <n v="7.0369700000000002"/>
  </r>
  <r>
    <x v="0"/>
    <x v="3"/>
    <x v="1"/>
    <n v="7.5913899999999996"/>
  </r>
  <r>
    <x v="0"/>
    <x v="4"/>
    <x v="1"/>
    <n v="7.8151419999999998"/>
  </r>
  <r>
    <x v="0"/>
    <x v="5"/>
    <x v="1"/>
    <n v="8.1680989999999998"/>
  </r>
  <r>
    <x v="0"/>
    <x v="6"/>
    <x v="1"/>
    <n v="8.5718429999999994"/>
  </r>
  <r>
    <x v="0"/>
    <x v="7"/>
    <x v="1"/>
    <n v="9.0576910000000002"/>
  </r>
  <r>
    <x v="0"/>
    <x v="8"/>
    <x v="1"/>
    <n v="9.5199680000000004"/>
  </r>
  <r>
    <x v="0"/>
    <x v="9"/>
    <x v="1"/>
    <n v="10.067513"/>
  </r>
  <r>
    <x v="0"/>
    <x v="10"/>
    <x v="1"/>
    <n v="10.632235"/>
  </r>
  <r>
    <x v="0"/>
    <x v="0"/>
    <x v="2"/>
    <n v="11.010999999999999"/>
  </r>
  <r>
    <x v="0"/>
    <x v="1"/>
    <x v="2"/>
    <n v="11.273"/>
  </r>
  <r>
    <x v="0"/>
    <x v="2"/>
    <x v="2"/>
    <n v="11.519"/>
  </r>
  <r>
    <x v="0"/>
    <x v="3"/>
    <x v="2"/>
    <n v="11.804"/>
  </r>
  <r>
    <x v="0"/>
    <x v="4"/>
    <x v="2"/>
    <n v="12.023"/>
  </r>
  <r>
    <x v="0"/>
    <x v="5"/>
    <x v="2"/>
    <n v="12.269304999999999"/>
  </r>
  <r>
    <x v="0"/>
    <x v="6"/>
    <x v="2"/>
    <n v="12.474"/>
  </r>
  <r>
    <x v="0"/>
    <x v="7"/>
    <x v="2"/>
    <n v="12.714235"/>
  </r>
  <r>
    <x v="0"/>
    <x v="8"/>
    <x v="2"/>
    <n v="13.000021"/>
  </r>
  <r>
    <x v="0"/>
    <x v="9"/>
    <x v="2"/>
    <n v="13.29726"/>
  </r>
  <r>
    <x v="0"/>
    <x v="10"/>
    <x v="2"/>
    <n v="13.549448999999999"/>
  </r>
  <r>
    <x v="0"/>
    <x v="0"/>
    <x v="3"/>
    <n v="4.157"/>
  </r>
  <r>
    <x v="0"/>
    <x v="1"/>
    <x v="3"/>
    <n v="4.2050000000000001"/>
  </r>
  <r>
    <x v="0"/>
    <x v="2"/>
    <x v="3"/>
    <n v="4.2460000000000004"/>
  </r>
  <r>
    <x v="0"/>
    <x v="3"/>
    <x v="3"/>
    <n v="4.2850000000000001"/>
  </r>
  <r>
    <x v="0"/>
    <x v="4"/>
    <x v="3"/>
    <n v="4.3600000000000003"/>
  </r>
  <r>
    <x v="0"/>
    <x v="5"/>
    <x v="3"/>
    <n v="4.4409999999999998"/>
  </r>
  <r>
    <x v="0"/>
    <x v="6"/>
    <x v="3"/>
    <n v="4.5129999999999999"/>
  </r>
  <r>
    <x v="0"/>
    <x v="7"/>
    <x v="3"/>
    <n v="4.5839999999999996"/>
  </r>
  <r>
    <x v="0"/>
    <x v="8"/>
    <x v="3"/>
    <n v="4.6413080000000004"/>
  </r>
  <r>
    <x v="0"/>
    <x v="9"/>
    <x v="3"/>
    <n v="4.6949209999999999"/>
  </r>
  <r>
    <x v="0"/>
    <x v="10"/>
    <x v="3"/>
    <n v="4.7480479999999998"/>
  </r>
  <r>
    <x v="0"/>
    <x v="0"/>
    <x v="4"/>
    <n v="2.6915230000000001"/>
  </r>
  <r>
    <x v="0"/>
    <x v="1"/>
    <x v="4"/>
    <n v="2.9682490000000001"/>
  </r>
  <r>
    <x v="0"/>
    <x v="2"/>
    <x v="4"/>
    <n v="3.016572"/>
  </r>
  <r>
    <x v="0"/>
    <x v="3"/>
    <x v="4"/>
    <n v="3.1556929999999999"/>
  </r>
  <r>
    <x v="0"/>
    <x v="4"/>
    <x v="4"/>
    <n v="3.1452939999999998"/>
  </r>
  <r>
    <x v="0"/>
    <x v="5"/>
    <x v="4"/>
    <n v="2.8812190000000002"/>
  </r>
  <r>
    <x v="0"/>
    <x v="6"/>
    <x v="4"/>
    <n v="2.899613"/>
  </r>
  <r>
    <x v="0"/>
    <x v="7"/>
    <x v="4"/>
    <n v="2.973814"/>
  </r>
  <r>
    <x v="0"/>
    <x v="8"/>
    <x v="4"/>
    <n v="3.072085"/>
  </r>
  <r>
    <x v="0"/>
    <x v="9"/>
    <x v="4"/>
    <n v="2.516467"/>
  </r>
  <r>
    <x v="0"/>
    <x v="10"/>
    <x v="4"/>
    <n v="2.5997110000000001"/>
  </r>
  <r>
    <x v="0"/>
    <x v="0"/>
    <x v="5"/>
    <n v="12.26"/>
  </r>
  <r>
    <x v="0"/>
    <x v="1"/>
    <x v="5"/>
    <n v="12.474"/>
  </r>
  <r>
    <x v="0"/>
    <x v="2"/>
    <x v="5"/>
    <n v="12.72"/>
  </r>
  <r>
    <x v="0"/>
    <x v="3"/>
    <x v="5"/>
    <n v="12.958"/>
  </r>
  <r>
    <x v="0"/>
    <x v="4"/>
    <x v="5"/>
    <n v="13.114000000000001"/>
  </r>
  <r>
    <x v="0"/>
    <x v="5"/>
    <x v="5"/>
    <n v="13.352"/>
  </r>
  <r>
    <x v="0"/>
    <x v="6"/>
    <x v="5"/>
    <n v="13.564"/>
  </r>
  <r>
    <x v="0"/>
    <x v="7"/>
    <x v="5"/>
    <n v="13.664463"/>
  </r>
  <r>
    <x v="0"/>
    <x v="8"/>
    <x v="5"/>
    <n v="13.956542000000001"/>
  </r>
  <r>
    <x v="0"/>
    <x v="9"/>
    <x v="5"/>
    <n v="14.076907"/>
  </r>
  <r>
    <x v="0"/>
    <x v="10"/>
    <x v="5"/>
    <n v="14.304275000000001"/>
  </r>
  <r>
    <x v="0"/>
    <x v="0"/>
    <x v="6"/>
    <n v="18.925913524999999"/>
  </r>
  <r>
    <x v="0"/>
    <x v="1"/>
    <x v="6"/>
    <n v="19.892111395000001"/>
  </r>
  <r>
    <x v="0"/>
    <x v="2"/>
    <x v="6"/>
    <n v="21.296756030000001"/>
  </r>
  <r>
    <x v="0"/>
    <x v="3"/>
    <x v="6"/>
    <n v="22.91713966"/>
  </r>
  <r>
    <x v="0"/>
    <x v="4"/>
    <x v="6"/>
    <n v="24.814742644999999"/>
  </r>
  <r>
    <x v="0"/>
    <x v="5"/>
    <x v="6"/>
    <n v="26.887691905000001"/>
  </r>
  <r>
    <x v="0"/>
    <x v="6"/>
    <x v="6"/>
    <n v="28.945932710000001"/>
  </r>
  <r>
    <x v="0"/>
    <x v="7"/>
    <x v="6"/>
    <n v="31.122621939999998"/>
  </r>
  <r>
    <x v="0"/>
    <x v="8"/>
    <x v="6"/>
    <n v="33.091826185000002"/>
  </r>
  <r>
    <x v="0"/>
    <x v="9"/>
    <x v="6"/>
    <n v="34.676231829999999"/>
  </r>
  <r>
    <x v="0"/>
    <x v="10"/>
    <x v="6"/>
    <n v="35.471423000000001"/>
  </r>
  <r>
    <x v="0"/>
    <x v="0"/>
    <x v="7"/>
    <n v="21.324999999999999"/>
  </r>
  <r>
    <x v="0"/>
    <x v="1"/>
    <x v="7"/>
    <n v="26.196000000000002"/>
  </r>
  <r>
    <x v="0"/>
    <x v="2"/>
    <x v="7"/>
    <n v="31.96"/>
  </r>
  <r>
    <x v="0"/>
    <x v="3"/>
    <x v="7"/>
    <n v="38.389000000000003"/>
  </r>
  <r>
    <x v="0"/>
    <x v="4"/>
    <x v="7"/>
    <n v="48.451000000000001"/>
  </r>
  <r>
    <x v="0"/>
    <x v="5"/>
    <x v="7"/>
    <n v="61.634"/>
  </r>
  <r>
    <x v="0"/>
    <x v="6"/>
    <x v="7"/>
    <n v="74.849999999999994"/>
  </r>
  <r>
    <x v="0"/>
    <x v="7"/>
    <x v="7"/>
    <n v="87.376000000000005"/>
  </r>
  <r>
    <x v="0"/>
    <x v="8"/>
    <x v="7"/>
    <n v="101.3608"/>
  </r>
  <r>
    <x v="0"/>
    <x v="9"/>
    <x v="7"/>
    <n v="117.48191300000001"/>
  </r>
  <r>
    <x v="0"/>
    <x v="10"/>
    <x v="7"/>
    <n v="135.804833"/>
  </r>
  <r>
    <x v="0"/>
    <x v="0"/>
    <x v="8"/>
    <n v="2.3497810000000001"/>
  </r>
  <r>
    <x v="0"/>
    <x v="1"/>
    <x v="8"/>
    <n v="2.421567"/>
  </r>
  <r>
    <x v="0"/>
    <x v="2"/>
    <x v="8"/>
    <n v="2.5111270000000001"/>
  </r>
  <r>
    <x v="0"/>
    <x v="3"/>
    <x v="8"/>
    <n v="2.5868359999999999"/>
  </r>
  <r>
    <x v="0"/>
    <x v="4"/>
    <x v="8"/>
    <n v="2.5989270000000002"/>
  </r>
  <r>
    <x v="0"/>
    <x v="5"/>
    <x v="8"/>
    <n v="2.5839319999999999"/>
  </r>
  <r>
    <x v="0"/>
    <x v="6"/>
    <x v="8"/>
    <n v="2.5921090000000002"/>
  </r>
  <r>
    <x v="0"/>
    <x v="7"/>
    <x v="8"/>
    <n v="2.5191870000000001"/>
  </r>
  <r>
    <x v="0"/>
    <x v="8"/>
    <x v="8"/>
    <n v="2.5202209999999998"/>
  </r>
  <r>
    <x v="0"/>
    <x v="9"/>
    <x v="8"/>
    <n v="2.5514570000000001"/>
  </r>
  <r>
    <x v="0"/>
    <x v="10"/>
    <x v="8"/>
    <n v="2.587488"/>
  </r>
  <r>
    <x v="0"/>
    <x v="0"/>
    <x v="9"/>
    <n v="5.2629999999999999"/>
  </r>
  <r>
    <x v="0"/>
    <x v="1"/>
    <x v="9"/>
    <n v="5.4429999999999996"/>
  </r>
  <r>
    <x v="0"/>
    <x v="2"/>
    <x v="9"/>
    <n v="5.7140000000000004"/>
  </r>
  <r>
    <x v="0"/>
    <x v="3"/>
    <x v="9"/>
    <n v="5.968"/>
  </r>
  <r>
    <x v="0"/>
    <x v="4"/>
    <x v="9"/>
    <n v="6.024"/>
  </r>
  <r>
    <x v="0"/>
    <x v="5"/>
    <x v="9"/>
    <n v="6.165"/>
  </r>
  <r>
    <x v="0"/>
    <x v="6"/>
    <x v="9"/>
    <n v="6.3319999999999999"/>
  </r>
  <r>
    <x v="0"/>
    <x v="7"/>
    <x v="9"/>
    <n v="6.5250000000000004"/>
  </r>
  <r>
    <x v="0"/>
    <x v="8"/>
    <x v="9"/>
    <n v="6.7028759999999998"/>
  </r>
  <r>
    <x v="0"/>
    <x v="9"/>
    <x v="9"/>
    <n v="6.889208"/>
  </r>
  <r>
    <x v="0"/>
    <x v="10"/>
    <x v="9"/>
    <n v="7.196288"/>
  </r>
  <r>
    <x v="0"/>
    <x v="0"/>
    <x v="10"/>
    <n v="30.1"/>
  </r>
  <r>
    <x v="0"/>
    <x v="1"/>
    <x v="10"/>
    <n v="30.4"/>
  </r>
  <r>
    <x v="0"/>
    <x v="2"/>
    <x v="10"/>
    <n v="30.7"/>
  </r>
  <r>
    <x v="0"/>
    <x v="3"/>
    <x v="10"/>
    <n v="30.85"/>
  </r>
  <r>
    <x v="0"/>
    <x v="4"/>
    <x v="10"/>
    <n v="31.05"/>
  </r>
  <r>
    <x v="0"/>
    <x v="5"/>
    <x v="10"/>
    <n v="31.3"/>
  </r>
  <r>
    <x v="0"/>
    <x v="6"/>
    <x v="10"/>
    <n v="31.55"/>
  </r>
  <r>
    <x v="0"/>
    <x v="7"/>
    <x v="10"/>
    <n v="31.6"/>
  </r>
  <r>
    <x v="0"/>
    <x v="8"/>
    <x v="10"/>
    <n v="31.65"/>
  </r>
  <r>
    <x v="0"/>
    <x v="9"/>
    <x v="10"/>
    <n v="31.8"/>
  </r>
  <r>
    <x v="0"/>
    <x v="10"/>
    <x v="10"/>
    <n v="32"/>
  </r>
  <r>
    <x v="0"/>
    <x v="0"/>
    <x v="11"/>
    <n v="46.09"/>
  </r>
  <r>
    <x v="0"/>
    <x v="1"/>
    <x v="11"/>
    <n v="46.57"/>
  </r>
  <r>
    <x v="0"/>
    <x v="2"/>
    <x v="11"/>
    <n v="41.183999999999997"/>
  </r>
  <r>
    <x v="0"/>
    <x v="3"/>
    <x v="11"/>
    <n v="41.320999999999998"/>
  </r>
  <r>
    <x v="0"/>
    <x v="4"/>
    <x v="11"/>
    <n v="41.738"/>
  </r>
  <r>
    <x v="0"/>
    <x v="5"/>
    <x v="11"/>
    <n v="42.302"/>
  </r>
  <r>
    <x v="0"/>
    <x v="6"/>
    <x v="11"/>
    <n v="42.927999999999997"/>
  </r>
  <r>
    <x v="0"/>
    <x v="7"/>
    <x v="11"/>
    <n v="43.430999999999997"/>
  </r>
  <r>
    <x v="0"/>
    <x v="8"/>
    <x v="11"/>
    <n v="43.851230000000001"/>
  </r>
  <r>
    <x v="0"/>
    <x v="9"/>
    <x v="11"/>
    <n v="44.403123999999998"/>
  </r>
  <r>
    <x v="0"/>
    <x v="10"/>
    <x v="11"/>
    <n v="45.071209000000003"/>
  </r>
  <r>
    <x v="0"/>
    <x v="0"/>
    <x v="12"/>
    <n v="4.6581289999999997"/>
  </r>
  <r>
    <x v="0"/>
    <x v="1"/>
    <x v="12"/>
    <n v="4.9160159999999999"/>
  </r>
  <r>
    <x v="0"/>
    <x v="2"/>
    <x v="12"/>
    <n v="5.20953"/>
  </r>
  <r>
    <x v="0"/>
    <x v="3"/>
    <x v="12"/>
    <n v="5.4679440000000001"/>
  </r>
  <r>
    <x v="0"/>
    <x v="4"/>
    <x v="12"/>
    <n v="5.5929599999999997"/>
  </r>
  <r>
    <x v="0"/>
    <x v="5"/>
    <x v="12"/>
    <n v="5.6798729999999997"/>
  </r>
  <r>
    <x v="0"/>
    <x v="6"/>
    <x v="12"/>
    <n v="5.6735910000000001"/>
  </r>
  <r>
    <x v="0"/>
    <x v="7"/>
    <x v="12"/>
    <n v="5.642557"/>
  </r>
  <r>
    <x v="0"/>
    <x v="8"/>
    <x v="12"/>
    <n v="5.5987689999999999"/>
  </r>
  <r>
    <x v="0"/>
    <x v="9"/>
    <x v="12"/>
    <n v="5.5806950000000004"/>
  </r>
  <r>
    <x v="0"/>
    <x v="10"/>
    <x v="12"/>
    <n v="5.5926"/>
  </r>
  <r>
    <x v="0"/>
    <x v="0"/>
    <x v="13"/>
    <n v="8.7910000000000004"/>
  </r>
  <r>
    <x v="0"/>
    <x v="1"/>
    <x v="13"/>
    <n v="7.9429999999999996"/>
  </r>
  <r>
    <x v="0"/>
    <x v="2"/>
    <x v="13"/>
    <n v="8.6479999999999997"/>
  </r>
  <r>
    <x v="0"/>
    <x v="3"/>
    <x v="13"/>
    <n v="9.4484270000000006"/>
  </r>
  <r>
    <x v="0"/>
    <x v="4"/>
    <x v="13"/>
    <n v="9.7607189999999999"/>
  </r>
  <r>
    <x v="0"/>
    <x v="5"/>
    <x v="13"/>
    <n v="9.9060629999999996"/>
  </r>
  <r>
    <x v="0"/>
    <x v="6"/>
    <x v="13"/>
    <n v="9.9968079999999997"/>
  </r>
  <r>
    <x v="0"/>
    <x v="7"/>
    <x v="13"/>
    <n v="10.279842"/>
  </r>
  <r>
    <x v="0"/>
    <x v="8"/>
    <x v="13"/>
    <n v="10.644617999999999"/>
  </r>
  <r>
    <x v="0"/>
    <x v="9"/>
    <x v="13"/>
    <n v="11.027188000000001"/>
  </r>
  <r>
    <x v="0"/>
    <x v="10"/>
    <x v="13"/>
    <n v="11.512074999999999"/>
  </r>
  <r>
    <x v="0"/>
    <x v="0"/>
    <x v="14"/>
    <n v="0.187"/>
  </r>
  <r>
    <x v="0"/>
    <x v="1"/>
    <x v="14"/>
    <n v="0.19700000000000001"/>
  </r>
  <r>
    <x v="0"/>
    <x v="2"/>
    <x v="14"/>
    <n v="0.20799999999999999"/>
  </r>
  <r>
    <x v="0"/>
    <x v="3"/>
    <x v="14"/>
    <n v="0.21"/>
  </r>
  <r>
    <x v="0"/>
    <x v="4"/>
    <x v="14"/>
    <n v="0.20499999999999999"/>
  </r>
  <r>
    <x v="0"/>
    <x v="5"/>
    <x v="14"/>
    <n v="0.20499999999999999"/>
  </r>
  <r>
    <x v="0"/>
    <x v="6"/>
    <x v="14"/>
    <n v="0.20611199999999999"/>
  </r>
  <r>
    <x v="0"/>
    <x v="7"/>
    <x v="14"/>
    <n v="0.21007000000000001"/>
  </r>
  <r>
    <x v="0"/>
    <x v="8"/>
    <x v="14"/>
    <n v="0.213113"/>
  </r>
  <r>
    <x v="0"/>
    <x v="9"/>
    <x v="14"/>
    <n v="0.21745400000000001"/>
  </r>
  <r>
    <x v="0"/>
    <x v="10"/>
    <x v="14"/>
    <n v="0.22632099999999999"/>
  </r>
  <r>
    <x v="0"/>
    <x v="0"/>
    <x v="15"/>
    <n v="7.6260000000000003"/>
  </r>
  <r>
    <x v="0"/>
    <x v="1"/>
    <x v="15"/>
    <n v="8.5719999999999992"/>
  </r>
  <r>
    <x v="0"/>
    <x v="2"/>
    <x v="15"/>
    <n v="9.4440000000000008"/>
  </r>
  <r>
    <x v="0"/>
    <x v="3"/>
    <x v="15"/>
    <n v="10.606"/>
  </r>
  <r>
    <x v="0"/>
    <x v="4"/>
    <x v="15"/>
    <n v="11.744"/>
  </r>
  <r>
    <x v="0"/>
    <x v="5"/>
    <x v="15"/>
    <n v="13.268000000000001"/>
  </r>
  <r>
    <x v="0"/>
    <x v="6"/>
    <x v="15"/>
    <n v="15.026999999999999"/>
  </r>
  <r>
    <x v="0"/>
    <x v="7"/>
    <x v="15"/>
    <n v="16.896000000000001"/>
  </r>
  <r>
    <x v="0"/>
    <x v="8"/>
    <x v="15"/>
    <n v="18.917999999999999"/>
  </r>
  <r>
    <x v="0"/>
    <x v="9"/>
    <x v="15"/>
    <n v="20.442"/>
  </r>
  <r>
    <x v="0"/>
    <x v="10"/>
    <x v="15"/>
    <n v="22.468"/>
  </r>
  <r>
    <x v="0"/>
    <x v="0"/>
    <x v="16"/>
    <n v="1.6621570000000001"/>
  </r>
  <r>
    <x v="0"/>
    <x v="1"/>
    <x v="16"/>
    <n v="1.778861"/>
  </r>
  <r>
    <x v="0"/>
    <x v="2"/>
    <x v="16"/>
    <n v="1.8829009999999999"/>
  </r>
  <r>
    <x v="0"/>
    <x v="3"/>
    <x v="16"/>
    <n v="1.9242809999999999"/>
  </r>
  <r>
    <x v="0"/>
    <x v="4"/>
    <x v="16"/>
    <n v="1.9024289999999999"/>
  </r>
  <r>
    <x v="0"/>
    <x v="5"/>
    <x v="16"/>
    <n v="1.8727149999999999"/>
  </r>
  <r>
    <x v="0"/>
    <x v="6"/>
    <x v="16"/>
    <n v="1.88781"/>
  </r>
  <r>
    <x v="0"/>
    <x v="7"/>
    <x v="16"/>
    <n v="1.8825499999999999"/>
  </r>
  <r>
    <x v="0"/>
    <x v="8"/>
    <x v="16"/>
    <n v="1.9101649999999999"/>
  </r>
  <r>
    <x v="0"/>
    <x v="9"/>
    <x v="16"/>
    <n v="1.9438679999999999"/>
  </r>
  <r>
    <x v="0"/>
    <x v="10"/>
    <x v="16"/>
    <n v="1.9851300000000001"/>
  </r>
  <r>
    <x v="0"/>
    <x v="0"/>
    <x v="17"/>
    <n v="34.872999999999998"/>
  </r>
  <r>
    <x v="0"/>
    <x v="1"/>
    <x v="17"/>
    <n v="35.509"/>
  </r>
  <r>
    <x v="0"/>
    <x v="2"/>
    <x v="17"/>
    <n v="35.898000000000003"/>
  </r>
  <r>
    <x v="0"/>
    <x v="3"/>
    <x v="17"/>
    <n v="36.326999999999998"/>
  </r>
  <r>
    <x v="0"/>
    <x v="4"/>
    <x v="17"/>
    <n v="36.598999999999997"/>
  </r>
  <r>
    <x v="0"/>
    <x v="5"/>
    <x v="17"/>
    <n v="36.984999999999999"/>
  </r>
  <r>
    <x v="0"/>
    <x v="6"/>
    <x v="17"/>
    <n v="37.353000000000002"/>
  </r>
  <r>
    <x v="0"/>
    <x v="7"/>
    <x v="17"/>
    <n v="37.327612000000002"/>
  </r>
  <r>
    <x v="0"/>
    <x v="8"/>
    <x v="17"/>
    <n v="37.219029999999997"/>
  </r>
  <r>
    <x v="0"/>
    <x v="9"/>
    <x v="17"/>
    <n v="37.346702999999998"/>
  </r>
  <r>
    <x v="0"/>
    <x v="10"/>
    <x v="17"/>
    <n v="37.626612999999999"/>
  </r>
  <r>
    <x v="0"/>
    <x v="0"/>
    <x v="18"/>
    <n v="57.091000000000001"/>
  </r>
  <r>
    <x v="0"/>
    <x v="1"/>
    <x v="18"/>
    <n v="57.521000000000001"/>
  </r>
  <r>
    <x v="0"/>
    <x v="2"/>
    <x v="18"/>
    <n v="57.624000000000002"/>
  </r>
  <r>
    <x v="0"/>
    <x v="3"/>
    <x v="18"/>
    <n v="57.865000000000002"/>
  </r>
  <r>
    <x v="0"/>
    <x v="4"/>
    <x v="18"/>
    <n v="58.02"/>
  </r>
  <r>
    <x v="0"/>
    <x v="5"/>
    <x v="18"/>
    <n v="58.347000000000001"/>
  </r>
  <r>
    <x v="0"/>
    <x v="6"/>
    <x v="18"/>
    <n v="58.67"/>
  </r>
  <r>
    <x v="0"/>
    <x v="7"/>
    <x v="18"/>
    <n v="59.420999999999999"/>
  </r>
  <r>
    <x v="0"/>
    <x v="8"/>
    <x v="18"/>
    <n v="60.035848000000001"/>
  </r>
  <r>
    <x v="0"/>
    <x v="9"/>
    <x v="18"/>
    <n v="60.66807"/>
  </r>
  <r>
    <x v="0"/>
    <x v="10"/>
    <x v="18"/>
    <n v="60.987882999999997"/>
  </r>
  <r>
    <x v="0"/>
    <x v="0"/>
    <x v="19"/>
    <n v="18.345078000000001"/>
  </r>
  <r>
    <x v="0"/>
    <x v="1"/>
    <x v="19"/>
    <n v="19.311972999999998"/>
  </r>
  <r>
    <x v="0"/>
    <x v="2"/>
    <x v="19"/>
    <n v="20.724599999999999"/>
  </r>
  <r>
    <x v="0"/>
    <x v="3"/>
    <x v="19"/>
    <n v="22.407678000000001"/>
  </r>
  <r>
    <x v="0"/>
    <x v="4"/>
    <x v="19"/>
    <n v="23.186859999999999"/>
  </r>
  <r>
    <x v="0"/>
    <x v="5"/>
    <x v="19"/>
    <n v="24.653383999999999"/>
  </r>
  <r>
    <x v="0"/>
    <x v="6"/>
    <x v="19"/>
    <n v="26.271432000000001"/>
  </r>
  <r>
    <x v="0"/>
    <x v="7"/>
    <x v="19"/>
    <n v="27.725079999999998"/>
  </r>
  <r>
    <x v="0"/>
    <x v="8"/>
    <x v="19"/>
    <n v="28.922757000000001"/>
  </r>
  <r>
    <x v="0"/>
    <x v="9"/>
    <x v="19"/>
    <n v="30.518965999999999"/>
  </r>
  <r>
    <x v="0"/>
    <x v="10"/>
    <x v="19"/>
    <n v="31.461389"/>
  </r>
  <r>
    <x v="0"/>
    <x v="0"/>
    <x v="20"/>
    <n v="14.902664"/>
  </r>
  <r>
    <x v="0"/>
    <x v="1"/>
    <x v="20"/>
    <n v="15.721219"/>
  </r>
  <r>
    <x v="0"/>
    <x v="2"/>
    <x v="20"/>
    <n v="16.676894999999998"/>
  </r>
  <r>
    <x v="0"/>
    <x v="3"/>
    <x v="20"/>
    <n v="17.986143666666699"/>
  </r>
  <r>
    <x v="0"/>
    <x v="4"/>
    <x v="20"/>
    <n v="18.880660333333299"/>
  </r>
  <r>
    <x v="0"/>
    <x v="5"/>
    <x v="20"/>
    <n v="19.947797000000001"/>
  </r>
  <r>
    <x v="0"/>
    <x v="6"/>
    <x v="20"/>
    <n v="22.121991000000001"/>
  </r>
  <r>
    <x v="0"/>
    <x v="7"/>
    <x v="20"/>
    <n v="24.065127"/>
  </r>
  <r>
    <x v="0"/>
    <x v="8"/>
    <x v="20"/>
    <n v="25.967972"/>
  </r>
  <r>
    <x v="0"/>
    <x v="9"/>
    <x v="20"/>
    <n v="27.695111000000001"/>
  </r>
  <r>
    <x v="0"/>
    <x v="10"/>
    <x v="20"/>
    <n v="29.563624999999998"/>
  </r>
  <r>
    <x v="0"/>
    <x v="0"/>
    <x v="21"/>
    <n v="165.333"/>
  </r>
  <r>
    <x v="0"/>
    <x v="1"/>
    <x v="21"/>
    <n v="170.19800000000001"/>
  </r>
  <r>
    <x v="0"/>
    <x v="2"/>
    <x v="21"/>
    <n v="172.11799999999999"/>
  </r>
  <r>
    <x v="0"/>
    <x v="3"/>
    <x v="21"/>
    <n v="174.916"/>
  </r>
  <r>
    <x v="0"/>
    <x v="4"/>
    <x v="21"/>
    <n v="172.89599999999999"/>
  </r>
  <r>
    <x v="0"/>
    <x v="5"/>
    <x v="21"/>
    <n v="170.47399999999999"/>
  </r>
  <r>
    <x v="0"/>
    <x v="6"/>
    <x v="21"/>
    <n v="170.559"/>
  </r>
  <r>
    <x v="0"/>
    <x v="7"/>
    <x v="21"/>
    <n v="165.123628"/>
  </r>
  <r>
    <x v="0"/>
    <x v="8"/>
    <x v="21"/>
    <n v="166.29563300000001"/>
  </r>
  <r>
    <x v="0"/>
    <x v="9"/>
    <x v="21"/>
    <n v="168.25731500000001"/>
  </r>
  <r>
    <x v="0"/>
    <x v="10"/>
    <x v="21"/>
    <n v="171.327125"/>
  </r>
  <r>
    <x v="0"/>
    <x v="0"/>
    <x v="22"/>
    <n v="2.0289999999999999"/>
  </r>
  <r>
    <x v="0"/>
    <x v="1"/>
    <x v="22"/>
    <n v="2.085"/>
  </r>
  <r>
    <x v="0"/>
    <x v="2"/>
    <x v="22"/>
    <n v="2.1549999999999998"/>
  </r>
  <r>
    <x v="0"/>
    <x v="3"/>
    <x v="22"/>
    <n v="2.198"/>
  </r>
  <r>
    <x v="0"/>
    <x v="4"/>
    <x v="22"/>
    <n v="2.2429999999999999"/>
  </r>
  <r>
    <x v="0"/>
    <x v="5"/>
    <x v="22"/>
    <n v="2.3050000000000002"/>
  </r>
  <r>
    <x v="0"/>
    <x v="6"/>
    <x v="22"/>
    <n v="2.37"/>
  </r>
  <r>
    <x v="0"/>
    <x v="7"/>
    <x v="22"/>
    <n v="2.4329999999999998"/>
  </r>
  <r>
    <x v="0"/>
    <x v="8"/>
    <x v="22"/>
    <n v="2.4873530000000001"/>
  </r>
  <r>
    <x v="0"/>
    <x v="9"/>
    <x v="22"/>
    <n v="2.539552"/>
  </r>
  <r>
    <x v="0"/>
    <x v="10"/>
    <x v="22"/>
    <n v="2.59239"/>
  </r>
  <r>
    <x v="0"/>
    <x v="0"/>
    <x v="23"/>
    <n v="12.339"/>
  </r>
  <r>
    <x v="0"/>
    <x v="1"/>
    <x v="23"/>
    <n v="13.384"/>
  </r>
  <r>
    <x v="0"/>
    <x v="2"/>
    <x v="23"/>
    <n v="14.589"/>
  </r>
  <r>
    <x v="0"/>
    <x v="3"/>
    <x v="23"/>
    <n v="16.079999999999998"/>
  </r>
  <r>
    <x v="0"/>
    <x v="4"/>
    <x v="23"/>
    <n v="16.495000000000001"/>
  </r>
  <r>
    <x v="0"/>
    <x v="5"/>
    <x v="23"/>
    <n v="17.239999999999998"/>
  </r>
  <r>
    <x v="0"/>
    <x v="6"/>
    <x v="23"/>
    <n v="17.872"/>
  </r>
  <r>
    <x v="0"/>
    <x v="7"/>
    <x v="23"/>
    <n v="18.744"/>
  </r>
  <r>
    <x v="0"/>
    <x v="8"/>
    <x v="23"/>
    <n v="19.342120000000001"/>
  </r>
  <r>
    <x v="0"/>
    <x v="9"/>
    <x v="23"/>
    <n v="19.978588999999999"/>
  </r>
  <r>
    <x v="0"/>
    <x v="10"/>
    <x v="23"/>
    <n v="20.688174"/>
  </r>
  <r>
    <x v="0"/>
    <x v="0"/>
    <x v="24"/>
    <n v="43.529525999999997"/>
  </r>
  <r>
    <x v="0"/>
    <x v="1"/>
    <x v="24"/>
    <n v="45.956477"/>
  </r>
  <r>
    <x v="0"/>
    <x v="2"/>
    <x v="24"/>
    <n v="51.461047000000001"/>
  </r>
  <r>
    <x v="0"/>
    <x v="3"/>
    <x v="24"/>
    <n v="52.066510000000001"/>
  </r>
  <r>
    <x v="0"/>
    <x v="4"/>
    <x v="24"/>
    <n v="54.629550000000002"/>
  </r>
  <r>
    <x v="0"/>
    <x v="5"/>
    <x v="24"/>
    <n v="58.298105999999997"/>
  </r>
  <r>
    <x v="0"/>
    <x v="6"/>
    <x v="24"/>
    <n v="62.126663000000001"/>
  </r>
  <r>
    <x v="0"/>
    <x v="7"/>
    <x v="24"/>
    <n v="66.418843666666604"/>
  </r>
  <r>
    <x v="0"/>
    <x v="8"/>
    <x v="24"/>
    <n v="69.548970333333301"/>
  </r>
  <r>
    <x v="0"/>
    <x v="9"/>
    <x v="24"/>
    <n v="74.737973999999994"/>
  </r>
  <r>
    <x v="0"/>
    <x v="10"/>
    <x v="24"/>
    <n v="78.497225"/>
  </r>
  <r>
    <x v="0"/>
    <x v="0"/>
    <x v="25"/>
    <n v="27.393999999999998"/>
  </r>
  <r>
    <x v="0"/>
    <x v="1"/>
    <x v="25"/>
    <n v="28.821000000000002"/>
  </r>
  <r>
    <x v="0"/>
    <x v="2"/>
    <x v="25"/>
    <n v="31.585000000000001"/>
  </r>
  <r>
    <x v="0"/>
    <x v="3"/>
    <x v="25"/>
    <n v="34.314"/>
  </r>
  <r>
    <x v="0"/>
    <x v="4"/>
    <x v="25"/>
    <n v="35.526620000000001"/>
  </r>
  <r>
    <x v="0"/>
    <x v="5"/>
    <x v="25"/>
    <n v="36.955415000000002"/>
  </r>
  <r>
    <x v="0"/>
    <x v="6"/>
    <x v="25"/>
    <n v="39.165548000000001"/>
  </r>
  <r>
    <x v="0"/>
    <x v="7"/>
    <x v="25"/>
    <n v="41.230575000000002"/>
  </r>
  <r>
    <x v="0"/>
    <x v="8"/>
    <x v="25"/>
    <n v="44.002445000000002"/>
  </r>
  <r>
    <x v="0"/>
    <x v="9"/>
    <x v="25"/>
    <n v="46.326385999999999"/>
  </r>
  <r>
    <x v="0"/>
    <x v="10"/>
    <x v="25"/>
    <n v="47.290320999999999"/>
  </r>
  <r>
    <x v="0"/>
    <x v="0"/>
    <x v="26"/>
    <n v="2.16"/>
  </r>
  <r>
    <x v="0"/>
    <x v="1"/>
    <x v="26"/>
    <n v="2.29"/>
  </r>
  <r>
    <x v="0"/>
    <x v="2"/>
    <x v="26"/>
    <n v="2.4500000000000002"/>
  </r>
  <r>
    <x v="0"/>
    <x v="3"/>
    <x v="26"/>
    <n v="2.62"/>
  </r>
  <r>
    <x v="0"/>
    <x v="4"/>
    <x v="26"/>
    <n v="2.83"/>
  </r>
  <r>
    <x v="0"/>
    <x v="5"/>
    <x v="26"/>
    <n v="3.11"/>
  </r>
  <r>
    <x v="0"/>
    <x v="6"/>
    <x v="26"/>
    <n v="3.41"/>
  </r>
  <r>
    <x v="0"/>
    <x v="7"/>
    <x v="26"/>
    <n v="3.6890000000000001"/>
  </r>
  <r>
    <x v="0"/>
    <x v="8"/>
    <x v="26"/>
    <n v="3.8675000000000002"/>
  </r>
  <r>
    <x v="0"/>
    <x v="9"/>
    <x v="26"/>
    <n v="4.1100000000000003"/>
  </r>
  <r>
    <x v="0"/>
    <x v="10"/>
    <x v="26"/>
    <n v="4.4000000000000004"/>
  </r>
  <r>
    <x v="0"/>
    <x v="0"/>
    <x v="27"/>
    <n v="4.5750000000000002"/>
  </r>
  <r>
    <x v="0"/>
    <x v="1"/>
    <x v="27"/>
    <n v="4.8899999999999997"/>
  </r>
  <r>
    <x v="0"/>
    <x v="2"/>
    <x v="27"/>
    <n v="5.1609999999999996"/>
  </r>
  <r>
    <x v="0"/>
    <x v="3"/>
    <x v="27"/>
    <n v="5.2759999999999998"/>
  </r>
  <r>
    <x v="0"/>
    <x v="4"/>
    <x v="27"/>
    <n v="5.4109999999999996"/>
  </r>
  <r>
    <x v="0"/>
    <x v="5"/>
    <x v="27"/>
    <n v="5.3190689999999998"/>
  </r>
  <r>
    <x v="0"/>
    <x v="6"/>
    <x v="27"/>
    <n v="5.5069220000000003"/>
  </r>
  <r>
    <x v="0"/>
    <x v="7"/>
    <x v="27"/>
    <n v="5.733314"/>
  </r>
  <r>
    <x v="0"/>
    <x v="8"/>
    <x v="27"/>
    <n v="5.9672219999999996"/>
  </r>
  <r>
    <x v="0"/>
    <x v="9"/>
    <x v="27"/>
    <n v="6.1883319999999999"/>
  </r>
  <r>
    <x v="0"/>
    <x v="10"/>
    <x v="27"/>
    <n v="6.383756"/>
  </r>
  <r>
    <x v="0"/>
    <x v="0"/>
    <x v="28"/>
    <n v="24.45"/>
  </r>
  <r>
    <x v="0"/>
    <x v="1"/>
    <x v="28"/>
    <n v="25.343"/>
  </r>
  <r>
    <x v="0"/>
    <x v="2"/>
    <x v="28"/>
    <n v="26.138999999999999"/>
  </r>
  <r>
    <x v="0"/>
    <x v="3"/>
    <x v="28"/>
    <n v="26.553000000000001"/>
  </r>
  <r>
    <x v="0"/>
    <x v="4"/>
    <x v="28"/>
    <n v="26.44"/>
  </r>
  <r>
    <x v="0"/>
    <x v="5"/>
    <x v="28"/>
    <n v="26.626999999999999"/>
  </r>
  <r>
    <x v="0"/>
    <x v="6"/>
    <x v="28"/>
    <n v="26.798999999999999"/>
  </r>
  <r>
    <x v="0"/>
    <x v="7"/>
    <x v="28"/>
    <n v="26.745000000000001"/>
  </r>
  <r>
    <x v="0"/>
    <x v="8"/>
    <x v="28"/>
    <n v="26.504538"/>
  </r>
  <r>
    <x v="0"/>
    <x v="9"/>
    <x v="28"/>
    <n v="26.525511999999999"/>
  </r>
  <r>
    <x v="0"/>
    <x v="10"/>
    <x v="28"/>
    <n v="26.948705"/>
  </r>
  <r>
    <x v="0"/>
    <x v="0"/>
    <x v="29"/>
    <n v="8.5394769999999998"/>
  </r>
  <r>
    <x v="0"/>
    <x v="1"/>
    <x v="29"/>
    <n v="8.7172870000000007"/>
  </r>
  <r>
    <x v="0"/>
    <x v="2"/>
    <x v="29"/>
    <n v="8.8138799999999993"/>
  </r>
  <r>
    <x v="0"/>
    <x v="3"/>
    <x v="29"/>
    <n v="8.8337219999999999"/>
  </r>
  <r>
    <x v="0"/>
    <x v="4"/>
    <x v="29"/>
    <n v="8.8766040000000004"/>
  </r>
  <r>
    <x v="0"/>
    <x v="5"/>
    <x v="29"/>
    <n v="8.9902829999999998"/>
  </r>
  <r>
    <x v="0"/>
    <x v="6"/>
    <x v="29"/>
    <n v="9.1364959999999993"/>
  </r>
  <r>
    <x v="0"/>
    <x v="7"/>
    <x v="29"/>
    <n v="9.2471899999999998"/>
  </r>
  <r>
    <x v="0"/>
    <x v="8"/>
    <x v="29"/>
    <n v="9.3512160000000009"/>
  </r>
  <r>
    <x v="0"/>
    <x v="9"/>
    <x v="29"/>
    <n v="9.5025580000000005"/>
  </r>
  <r>
    <x v="0"/>
    <x v="10"/>
    <x v="29"/>
    <n v="9.6740639999999996"/>
  </r>
  <r>
    <x v="0"/>
    <x v="0"/>
    <x v="30"/>
    <n v="3.9060000000000001"/>
  </r>
  <r>
    <x v="0"/>
    <x v="1"/>
    <x v="30"/>
    <n v="3.9460000000000002"/>
  </r>
  <r>
    <x v="0"/>
    <x v="2"/>
    <x v="30"/>
    <n v="4.0025839999999997"/>
  </r>
  <r>
    <x v="0"/>
    <x v="3"/>
    <x v="30"/>
    <n v="4.0312049999999999"/>
  </r>
  <r>
    <x v="0"/>
    <x v="4"/>
    <x v="30"/>
    <n v="4.0518320000000001"/>
  </r>
  <r>
    <x v="0"/>
    <x v="5"/>
    <x v="30"/>
    <n v="4.1196840000000003"/>
  </r>
  <r>
    <x v="0"/>
    <x v="6"/>
    <x v="30"/>
    <n v="4.2096720000000003"/>
  </r>
  <r>
    <x v="0"/>
    <x v="7"/>
    <x v="30"/>
    <n v="4.3000360000000004"/>
  </r>
  <r>
    <x v="0"/>
    <x v="8"/>
    <x v="30"/>
    <n v="4.3668950000000004"/>
  </r>
  <r>
    <x v="0"/>
    <x v="9"/>
    <x v="30"/>
    <n v="4.4303749999999997"/>
  </r>
  <r>
    <x v="0"/>
    <x v="10"/>
    <x v="30"/>
    <n v="4.5038650000000002"/>
  </r>
  <r>
    <x v="0"/>
    <x v="0"/>
    <x v="31"/>
    <n v="5.7729999999999997"/>
  </r>
  <r>
    <x v="0"/>
    <x v="1"/>
    <x v="31"/>
    <n v="6.141"/>
  </r>
  <r>
    <x v="0"/>
    <x v="2"/>
    <x v="31"/>
    <n v="6.4720000000000004"/>
  </r>
  <r>
    <x v="0"/>
    <x v="3"/>
    <x v="31"/>
    <n v="6.7969999999999997"/>
  </r>
  <r>
    <x v="0"/>
    <x v="4"/>
    <x v="31"/>
    <n v="7.0940000000000003"/>
  </r>
  <r>
    <x v="0"/>
    <x v="5"/>
    <x v="31"/>
    <n v="7.5449999999999999"/>
  </r>
  <r>
    <x v="0"/>
    <x v="6"/>
    <x v="31"/>
    <n v="8.1129999999999995"/>
  </r>
  <r>
    <x v="0"/>
    <x v="7"/>
    <x v="31"/>
    <n v="8.6489999999999991"/>
  </r>
  <r>
    <x v="0"/>
    <x v="8"/>
    <x v="31"/>
    <n v="9.2839229999999997"/>
  </r>
  <r>
    <x v="0"/>
    <x v="9"/>
    <x v="31"/>
    <n v="9.8579150000000002"/>
  </r>
  <r>
    <x v="0"/>
    <x v="10"/>
    <x v="31"/>
    <n v="10.589337"/>
  </r>
  <r>
    <x v="0"/>
    <x v="0"/>
    <x v="32"/>
    <n v="30.477058"/>
  </r>
  <r>
    <x v="0"/>
    <x v="1"/>
    <x v="32"/>
    <n v="30.817036000000002"/>
  </r>
  <r>
    <x v="0"/>
    <x v="2"/>
    <x v="32"/>
    <n v="31.105988"/>
  </r>
  <r>
    <x v="0"/>
    <x v="3"/>
    <x v="32"/>
    <n v="31.252476000000001"/>
  </r>
  <r>
    <x v="0"/>
    <x v="4"/>
    <x v="32"/>
    <n v="31.035791"/>
  </r>
  <r>
    <x v="0"/>
    <x v="5"/>
    <x v="32"/>
    <n v="31.258196999999999"/>
  </r>
  <r>
    <x v="0"/>
    <x v="6"/>
    <x v="32"/>
    <n v="31.362715999999999"/>
  </r>
  <r>
    <x v="0"/>
    <x v="7"/>
    <x v="32"/>
    <n v="31.481999999999999"/>
  </r>
  <r>
    <x v="0"/>
    <x v="8"/>
    <x v="32"/>
    <n v="32.103000000000002"/>
  </r>
  <r>
    <x v="0"/>
    <x v="9"/>
    <x v="32"/>
    <n v="32.612782000000003"/>
  </r>
  <r>
    <x v="0"/>
    <x v="10"/>
    <x v="32"/>
    <n v="33.542448"/>
  </r>
  <r>
    <x v="0"/>
    <x v="0"/>
    <x v="33"/>
    <n v="5.8319939999999999"/>
  </r>
  <r>
    <x v="0"/>
    <x v="1"/>
    <x v="33"/>
    <n v="5.923311"/>
  </r>
  <r>
    <x v="0"/>
    <x v="2"/>
    <x v="33"/>
    <n v="6.2789440000000001"/>
  </r>
  <r>
    <x v="0"/>
    <x v="3"/>
    <x v="33"/>
    <n v="6.760351"/>
  </r>
  <r>
    <x v="0"/>
    <x v="4"/>
    <x v="33"/>
    <n v="6.9053649999999998"/>
  </r>
  <r>
    <x v="0"/>
    <x v="5"/>
    <x v="33"/>
    <n v="7.1742900000000001"/>
  </r>
  <r>
    <x v="0"/>
    <x v="6"/>
    <x v="33"/>
    <n v="7.3279730000000001"/>
  </r>
  <r>
    <x v="0"/>
    <x v="7"/>
    <x v="33"/>
    <n v="7.5923790000000002"/>
  </r>
  <r>
    <x v="0"/>
    <x v="8"/>
    <x v="33"/>
    <n v="7.8344180000000003"/>
  </r>
  <r>
    <x v="0"/>
    <x v="9"/>
    <x v="33"/>
    <n v="7.8525609999999997"/>
  </r>
  <r>
    <x v="0"/>
    <x v="10"/>
    <x v="33"/>
    <n v="7.9298130000000002"/>
  </r>
  <r>
    <x v="0"/>
    <x v="0"/>
    <x v="34"/>
    <n v="2.500543"/>
  </r>
  <r>
    <x v="0"/>
    <x v="1"/>
    <x v="34"/>
    <n v="2.5730599999999999"/>
  </r>
  <r>
    <x v="0"/>
    <x v="2"/>
    <x v="34"/>
    <n v="2.6019220000000001"/>
  </r>
  <r>
    <x v="0"/>
    <x v="3"/>
    <x v="34"/>
    <n v="2.7011219999999998"/>
  </r>
  <r>
    <x v="0"/>
    <x v="4"/>
    <x v="34"/>
    <n v="2.9079090000000001"/>
  </r>
  <r>
    <x v="0"/>
    <x v="5"/>
    <x v="34"/>
    <n v="2.8952969999999998"/>
  </r>
  <r>
    <x v="0"/>
    <x v="6"/>
    <x v="34"/>
    <n v="3.0268220000000001"/>
  </r>
  <r>
    <x v="0"/>
    <x v="7"/>
    <x v="34"/>
    <n v="2.9380630000000001"/>
  </r>
  <r>
    <x v="0"/>
    <x v="8"/>
    <x v="34"/>
    <n v="3.1317089999999999"/>
  </r>
  <r>
    <x v="0"/>
    <x v="9"/>
    <x v="34"/>
    <n v="3.348007"/>
  </r>
  <r>
    <x v="0"/>
    <x v="10"/>
    <x v="34"/>
    <n v="3.449462"/>
  </r>
  <r>
    <x v="1"/>
    <x v="0"/>
    <x v="0"/>
    <n v="2.8679999999999999"/>
  </r>
  <r>
    <x v="1"/>
    <x v="1"/>
    <x v="0"/>
    <n v="2.9976430000000001"/>
  </r>
  <r>
    <x v="1"/>
    <x v="2"/>
    <x v="0"/>
    <n v="3.1997300000000002"/>
  </r>
  <r>
    <x v="1"/>
    <x v="3"/>
    <x v="0"/>
    <n v="3.5495649999999999"/>
  </r>
  <r>
    <x v="1"/>
    <x v="4"/>
    <x v="0"/>
    <n v="3.7944529999999999"/>
  </r>
  <r>
    <x v="1"/>
    <x v="5"/>
    <x v="0"/>
    <n v="3.9928439999999998"/>
  </r>
  <r>
    <x v="1"/>
    <x v="6"/>
    <x v="0"/>
    <n v="4.1577570000000001"/>
  </r>
  <r>
    <x v="1"/>
    <x v="7"/>
    <x v="0"/>
    <n v="4.4210079999999996"/>
  </r>
  <r>
    <x v="1"/>
    <x v="8"/>
    <x v="0"/>
    <n v="4.6194930000000003"/>
  </r>
  <r>
    <x v="1"/>
    <x v="9"/>
    <x v="0"/>
    <n v="4.8339270000000001"/>
  </r>
  <r>
    <x v="1"/>
    <x v="10"/>
    <x v="0"/>
    <n v="5.2694720000000004"/>
  </r>
  <r>
    <x v="1"/>
    <x v="0"/>
    <x v="1"/>
    <n v="3.34293"/>
  </r>
  <r>
    <x v="1"/>
    <x v="1"/>
    <x v="1"/>
    <n v="3.513242"/>
  </r>
  <r>
    <x v="1"/>
    <x v="2"/>
    <x v="1"/>
    <n v="3.8583750000000001"/>
  </r>
  <r>
    <x v="1"/>
    <x v="3"/>
    <x v="1"/>
    <n v="4.3895970000000002"/>
  </r>
  <r>
    <x v="1"/>
    <x v="4"/>
    <x v="1"/>
    <n v="4.5615139999999998"/>
  </r>
  <r>
    <x v="1"/>
    <x v="5"/>
    <x v="1"/>
    <n v="4.6867809999999999"/>
  </r>
  <r>
    <x v="1"/>
    <x v="6"/>
    <x v="1"/>
    <n v="4.8195699999999997"/>
  </r>
  <r>
    <x v="1"/>
    <x v="7"/>
    <x v="1"/>
    <n v="4.9413140000000002"/>
  </r>
  <r>
    <x v="1"/>
    <x v="8"/>
    <x v="1"/>
    <n v="5.1137920000000001"/>
  </r>
  <r>
    <x v="1"/>
    <x v="9"/>
    <x v="1"/>
    <n v="5.3239979999999996"/>
  </r>
  <r>
    <x v="1"/>
    <x v="10"/>
    <x v="1"/>
    <n v="5.5067769999999996"/>
  </r>
  <r>
    <x v="1"/>
    <x v="0"/>
    <x v="2"/>
    <n v="2.601"/>
  </r>
  <r>
    <x v="1"/>
    <x v="1"/>
    <x v="2"/>
    <n v="2.706"/>
  </r>
  <r>
    <x v="1"/>
    <x v="2"/>
    <x v="2"/>
    <n v="2.8010000000000002"/>
  </r>
  <r>
    <x v="1"/>
    <x v="3"/>
    <x v="2"/>
    <n v="2.9249999999999998"/>
  </r>
  <r>
    <x v="1"/>
    <x v="4"/>
    <x v="2"/>
    <n v="3.0270000000000001"/>
  </r>
  <r>
    <x v="1"/>
    <x v="5"/>
    <x v="2"/>
    <n v="3.1320000000000001"/>
  </r>
  <r>
    <x v="1"/>
    <x v="6"/>
    <x v="2"/>
    <n v="2.7160000000000002"/>
  </r>
  <r>
    <x v="1"/>
    <x v="7"/>
    <x v="2"/>
    <n v="3.3181210000000001"/>
  </r>
  <r>
    <x v="1"/>
    <x v="8"/>
    <x v="2"/>
    <n v="3.4358430000000002"/>
  </r>
  <r>
    <x v="1"/>
    <x v="9"/>
    <x v="2"/>
    <n v="3.5560589999999999"/>
  </r>
  <r>
    <x v="1"/>
    <x v="10"/>
    <x v="2"/>
    <n v="3.651103"/>
  </r>
  <r>
    <x v="1"/>
    <x v="0"/>
    <x v="3"/>
    <n v="0.36699999999999999"/>
  </r>
  <r>
    <x v="1"/>
    <x v="1"/>
    <x v="3"/>
    <n v="0.374"/>
  </r>
  <r>
    <x v="1"/>
    <x v="2"/>
    <x v="3"/>
    <n v="0.38200000000000001"/>
  </r>
  <r>
    <x v="1"/>
    <x v="3"/>
    <x v="3"/>
    <n v="0.39100000000000001"/>
  </r>
  <r>
    <x v="1"/>
    <x v="4"/>
    <x v="3"/>
    <n v="0.39800000000000002"/>
  </r>
  <r>
    <x v="1"/>
    <x v="5"/>
    <x v="3"/>
    <n v="0.40600000000000003"/>
  </r>
  <r>
    <x v="1"/>
    <x v="6"/>
    <x v="3"/>
    <n v="0.41699999999999998"/>
  </r>
  <r>
    <x v="1"/>
    <x v="7"/>
    <x v="3"/>
    <n v="0.42599999999999999"/>
  </r>
  <r>
    <x v="1"/>
    <x v="8"/>
    <x v="3"/>
    <n v="0.43433100000000002"/>
  </r>
  <r>
    <x v="1"/>
    <x v="9"/>
    <x v="3"/>
    <n v="0.44450000000000001"/>
  </r>
  <r>
    <x v="1"/>
    <x v="10"/>
    <x v="3"/>
    <n v="0.45370199999999999"/>
  </r>
  <r>
    <x v="1"/>
    <x v="0"/>
    <x v="4"/>
    <n v="0.352157"/>
  </r>
  <r>
    <x v="1"/>
    <x v="1"/>
    <x v="4"/>
    <n v="0.38094800000000001"/>
  </r>
  <r>
    <x v="1"/>
    <x v="2"/>
    <x v="4"/>
    <n v="0.38673800000000003"/>
  </r>
  <r>
    <x v="1"/>
    <x v="3"/>
    <x v="4"/>
    <n v="0.39194800000000002"/>
  </r>
  <r>
    <x v="1"/>
    <x v="4"/>
    <x v="4"/>
    <n v="0.37545800000000001"/>
  </r>
  <r>
    <x v="1"/>
    <x v="5"/>
    <x v="4"/>
    <n v="0.30935200000000002"/>
  </r>
  <r>
    <x v="1"/>
    <x v="6"/>
    <x v="4"/>
    <n v="0.316301"/>
  </r>
  <r>
    <x v="1"/>
    <x v="7"/>
    <x v="4"/>
    <n v="0.32570300000000002"/>
  </r>
  <r>
    <x v="1"/>
    <x v="8"/>
    <x v="4"/>
    <n v="0.33723199999999998"/>
  </r>
  <r>
    <x v="1"/>
    <x v="9"/>
    <x v="4"/>
    <n v="0.29586600000000002"/>
  </r>
  <r>
    <x v="1"/>
    <x v="10"/>
    <x v="4"/>
    <n v="0.307147"/>
  </r>
  <r>
    <x v="1"/>
    <x v="0"/>
    <x v="5"/>
    <n v="1.77607"/>
  </r>
  <r>
    <x v="1"/>
    <x v="1"/>
    <x v="5"/>
    <n v="1.7879400000000001"/>
  </r>
  <r>
    <x v="1"/>
    <x v="2"/>
    <x v="5"/>
    <n v="1.828794"/>
  </r>
  <r>
    <x v="1"/>
    <x v="3"/>
    <x v="5"/>
    <n v="1.868128"/>
  </r>
  <r>
    <x v="1"/>
    <x v="4"/>
    <x v="5"/>
    <n v="1.8749340000000001"/>
  </r>
  <r>
    <x v="1"/>
    <x v="5"/>
    <x v="5"/>
    <n v="1.8793139999999999"/>
  </r>
  <r>
    <x v="1"/>
    <x v="6"/>
    <x v="5"/>
    <n v="1.8836839999999999"/>
  </r>
  <r>
    <x v="1"/>
    <x v="7"/>
    <x v="5"/>
    <n v="1.8739870000000001"/>
  </r>
  <r>
    <x v="1"/>
    <x v="8"/>
    <x v="5"/>
    <n v="1.8945080000000001"/>
  </r>
  <r>
    <x v="1"/>
    <x v="9"/>
    <x v="5"/>
    <n v="1.90259"/>
  </r>
  <r>
    <x v="1"/>
    <x v="10"/>
    <x v="5"/>
    <n v="1.939395"/>
  </r>
  <r>
    <x v="1"/>
    <x v="0"/>
    <x v="6"/>
    <n v="4.1126820000000004"/>
  </r>
  <r>
    <x v="1"/>
    <x v="1"/>
    <x v="6"/>
    <n v="4.192272"/>
  </r>
  <r>
    <x v="1"/>
    <x v="2"/>
    <x v="6"/>
    <n v="4.3458259999999997"/>
  </r>
  <r>
    <x v="1"/>
    <x v="3"/>
    <x v="6"/>
    <n v="4.592854"/>
  </r>
  <r>
    <x v="1"/>
    <x v="4"/>
    <x v="6"/>
    <n v="4.8525640000000001"/>
  </r>
  <r>
    <x v="1"/>
    <x v="5"/>
    <x v="6"/>
    <n v="5.222702"/>
  </r>
  <r>
    <x v="1"/>
    <x v="6"/>
    <x v="6"/>
    <n v="5.7636240000000001"/>
  </r>
  <r>
    <x v="1"/>
    <x v="7"/>
    <x v="6"/>
    <n v="6.2080700000000002"/>
  </r>
  <r>
    <x v="1"/>
    <x v="8"/>
    <x v="6"/>
    <n v="6.6792470000000002"/>
  </r>
  <r>
    <x v="1"/>
    <x v="9"/>
    <x v="6"/>
    <n v="7.1111019999999998"/>
  </r>
  <r>
    <x v="1"/>
    <x v="10"/>
    <x v="6"/>
    <n v="7.2719009999999997"/>
  </r>
  <r>
    <x v="1"/>
    <x v="0"/>
    <x v="7"/>
    <n v="10.272"/>
  </r>
  <r>
    <x v="1"/>
    <x v="1"/>
    <x v="7"/>
    <n v="10.778"/>
  </r>
  <r>
    <x v="1"/>
    <x v="2"/>
    <x v="7"/>
    <n v="11.624000000000001"/>
  </r>
  <r>
    <x v="1"/>
    <x v="3"/>
    <x v="7"/>
    <n v="12.606999999999999"/>
  </r>
  <r>
    <x v="1"/>
    <x v="4"/>
    <x v="7"/>
    <n v="14.355"/>
  </r>
  <r>
    <x v="1"/>
    <x v="5"/>
    <x v="7"/>
    <n v="16.384"/>
  </r>
  <r>
    <x v="1"/>
    <x v="6"/>
    <x v="7"/>
    <n v="18.713000000000001"/>
  </r>
  <r>
    <x v="1"/>
    <x v="7"/>
    <x v="7"/>
    <n v="21.844000000000001"/>
  </r>
  <r>
    <x v="1"/>
    <x v="8"/>
    <x v="7"/>
    <n v="25.340199999999999"/>
  </r>
  <r>
    <x v="1"/>
    <x v="9"/>
    <x v="7"/>
    <n v="28.499162999999999"/>
  </r>
  <r>
    <x v="1"/>
    <x v="10"/>
    <x v="7"/>
    <n v="27.039667999999999"/>
  </r>
  <r>
    <x v="1"/>
    <x v="0"/>
    <x v="8"/>
    <n v="0.23628199999999999"/>
  </r>
  <r>
    <x v="1"/>
    <x v="1"/>
    <x v="8"/>
    <n v="0.24627499999999999"/>
  </r>
  <r>
    <x v="1"/>
    <x v="2"/>
    <x v="8"/>
    <n v="0.25379099999999999"/>
  </r>
  <r>
    <x v="1"/>
    <x v="3"/>
    <x v="8"/>
    <n v="0.27738299999999999"/>
  </r>
  <r>
    <x v="1"/>
    <x v="4"/>
    <x v="8"/>
    <n v="0.27263100000000001"/>
  </r>
  <r>
    <x v="1"/>
    <x v="5"/>
    <x v="8"/>
    <n v="0.26258100000000001"/>
  </r>
  <r>
    <x v="1"/>
    <x v="6"/>
    <x v="8"/>
    <n v="0.25947599999999998"/>
  </r>
  <r>
    <x v="1"/>
    <x v="7"/>
    <x v="8"/>
    <n v="0.245563"/>
  </r>
  <r>
    <x v="1"/>
    <x v="8"/>
    <x v="8"/>
    <n v="0.24709400000000001"/>
  </r>
  <r>
    <x v="1"/>
    <x v="9"/>
    <x v="8"/>
    <n v="0.25270399999999998"/>
  </r>
  <r>
    <x v="1"/>
    <x v="10"/>
    <x v="8"/>
    <n v="0.26298700000000003"/>
  </r>
  <r>
    <x v="1"/>
    <x v="0"/>
    <x v="9"/>
    <n v="0.73599999999999999"/>
  </r>
  <r>
    <x v="1"/>
    <x v="1"/>
    <x v="9"/>
    <n v="0.79900000000000004"/>
  </r>
  <r>
    <x v="1"/>
    <x v="2"/>
    <x v="9"/>
    <n v="0.89600000000000002"/>
  </r>
  <r>
    <x v="1"/>
    <x v="3"/>
    <x v="9"/>
    <n v="0.99"/>
  </r>
  <r>
    <x v="1"/>
    <x v="4"/>
    <x v="9"/>
    <n v="1.004"/>
  </r>
  <r>
    <x v="1"/>
    <x v="5"/>
    <x v="9"/>
    <n v="1.0029999999999999"/>
  </r>
  <r>
    <x v="1"/>
    <x v="6"/>
    <x v="9"/>
    <n v="1.0109999999999999"/>
  </r>
  <r>
    <x v="1"/>
    <x v="7"/>
    <x v="9"/>
    <n v="1.0058499999999999"/>
  </r>
  <r>
    <x v="1"/>
    <x v="8"/>
    <x v="9"/>
    <n v="1.0164960000000001"/>
  </r>
  <r>
    <x v="1"/>
    <x v="9"/>
    <x v="9"/>
    <n v="1.0388440000000001"/>
  </r>
  <r>
    <x v="1"/>
    <x v="10"/>
    <x v="9"/>
    <n v="1.0720130000000001"/>
  </r>
  <r>
    <x v="1"/>
    <x v="0"/>
    <x v="10"/>
    <n v="6.1980000000000004"/>
  </r>
  <r>
    <x v="1"/>
    <x v="1"/>
    <x v="10"/>
    <n v="6.2610000000000001"/>
  </r>
  <r>
    <x v="1"/>
    <x v="2"/>
    <x v="10"/>
    <n v="6.3330000000000002"/>
  </r>
  <r>
    <x v="1"/>
    <x v="3"/>
    <x v="10"/>
    <n v="6.3620000000000001"/>
  </r>
  <r>
    <x v="1"/>
    <x v="4"/>
    <x v="10"/>
    <n v="6.3879999999999999"/>
  </r>
  <r>
    <x v="1"/>
    <x v="5"/>
    <x v="10"/>
    <n v="6.444"/>
  </r>
  <r>
    <x v="1"/>
    <x v="6"/>
    <x v="10"/>
    <n v="6.5170000000000003"/>
  </r>
  <r>
    <x v="1"/>
    <x v="7"/>
    <x v="10"/>
    <n v="6.5380000000000003"/>
  </r>
  <r>
    <x v="1"/>
    <x v="8"/>
    <x v="10"/>
    <n v="6.55"/>
  </r>
  <r>
    <x v="1"/>
    <x v="9"/>
    <x v="10"/>
    <n v="6.6079999999999997"/>
  </r>
  <r>
    <x v="1"/>
    <x v="10"/>
    <x v="10"/>
    <n v="6.6520000000000001"/>
  </r>
  <r>
    <x v="1"/>
    <x v="0"/>
    <x v="11"/>
    <n v="3.133"/>
  </r>
  <r>
    <x v="1"/>
    <x v="1"/>
    <x v="11"/>
    <n v="3.1720000000000002"/>
  </r>
  <r>
    <x v="1"/>
    <x v="2"/>
    <x v="11"/>
    <n v="2.8370000000000002"/>
  </r>
  <r>
    <x v="1"/>
    <x v="3"/>
    <x v="11"/>
    <n v="2.859"/>
  </r>
  <r>
    <x v="1"/>
    <x v="4"/>
    <x v="11"/>
    <n v="2.8929999999999998"/>
  </r>
  <r>
    <x v="1"/>
    <x v="5"/>
    <x v="11"/>
    <n v="2.96"/>
  </r>
  <r>
    <x v="1"/>
    <x v="6"/>
    <x v="11"/>
    <n v="3.056"/>
  </r>
  <r>
    <x v="1"/>
    <x v="7"/>
    <x v="11"/>
    <n v="3.1070000000000002"/>
  </r>
  <r>
    <x v="1"/>
    <x v="8"/>
    <x v="11"/>
    <n v="3.1634690000000001"/>
  </r>
  <r>
    <x v="1"/>
    <x v="9"/>
    <x v="11"/>
    <n v="3.2444570000000001"/>
  </r>
  <r>
    <x v="1"/>
    <x v="10"/>
    <x v="11"/>
    <n v="3.3558849999999998"/>
  </r>
  <r>
    <x v="1"/>
    <x v="0"/>
    <x v="12"/>
    <n v="1.3353120000000001"/>
  </r>
  <r>
    <x v="1"/>
    <x v="1"/>
    <x v="12"/>
    <n v="1.3658269999999999"/>
  </r>
  <r>
    <x v="1"/>
    <x v="2"/>
    <x v="12"/>
    <n v="1.404047"/>
  </r>
  <r>
    <x v="1"/>
    <x v="3"/>
    <x v="12"/>
    <n v="1.441711"/>
  </r>
  <r>
    <x v="1"/>
    <x v="4"/>
    <x v="12"/>
    <n v="1.457754"/>
  </r>
  <r>
    <x v="1"/>
    <x v="5"/>
    <x v="12"/>
    <n v="1.470172"/>
  </r>
  <r>
    <x v="1"/>
    <x v="6"/>
    <x v="12"/>
    <n v="1.469881"/>
  </r>
  <r>
    <x v="1"/>
    <x v="7"/>
    <x v="12"/>
    <n v="1.4631799999999999"/>
  </r>
  <r>
    <x v="1"/>
    <x v="8"/>
    <x v="12"/>
    <n v="1.4551829999999999"/>
  </r>
  <r>
    <x v="1"/>
    <x v="9"/>
    <x v="12"/>
    <n v="1.4316629999999999"/>
  </r>
  <r>
    <x v="1"/>
    <x v="10"/>
    <x v="12"/>
    <n v="1.206896"/>
  </r>
  <r>
    <x v="1"/>
    <x v="0"/>
    <x v="13"/>
    <n v="1.3340000000000001"/>
  </r>
  <r>
    <x v="1"/>
    <x v="1"/>
    <x v="13"/>
    <n v="1.262"/>
  </r>
  <r>
    <x v="1"/>
    <x v="2"/>
    <x v="13"/>
    <n v="1.37"/>
  </r>
  <r>
    <x v="1"/>
    <x v="3"/>
    <x v="13"/>
    <n v="1.4848859999999999"/>
  </r>
  <r>
    <x v="1"/>
    <x v="4"/>
    <x v="13"/>
    <n v="1.5132429999999999"/>
  </r>
  <r>
    <x v="1"/>
    <x v="5"/>
    <x v="13"/>
    <n v="1.5349619999999999"/>
  </r>
  <r>
    <x v="1"/>
    <x v="6"/>
    <x v="13"/>
    <n v="1.5781289999999999"/>
  </r>
  <r>
    <x v="1"/>
    <x v="7"/>
    <x v="13"/>
    <n v="1.623437"/>
  </r>
  <r>
    <x v="1"/>
    <x v="8"/>
    <x v="13"/>
    <n v="1.639114"/>
  </r>
  <r>
    <x v="1"/>
    <x v="9"/>
    <x v="13"/>
    <n v="1.730313"/>
  </r>
  <r>
    <x v="1"/>
    <x v="10"/>
    <x v="13"/>
    <n v="1.838336"/>
  </r>
  <r>
    <x v="1"/>
    <x v="0"/>
    <x v="14"/>
    <n v="2.7E-2"/>
  </r>
  <r>
    <x v="1"/>
    <x v="1"/>
    <x v="14"/>
    <n v="0.03"/>
  </r>
  <r>
    <x v="1"/>
    <x v="2"/>
    <x v="14"/>
    <n v="3.3000000000000002E-2"/>
  </r>
  <r>
    <x v="1"/>
    <x v="3"/>
    <x v="14"/>
    <n v="3.4000000000000002E-2"/>
  </r>
  <r>
    <x v="1"/>
    <x v="4"/>
    <x v="14"/>
    <n v="3.5999999999999997E-2"/>
  </r>
  <r>
    <x v="1"/>
    <x v="5"/>
    <x v="14"/>
    <n v="3.7999999999999999E-2"/>
  </r>
  <r>
    <x v="1"/>
    <x v="6"/>
    <x v="14"/>
    <n v="3.2181000000000001E-2"/>
  </r>
  <r>
    <x v="1"/>
    <x v="7"/>
    <x v="14"/>
    <n v="3.2421999999999999E-2"/>
  </r>
  <r>
    <x v="1"/>
    <x v="8"/>
    <x v="14"/>
    <n v="3.2835999999999997E-2"/>
  </r>
  <r>
    <x v="1"/>
    <x v="9"/>
    <x v="14"/>
    <n v="3.3663999999999999E-2"/>
  </r>
  <r>
    <x v="1"/>
    <x v="10"/>
    <x v="14"/>
    <n v="3.5425999999999999E-2"/>
  </r>
  <r>
    <x v="1"/>
    <x v="0"/>
    <x v="15"/>
    <n v="2.706"/>
  </r>
  <r>
    <x v="1"/>
    <x v="1"/>
    <x v="15"/>
    <n v="2.948"/>
  </r>
  <r>
    <x v="1"/>
    <x v="2"/>
    <x v="15"/>
    <n v="3.6419999999999999"/>
  </r>
  <r>
    <x v="1"/>
    <x v="3"/>
    <x v="15"/>
    <n v="3.9540000000000002"/>
  </r>
  <r>
    <x v="1"/>
    <x v="4"/>
    <x v="15"/>
    <n v="4.4329999999999998"/>
  </r>
  <r>
    <x v="1"/>
    <x v="5"/>
    <x v="15"/>
    <n v="4.6820000000000004"/>
  </r>
  <r>
    <x v="1"/>
    <x v="6"/>
    <x v="15"/>
    <n v="5.0860000000000003"/>
  </r>
  <r>
    <x v="1"/>
    <x v="7"/>
    <x v="15"/>
    <n v="5.726"/>
  </r>
  <r>
    <x v="1"/>
    <x v="8"/>
    <x v="15"/>
    <n v="5.9080000000000004"/>
  </r>
  <r>
    <x v="1"/>
    <x v="9"/>
    <x v="15"/>
    <n v="6.0679999999999996"/>
  </r>
  <r>
    <x v="1"/>
    <x v="10"/>
    <x v="15"/>
    <n v="6.3920000000000003"/>
  </r>
  <r>
    <x v="1"/>
    <x v="0"/>
    <x v="16"/>
    <n v="0.28654800000000002"/>
  </r>
  <r>
    <x v="1"/>
    <x v="1"/>
    <x v="16"/>
    <n v="0.318604"/>
  </r>
  <r>
    <x v="1"/>
    <x v="2"/>
    <x v="16"/>
    <n v="0.34587400000000001"/>
  </r>
  <r>
    <x v="1"/>
    <x v="3"/>
    <x v="16"/>
    <n v="0.35130699999999998"/>
  </r>
  <r>
    <x v="1"/>
    <x v="4"/>
    <x v="16"/>
    <n v="0.34394000000000002"/>
  </r>
  <r>
    <x v="1"/>
    <x v="5"/>
    <x v="16"/>
    <n v="0.327096"/>
  </r>
  <r>
    <x v="1"/>
    <x v="6"/>
    <x v="16"/>
    <n v="0.32096599999999997"/>
  </r>
  <r>
    <x v="1"/>
    <x v="7"/>
    <x v="16"/>
    <n v="0.30921900000000002"/>
  </r>
  <r>
    <x v="1"/>
    <x v="8"/>
    <x v="16"/>
    <n v="0.31784899999999999"/>
  </r>
  <r>
    <x v="1"/>
    <x v="9"/>
    <x v="16"/>
    <n v="0.31737799999999999"/>
  </r>
  <r>
    <x v="1"/>
    <x v="10"/>
    <x v="16"/>
    <n v="0.33054099999999997"/>
  </r>
  <r>
    <x v="1"/>
    <x v="0"/>
    <x v="17"/>
    <n v="4.468"/>
  </r>
  <r>
    <x v="1"/>
    <x v="1"/>
    <x v="17"/>
    <n v="4.6269999999999998"/>
  </r>
  <r>
    <x v="1"/>
    <x v="2"/>
    <x v="17"/>
    <n v="4.7359999999999998"/>
  </r>
  <r>
    <x v="1"/>
    <x v="3"/>
    <x v="17"/>
    <n v="4.8380000000000001"/>
  </r>
  <r>
    <x v="1"/>
    <x v="4"/>
    <x v="17"/>
    <n v="4.8890000000000002"/>
  </r>
  <r>
    <x v="1"/>
    <x v="5"/>
    <x v="17"/>
    <n v="4.9459999999999997"/>
  </r>
  <r>
    <x v="1"/>
    <x v="6"/>
    <x v="17"/>
    <n v="5.0010000000000003"/>
  </r>
  <r>
    <x v="1"/>
    <x v="7"/>
    <x v="17"/>
    <n v="4.9690000000000003"/>
  </r>
  <r>
    <x v="1"/>
    <x v="8"/>
    <x v="17"/>
    <n v="4.9149669999999999"/>
  </r>
  <r>
    <x v="1"/>
    <x v="9"/>
    <x v="17"/>
    <n v="4.9139530000000002"/>
  </r>
  <r>
    <x v="1"/>
    <x v="10"/>
    <x v="17"/>
    <n v="4.939838"/>
  </r>
  <r>
    <x v="1"/>
    <x v="0"/>
    <x v="18"/>
    <n v="18.596"/>
  </r>
  <r>
    <x v="1"/>
    <x v="1"/>
    <x v="18"/>
    <n v="18.338000000000001"/>
  </r>
  <r>
    <x v="1"/>
    <x v="2"/>
    <x v="18"/>
    <n v="18.091000000000001"/>
  </r>
  <r>
    <x v="1"/>
    <x v="3"/>
    <x v="18"/>
    <n v="17.663"/>
  </r>
  <r>
    <x v="1"/>
    <x v="4"/>
    <x v="18"/>
    <n v="17.305"/>
  </r>
  <r>
    <x v="1"/>
    <x v="5"/>
    <x v="18"/>
    <n v="17.013999999999999"/>
  </r>
  <r>
    <x v="1"/>
    <x v="6"/>
    <x v="18"/>
    <n v="16.843"/>
  </r>
  <r>
    <x v="1"/>
    <x v="7"/>
    <x v="18"/>
    <n v="16.704999999999998"/>
  </r>
  <r>
    <x v="1"/>
    <x v="8"/>
    <x v="18"/>
    <n v="16.583217999999999"/>
  </r>
  <r>
    <x v="1"/>
    <x v="9"/>
    <x v="18"/>
    <n v="16.520396000000002"/>
  </r>
  <r>
    <x v="1"/>
    <x v="10"/>
    <x v="18"/>
    <n v="16.416447999999999"/>
  </r>
  <r>
    <x v="1"/>
    <x v="0"/>
    <x v="19"/>
    <n v="8.2463730000000002"/>
  </r>
  <r>
    <x v="1"/>
    <x v="1"/>
    <x v="19"/>
    <n v="8.7851219999999994"/>
  </r>
  <r>
    <x v="1"/>
    <x v="2"/>
    <x v="19"/>
    <n v="9.5040610000000001"/>
  </r>
  <r>
    <x v="1"/>
    <x v="3"/>
    <x v="19"/>
    <n v="10.341381"/>
  </r>
  <r>
    <x v="1"/>
    <x v="4"/>
    <x v="19"/>
    <n v="10.729044"/>
  </r>
  <r>
    <x v="1"/>
    <x v="5"/>
    <x v="19"/>
    <n v="11.491415999999999"/>
  </r>
  <r>
    <x v="1"/>
    <x v="6"/>
    <x v="19"/>
    <n v="12.212654000000001"/>
  </r>
  <r>
    <x v="1"/>
    <x v="7"/>
    <x v="19"/>
    <n v="12.920811"/>
  </r>
  <r>
    <x v="1"/>
    <x v="8"/>
    <x v="19"/>
    <n v="13.35392"/>
  </r>
  <r>
    <x v="1"/>
    <x v="9"/>
    <x v="19"/>
    <n v="14.08419"/>
  </r>
  <r>
    <x v="1"/>
    <x v="10"/>
    <x v="19"/>
    <n v="14.757721"/>
  </r>
  <r>
    <x v="1"/>
    <x v="0"/>
    <x v="20"/>
    <n v="5.0019879999999999"/>
  </r>
  <r>
    <x v="1"/>
    <x v="1"/>
    <x v="20"/>
    <n v="5.2311310000000004"/>
  </r>
  <r>
    <x v="1"/>
    <x v="2"/>
    <x v="20"/>
    <n v="5.5350000000000001"/>
  </r>
  <r>
    <x v="1"/>
    <x v="3"/>
    <x v="20"/>
    <n v="5.8105226666666701"/>
  </r>
  <r>
    <x v="1"/>
    <x v="4"/>
    <x v="20"/>
    <n v="6.0245273333333298"/>
  </r>
  <r>
    <x v="1"/>
    <x v="5"/>
    <x v="20"/>
    <n v="6.3115170000000003"/>
  </r>
  <r>
    <x v="1"/>
    <x v="6"/>
    <x v="20"/>
    <n v="6.7776536666666702"/>
  </r>
  <r>
    <x v="1"/>
    <x v="7"/>
    <x v="20"/>
    <n v="7.3034853333333301"/>
  </r>
  <r>
    <x v="1"/>
    <x v="8"/>
    <x v="20"/>
    <n v="7.5937799999999998"/>
  </r>
  <r>
    <x v="1"/>
    <x v="9"/>
    <x v="20"/>
    <n v="7.8313959999999998"/>
  </r>
  <r>
    <x v="1"/>
    <x v="10"/>
    <x v="20"/>
    <n v="8.1383279999999996"/>
  </r>
  <r>
    <x v="1"/>
    <x v="0"/>
    <x v="21"/>
    <n v="112.824"/>
  </r>
  <r>
    <x v="1"/>
    <x v="1"/>
    <x v="21"/>
    <n v="118.21"/>
  </r>
  <r>
    <x v="1"/>
    <x v="2"/>
    <x v="21"/>
    <n v="122.523"/>
  </r>
  <r>
    <x v="1"/>
    <x v="3"/>
    <x v="21"/>
    <n v="123.625"/>
  </r>
  <r>
    <x v="1"/>
    <x v="4"/>
    <x v="21"/>
    <n v="126.56"/>
  </r>
  <r>
    <x v="1"/>
    <x v="5"/>
    <x v="21"/>
    <n v="129.471"/>
  </r>
  <r>
    <x v="1"/>
    <x v="6"/>
    <x v="21"/>
    <n v="131.95400000000001"/>
  </r>
  <r>
    <x v="1"/>
    <x v="7"/>
    <x v="21"/>
    <n v="141.37145899999999"/>
  </r>
  <r>
    <x v="1"/>
    <x v="8"/>
    <x v="21"/>
    <n v="143.62317300000001"/>
  </r>
  <r>
    <x v="1"/>
    <x v="9"/>
    <x v="21"/>
    <n v="148.37384399999999"/>
  </r>
  <r>
    <x v="1"/>
    <x v="10"/>
    <x v="21"/>
    <n v="153.435383"/>
  </r>
  <r>
    <x v="1"/>
    <x v="0"/>
    <x v="22"/>
    <n v="0.49399999999999999"/>
  </r>
  <r>
    <x v="1"/>
    <x v="1"/>
    <x v="22"/>
    <n v="0.51500000000000001"/>
  </r>
  <r>
    <x v="1"/>
    <x v="2"/>
    <x v="22"/>
    <n v="0.53800000000000003"/>
  </r>
  <r>
    <x v="1"/>
    <x v="3"/>
    <x v="22"/>
    <n v="0.54600000000000004"/>
  </r>
  <r>
    <x v="1"/>
    <x v="4"/>
    <x v="22"/>
    <n v="0.54700000000000004"/>
  </r>
  <r>
    <x v="1"/>
    <x v="5"/>
    <x v="22"/>
    <n v="0.55100000000000005"/>
  </r>
  <r>
    <x v="1"/>
    <x v="6"/>
    <x v="22"/>
    <n v="0.56000000000000005"/>
  </r>
  <r>
    <x v="1"/>
    <x v="7"/>
    <x v="22"/>
    <n v="0.57099999999999995"/>
  </r>
  <r>
    <x v="1"/>
    <x v="8"/>
    <x v="22"/>
    <n v="0.57853100000000002"/>
  </r>
  <r>
    <x v="1"/>
    <x v="9"/>
    <x v="22"/>
    <n v="0.58483799999999997"/>
  </r>
  <r>
    <x v="1"/>
    <x v="10"/>
    <x v="22"/>
    <n v="0.59087199999999995"/>
  </r>
  <r>
    <x v="1"/>
    <x v="0"/>
    <x v="23"/>
    <n v="2.4809999999999999"/>
  </r>
  <r>
    <x v="1"/>
    <x v="1"/>
    <x v="23"/>
    <n v="2.58"/>
  </r>
  <r>
    <x v="1"/>
    <x v="2"/>
    <x v="23"/>
    <n v="2.7189999999999999"/>
  </r>
  <r>
    <x v="1"/>
    <x v="3"/>
    <x v="23"/>
    <n v="2.9260000000000002"/>
  </r>
  <r>
    <x v="1"/>
    <x v="4"/>
    <x v="23"/>
    <n v="3.0249999999999999"/>
  </r>
  <r>
    <x v="1"/>
    <x v="5"/>
    <x v="23"/>
    <n v="3.2189999999999999"/>
  </r>
  <r>
    <x v="1"/>
    <x v="6"/>
    <x v="23"/>
    <n v="3.3809999999999998"/>
  </r>
  <r>
    <x v="1"/>
    <x v="7"/>
    <x v="23"/>
    <n v="3.4289999999999998"/>
  </r>
  <r>
    <x v="1"/>
    <x v="8"/>
    <x v="23"/>
    <n v="3.508"/>
  </r>
  <r>
    <x v="1"/>
    <x v="9"/>
    <x v="23"/>
    <n v="3.469014"/>
  </r>
  <r>
    <x v="1"/>
    <x v="10"/>
    <x v="23"/>
    <n v="3.5621990000000001"/>
  </r>
  <r>
    <x v="1"/>
    <x v="0"/>
    <x v="24"/>
    <n v="18.875892935286998"/>
  </r>
  <r>
    <x v="1"/>
    <x v="1"/>
    <x v="24"/>
    <n v="19.321482875240299"/>
  </r>
  <r>
    <x v="1"/>
    <x v="2"/>
    <x v="24"/>
    <n v="21.291811725490199"/>
  </r>
  <r>
    <x v="1"/>
    <x v="3"/>
    <x v="24"/>
    <n v="21.861615"/>
  </r>
  <r>
    <x v="1"/>
    <x v="4"/>
    <x v="24"/>
    <n v="22.335357999999999"/>
  </r>
  <r>
    <x v="1"/>
    <x v="5"/>
    <x v="24"/>
    <n v="22.976013999999999"/>
  </r>
  <r>
    <x v="1"/>
    <x v="6"/>
    <x v="24"/>
    <n v="23.795397000000001"/>
  </r>
  <r>
    <x v="1"/>
    <x v="7"/>
    <x v="24"/>
    <n v="24.846935999999999"/>
  </r>
  <r>
    <x v="1"/>
    <x v="8"/>
    <x v="24"/>
    <n v="25.916250999999999"/>
  </r>
  <r>
    <x v="1"/>
    <x v="9"/>
    <x v="24"/>
    <n v="27.174536"/>
  </r>
  <r>
    <x v="1"/>
    <x v="10"/>
    <x v="24"/>
    <n v="28.039458"/>
  </r>
  <r>
    <x v="1"/>
    <x v="0"/>
    <x v="25"/>
    <n v="6.0060000000000002"/>
  </r>
  <r>
    <x v="1"/>
    <x v="1"/>
    <x v="25"/>
    <n v="6.1349999999999998"/>
  </r>
  <r>
    <x v="1"/>
    <x v="2"/>
    <x v="25"/>
    <n v="6.4329999999999998"/>
  </r>
  <r>
    <x v="1"/>
    <x v="3"/>
    <x v="25"/>
    <n v="6.6559999999999997"/>
  </r>
  <r>
    <x v="1"/>
    <x v="4"/>
    <x v="25"/>
    <n v="6.6487540000000003"/>
  </r>
  <r>
    <x v="1"/>
    <x v="5"/>
    <x v="25"/>
    <n v="6.7500349999999996"/>
  </r>
  <r>
    <x v="1"/>
    <x v="6"/>
    <x v="25"/>
    <n v="6.8883140000000003"/>
  </r>
  <r>
    <x v="1"/>
    <x v="7"/>
    <x v="25"/>
    <n v="7.3897389999999996"/>
  </r>
  <r>
    <x v="1"/>
    <x v="8"/>
    <x v="25"/>
    <n v="7.3677830000000002"/>
  </r>
  <r>
    <x v="1"/>
    <x v="9"/>
    <x v="25"/>
    <n v="7.5846200000000001"/>
  </r>
  <r>
    <x v="1"/>
    <x v="10"/>
    <x v="25"/>
    <n v="7.5670460000000004"/>
  </r>
  <r>
    <x v="1"/>
    <x v="0"/>
    <x v="26"/>
    <n v="1.42"/>
  </r>
  <r>
    <x v="1"/>
    <x v="1"/>
    <x v="26"/>
    <n v="1.44"/>
  </r>
  <r>
    <x v="1"/>
    <x v="2"/>
    <x v="26"/>
    <n v="1.54"/>
  </r>
  <r>
    <x v="1"/>
    <x v="3"/>
    <x v="26"/>
    <n v="1.61"/>
  </r>
  <r>
    <x v="1"/>
    <x v="4"/>
    <x v="26"/>
    <n v="1.68"/>
  </r>
  <r>
    <x v="1"/>
    <x v="5"/>
    <x v="26"/>
    <n v="1.76"/>
  </r>
  <r>
    <x v="1"/>
    <x v="6"/>
    <x v="26"/>
    <n v="1.87"/>
  </r>
  <r>
    <x v="1"/>
    <x v="7"/>
    <x v="26"/>
    <n v="2.0138889999999998"/>
  </r>
  <r>
    <x v="1"/>
    <x v="8"/>
    <x v="26"/>
    <n v="2.0825"/>
  </r>
  <r>
    <x v="1"/>
    <x v="9"/>
    <x v="26"/>
    <n v="2.13"/>
  </r>
  <r>
    <x v="1"/>
    <x v="10"/>
    <x v="26"/>
    <n v="2.2000000000000002"/>
  </r>
  <r>
    <x v="1"/>
    <x v="0"/>
    <x v="27"/>
    <n v="2.2970000000000002"/>
  </r>
  <r>
    <x v="1"/>
    <x v="1"/>
    <x v="27"/>
    <n v="2.4820000000000002"/>
  </r>
  <r>
    <x v="1"/>
    <x v="2"/>
    <x v="27"/>
    <n v="2.6419999999999999"/>
  </r>
  <r>
    <x v="1"/>
    <x v="3"/>
    <x v="27"/>
    <n v="2.7410000000000001"/>
  </r>
  <r>
    <x v="1"/>
    <x v="4"/>
    <x v="27"/>
    <n v="2.81"/>
  </r>
  <r>
    <x v="1"/>
    <x v="5"/>
    <x v="27"/>
    <n v="2.8375349999999999"/>
  </r>
  <r>
    <x v="1"/>
    <x v="6"/>
    <x v="27"/>
    <n v="2.8975650000000002"/>
  </r>
  <r>
    <x v="1"/>
    <x v="7"/>
    <x v="27"/>
    <n v="2.9663689999999998"/>
  </r>
  <r>
    <x v="1"/>
    <x v="8"/>
    <x v="27"/>
    <n v="3.0454659999999998"/>
  </r>
  <r>
    <x v="1"/>
    <x v="9"/>
    <x v="27"/>
    <n v="3.130862"/>
  </r>
  <r>
    <x v="1"/>
    <x v="10"/>
    <x v="27"/>
    <n v="3.216656"/>
  </r>
  <r>
    <x v="1"/>
    <x v="0"/>
    <x v="28"/>
    <n v="6.2309999999999999"/>
  </r>
  <r>
    <x v="1"/>
    <x v="1"/>
    <x v="28"/>
    <n v="6.51"/>
  </r>
  <r>
    <x v="1"/>
    <x v="2"/>
    <x v="28"/>
    <n v="6.7619999999999996"/>
  </r>
  <r>
    <x v="1"/>
    <x v="3"/>
    <x v="28"/>
    <n v="6.8170000000000002"/>
  </r>
  <r>
    <x v="1"/>
    <x v="4"/>
    <x v="28"/>
    <n v="6.7590000000000003"/>
  </r>
  <r>
    <x v="1"/>
    <x v="5"/>
    <x v="28"/>
    <n v="6.7190000000000003"/>
  </r>
  <r>
    <x v="1"/>
    <x v="6"/>
    <x v="28"/>
    <n v="6.67"/>
  </r>
  <r>
    <x v="1"/>
    <x v="7"/>
    <x v="28"/>
    <n v="6.5430000000000001"/>
  </r>
  <r>
    <x v="1"/>
    <x v="8"/>
    <x v="28"/>
    <n v="6.4032660000000003"/>
  </r>
  <r>
    <x v="1"/>
    <x v="9"/>
    <x v="28"/>
    <n v="6.336843"/>
  </r>
  <r>
    <x v="1"/>
    <x v="10"/>
    <x v="28"/>
    <n v="6.3859709999999996"/>
  </r>
  <r>
    <x v="1"/>
    <x v="0"/>
    <x v="29"/>
    <n v="1.0406899999999999"/>
  </r>
  <r>
    <x v="1"/>
    <x v="1"/>
    <x v="29"/>
    <n v="1.1029249999999999"/>
  </r>
  <r>
    <x v="1"/>
    <x v="2"/>
    <x v="29"/>
    <n v="1.155745"/>
  </r>
  <r>
    <x v="1"/>
    <x v="3"/>
    <x v="29"/>
    <n v="1.158004"/>
  </r>
  <r>
    <x v="1"/>
    <x v="4"/>
    <x v="29"/>
    <n v="1.1382810000000001"/>
  </r>
  <r>
    <x v="1"/>
    <x v="5"/>
    <x v="29"/>
    <n v="1.1293340000000001"/>
  </r>
  <r>
    <x v="1"/>
    <x v="6"/>
    <x v="29"/>
    <n v="1.137864"/>
  </r>
  <r>
    <x v="1"/>
    <x v="7"/>
    <x v="29"/>
    <n v="1.132714"/>
  </r>
  <r>
    <x v="1"/>
    <x v="8"/>
    <x v="29"/>
    <n v="1.1273390000000001"/>
  </r>
  <r>
    <x v="1"/>
    <x v="9"/>
    <x v="29"/>
    <n v="1.1379729999999999"/>
  </r>
  <r>
    <x v="1"/>
    <x v="10"/>
    <x v="29"/>
    <n v="1.1517170000000001"/>
  </r>
  <r>
    <x v="1"/>
    <x v="0"/>
    <x v="30"/>
    <n v="0.33600000000000002"/>
  </r>
  <r>
    <x v="1"/>
    <x v="1"/>
    <x v="30"/>
    <n v="0.34300000000000003"/>
  </r>
  <r>
    <x v="1"/>
    <x v="2"/>
    <x v="30"/>
    <n v="0.354126"/>
  </r>
  <r>
    <x v="1"/>
    <x v="3"/>
    <x v="30"/>
    <n v="0.35403099999999998"/>
  </r>
  <r>
    <x v="1"/>
    <x v="4"/>
    <x v="30"/>
    <n v="0.35586099999999998"/>
  </r>
  <r>
    <x v="1"/>
    <x v="5"/>
    <x v="30"/>
    <n v="0.36348900000000001"/>
  </r>
  <r>
    <x v="1"/>
    <x v="6"/>
    <x v="30"/>
    <n v="0.37727500000000003"/>
  </r>
  <r>
    <x v="1"/>
    <x v="7"/>
    <x v="30"/>
    <n v="0.39066800000000002"/>
  </r>
  <r>
    <x v="1"/>
    <x v="8"/>
    <x v="30"/>
    <n v="0.39932200000000001"/>
  </r>
  <r>
    <x v="1"/>
    <x v="9"/>
    <x v="30"/>
    <n v="0.41011799999999998"/>
  </r>
  <r>
    <x v="1"/>
    <x v="10"/>
    <x v="30"/>
    <n v="0.42061300000000001"/>
  </r>
  <r>
    <x v="1"/>
    <x v="0"/>
    <x v="31"/>
    <n v="2.6539999999999999"/>
  </r>
  <r>
    <x v="1"/>
    <x v="1"/>
    <x v="31"/>
    <n v="2.9390000000000001"/>
  </r>
  <r>
    <x v="1"/>
    <x v="2"/>
    <x v="31"/>
    <n v="3.181"/>
  </r>
  <r>
    <x v="1"/>
    <x v="3"/>
    <x v="31"/>
    <n v="3.3940000000000001"/>
  </r>
  <r>
    <x v="1"/>
    <x v="4"/>
    <x v="31"/>
    <n v="3.5169999999999999"/>
  </r>
  <r>
    <x v="1"/>
    <x v="5"/>
    <x v="31"/>
    <n v="3.7210000000000001"/>
  </r>
  <r>
    <x v="1"/>
    <x v="6"/>
    <x v="31"/>
    <n v="3.9489999999999998"/>
  </r>
  <r>
    <x v="1"/>
    <x v="7"/>
    <x v="31"/>
    <n v="4.1779999999999999"/>
  </r>
  <r>
    <x v="1"/>
    <x v="8"/>
    <x v="31"/>
    <n v="4.3668810000000002"/>
  </r>
  <r>
    <x v="1"/>
    <x v="9"/>
    <x v="31"/>
    <n v="4.5154019999999999"/>
  </r>
  <r>
    <x v="1"/>
    <x v="10"/>
    <x v="31"/>
    <n v="4.7716190000000003"/>
  </r>
  <r>
    <x v="1"/>
    <x v="0"/>
    <x v="32"/>
    <n v="3.9167649999999998"/>
  </r>
  <r>
    <x v="1"/>
    <x v="1"/>
    <x v="32"/>
    <n v="4.1179870000000003"/>
  </r>
  <r>
    <x v="1"/>
    <x v="2"/>
    <x v="32"/>
    <n v="4.2479880000000003"/>
  </r>
  <r>
    <x v="1"/>
    <x v="3"/>
    <x v="32"/>
    <n v="4.2852059999999996"/>
  </r>
  <r>
    <x v="1"/>
    <x v="4"/>
    <x v="32"/>
    <n v="4.1815189999999998"/>
  </r>
  <r>
    <x v="1"/>
    <x v="5"/>
    <x v="32"/>
    <n v="4.2204550000000003"/>
  </r>
  <r>
    <x v="1"/>
    <x v="6"/>
    <x v="32"/>
    <n v="4.269641"/>
  </r>
  <r>
    <x v="1"/>
    <x v="7"/>
    <x v="32"/>
    <n v="4.2789999999999999"/>
  </r>
  <r>
    <x v="1"/>
    <x v="8"/>
    <x v="32"/>
    <n v="4.3647179999999999"/>
  </r>
  <r>
    <x v="1"/>
    <x v="9"/>
    <x v="32"/>
    <n v="4.5005759999999997"/>
  </r>
  <r>
    <x v="1"/>
    <x v="10"/>
    <x v="32"/>
    <n v="4.677162"/>
  </r>
  <r>
    <x v="1"/>
    <x v="0"/>
    <x v="33"/>
    <n v="1.295623"/>
  </r>
  <r>
    <x v="1"/>
    <x v="1"/>
    <x v="33"/>
    <n v="1.363143"/>
  </r>
  <r>
    <x v="1"/>
    <x v="2"/>
    <x v="33"/>
    <n v="1.4009229999999999"/>
  </r>
  <r>
    <x v="1"/>
    <x v="3"/>
    <x v="33"/>
    <n v="1.5144580000000001"/>
  </r>
  <r>
    <x v="1"/>
    <x v="4"/>
    <x v="33"/>
    <n v="1.4885200000000001"/>
  </r>
  <r>
    <x v="1"/>
    <x v="5"/>
    <x v="33"/>
    <n v="1.5106379999999999"/>
  </r>
  <r>
    <x v="1"/>
    <x v="6"/>
    <x v="33"/>
    <n v="1.521045"/>
  </r>
  <r>
    <x v="1"/>
    <x v="7"/>
    <x v="33"/>
    <n v="1.9442630000000001"/>
  </r>
  <r>
    <x v="1"/>
    <x v="8"/>
    <x v="33"/>
    <n v="2.0615070000000002"/>
  </r>
  <r>
    <x v="1"/>
    <x v="9"/>
    <x v="33"/>
    <n v="2.0015580000000002"/>
  </r>
  <r>
    <x v="1"/>
    <x v="10"/>
    <x v="33"/>
    <n v="1.885667"/>
  </r>
  <r>
    <x v="1"/>
    <x v="0"/>
    <x v="34"/>
    <n v="0.27474100000000001"/>
  </r>
  <r>
    <x v="1"/>
    <x v="1"/>
    <x v="34"/>
    <n v="0.28351199999999999"/>
  </r>
  <r>
    <x v="1"/>
    <x v="2"/>
    <x v="34"/>
    <n v="0.31031500000000001"/>
  </r>
  <r>
    <x v="1"/>
    <x v="3"/>
    <x v="34"/>
    <n v="0.32632699999999998"/>
  </r>
  <r>
    <x v="1"/>
    <x v="4"/>
    <x v="34"/>
    <n v="0.34952499999999997"/>
  </r>
  <r>
    <x v="1"/>
    <x v="5"/>
    <x v="34"/>
    <n v="0.36693399999999998"/>
  </r>
  <r>
    <x v="1"/>
    <x v="6"/>
    <x v="34"/>
    <n v="0.36038599999999998"/>
  </r>
  <r>
    <x v="1"/>
    <x v="7"/>
    <x v="34"/>
    <n v="0.32133899999999999"/>
  </r>
  <r>
    <x v="1"/>
    <x v="8"/>
    <x v="34"/>
    <n v="0.33330300000000002"/>
  </r>
  <r>
    <x v="1"/>
    <x v="9"/>
    <x v="34"/>
    <n v="0.39556599999999997"/>
  </r>
  <r>
    <x v="1"/>
    <x v="10"/>
    <x v="34"/>
    <n v="0.410061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7" useAutoFormatting="1" rowGrandTotals="0" colGrandTotals="0" indent="0" outline="1" outlineData="1" showDrill="1" multipleFieldFilters="0">
  <location ref="F1:AO26" firstHeaderRow="1" firstDataRow="2" firstDataCol="1"/>
  <pivotFields count="4">
    <pivotField axis="axisRow" defaultSubtotal="0" showAll="0">
      <items count="2">
        <item x="0"/>
        <item x="1"/>
      </items>
    </pivotField>
    <pivotField axis="axisRow" defaultSubtotal="0" showAl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Col" sortType="ascending" defaultSubtotal="0" showAll="0">
      <items count="54">
        <item x="0"/>
        <item x="1"/>
        <item x="2"/>
        <item m="1" x="35"/>
        <item x="3"/>
        <item m="1" x="36"/>
        <item x="4"/>
        <item x="5"/>
        <item x="6"/>
        <item m="1" x="37"/>
        <item x="7"/>
        <item m="1" x="38"/>
        <item x="8"/>
        <item x="9"/>
        <item x="10"/>
        <item m="1" x="39"/>
        <item x="11"/>
        <item m="1" x="40"/>
        <item x="12"/>
        <item x="13"/>
        <item x="14"/>
        <item m="1" x="41"/>
        <item x="15"/>
        <item m="1" x="42"/>
        <item x="16"/>
        <item m="1" x="43"/>
        <item x="17"/>
        <item x="18"/>
        <item m="1" x="44"/>
        <item x="19"/>
        <item x="20"/>
        <item x="21"/>
        <item x="22"/>
        <item m="1" x="45"/>
        <item x="23"/>
        <item m="1" x="46"/>
        <item x="24"/>
        <item x="25"/>
        <item m="1" x="47"/>
        <item x="26"/>
        <item m="1" x="48"/>
        <item x="27"/>
        <item m="1" x="49"/>
        <item x="28"/>
        <item x="29"/>
        <item x="30"/>
        <item m="1" x="50"/>
        <item x="31"/>
        <item m="1" x="51"/>
        <item x="32"/>
        <item m="1" x="52"/>
        <item x="33"/>
        <item m="1" x="53"/>
        <item x="34"/>
      </items>
    </pivotField>
    <pivotField dataField="1" defaultSubtotal="0" showAll="0"/>
  </pivotFields>
  <rowFields count="2">
    <field x="0"/>
    <field x="1"/>
  </rowFields>
  <rowItems count="2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</rowItems>
  <colFields count="1">
    <field x="2"/>
  </colFields>
  <colItems count="35">
    <i>
      <x/>
    </i>
    <i>
      <x v="1"/>
    </i>
    <i>
      <x v="2"/>
    </i>
    <i>
      <x v="4"/>
    </i>
    <i>
      <x v="6"/>
    </i>
    <i>
      <x v="7"/>
    </i>
    <i>
      <x v="8"/>
    </i>
    <i>
      <x v="10"/>
    </i>
    <i>
      <x v="12"/>
    </i>
    <i>
      <x v="13"/>
    </i>
    <i>
      <x v="14"/>
    </i>
    <i>
      <x v="16"/>
    </i>
    <i>
      <x v="18"/>
    </i>
    <i>
      <x v="19"/>
    </i>
    <i>
      <x v="20"/>
    </i>
    <i>
      <x v="22"/>
    </i>
    <i>
      <x v="24"/>
    </i>
    <i>
      <x v="26"/>
    </i>
    <i>
      <x v="27"/>
    </i>
    <i>
      <x v="29"/>
    </i>
    <i>
      <x v="30"/>
    </i>
    <i>
      <x v="31"/>
    </i>
    <i>
      <x v="32"/>
    </i>
    <i>
      <x v="34"/>
    </i>
    <i>
      <x v="36"/>
    </i>
    <i>
      <x v="37"/>
    </i>
    <i>
      <x v="39"/>
    </i>
    <i>
      <x v="41"/>
    </i>
    <i>
      <x v="43"/>
    </i>
    <i>
      <x v="44"/>
    </i>
    <i>
      <x v="45"/>
    </i>
    <i>
      <x v="47"/>
    </i>
    <i>
      <x v="49"/>
    </i>
    <i>
      <x v="51"/>
    </i>
    <i>
      <x v="53"/>
    </i>
  </colItems>
  <dataFields count="1">
    <dataField name="Sum of mVeh" fld="3" baseField="0" baseItem="0" numFmtId="20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59"/>
  <sheetViews>
    <sheetView zoomScale="53" zoomScaleNormal="53" workbookViewId="0">
      <pane xSplit="4" ySplit="4" topLeftCell="E5" activePane="bottomRight" state="frozen"/>
      <selection/>
      <selection pane="topRight"/>
      <selection pane="bottomLeft"/>
      <selection pane="bottomRight" activeCell="L19" sqref="L19"/>
    </sheetView>
  </sheetViews>
  <sheetFormatPr defaultColWidth="9" defaultRowHeight="14.5"/>
  <cols>
    <col min="1" max="1" width="4.6" customWidth="1"/>
    <col min="3" max="3" width="9.86363636363636" customWidth="1"/>
    <col min="5" max="21" width="7.86363636363636" customWidth="1"/>
    <col min="22" max="22" width="7.4" customWidth="1"/>
    <col min="23" max="23" width="8.4" customWidth="1"/>
    <col min="24" max="29" width="7.86363636363636" customWidth="1"/>
    <col min="30" max="30" width="8.4" customWidth="1"/>
    <col min="31" max="31" width="7.86363636363636" customWidth="1"/>
    <col min="32" max="32" width="8.4" customWidth="1"/>
    <col min="33" max="33" width="7.86363636363636" customWidth="1"/>
    <col min="34" max="34" width="8.86363636363636" customWidth="1"/>
    <col min="35" max="35" width="8.4" customWidth="1"/>
    <col min="36" max="36" width="7.4" customWidth="1"/>
    <col min="37" max="37" width="7.6" customWidth="1"/>
    <col min="38" max="38" width="6.86363636363636" customWidth="1"/>
    <col min="39" max="39" width="7.26363636363636" customWidth="1"/>
    <col min="40" max="40" width="6.86363636363636" customWidth="1"/>
    <col min="41" max="42" width="6.72727272727273" customWidth="1"/>
    <col min="43" max="43" width="7.72727272727273" customWidth="1"/>
    <col min="44" max="44" width="8.86363636363636" customWidth="1"/>
    <col min="45" max="45" width="7.86363636363636" customWidth="1"/>
    <col min="46" max="46" width="6.26363636363636" customWidth="1"/>
    <col min="47" max="50" width="7.72727272727273" customWidth="1"/>
    <col min="51" max="51" width="9.4" customWidth="1"/>
    <col min="53" max="53" width="24.7272727272727" customWidth="1"/>
    <col min="55" max="55" width="4.13636363636364" customWidth="1"/>
  </cols>
  <sheetData>
    <row r="1" spans="1:55">
      <c r="A1" s="116">
        <v>0.041868</v>
      </c>
      <c r="B1" s="101" t="s">
        <v>0</v>
      </c>
    </row>
    <row r="2" spans="1:55">
      <c r="D2" s="1"/>
      <c r="L2" s="78">
        <f>SUM(L16:L24)</f>
        <v>11358.9358507224</v>
      </c>
      <c r="Z2" s="78">
        <f>SUM(Z16:Z24)</f>
        <v>26443.0566577836</v>
      </c>
      <c r="AA2">
        <f>Z2/L2</f>
        <v>2.32795193187942</v>
      </c>
    </row>
    <row r="3" spans="1:55">
      <c r="D3" s="1"/>
    </row>
    <row r="4" ht="15.25" spans="1:55">
      <c r="B4" s="90" t="s">
        <v>1</v>
      </c>
      <c r="C4" s="39" t="s">
        <v>2</v>
      </c>
      <c r="D4" s="39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39</v>
      </c>
      <c r="AP4" s="2" t="s">
        <v>39</v>
      </c>
      <c r="AQ4" s="2" t="s">
        <v>39</v>
      </c>
      <c r="AR4" s="2" t="s">
        <v>39</v>
      </c>
      <c r="AS4" s="2" t="s">
        <v>39</v>
      </c>
      <c r="AT4" s="2" t="s">
        <v>39</v>
      </c>
      <c r="AU4" s="2" t="s">
        <v>39</v>
      </c>
      <c r="AV4" s="2" t="s">
        <v>39</v>
      </c>
      <c r="AW4" s="2" t="s">
        <v>39</v>
      </c>
      <c r="AX4" s="2" t="s">
        <v>39</v>
      </c>
      <c r="AY4" s="117"/>
    </row>
    <row r="5" spans="1:55">
      <c r="A5" t="str">
        <f>IF(OR(C5="TT",C5="TR"),"RR","")</f>
        <v/>
      </c>
      <c r="B5" t="s">
        <v>40</v>
      </c>
      <c r="C5" t="s">
        <v>41</v>
      </c>
      <c r="D5" t="s">
        <v>42</v>
      </c>
      <c r="E5" s="43"/>
      <c r="F5" s="43"/>
      <c r="G5" s="43"/>
      <c r="H5" s="43"/>
      <c r="I5" s="43"/>
      <c r="J5" s="43"/>
      <c r="K5" s="43">
        <v>6.1607003544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>
        <v>2.5819618788</v>
      </c>
      <c r="AA5" s="43"/>
      <c r="AB5" s="43">
        <v>0.023990364</v>
      </c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BA5" t="s">
        <v>43</v>
      </c>
      <c r="BB5" t="s">
        <v>44</v>
      </c>
      <c r="BC5" t="s">
        <v>45</v>
      </c>
    </row>
    <row r="6" spans="1:55">
      <c r="A6" t="str">
        <f t="shared" ref="A6:A40" si="0">IF(OR(C6="TT",C6="TR"),"RR","")</f>
        <v/>
      </c>
      <c r="B6" t="s">
        <v>40</v>
      </c>
      <c r="C6" t="s">
        <v>41</v>
      </c>
      <c r="D6" t="s">
        <v>46</v>
      </c>
      <c r="E6" s="43"/>
      <c r="F6" s="43">
        <v>2.370189348</v>
      </c>
      <c r="G6" s="43"/>
      <c r="H6" s="43"/>
      <c r="I6" s="43"/>
      <c r="J6" s="43"/>
      <c r="K6" s="43"/>
      <c r="L6" s="43">
        <v>1314.7580152476</v>
      </c>
      <c r="M6" s="43"/>
      <c r="N6" s="43"/>
      <c r="O6" s="43"/>
      <c r="P6" s="43"/>
      <c r="Q6" s="43">
        <v>0.011388096</v>
      </c>
      <c r="R6" s="43">
        <v>0.0471140604</v>
      </c>
      <c r="S6" s="43"/>
      <c r="T6" s="43"/>
      <c r="U6" s="43"/>
      <c r="V6" s="43"/>
      <c r="W6" s="43"/>
      <c r="X6" s="43">
        <v>0.3742454916</v>
      </c>
      <c r="Y6" s="43">
        <v>1.7316018648</v>
      </c>
      <c r="Z6" s="43">
        <v>22.4800010208</v>
      </c>
      <c r="AA6" s="43">
        <v>0.0794403432</v>
      </c>
      <c r="AB6" s="43">
        <v>0.0110364048</v>
      </c>
      <c r="AC6" s="43">
        <v>0.5005277532</v>
      </c>
      <c r="AD6" s="43"/>
      <c r="AE6" s="43"/>
      <c r="AF6" s="43">
        <v>3.601924974</v>
      </c>
      <c r="AG6" s="43"/>
      <c r="AH6" s="43"/>
      <c r="AI6" s="43"/>
      <c r="AJ6" s="43"/>
      <c r="AK6" s="43"/>
      <c r="AL6" s="43">
        <v>15.3699018984</v>
      </c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BA6" t="s">
        <v>47</v>
      </c>
      <c r="BB6" t="s">
        <v>48</v>
      </c>
      <c r="BC6" t="s">
        <v>49</v>
      </c>
    </row>
    <row r="7" spans="1:55">
      <c r="A7" t="str">
        <f t="shared" si="0"/>
        <v/>
      </c>
      <c r="B7" t="s">
        <v>40</v>
      </c>
      <c r="C7" t="s">
        <v>41</v>
      </c>
      <c r="D7" t="s">
        <v>50</v>
      </c>
      <c r="E7" s="43">
        <v>0.2772205884</v>
      </c>
      <c r="F7" s="43"/>
      <c r="G7" s="43"/>
      <c r="H7" s="43"/>
      <c r="I7" s="43"/>
      <c r="J7" s="43">
        <v>0.0753791472</v>
      </c>
      <c r="K7" s="43"/>
      <c r="L7" s="43"/>
      <c r="M7" s="43"/>
      <c r="N7" s="43"/>
      <c r="O7" s="43"/>
      <c r="P7" s="43"/>
      <c r="Q7" s="43"/>
      <c r="R7" s="43">
        <v>0.0033159456</v>
      </c>
      <c r="S7" s="43"/>
      <c r="T7" s="43"/>
      <c r="U7" s="43"/>
      <c r="V7" s="43"/>
      <c r="W7" s="43"/>
      <c r="X7" s="43">
        <v>0.2399496948</v>
      </c>
      <c r="Y7" s="43"/>
      <c r="Z7" s="43"/>
      <c r="AA7" s="43"/>
      <c r="AB7" s="43"/>
      <c r="AC7" s="43">
        <v>0.691198812</v>
      </c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BA7" t="s">
        <v>51</v>
      </c>
      <c r="BB7" t="s">
        <v>52</v>
      </c>
      <c r="BC7" t="s">
        <v>53</v>
      </c>
    </row>
    <row r="8" spans="1:55">
      <c r="A8" t="str">
        <f t="shared" si="0"/>
        <v/>
      </c>
      <c r="B8" t="s">
        <v>40</v>
      </c>
      <c r="C8" t="s">
        <v>41</v>
      </c>
      <c r="D8" t="s">
        <v>54</v>
      </c>
      <c r="E8" s="43">
        <v>2.5678104948</v>
      </c>
      <c r="F8" s="43">
        <v>2.118478932</v>
      </c>
      <c r="G8" s="43"/>
      <c r="H8" s="43">
        <v>0.6179423724</v>
      </c>
      <c r="I8" s="43">
        <v>2.251409832</v>
      </c>
      <c r="J8" s="43">
        <v>5.7442561056</v>
      </c>
      <c r="K8" s="43"/>
      <c r="L8" s="43">
        <v>99.0935550252</v>
      </c>
      <c r="M8" s="43">
        <v>0.7771998708</v>
      </c>
      <c r="N8" s="43">
        <v>8.4419997516</v>
      </c>
      <c r="O8" s="43">
        <v>12.396298374</v>
      </c>
      <c r="P8" s="43">
        <v>13.18800132</v>
      </c>
      <c r="Q8" s="43">
        <v>0.845252118</v>
      </c>
      <c r="R8" s="43">
        <v>5.9773855032</v>
      </c>
      <c r="S8" s="43">
        <v>0.1489830912</v>
      </c>
      <c r="T8" s="43"/>
      <c r="U8" s="43">
        <v>1.2904513092</v>
      </c>
      <c r="V8" s="43">
        <v>9.231600924</v>
      </c>
      <c r="W8" s="43">
        <v>56.6852275512</v>
      </c>
      <c r="X8" s="43">
        <v>2.2883667156</v>
      </c>
      <c r="Y8" s="43">
        <v>8.2227202884</v>
      </c>
      <c r="Z8" s="43">
        <v>126.7059950676</v>
      </c>
      <c r="AA8" s="43">
        <v>1.8940329576</v>
      </c>
      <c r="AB8" s="43">
        <v>16.8218548308</v>
      </c>
      <c r="AC8" s="43">
        <v>41.8178672568</v>
      </c>
      <c r="AD8" s="43"/>
      <c r="AE8" s="43"/>
      <c r="AF8" s="43">
        <v>6.0861250728</v>
      </c>
      <c r="AG8" s="43">
        <v>10.9913590188</v>
      </c>
      <c r="AH8" s="43">
        <v>1.7354411604</v>
      </c>
      <c r="AI8" s="43">
        <v>1.2379069692</v>
      </c>
      <c r="AJ8" s="43">
        <v>7.5179981124</v>
      </c>
      <c r="AK8" s="43">
        <v>5.717870892</v>
      </c>
      <c r="AL8" s="43">
        <v>2.0426643576</v>
      </c>
      <c r="AM8" s="43">
        <v>1.3844156616</v>
      </c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BA8" t="s">
        <v>55</v>
      </c>
      <c r="BB8" t="s">
        <v>56</v>
      </c>
      <c r="BC8" t="s">
        <v>57</v>
      </c>
    </row>
    <row r="9" spans="1:55">
      <c r="A9" t="str">
        <f t="shared" si="0"/>
        <v/>
      </c>
      <c r="B9" t="s">
        <v>40</v>
      </c>
      <c r="C9" t="s">
        <v>41</v>
      </c>
      <c r="D9" t="s">
        <v>58</v>
      </c>
      <c r="E9" s="43"/>
      <c r="F9" s="43">
        <v>0.1432471752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>
        <v>261.4400032896</v>
      </c>
      <c r="AA9" s="43"/>
      <c r="AB9" s="43"/>
      <c r="AC9" s="43">
        <v>3.0110795712</v>
      </c>
      <c r="AD9" s="43"/>
      <c r="AE9" s="43"/>
      <c r="AF9" s="43"/>
      <c r="AG9" s="43"/>
      <c r="AH9" s="43"/>
      <c r="AI9" s="43"/>
      <c r="AJ9" s="43"/>
      <c r="AK9" s="43"/>
      <c r="AL9" s="43">
        <v>0.0359981064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BA9" t="s">
        <v>59</v>
      </c>
      <c r="BB9" t="s">
        <v>60</v>
      </c>
      <c r="BC9" t="s">
        <v>61</v>
      </c>
    </row>
    <row r="10" spans="1:55">
      <c r="A10" t="str">
        <f t="shared" si="0"/>
        <v/>
      </c>
      <c r="B10" t="s">
        <v>40</v>
      </c>
      <c r="C10" t="s">
        <v>62</v>
      </c>
      <c r="D10" t="s">
        <v>60</v>
      </c>
      <c r="E10" s="43"/>
      <c r="F10" s="43">
        <v>0.046243206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>
        <v>0.3086425224</v>
      </c>
      <c r="Y10" s="43"/>
      <c r="Z10" s="43"/>
      <c r="AA10" s="43"/>
      <c r="AB10" s="43"/>
      <c r="AC10" s="43">
        <v>0.0688142448</v>
      </c>
      <c r="AD10" s="43"/>
      <c r="AE10" s="43"/>
      <c r="AF10" s="43">
        <v>0.7461631224</v>
      </c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BA10" t="s">
        <v>63</v>
      </c>
      <c r="BB10" t="s">
        <v>64</v>
      </c>
      <c r="BC10" t="s">
        <v>65</v>
      </c>
    </row>
    <row r="11" spans="1:55">
      <c r="A11" t="str">
        <f t="shared" si="0"/>
        <v/>
      </c>
      <c r="B11" t="s">
        <v>40</v>
      </c>
      <c r="C11" t="s">
        <v>62</v>
      </c>
      <c r="D11" t="s">
        <v>66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>
        <v>0.0309320784</v>
      </c>
      <c r="V11" s="43"/>
      <c r="W11" s="43"/>
      <c r="X11" s="43">
        <v>0.690884802</v>
      </c>
      <c r="Y11" s="43"/>
      <c r="Z11" s="43"/>
      <c r="AA11" s="43"/>
      <c r="AB11" s="43"/>
      <c r="AC11" s="43">
        <v>0.008959752</v>
      </c>
      <c r="AD11" s="43"/>
      <c r="AE11" s="43"/>
      <c r="AF11" s="43"/>
      <c r="AG11" s="43"/>
      <c r="AH11" s="43">
        <v>4.60548e-5</v>
      </c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BA11" t="s">
        <v>67</v>
      </c>
      <c r="BB11" t="s">
        <v>66</v>
      </c>
      <c r="BC11" t="s">
        <v>68</v>
      </c>
    </row>
    <row r="12" spans="1:55">
      <c r="A12" t="str">
        <f t="shared" si="0"/>
        <v/>
      </c>
      <c r="B12" t="s">
        <v>40</v>
      </c>
      <c r="C12" t="s">
        <v>62</v>
      </c>
      <c r="D12" t="s">
        <v>69</v>
      </c>
      <c r="E12" s="43">
        <v>0.0119993688</v>
      </c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>
        <v>0.0005945256</v>
      </c>
      <c r="AD12" s="43"/>
      <c r="AE12" s="43"/>
      <c r="AF12" s="43"/>
      <c r="AG12" s="43"/>
      <c r="AH12" s="43"/>
      <c r="AI12" s="43"/>
      <c r="AJ12" s="43"/>
      <c r="AK12" s="43"/>
      <c r="AL12" s="43">
        <v>7.6400014644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BA12" t="s">
        <v>70</v>
      </c>
      <c r="BB12" t="s">
        <v>69</v>
      </c>
      <c r="BC12" t="s">
        <v>71</v>
      </c>
    </row>
    <row r="13" spans="1:55">
      <c r="A13" t="str">
        <f t="shared" si="0"/>
        <v/>
      </c>
      <c r="B13" t="s">
        <v>40</v>
      </c>
      <c r="C13" t="s">
        <v>62</v>
      </c>
      <c r="D13" t="s">
        <v>72</v>
      </c>
      <c r="E13" s="43">
        <v>28.892667186</v>
      </c>
      <c r="F13" s="43">
        <v>22.6259235612</v>
      </c>
      <c r="G13" s="43">
        <v>123.7186965204</v>
      </c>
      <c r="H13" s="43">
        <v>1.3079814408</v>
      </c>
      <c r="I13" s="43">
        <v>0.0886638636</v>
      </c>
      <c r="J13" s="43">
        <v>0.552531996</v>
      </c>
      <c r="K13" s="43">
        <v>140.169186378</v>
      </c>
      <c r="L13" s="43">
        <v>1141.7510237796</v>
      </c>
      <c r="M13" s="43">
        <v>0.469675224</v>
      </c>
      <c r="N13" s="43">
        <v>1.9810011672</v>
      </c>
      <c r="O13" s="43">
        <v>67.7992305024</v>
      </c>
      <c r="P13" s="43">
        <v>30.7530005904</v>
      </c>
      <c r="Q13" s="43">
        <v>9.4633277436</v>
      </c>
      <c r="R13" s="43">
        <v>3.19829652</v>
      </c>
      <c r="S13" s="43">
        <v>0.3797260128</v>
      </c>
      <c r="T13" s="43">
        <v>179.286291306</v>
      </c>
      <c r="U13" s="43">
        <v>0.2140962048</v>
      </c>
      <c r="V13" s="43">
        <v>37.9845252864</v>
      </c>
      <c r="W13" s="43">
        <v>147.5997682932</v>
      </c>
      <c r="X13" s="43">
        <v>89.0664621012</v>
      </c>
      <c r="Y13" s="43">
        <v>60.2006741712</v>
      </c>
      <c r="Z13" s="43">
        <v>2814.8464867644</v>
      </c>
      <c r="AA13" s="43">
        <v>14.7001143816</v>
      </c>
      <c r="AB13" s="43">
        <v>1.416206034</v>
      </c>
      <c r="AC13" s="43">
        <v>364.0769141436</v>
      </c>
      <c r="AD13" s="43">
        <v>245.790197064</v>
      </c>
      <c r="AE13" s="43">
        <v>40.8475344888</v>
      </c>
      <c r="AF13" s="43">
        <v>51.9971336136</v>
      </c>
      <c r="AG13" s="43">
        <v>104.0678460504</v>
      </c>
      <c r="AH13" s="43">
        <v>10.7713468656</v>
      </c>
      <c r="AI13" s="43">
        <v>2.769819408</v>
      </c>
      <c r="AJ13" s="43">
        <v>50.4389992464</v>
      </c>
      <c r="AK13" s="43">
        <v>37.1254944096</v>
      </c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BA13" t="s">
        <v>73</v>
      </c>
      <c r="BB13" t="s">
        <v>74</v>
      </c>
      <c r="BC13" t="s">
        <v>75</v>
      </c>
    </row>
    <row r="14" spans="1:55">
      <c r="A14" t="str">
        <f t="shared" si="0"/>
        <v/>
      </c>
      <c r="B14" t="s">
        <v>40</v>
      </c>
      <c r="C14" t="s">
        <v>76</v>
      </c>
      <c r="D14" t="s">
        <v>69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>
        <v>-5.0799993516</v>
      </c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BA14" t="s">
        <v>77</v>
      </c>
      <c r="BB14" t="s">
        <v>52</v>
      </c>
      <c r="BC14" t="s">
        <v>53</v>
      </c>
    </row>
    <row r="15" spans="1:55">
      <c r="A15" t="str">
        <f t="shared" si="0"/>
        <v/>
      </c>
      <c r="B15" t="s">
        <v>40</v>
      </c>
      <c r="C15" t="s">
        <v>76</v>
      </c>
      <c r="D15" t="s">
        <v>72</v>
      </c>
      <c r="E15" s="43">
        <v>-99.1230300972</v>
      </c>
      <c r="F15" s="43">
        <v>-192.0928039704</v>
      </c>
      <c r="G15" s="43">
        <v>-211.3565345388</v>
      </c>
      <c r="H15" s="43">
        <v>-39.6794089152</v>
      </c>
      <c r="I15" s="43">
        <v>-14.5334462472</v>
      </c>
      <c r="J15" s="43">
        <v>-260.8231662324</v>
      </c>
      <c r="K15" s="43">
        <v>-101.4462184284</v>
      </c>
      <c r="L15" s="43">
        <v>-449.183894364</v>
      </c>
      <c r="M15" s="43">
        <v>-9.4939499988</v>
      </c>
      <c r="N15" s="43">
        <v>-19.3069969596</v>
      </c>
      <c r="O15" s="43">
        <v>-260.0460249768</v>
      </c>
      <c r="P15" s="43">
        <v>-409.8760011468</v>
      </c>
      <c r="Q15" s="43">
        <v>-60.3557197488</v>
      </c>
      <c r="R15" s="43">
        <v>-28.1800487052</v>
      </c>
      <c r="S15" s="43">
        <v>-13.0422420648</v>
      </c>
      <c r="T15" s="43">
        <v>-177.4691070624</v>
      </c>
      <c r="U15" s="43">
        <v>-45.3314591244</v>
      </c>
      <c r="V15" s="43">
        <v>-173.0543776704</v>
      </c>
      <c r="W15" s="43">
        <v>-305.523649476</v>
      </c>
      <c r="X15" s="43">
        <v>-322.4176638048</v>
      </c>
      <c r="Y15" s="43">
        <v>-762.824241792</v>
      </c>
      <c r="Z15" s="43">
        <v>-1284.8589878796</v>
      </c>
      <c r="AA15" s="43">
        <v>-22.9425293772</v>
      </c>
      <c r="AB15" s="43">
        <v>-45.0546614028</v>
      </c>
      <c r="AC15" s="43">
        <v>-1737.5925643272</v>
      </c>
      <c r="AD15" s="43">
        <v>-253.1128809564</v>
      </c>
      <c r="AE15" s="43">
        <v>-153.0961909596</v>
      </c>
      <c r="AF15" s="43">
        <v>-46.0725980868</v>
      </c>
      <c r="AG15" s="43">
        <v>-260.6991071616</v>
      </c>
      <c r="AH15" s="43">
        <v>-115.4657935908</v>
      </c>
      <c r="AI15" s="43">
        <v>-77.9501857176</v>
      </c>
      <c r="AJ15" s="43">
        <v>-184.4269992576</v>
      </c>
      <c r="AK15" s="43">
        <v>-493.2392126616</v>
      </c>
      <c r="AL15" s="43">
        <v>-2.211739902</v>
      </c>
      <c r="AM15" s="43">
        <v>-9.5715565236</v>
      </c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</row>
    <row r="16" spans="1:55">
      <c r="A16" t="str">
        <f t="shared" si="0"/>
        <v>RR</v>
      </c>
      <c r="B16" t="s">
        <v>40</v>
      </c>
      <c r="C16" t="s">
        <v>78</v>
      </c>
      <c r="D16" t="s">
        <v>44</v>
      </c>
      <c r="E16" s="43"/>
      <c r="F16" s="43"/>
      <c r="G16" s="43">
        <v>0.036801972</v>
      </c>
      <c r="H16" s="43">
        <v>17.8244803872</v>
      </c>
      <c r="I16" s="43">
        <v>4.5833402016</v>
      </c>
      <c r="J16" s="43">
        <v>36.9299080476</v>
      </c>
      <c r="K16" s="43">
        <v>651.0299242968</v>
      </c>
      <c r="L16" s="43">
        <v>37.904000562</v>
      </c>
      <c r="M16" s="43">
        <v>6.3832957632</v>
      </c>
      <c r="N16" s="43">
        <v>16.7298499008</v>
      </c>
      <c r="O16" s="43">
        <v>105.7032561852</v>
      </c>
      <c r="P16" s="43">
        <v>79.0938896868</v>
      </c>
      <c r="Q16" s="43">
        <v>7.1657333208</v>
      </c>
      <c r="R16" s="43">
        <v>25.9116404652</v>
      </c>
      <c r="S16" s="43">
        <v>0.648933066</v>
      </c>
      <c r="T16" s="43">
        <v>1.6369383168</v>
      </c>
      <c r="U16" s="43">
        <v>6.781820508</v>
      </c>
      <c r="V16" s="43">
        <v>52.6092814548</v>
      </c>
      <c r="W16" s="43">
        <v>0.519246936</v>
      </c>
      <c r="X16" s="43">
        <v>74.2635282852</v>
      </c>
      <c r="Y16" s="43"/>
      <c r="Z16" s="43">
        <v>204.2394309</v>
      </c>
      <c r="AA16" s="43">
        <v>17.542524528</v>
      </c>
      <c r="AB16" s="43">
        <v>35.0764075008</v>
      </c>
      <c r="AC16" s="43">
        <v>285.0645916944</v>
      </c>
      <c r="AD16" s="43">
        <v>0.0720003996</v>
      </c>
      <c r="AE16" s="43"/>
      <c r="AF16" s="43"/>
      <c r="AG16" s="43">
        <v>73.5846721596</v>
      </c>
      <c r="AH16" s="43">
        <v>71.6650494804</v>
      </c>
      <c r="AI16" s="43">
        <v>6.273249912</v>
      </c>
      <c r="AJ16" s="43">
        <v>4.7795001552</v>
      </c>
      <c r="AK16" s="43">
        <v>52.8856018812</v>
      </c>
      <c r="AL16" s="43"/>
      <c r="AM16" s="43">
        <v>5.0352592068</v>
      </c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</row>
    <row r="17" spans="1:63">
      <c r="A17" t="str">
        <f t="shared" si="0"/>
        <v>RR</v>
      </c>
      <c r="B17" t="s">
        <v>40</v>
      </c>
      <c r="C17" t="s">
        <v>78</v>
      </c>
      <c r="D17" t="s">
        <v>48</v>
      </c>
      <c r="E17" s="43"/>
      <c r="F17" s="43">
        <v>1.9221473196</v>
      </c>
      <c r="G17" s="43">
        <v>5.3332002684</v>
      </c>
      <c r="H17" s="43">
        <v>2.3656341096</v>
      </c>
      <c r="I17" s="43">
        <v>1.0224877356</v>
      </c>
      <c r="J17" s="43">
        <v>14.5589354856</v>
      </c>
      <c r="K17" s="43">
        <v>235.9535491116</v>
      </c>
      <c r="L17" s="43">
        <v>85.7599996032</v>
      </c>
      <c r="M17" s="43">
        <v>0.21750426</v>
      </c>
      <c r="N17" s="43">
        <v>3.9087001836</v>
      </c>
      <c r="O17" s="43">
        <v>27.3519331596</v>
      </c>
      <c r="P17" s="43">
        <v>30.0974942484</v>
      </c>
      <c r="Q17" s="43">
        <v>1.0531602324</v>
      </c>
      <c r="R17" s="43">
        <v>7.3426088736</v>
      </c>
      <c r="S17" s="43">
        <v>0.1685061396</v>
      </c>
      <c r="T17" s="43">
        <v>36.8208167868</v>
      </c>
      <c r="U17" s="43">
        <v>1.0967029524</v>
      </c>
      <c r="V17" s="43">
        <v>1.274294448</v>
      </c>
      <c r="W17" s="43">
        <v>16.6368485124</v>
      </c>
      <c r="X17" s="43">
        <v>53.0895325356</v>
      </c>
      <c r="Y17" s="43"/>
      <c r="Z17" s="43">
        <v>1435.2023327184</v>
      </c>
      <c r="AA17" s="43">
        <v>1.7838866232</v>
      </c>
      <c r="AB17" s="43">
        <v>7.8426342108</v>
      </c>
      <c r="AC17" s="43">
        <v>53.438619546</v>
      </c>
      <c r="AD17" s="43"/>
      <c r="AE17" s="43"/>
      <c r="AF17" s="43"/>
      <c r="AG17" s="43">
        <v>5.7976587396</v>
      </c>
      <c r="AH17" s="43">
        <v>9.3798262044</v>
      </c>
      <c r="AI17" s="43">
        <v>1.3390098156</v>
      </c>
      <c r="AJ17" s="43">
        <v>2.2267998216</v>
      </c>
      <c r="AK17" s="43">
        <v>16.0151212728</v>
      </c>
      <c r="AL17" s="43">
        <v>3.6889769196</v>
      </c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</row>
    <row r="18" spans="1:63">
      <c r="A18" t="str">
        <f t="shared" si="0"/>
        <v>RR</v>
      </c>
      <c r="B18" t="s">
        <v>40</v>
      </c>
      <c r="C18" t="s">
        <v>78</v>
      </c>
      <c r="D18" t="s">
        <v>60</v>
      </c>
      <c r="E18" s="43">
        <v>1112.020548606</v>
      </c>
      <c r="F18" s="43">
        <v>988.2276201216</v>
      </c>
      <c r="G18" s="43">
        <v>575.6379110604</v>
      </c>
      <c r="H18" s="43">
        <v>258.6505436028</v>
      </c>
      <c r="I18" s="43">
        <v>121.270054914</v>
      </c>
      <c r="J18" s="43">
        <v>548.2321817076</v>
      </c>
      <c r="K18" s="43">
        <v>1435.9916282544</v>
      </c>
      <c r="L18" s="43">
        <v>3881.3716127844</v>
      </c>
      <c r="M18" s="43">
        <v>120.494031534</v>
      </c>
      <c r="N18" s="43">
        <v>258.1985994768</v>
      </c>
      <c r="O18" s="43">
        <v>1286.4001238388</v>
      </c>
      <c r="P18" s="43">
        <v>1389.27119823</v>
      </c>
      <c r="Q18" s="43">
        <v>112.3477580268</v>
      </c>
      <c r="R18" s="43">
        <v>402.8434750548</v>
      </c>
      <c r="S18" s="43">
        <v>7.7045954148</v>
      </c>
      <c r="T18" s="43">
        <v>2433.6589206996</v>
      </c>
      <c r="U18" s="43">
        <v>123.344635248</v>
      </c>
      <c r="V18" s="43">
        <v>900.0449831268</v>
      </c>
      <c r="W18" s="43">
        <v>913.2709838436</v>
      </c>
      <c r="X18" s="43">
        <v>1474.3679375376</v>
      </c>
      <c r="Y18" s="43">
        <v>1497.7659279528</v>
      </c>
      <c r="Z18" s="43">
        <v>6300.1461203532</v>
      </c>
      <c r="AA18" s="43">
        <v>88.600161438</v>
      </c>
      <c r="AB18" s="43">
        <v>592.7982142428</v>
      </c>
      <c r="AC18" s="43">
        <v>4015.3713777036</v>
      </c>
      <c r="AD18" s="43">
        <v>701.329528224</v>
      </c>
      <c r="AE18" s="43">
        <v>851.798724084</v>
      </c>
      <c r="AF18" s="43">
        <v>347.1281908992</v>
      </c>
      <c r="AG18" s="43">
        <v>1074.182301738</v>
      </c>
      <c r="AH18" s="43">
        <v>322.4629147392</v>
      </c>
      <c r="AI18" s="43">
        <v>113.815185372</v>
      </c>
      <c r="AJ18" s="43">
        <v>822.3504015492</v>
      </c>
      <c r="AK18" s="43">
        <v>1014.1394322456</v>
      </c>
      <c r="AL18" s="43">
        <v>181.7944022196</v>
      </c>
      <c r="AM18" s="43">
        <v>187.720599906</v>
      </c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BA18" s="118">
        <f>31536000/10^9</f>
        <v>0.031536</v>
      </c>
      <c r="BB18" s="119" t="s">
        <v>79</v>
      </c>
      <c r="BD18" s="80">
        <f>1/BA18</f>
        <v>31.7097919837646</v>
      </c>
      <c r="BE18" s="101" t="s">
        <v>80</v>
      </c>
      <c r="BF18" s="101" t="s">
        <v>81</v>
      </c>
      <c r="BJ18" s="80">
        <f>100/BD18</f>
        <v>3.1536</v>
      </c>
      <c r="BK18" s="106" t="s">
        <v>82</v>
      </c>
    </row>
    <row r="19" spans="1:63">
      <c r="A19" t="str">
        <f t="shared" si="0"/>
        <v>RR</v>
      </c>
      <c r="B19" t="s">
        <v>40</v>
      </c>
      <c r="C19" t="s">
        <v>78</v>
      </c>
      <c r="D19" t="s">
        <v>64</v>
      </c>
      <c r="E19" s="43"/>
      <c r="F19" s="43"/>
      <c r="G19" s="43">
        <v>0.0863988048</v>
      </c>
      <c r="H19" s="43">
        <v>0.0513552888</v>
      </c>
      <c r="I19" s="43">
        <v>0.2918660148</v>
      </c>
      <c r="J19" s="43">
        <v>2.319026652</v>
      </c>
      <c r="K19" s="43"/>
      <c r="L19" s="43">
        <v>245.3630136732</v>
      </c>
      <c r="M19" s="43">
        <v>0.0128869704</v>
      </c>
      <c r="N19" s="43">
        <v>0.3348853848</v>
      </c>
      <c r="O19" s="43">
        <v>1.1790573084</v>
      </c>
      <c r="P19" s="43">
        <v>1.2096000144</v>
      </c>
      <c r="Q19" s="43">
        <v>0.0738593388</v>
      </c>
      <c r="R19" s="43">
        <v>0.423348282</v>
      </c>
      <c r="S19" s="43">
        <v>0.0811987992</v>
      </c>
      <c r="T19" s="43"/>
      <c r="U19" s="43">
        <v>0.0975901212</v>
      </c>
      <c r="V19" s="43">
        <v>0.4974462684</v>
      </c>
      <c r="W19" s="43"/>
      <c r="X19" s="43">
        <v>2.9411097696</v>
      </c>
      <c r="Y19" s="43"/>
      <c r="Z19" s="43">
        <v>28.0445136156</v>
      </c>
      <c r="AA19" s="43">
        <v>3.0923997876</v>
      </c>
      <c r="AB19" s="43">
        <v>0.1181054412</v>
      </c>
      <c r="AC19" s="43">
        <v>1.7672650272</v>
      </c>
      <c r="AD19" s="43">
        <v>0.5507986608</v>
      </c>
      <c r="AE19" s="43"/>
      <c r="AF19" s="43">
        <v>0.1933506108</v>
      </c>
      <c r="AG19" s="43">
        <v>0.6004206144</v>
      </c>
      <c r="AH19" s="43">
        <v>1.3584365676</v>
      </c>
      <c r="AI19" s="43"/>
      <c r="AJ19" s="43"/>
      <c r="AK19" s="43">
        <v>1.31936535</v>
      </c>
      <c r="AL19" s="43"/>
      <c r="AM19" s="43">
        <v>0.0131381784</v>
      </c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BA19" s="119">
        <v>0.038</v>
      </c>
      <c r="BB19" s="119" t="s">
        <v>83</v>
      </c>
      <c r="BD19" s="80">
        <f>1/BA19</f>
        <v>26.3157894736842</v>
      </c>
      <c r="BE19" s="101" t="s">
        <v>80</v>
      </c>
      <c r="BF19" s="101" t="s">
        <v>81</v>
      </c>
      <c r="BJ19" s="80">
        <f>100/BD19</f>
        <v>3.8</v>
      </c>
      <c r="BK19" s="106" t="s">
        <v>82</v>
      </c>
    </row>
    <row r="20" spans="1:63">
      <c r="A20" t="str">
        <f t="shared" si="0"/>
        <v>RR</v>
      </c>
      <c r="B20" t="s">
        <v>40</v>
      </c>
      <c r="C20" t="s">
        <v>78</v>
      </c>
      <c r="D20" t="s">
        <v>66</v>
      </c>
      <c r="E20" s="43">
        <v>715.6702937484</v>
      </c>
      <c r="F20" s="43">
        <v>1242.7521769944</v>
      </c>
      <c r="G20" s="43">
        <v>568.9218358728</v>
      </c>
      <c r="H20" s="43">
        <v>69.2441705448</v>
      </c>
      <c r="I20" s="43">
        <v>28.9159206732</v>
      </c>
      <c r="J20" s="43">
        <v>267.9120382788</v>
      </c>
      <c r="K20" s="43">
        <v>898.1818403796</v>
      </c>
      <c r="L20" s="43">
        <v>6001.894737324</v>
      </c>
      <c r="M20" s="43">
        <v>37.5854604444</v>
      </c>
      <c r="N20" s="43">
        <v>89.100002556</v>
      </c>
      <c r="O20" s="43">
        <v>329.1032339676</v>
      </c>
      <c r="P20" s="43">
        <v>722.6119997748</v>
      </c>
      <c r="Q20" s="43">
        <v>113.015318166</v>
      </c>
      <c r="R20" s="43">
        <v>138.8675228184</v>
      </c>
      <c r="S20" s="43">
        <v>5.2247370276</v>
      </c>
      <c r="T20" s="43">
        <v>1342.8800014104</v>
      </c>
      <c r="U20" s="43">
        <v>32.2326826992</v>
      </c>
      <c r="V20" s="43">
        <v>326.479734846</v>
      </c>
      <c r="W20" s="43">
        <v>1584.5382288072</v>
      </c>
      <c r="X20" s="43">
        <v>1707.7906162908</v>
      </c>
      <c r="Y20" s="43">
        <v>2359.623895398</v>
      </c>
      <c r="Z20" s="43">
        <v>18347.2493096016</v>
      </c>
      <c r="AA20" s="43">
        <v>27.8958696552</v>
      </c>
      <c r="AB20" s="43">
        <v>194.3168907456</v>
      </c>
      <c r="AC20" s="43">
        <v>4523.0065127928</v>
      </c>
      <c r="AD20" s="43">
        <v>1546.9669616148</v>
      </c>
      <c r="AE20" s="43">
        <v>1019.3706881208</v>
      </c>
      <c r="AF20" s="43">
        <v>316.5744484944</v>
      </c>
      <c r="AG20" s="43">
        <v>271.1386919952</v>
      </c>
      <c r="AH20" s="43">
        <v>190.163074356</v>
      </c>
      <c r="AI20" s="43">
        <v>99.8733130308</v>
      </c>
      <c r="AJ20" s="43">
        <v>99.3079987344</v>
      </c>
      <c r="AK20" s="43">
        <v>515.3909183208</v>
      </c>
      <c r="AL20" s="43">
        <v>77.1504817968</v>
      </c>
      <c r="AM20" s="43">
        <v>39.1192108884</v>
      </c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</row>
    <row r="21" spans="1:63">
      <c r="A21" t="str">
        <f t="shared" si="0"/>
        <v>RR</v>
      </c>
      <c r="B21" t="s">
        <v>40</v>
      </c>
      <c r="C21" t="s">
        <v>78</v>
      </c>
      <c r="D21" t="s">
        <v>69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>
        <v>0.0020808396</v>
      </c>
      <c r="R21" s="43"/>
      <c r="S21" s="43"/>
      <c r="T21" s="43">
        <v>0.0642003912</v>
      </c>
      <c r="U21" s="43"/>
      <c r="V21" s="43"/>
      <c r="W21" s="43"/>
      <c r="X21" s="43">
        <v>0.0904516272</v>
      </c>
      <c r="Y21" s="43"/>
      <c r="Z21" s="43"/>
      <c r="AA21" s="43"/>
      <c r="AB21" s="43"/>
      <c r="AC21" s="43">
        <v>0.3567614148</v>
      </c>
      <c r="AD21" s="43"/>
      <c r="AE21" s="43"/>
      <c r="AF21" s="43">
        <v>0.749311596</v>
      </c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</row>
    <row r="22" spans="1:63">
      <c r="A22" t="str">
        <f t="shared" si="0"/>
        <v>RR</v>
      </c>
      <c r="B22" t="s">
        <v>40</v>
      </c>
      <c r="C22" t="s">
        <v>78</v>
      </c>
      <c r="D22" t="s">
        <v>72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>
        <v>0.3245565492</v>
      </c>
      <c r="Y22" s="43"/>
      <c r="Z22" s="43"/>
      <c r="AA22" s="43"/>
      <c r="AB22" s="43"/>
      <c r="AC22" s="43">
        <v>0.0283153284</v>
      </c>
      <c r="AD22" s="43"/>
      <c r="AE22" s="43"/>
      <c r="AF22" s="43">
        <v>2.5273995012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BJ22">
        <f>BJ18/7.96</f>
        <v>0.396180904522613</v>
      </c>
    </row>
    <row r="23" spans="1:63">
      <c r="A23" t="str">
        <f t="shared" si="0"/>
        <v>RR</v>
      </c>
      <c r="B23" t="s">
        <v>40</v>
      </c>
      <c r="C23" t="s">
        <v>78</v>
      </c>
      <c r="D23" t="s">
        <v>74</v>
      </c>
      <c r="E23" s="43">
        <v>42.9399924588</v>
      </c>
      <c r="F23" s="43">
        <v>0.0246435048</v>
      </c>
      <c r="G23" s="43">
        <v>15.2077596948</v>
      </c>
      <c r="H23" s="43">
        <v>0.2193757596</v>
      </c>
      <c r="I23" s="43">
        <v>6.9182599464</v>
      </c>
      <c r="J23" s="43">
        <v>8.1889663068</v>
      </c>
      <c r="K23" s="43"/>
      <c r="L23" s="43">
        <v>78.3021574332</v>
      </c>
      <c r="M23" s="43">
        <v>3.6899356968</v>
      </c>
      <c r="N23" s="43">
        <v>4.0479992064</v>
      </c>
      <c r="O23" s="43">
        <v>2.4205649256</v>
      </c>
      <c r="P23" s="43">
        <v>15.5940003684</v>
      </c>
      <c r="Q23" s="43">
        <v>10.0846028088</v>
      </c>
      <c r="R23" s="43">
        <v>23.3167790556</v>
      </c>
      <c r="S23" s="43"/>
      <c r="T23" s="43">
        <v>8.13087027</v>
      </c>
      <c r="U23" s="43">
        <v>0.0665156916</v>
      </c>
      <c r="V23" s="43">
        <v>76.0717653372</v>
      </c>
      <c r="W23" s="43">
        <v>29.8482749784</v>
      </c>
      <c r="X23" s="43">
        <v>34.597140318</v>
      </c>
      <c r="Y23" s="43">
        <v>2.8085347476</v>
      </c>
      <c r="Z23" s="43">
        <v>73.8265059144</v>
      </c>
      <c r="AA23" s="43">
        <v>0.2147284116</v>
      </c>
      <c r="AB23" s="43">
        <v>89.0099989164</v>
      </c>
      <c r="AC23" s="43">
        <v>232.2317518668</v>
      </c>
      <c r="AD23" s="43">
        <v>59.5230824592</v>
      </c>
      <c r="AE23" s="43"/>
      <c r="AF23" s="43">
        <v>0.65408283</v>
      </c>
      <c r="AG23" s="43">
        <v>5.6658624624</v>
      </c>
      <c r="AH23" s="43"/>
      <c r="AI23" s="43">
        <v>0.0707485464</v>
      </c>
      <c r="AJ23" s="43">
        <v>154.28399868</v>
      </c>
      <c r="AK23" s="43">
        <v>2.89799829</v>
      </c>
      <c r="AL23" s="43">
        <v>83.334339342</v>
      </c>
      <c r="AM23" s="43">
        <v>10.48133979</v>
      </c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Y23" s="43"/>
    </row>
    <row r="24" spans="1:63">
      <c r="A24" t="str">
        <f t="shared" si="0"/>
        <v>RR</v>
      </c>
      <c r="B24" t="s">
        <v>40</v>
      </c>
      <c r="C24" t="s">
        <v>78</v>
      </c>
      <c r="D24" t="s">
        <v>52</v>
      </c>
      <c r="E24" s="43">
        <v>20.3480531532</v>
      </c>
      <c r="F24" s="43">
        <v>0.0746883252</v>
      </c>
      <c r="G24" s="43">
        <v>3.1234532832</v>
      </c>
      <c r="H24" s="43">
        <v>0.7839866736</v>
      </c>
      <c r="I24" s="43">
        <v>0.8042507856</v>
      </c>
      <c r="J24" s="43">
        <v>3.83688819</v>
      </c>
      <c r="K24" s="43">
        <v>84.1730684256</v>
      </c>
      <c r="L24" s="43">
        <v>1028.3403293424</v>
      </c>
      <c r="M24" s="43">
        <v>0.3512432124</v>
      </c>
      <c r="N24" s="43">
        <v>3.1564536408</v>
      </c>
      <c r="O24" s="43">
        <v>6.812070138</v>
      </c>
      <c r="P24" s="43">
        <v>8.3365510068</v>
      </c>
      <c r="Q24" s="43">
        <v>0.749060388</v>
      </c>
      <c r="R24" s="43">
        <v>4.0482462276</v>
      </c>
      <c r="S24" s="43">
        <v>0.074441304</v>
      </c>
      <c r="T24" s="43">
        <v>123.3807422112</v>
      </c>
      <c r="U24" s="43"/>
      <c r="V24" s="43">
        <v>40.1888796732</v>
      </c>
      <c r="W24" s="43">
        <v>1.3990066596</v>
      </c>
      <c r="X24" s="43">
        <v>161.8819604856</v>
      </c>
      <c r="Y24" s="43">
        <v>279.4431134988</v>
      </c>
      <c r="Z24" s="43">
        <v>54.3484446804</v>
      </c>
      <c r="AA24" s="43">
        <v>2.3698250964</v>
      </c>
      <c r="AB24" s="43">
        <v>0.7183669572</v>
      </c>
      <c r="AC24" s="43">
        <v>364.8950357976</v>
      </c>
      <c r="AD24" s="43">
        <v>8.905616676</v>
      </c>
      <c r="AE24" s="43"/>
      <c r="AF24" s="43">
        <v>0.0073310868</v>
      </c>
      <c r="AG24" s="43">
        <v>8.86816575</v>
      </c>
      <c r="AH24" s="43">
        <v>5.2760630088</v>
      </c>
      <c r="AI24" s="43">
        <v>0.5840879076</v>
      </c>
      <c r="AJ24" s="43">
        <v>3.3435910404</v>
      </c>
      <c r="AK24" s="43">
        <v>0.5697020628</v>
      </c>
      <c r="AL24" s="43">
        <v>1.3454993556</v>
      </c>
      <c r="AM24" s="43">
        <v>0.5497184664</v>
      </c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Y24" s="43"/>
      <c r="BA24" s="120" t="s">
        <v>84</v>
      </c>
      <c r="BB24">
        <v>41.868</v>
      </c>
      <c r="BC24" t="s">
        <v>85</v>
      </c>
      <c r="BJ24">
        <f>BJ18/14.35</f>
        <v>0.219763066202091</v>
      </c>
    </row>
    <row r="25" spans="1:63">
      <c r="A25" t="str">
        <f t="shared" si="0"/>
        <v>RR</v>
      </c>
      <c r="B25" t="s">
        <v>40</v>
      </c>
      <c r="C25" t="s">
        <v>86</v>
      </c>
      <c r="D25" t="s">
        <v>44</v>
      </c>
      <c r="E25" s="43"/>
      <c r="F25" s="43"/>
      <c r="G25" s="43"/>
      <c r="H25" s="43">
        <v>0.0770119992</v>
      </c>
      <c r="I25" s="43">
        <v>0.128388222</v>
      </c>
      <c r="J25" s="43">
        <v>0.0693459684</v>
      </c>
      <c r="K25" s="43">
        <v>4.3922839572</v>
      </c>
      <c r="L25" s="43"/>
      <c r="M25" s="43"/>
      <c r="N25" s="43">
        <v>0.1849979448</v>
      </c>
      <c r="O25" s="43">
        <v>0.3419317692</v>
      </c>
      <c r="P25" s="43">
        <v>0.5937259212</v>
      </c>
      <c r="Q25" s="43"/>
      <c r="R25" s="43"/>
      <c r="S25" s="43"/>
      <c r="T25" s="43"/>
      <c r="U25" s="43"/>
      <c r="V25" s="43"/>
      <c r="W25" s="43"/>
      <c r="X25" s="43"/>
      <c r="Y25" s="43"/>
      <c r="Z25" s="43">
        <v>17.2090333476</v>
      </c>
      <c r="AA25" s="43"/>
      <c r="AB25" s="43"/>
      <c r="AC25" s="43">
        <v>0.0012602268</v>
      </c>
      <c r="AD25" s="43"/>
      <c r="AE25" s="43"/>
      <c r="AF25" s="43"/>
      <c r="AG25" s="43"/>
      <c r="AH25" s="43"/>
      <c r="AI25" s="43">
        <v>0.0129832668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</row>
    <row r="26" spans="1:63">
      <c r="A26" t="str">
        <f t="shared" si="0"/>
        <v>RR</v>
      </c>
      <c r="B26" t="s">
        <v>40</v>
      </c>
      <c r="C26" t="s">
        <v>86</v>
      </c>
      <c r="D26" t="s">
        <v>56</v>
      </c>
      <c r="E26" s="43"/>
      <c r="F26" s="43">
        <v>0.1461570012</v>
      </c>
      <c r="G26" s="43"/>
      <c r="H26" s="43">
        <v>0.0042998436</v>
      </c>
      <c r="I26" s="43"/>
      <c r="J26" s="43">
        <v>0.0026293104</v>
      </c>
      <c r="K26" s="43"/>
      <c r="L26" s="43"/>
      <c r="M26" s="43">
        <v>0.0042998436</v>
      </c>
      <c r="N26" s="43">
        <v>0.0131632992</v>
      </c>
      <c r="O26" s="43"/>
      <c r="P26" s="43"/>
      <c r="Q26" s="43"/>
      <c r="R26" s="43"/>
      <c r="S26" s="43"/>
      <c r="T26" s="43"/>
      <c r="U26" s="43"/>
      <c r="V26" s="43"/>
      <c r="W26" s="43">
        <v>0.0359897328</v>
      </c>
      <c r="X26" s="43"/>
      <c r="Y26" s="43"/>
      <c r="Z26" s="43"/>
      <c r="AA26" s="43"/>
      <c r="AB26" s="43"/>
      <c r="AC26" s="43">
        <v>1.4617458576</v>
      </c>
      <c r="AD26" s="43">
        <v>0.2425245768</v>
      </c>
      <c r="AE26" s="43"/>
      <c r="AF26" s="43"/>
      <c r="AG26" s="43"/>
      <c r="AH26" s="43"/>
      <c r="AI26" s="43"/>
      <c r="AJ26" s="43"/>
      <c r="AK26" s="43">
        <v>0.410683212</v>
      </c>
      <c r="AL26" s="43">
        <v>0.197847234</v>
      </c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</row>
    <row r="27" spans="1:63">
      <c r="A27" t="str">
        <f t="shared" si="0"/>
        <v>RR</v>
      </c>
      <c r="B27" t="s">
        <v>40</v>
      </c>
      <c r="C27" t="s">
        <v>86</v>
      </c>
      <c r="D27" t="s">
        <v>60</v>
      </c>
      <c r="E27" s="43">
        <v>2.6678205864</v>
      </c>
      <c r="F27" s="43">
        <v>15.0845547312</v>
      </c>
      <c r="G27" s="43">
        <v>47.6682922368</v>
      </c>
      <c r="H27" s="43">
        <v>1.3269476448</v>
      </c>
      <c r="I27" s="43">
        <v>4.6106423244</v>
      </c>
      <c r="J27" s="43">
        <v>1.8967627512</v>
      </c>
      <c r="K27" s="43">
        <v>40.7857708152</v>
      </c>
      <c r="L27" s="43">
        <v>114.1181799012</v>
      </c>
      <c r="M27" s="43">
        <v>0.9207945504</v>
      </c>
      <c r="N27" s="43">
        <v>3.2801987016</v>
      </c>
      <c r="O27" s="43">
        <v>4.9130172072</v>
      </c>
      <c r="P27" s="43">
        <v>10.7351980344</v>
      </c>
      <c r="Q27" s="43">
        <v>0.4441483044</v>
      </c>
      <c r="R27" s="43">
        <v>7.4542708296</v>
      </c>
      <c r="S27" s="43"/>
      <c r="T27" s="43">
        <v>109.9560192192</v>
      </c>
      <c r="U27" s="43">
        <v>1.6395048252</v>
      </c>
      <c r="V27" s="43">
        <v>1.8318003624</v>
      </c>
      <c r="W27" s="43">
        <v>6.6902007636</v>
      </c>
      <c r="X27" s="43">
        <v>1.9532133756</v>
      </c>
      <c r="Y27" s="43">
        <v>3.4297930656</v>
      </c>
      <c r="Z27" s="43">
        <v>683.8874910828</v>
      </c>
      <c r="AA27" s="43">
        <v>0.5694759756</v>
      </c>
      <c r="AB27" s="43">
        <v>3.5821925856</v>
      </c>
      <c r="AC27" s="43">
        <v>77.809040316</v>
      </c>
      <c r="AD27" s="43">
        <v>172.0139788044</v>
      </c>
      <c r="AE27" s="43"/>
      <c r="AF27" s="43">
        <v>5.0480498808</v>
      </c>
      <c r="AG27" s="43">
        <v>3.8659069008</v>
      </c>
      <c r="AH27" s="43">
        <v>4.5532580436</v>
      </c>
      <c r="AI27" s="43">
        <v>0.3794371236</v>
      </c>
      <c r="AJ27" s="43">
        <v>4.8563991108</v>
      </c>
      <c r="AK27" s="43">
        <v>27.0309772584</v>
      </c>
      <c r="AL27" s="43">
        <v>1.4202295488</v>
      </c>
      <c r="AM27" s="43">
        <v>0.7832079288</v>
      </c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BA27">
        <v>1489</v>
      </c>
    </row>
    <row r="28" spans="1:63">
      <c r="A28" t="str">
        <f t="shared" si="0"/>
        <v>RR</v>
      </c>
      <c r="B28" t="s">
        <v>40</v>
      </c>
      <c r="C28" t="s">
        <v>86</v>
      </c>
      <c r="D28" t="s">
        <v>64</v>
      </c>
      <c r="E28" s="43">
        <v>7.7860747296</v>
      </c>
      <c r="F28" s="43">
        <v>0.1818871524</v>
      </c>
      <c r="G28" s="43">
        <v>11.6640019332</v>
      </c>
      <c r="H28" s="43">
        <v>7.15220577</v>
      </c>
      <c r="I28" s="43">
        <v>0.3407175972</v>
      </c>
      <c r="J28" s="43">
        <v>12.1599032724</v>
      </c>
      <c r="K28" s="43">
        <v>8.102044152</v>
      </c>
      <c r="L28" s="43">
        <v>351.0923243148</v>
      </c>
      <c r="M28" s="43">
        <v>1.6635579912</v>
      </c>
      <c r="N28" s="43">
        <v>7.4760924312</v>
      </c>
      <c r="O28" s="43">
        <v>30.4929082008</v>
      </c>
      <c r="P28" s="43">
        <v>40.5684005328</v>
      </c>
      <c r="Q28" s="43">
        <v>0.6561594828</v>
      </c>
      <c r="R28" s="43">
        <v>8.8579373976</v>
      </c>
      <c r="S28" s="43"/>
      <c r="T28" s="43">
        <v>68.9327982288</v>
      </c>
      <c r="U28" s="43">
        <v>0.1866098628</v>
      </c>
      <c r="V28" s="43">
        <v>19.9794682152</v>
      </c>
      <c r="W28" s="43">
        <v>62.294203962</v>
      </c>
      <c r="X28" s="43">
        <v>5.2044101136</v>
      </c>
      <c r="Y28" s="43"/>
      <c r="Z28" s="43">
        <v>30.3831219312</v>
      </c>
      <c r="AA28" s="43">
        <v>2.1131993772</v>
      </c>
      <c r="AB28" s="43">
        <v>11.3277725856</v>
      </c>
      <c r="AC28" s="43">
        <v>50.950467108</v>
      </c>
      <c r="AD28" s="43">
        <v>192.8264401872</v>
      </c>
      <c r="AE28" s="43"/>
      <c r="AF28" s="43">
        <v>9.3600017064</v>
      </c>
      <c r="AG28" s="43">
        <v>14.2327418976</v>
      </c>
      <c r="AH28" s="43">
        <v>13.2546426156</v>
      </c>
      <c r="AI28" s="43">
        <v>10.9500018084</v>
      </c>
      <c r="AJ28" s="43">
        <v>4.6356207732</v>
      </c>
      <c r="AK28" s="43">
        <v>20.3567742576</v>
      </c>
      <c r="AL28" s="43">
        <v>19.2675573036</v>
      </c>
      <c r="AM28" s="43">
        <v>1.6868575332</v>
      </c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</row>
    <row r="29" spans="1:63">
      <c r="A29" t="str">
        <f t="shared" si="0"/>
        <v>RR</v>
      </c>
      <c r="B29" t="s">
        <v>40</v>
      </c>
      <c r="C29" t="s">
        <v>86</v>
      </c>
      <c r="D29" t="s">
        <v>66</v>
      </c>
      <c r="E29" s="43"/>
      <c r="F29" s="43"/>
      <c r="G29" s="43">
        <v>0.0445559256</v>
      </c>
      <c r="H29" s="43"/>
      <c r="I29" s="43"/>
      <c r="J29" s="43"/>
      <c r="K29" s="43"/>
      <c r="L29" s="43"/>
      <c r="M29" s="43"/>
      <c r="N29" s="43"/>
      <c r="O29" s="43"/>
      <c r="P29" s="43"/>
      <c r="Q29" s="43">
        <v>0.010111122</v>
      </c>
      <c r="R29" s="43"/>
      <c r="S29" s="43"/>
      <c r="T29" s="43"/>
      <c r="U29" s="43"/>
      <c r="V29" s="43"/>
      <c r="W29" s="43"/>
      <c r="X29" s="43">
        <v>0.0222193476</v>
      </c>
      <c r="Y29" s="43"/>
      <c r="Z29" s="43"/>
      <c r="AA29" s="43"/>
      <c r="AB29" s="43"/>
      <c r="AC29" s="43">
        <v>0.0826767396</v>
      </c>
      <c r="AD29" s="43">
        <v>1.1968009668</v>
      </c>
      <c r="AE29" s="43"/>
      <c r="AF29" s="43">
        <v>1.3372053048</v>
      </c>
      <c r="AG29" s="43"/>
      <c r="AH29" s="43">
        <v>8.79228e-5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BA29">
        <v>6344</v>
      </c>
    </row>
    <row r="30" spans="1:63">
      <c r="A30" t="str">
        <f t="shared" si="0"/>
        <v>RR</v>
      </c>
      <c r="B30" t="s">
        <v>40</v>
      </c>
      <c r="C30" t="s">
        <v>86</v>
      </c>
      <c r="D30" t="s">
        <v>69</v>
      </c>
      <c r="E30" s="43">
        <v>4.2400016676</v>
      </c>
      <c r="F30" s="43"/>
      <c r="G30" s="43">
        <v>0.0017040276</v>
      </c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>
        <v>0.0223030836</v>
      </c>
      <c r="AD30" s="43">
        <v>0.0871984836</v>
      </c>
      <c r="AE30" s="43"/>
      <c r="AF30" s="43">
        <v>3.0902728932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BA30">
        <v>39.45</v>
      </c>
    </row>
    <row r="31" spans="1:63">
      <c r="A31" t="str">
        <f t="shared" si="0"/>
        <v/>
      </c>
      <c r="B31" t="s">
        <v>40</v>
      </c>
      <c r="C31" t="s">
        <v>87</v>
      </c>
      <c r="D31" t="s">
        <v>44</v>
      </c>
      <c r="E31" s="43"/>
      <c r="F31" s="43"/>
      <c r="G31" s="43"/>
      <c r="H31" s="43"/>
      <c r="I31" s="43"/>
      <c r="J31" s="43">
        <v>0.1182477924</v>
      </c>
      <c r="K31" s="43"/>
      <c r="L31" s="43"/>
      <c r="M31" s="43"/>
      <c r="N31" s="43"/>
      <c r="O31" s="43">
        <v>0.1783828008</v>
      </c>
      <c r="P31" s="43"/>
      <c r="Q31" s="43">
        <v>0.0169649136</v>
      </c>
      <c r="R31" s="43"/>
      <c r="S31" s="43">
        <v>4.1868e-5</v>
      </c>
      <c r="T31" s="43"/>
      <c r="U31" s="43"/>
      <c r="V31" s="43"/>
      <c r="W31" s="43"/>
      <c r="X31" s="43"/>
      <c r="Y31" s="43"/>
      <c r="Z31" s="43">
        <v>4.5131526864</v>
      </c>
      <c r="AA31" s="43"/>
      <c r="AB31" s="43"/>
      <c r="AC31" s="43">
        <v>0.2565629172</v>
      </c>
      <c r="AD31" s="43"/>
      <c r="AE31" s="43"/>
      <c r="AF31" s="43"/>
      <c r="AG31" s="43">
        <v>0.1059637212</v>
      </c>
      <c r="AH31" s="43">
        <v>0.16820469</v>
      </c>
      <c r="AI31" s="43">
        <v>0.0289684692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BA31">
        <v>14164</v>
      </c>
    </row>
    <row r="32" spans="1:63">
      <c r="A32" t="str">
        <f t="shared" si="0"/>
        <v/>
      </c>
      <c r="B32" t="s">
        <v>40</v>
      </c>
      <c r="C32" t="s">
        <v>87</v>
      </c>
      <c r="D32" t="s">
        <v>60</v>
      </c>
      <c r="E32" s="43">
        <v>2.251598238</v>
      </c>
      <c r="F32" s="43">
        <v>20.462294178</v>
      </c>
      <c r="G32" s="43">
        <v>12.196211202</v>
      </c>
      <c r="H32" s="43">
        <v>1.039142826</v>
      </c>
      <c r="I32" s="43">
        <v>0.5173754364</v>
      </c>
      <c r="J32" s="43">
        <v>17.810081982</v>
      </c>
      <c r="K32" s="43">
        <v>13.3221798864</v>
      </c>
      <c r="L32" s="43">
        <v>622.7079095772</v>
      </c>
      <c r="M32" s="43">
        <v>2.0970592632</v>
      </c>
      <c r="N32" s="43">
        <v>0.2129992632</v>
      </c>
      <c r="O32" s="43">
        <v>7.3308230316</v>
      </c>
      <c r="P32" s="43">
        <v>11.2463979408</v>
      </c>
      <c r="Q32" s="43">
        <v>12.4834633632</v>
      </c>
      <c r="R32" s="43">
        <v>2.037966768</v>
      </c>
      <c r="S32" s="43">
        <v>0.5060878236</v>
      </c>
      <c r="T32" s="43">
        <v>35.0816619348</v>
      </c>
      <c r="U32" s="43">
        <v>3.6805991328</v>
      </c>
      <c r="V32" s="43">
        <v>10.8362171448</v>
      </c>
      <c r="W32" s="43">
        <v>42.246633258</v>
      </c>
      <c r="X32" s="43">
        <v>34.985403216</v>
      </c>
      <c r="Y32" s="43"/>
      <c r="Z32" s="43">
        <v>204.4855812456</v>
      </c>
      <c r="AA32" s="43">
        <v>36.077299722</v>
      </c>
      <c r="AB32" s="43">
        <v>0.077958216</v>
      </c>
      <c r="AC32" s="43">
        <v>246.6527992812</v>
      </c>
      <c r="AD32" s="43">
        <v>17.1489569544</v>
      </c>
      <c r="AE32" s="43"/>
      <c r="AF32" s="43">
        <v>11.0169654876</v>
      </c>
      <c r="AG32" s="43">
        <v>20.6911153584</v>
      </c>
      <c r="AH32" s="43">
        <v>10.993741308</v>
      </c>
      <c r="AI32" s="43">
        <v>0.9950097672</v>
      </c>
      <c r="AJ32" s="43">
        <v>14.8248014724</v>
      </c>
      <c r="AK32" s="43">
        <v>36.8485752708</v>
      </c>
      <c r="AL32" s="43">
        <v>5.6338711236</v>
      </c>
      <c r="AM32" s="43">
        <v>1.5225465672</v>
      </c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</row>
    <row r="33" spans="1:53">
      <c r="A33" t="str">
        <f t="shared" si="0"/>
        <v/>
      </c>
      <c r="B33" t="s">
        <v>40</v>
      </c>
      <c r="C33" t="s">
        <v>87</v>
      </c>
      <c r="D33" t="s">
        <v>66</v>
      </c>
      <c r="E33" s="43"/>
      <c r="F33" s="43">
        <v>2.8287653652</v>
      </c>
      <c r="G33" s="43">
        <v>11.2423199976</v>
      </c>
      <c r="H33" s="43">
        <v>0.0985614588</v>
      </c>
      <c r="I33" s="43">
        <v>0.0038267352</v>
      </c>
      <c r="J33" s="43">
        <v>0.0018463788</v>
      </c>
      <c r="K33" s="43"/>
      <c r="L33" s="43"/>
      <c r="M33" s="43"/>
      <c r="N33" s="43"/>
      <c r="O33" s="43">
        <v>13.1102859384</v>
      </c>
      <c r="P33" s="43"/>
      <c r="Q33" s="43">
        <v>0.0027716616</v>
      </c>
      <c r="R33" s="43"/>
      <c r="S33" s="43"/>
      <c r="T33" s="43"/>
      <c r="U33" s="43"/>
      <c r="V33" s="43">
        <v>0.0174673296</v>
      </c>
      <c r="W33" s="43"/>
      <c r="X33" s="43">
        <v>0.3360283812</v>
      </c>
      <c r="Y33" s="43"/>
      <c r="Z33" s="43">
        <v>198.2089986408</v>
      </c>
      <c r="AA33" s="43">
        <v>2.637097848</v>
      </c>
      <c r="AB33" s="43"/>
      <c r="AC33" s="43">
        <v>9.0982597176</v>
      </c>
      <c r="AD33" s="43">
        <v>0.5852015964</v>
      </c>
      <c r="AE33" s="43"/>
      <c r="AF33" s="43">
        <v>0.0382296708</v>
      </c>
      <c r="AG33" s="43"/>
      <c r="AH33" s="43">
        <v>1.3640008248</v>
      </c>
      <c r="AI33" s="43">
        <v>0.5246981496</v>
      </c>
      <c r="AJ33" s="43"/>
      <c r="AK33" s="43"/>
      <c r="AL33" s="43"/>
      <c r="AM33" s="43">
        <v>0.2992012884</v>
      </c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</row>
    <row r="34" spans="1:53">
      <c r="A34" t="str">
        <f t="shared" si="0"/>
        <v/>
      </c>
      <c r="B34" t="s">
        <v>40</v>
      </c>
      <c r="C34" t="s">
        <v>87</v>
      </c>
      <c r="D34" t="s">
        <v>69</v>
      </c>
      <c r="E34" s="43">
        <v>9.781474302</v>
      </c>
      <c r="F34" s="43">
        <v>0.2633162256</v>
      </c>
      <c r="G34" s="43">
        <v>5.7484010376</v>
      </c>
      <c r="H34" s="43"/>
      <c r="I34" s="43"/>
      <c r="J34" s="43">
        <v>0.0280013184</v>
      </c>
      <c r="K34" s="43">
        <v>40.9893539652</v>
      </c>
      <c r="L34" s="43">
        <v>395.318158416</v>
      </c>
      <c r="M34" s="43"/>
      <c r="N34" s="43"/>
      <c r="O34" s="43">
        <v>0.4738787712</v>
      </c>
      <c r="P34" s="43"/>
      <c r="Q34" s="43">
        <v>14.360242518</v>
      </c>
      <c r="R34" s="43"/>
      <c r="S34" s="43">
        <v>0.1928816892</v>
      </c>
      <c r="T34" s="43">
        <v>29.293741692</v>
      </c>
      <c r="U34" s="43"/>
      <c r="V34" s="43">
        <v>15.0862796928</v>
      </c>
      <c r="W34" s="43">
        <v>88.7551818948</v>
      </c>
      <c r="X34" s="43">
        <v>16.62421275</v>
      </c>
      <c r="Y34" s="43"/>
      <c r="Z34" s="43">
        <v>38.4725638152</v>
      </c>
      <c r="AA34" s="43">
        <v>0.1321605288</v>
      </c>
      <c r="AB34" s="43"/>
      <c r="AC34" s="43">
        <v>24.9210100908</v>
      </c>
      <c r="AD34" s="43">
        <v>7.8600010572</v>
      </c>
      <c r="AE34" s="43"/>
      <c r="AF34" s="43"/>
      <c r="AG34" s="43">
        <v>25.9033589748</v>
      </c>
      <c r="AH34" s="43">
        <v>3.920917266</v>
      </c>
      <c r="AI34" s="43"/>
      <c r="AJ34" s="43">
        <v>1.3999989312</v>
      </c>
      <c r="AK34" s="43">
        <v>0.330401322</v>
      </c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</row>
    <row r="35" spans="1:53">
      <c r="A35" t="str">
        <f t="shared" si="0"/>
        <v/>
      </c>
      <c r="B35" t="s">
        <v>40</v>
      </c>
      <c r="C35" t="s">
        <v>87</v>
      </c>
      <c r="D35" t="s">
        <v>52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>
        <v>3.1542220764</v>
      </c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BA35">
        <v>89.6</v>
      </c>
    </row>
    <row r="36" spans="1:53">
      <c r="A36" t="str">
        <f t="shared" si="0"/>
        <v/>
      </c>
      <c r="B36" t="s">
        <v>40</v>
      </c>
      <c r="C36" t="s">
        <v>88</v>
      </c>
      <c r="D36" t="s">
        <v>44</v>
      </c>
      <c r="E36" s="43"/>
      <c r="F36" s="43"/>
      <c r="G36" s="43"/>
      <c r="H36" s="43"/>
      <c r="I36" s="43"/>
      <c r="J36" s="43">
        <v>-1.9816836156</v>
      </c>
      <c r="K36" s="43"/>
      <c r="L36" s="43"/>
      <c r="M36" s="43"/>
      <c r="N36" s="43"/>
      <c r="O36" s="43"/>
      <c r="P36" s="43"/>
      <c r="Q36" s="43">
        <v>-0.0015449292</v>
      </c>
      <c r="R36" s="43"/>
      <c r="S36" s="43"/>
      <c r="T36" s="43"/>
      <c r="U36" s="43"/>
      <c r="V36" s="43"/>
      <c r="W36" s="43"/>
      <c r="X36" s="43"/>
      <c r="Y36" s="43"/>
      <c r="Z36" s="43">
        <v>-8.568746748</v>
      </c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</row>
    <row r="37" spans="1:53">
      <c r="A37" t="str">
        <f t="shared" si="0"/>
        <v/>
      </c>
      <c r="B37" t="s">
        <v>40</v>
      </c>
      <c r="C37" t="s">
        <v>88</v>
      </c>
      <c r="D37" t="s">
        <v>60</v>
      </c>
      <c r="E37" s="43">
        <v>-9.1431003456</v>
      </c>
      <c r="F37" s="43">
        <v>-35.0189646048</v>
      </c>
      <c r="G37" s="43">
        <v>-3.261370662</v>
      </c>
      <c r="H37" s="43">
        <v>-0.6130145088</v>
      </c>
      <c r="I37" s="43">
        <v>-16.5952987092</v>
      </c>
      <c r="J37" s="43">
        <v>-133.0551809712</v>
      </c>
      <c r="K37" s="43">
        <v>-19.718090478</v>
      </c>
      <c r="L37" s="43">
        <v>-32.5625606712</v>
      </c>
      <c r="M37" s="43">
        <v>-2.0533783788</v>
      </c>
      <c r="N37" s="43"/>
      <c r="O37" s="43">
        <v>-5.9298778836</v>
      </c>
      <c r="P37" s="43">
        <v>-30.0756014712</v>
      </c>
      <c r="Q37" s="43">
        <v>-21.6378806292</v>
      </c>
      <c r="R37" s="43">
        <v>-3.9072557376</v>
      </c>
      <c r="S37" s="43">
        <v>-1.9252204308</v>
      </c>
      <c r="T37" s="43">
        <v>-2.3815020816</v>
      </c>
      <c r="U37" s="43">
        <v>-5.431033224</v>
      </c>
      <c r="V37" s="43">
        <v>-38.059728588</v>
      </c>
      <c r="W37" s="43">
        <v>-5.2803126108</v>
      </c>
      <c r="X37" s="43">
        <v>-69.3036021708</v>
      </c>
      <c r="Y37" s="43">
        <v>-35.6048737704</v>
      </c>
      <c r="Z37" s="43">
        <v>-461.7399526524</v>
      </c>
      <c r="AA37" s="43">
        <v>-10.1505993372</v>
      </c>
      <c r="AB37" s="43">
        <v>-8.1779215284</v>
      </c>
      <c r="AC37" s="43">
        <v>-407.6181896976</v>
      </c>
      <c r="AD37" s="43">
        <v>-364.0144429008</v>
      </c>
      <c r="AE37" s="43"/>
      <c r="AF37" s="43">
        <v>-68.6750295132</v>
      </c>
      <c r="AG37" s="43">
        <v>-74.4356183256</v>
      </c>
      <c r="AH37" s="43">
        <v>-38.8497903084</v>
      </c>
      <c r="AI37" s="43">
        <v>-0.1114861104</v>
      </c>
      <c r="AJ37" s="43">
        <v>-6.1769995668</v>
      </c>
      <c r="AK37" s="43">
        <v>-67.5705014316</v>
      </c>
      <c r="AL37" s="43"/>
      <c r="AM37" s="43">
        <v>-2.0118118284</v>
      </c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</row>
    <row r="38" spans="1:53">
      <c r="A38" t="str">
        <f t="shared" si="0"/>
        <v/>
      </c>
      <c r="B38" t="s">
        <v>40</v>
      </c>
      <c r="C38" t="s">
        <v>88</v>
      </c>
      <c r="D38" t="s">
        <v>69</v>
      </c>
      <c r="E38" s="43">
        <v>-26.7034690152</v>
      </c>
      <c r="F38" s="43">
        <v>-53.4079177416</v>
      </c>
      <c r="G38" s="43">
        <v>-28.8359402328</v>
      </c>
      <c r="H38" s="43"/>
      <c r="I38" s="43">
        <v>-10.7372411928</v>
      </c>
      <c r="J38" s="43">
        <v>-673.11487143</v>
      </c>
      <c r="K38" s="43">
        <v>-119.4358555152</v>
      </c>
      <c r="L38" s="43">
        <v>-443.043952164</v>
      </c>
      <c r="M38" s="43">
        <v>-6.7915506312</v>
      </c>
      <c r="N38" s="43"/>
      <c r="O38" s="43">
        <v>-65.1582389304</v>
      </c>
      <c r="P38" s="43">
        <v>-26.7199985016</v>
      </c>
      <c r="Q38" s="43">
        <v>-95.4450184068</v>
      </c>
      <c r="R38" s="43">
        <v>-0.7002171792</v>
      </c>
      <c r="S38" s="43">
        <v>-0.7731596088</v>
      </c>
      <c r="T38" s="43">
        <v>-65.7674392644</v>
      </c>
      <c r="U38" s="43">
        <v>-0.4159208988</v>
      </c>
      <c r="V38" s="43">
        <v>-167.7687896916</v>
      </c>
      <c r="W38" s="43">
        <v>-182.8881785988</v>
      </c>
      <c r="X38" s="43">
        <v>-291.7926034488</v>
      </c>
      <c r="Y38" s="43">
        <v>-833.7040485588</v>
      </c>
      <c r="Z38" s="43">
        <v>-544.7975487012</v>
      </c>
      <c r="AA38" s="43">
        <v>-1.4256012132</v>
      </c>
      <c r="AB38" s="43">
        <v>-3.2242002516</v>
      </c>
      <c r="AC38" s="43">
        <v>-2460.6435793896</v>
      </c>
      <c r="AD38" s="43">
        <v>-88.480000278</v>
      </c>
      <c r="AE38" s="43">
        <v>-135.0102909672</v>
      </c>
      <c r="AF38" s="43">
        <v>-57.6899339472</v>
      </c>
      <c r="AG38" s="43">
        <v>-261.79840593</v>
      </c>
      <c r="AH38" s="43">
        <v>-88.967678742</v>
      </c>
      <c r="AI38" s="43"/>
      <c r="AJ38" s="43">
        <v>-30.7200002328</v>
      </c>
      <c r="AK38" s="43">
        <v>-27.6513186672</v>
      </c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</row>
    <row r="39" spans="1:53">
      <c r="A39" t="str">
        <f t="shared" si="0"/>
        <v/>
      </c>
      <c r="B39" t="s">
        <v>40</v>
      </c>
      <c r="C39" t="s">
        <v>88</v>
      </c>
      <c r="D39" t="s">
        <v>72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>
        <v>-6.9025133916</v>
      </c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</row>
    <row r="40" spans="1:53">
      <c r="A40" t="str">
        <f t="shared" si="0"/>
        <v/>
      </c>
      <c r="B40" t="s">
        <v>40</v>
      </c>
      <c r="C40" t="s">
        <v>88</v>
      </c>
      <c r="D40" t="s">
        <v>52</v>
      </c>
      <c r="E40" s="43"/>
      <c r="F40" s="43"/>
      <c r="G40" s="43"/>
      <c r="H40" s="43"/>
      <c r="I40" s="43">
        <v>-0.8522985024</v>
      </c>
      <c r="J40" s="43">
        <v>-2.8695364236</v>
      </c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>
        <v>-2.2015199232</v>
      </c>
      <c r="AB40" s="43"/>
      <c r="AC40" s="43"/>
      <c r="AD40" s="43"/>
      <c r="AE40" s="43"/>
      <c r="AF40" s="43"/>
      <c r="AG40" s="43">
        <v>-1.4913004788</v>
      </c>
      <c r="AH40" s="43">
        <v>-0.74190096</v>
      </c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</row>
    <row r="41" spans="1:53"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</row>
    <row r="42" spans="1:53">
      <c r="E42" s="78">
        <f t="shared" ref="E42:AY42" si="1">SUMIF($A$5:$A$40,"RR",E$5:E$40)</f>
        <v>1905.67278495</v>
      </c>
      <c r="F42" s="78">
        <f t="shared" si="1"/>
        <v>2248.4138751504</v>
      </c>
      <c r="G42" s="78">
        <f t="shared" si="1"/>
        <v>1227.7259150796</v>
      </c>
      <c r="H42" s="78">
        <f t="shared" si="1"/>
        <v>357.700011624</v>
      </c>
      <c r="I42" s="78">
        <f t="shared" si="1"/>
        <v>168.8859284148</v>
      </c>
      <c r="J42" s="78">
        <f t="shared" si="1"/>
        <v>896.1065859708</v>
      </c>
      <c r="K42" s="78">
        <f t="shared" si="1"/>
        <v>3358.6101093924</v>
      </c>
      <c r="L42" s="78">
        <f t="shared" si="1"/>
        <v>11824.1463549384</v>
      </c>
      <c r="M42" s="78">
        <f t="shared" si="1"/>
        <v>171.3230102664</v>
      </c>
      <c r="N42" s="78">
        <f t="shared" si="1"/>
        <v>386.430942726</v>
      </c>
      <c r="O42" s="78">
        <f t="shared" si="1"/>
        <v>1794.7180967004</v>
      </c>
      <c r="P42" s="78">
        <f t="shared" si="1"/>
        <v>2298.112057818</v>
      </c>
      <c r="Q42" s="78">
        <f t="shared" si="1"/>
        <v>245.6019920304</v>
      </c>
      <c r="R42" s="78">
        <f t="shared" si="1"/>
        <v>619.0658290044</v>
      </c>
      <c r="S42" s="78">
        <f t="shared" si="1"/>
        <v>13.9024117512</v>
      </c>
      <c r="T42" s="78">
        <f t="shared" si="1"/>
        <v>4125.461307534</v>
      </c>
      <c r="U42" s="78">
        <f t="shared" si="1"/>
        <v>165.4460619084</v>
      </c>
      <c r="V42" s="78">
        <f t="shared" si="1"/>
        <v>1418.977653732</v>
      </c>
      <c r="W42" s="78">
        <f t="shared" si="1"/>
        <v>2615.2329841956</v>
      </c>
      <c r="X42" s="78">
        <f t="shared" si="1"/>
        <v>3516.5266762356</v>
      </c>
      <c r="Y42" s="78">
        <f t="shared" si="1"/>
        <v>4143.0712646628</v>
      </c>
      <c r="Z42" s="78">
        <f t="shared" si="1"/>
        <v>27174.5363041452</v>
      </c>
      <c r="AA42" s="78">
        <f t="shared" si="1"/>
        <v>144.1820708928</v>
      </c>
      <c r="AB42" s="78">
        <f t="shared" si="1"/>
        <v>934.790583186</v>
      </c>
      <c r="AC42" s="78">
        <f t="shared" si="1"/>
        <v>9606.4877245032</v>
      </c>
      <c r="AD42" s="78">
        <f t="shared" si="1"/>
        <v>2683.7149310532</v>
      </c>
      <c r="AE42" s="78">
        <f t="shared" si="1"/>
        <v>1871.1694122048</v>
      </c>
      <c r="AF42" s="78">
        <f t="shared" si="1"/>
        <v>686.6696448036</v>
      </c>
      <c r="AG42" s="78">
        <f t="shared" si="1"/>
        <v>1457.9364222576</v>
      </c>
      <c r="AH42" s="78">
        <f t="shared" si="1"/>
        <v>618.1133529384</v>
      </c>
      <c r="AI42" s="78">
        <f t="shared" si="1"/>
        <v>233.2980167832</v>
      </c>
      <c r="AJ42" s="78">
        <f t="shared" si="1"/>
        <v>1095.7843098648</v>
      </c>
      <c r="AK42" s="78">
        <f t="shared" si="1"/>
        <v>1651.0165741512</v>
      </c>
      <c r="AL42" s="78">
        <f t="shared" si="1"/>
        <v>368.19933372</v>
      </c>
      <c r="AM42" s="78">
        <f t="shared" si="1"/>
        <v>245.389331898</v>
      </c>
      <c r="AN42" s="78">
        <f t="shared" si="1"/>
        <v>0</v>
      </c>
      <c r="AO42" s="78">
        <f t="shared" si="1"/>
        <v>0</v>
      </c>
      <c r="AP42" s="78">
        <f t="shared" si="1"/>
        <v>0</v>
      </c>
      <c r="AQ42" s="78">
        <f t="shared" si="1"/>
        <v>0</v>
      </c>
      <c r="AR42" s="78">
        <f t="shared" si="1"/>
        <v>0</v>
      </c>
      <c r="AS42" s="78">
        <f t="shared" si="1"/>
        <v>0</v>
      </c>
      <c r="AT42" s="78">
        <f t="shared" si="1"/>
        <v>0</v>
      </c>
      <c r="AU42" s="78">
        <f t="shared" si="1"/>
        <v>0</v>
      </c>
      <c r="AV42" s="78">
        <f t="shared" si="1"/>
        <v>0</v>
      </c>
      <c r="AW42" s="78">
        <f t="shared" si="1"/>
        <v>0</v>
      </c>
      <c r="AX42" s="78">
        <f t="shared" si="1"/>
        <v>0</v>
      </c>
      <c r="AY42" s="78">
        <f t="shared" si="1"/>
        <v>0</v>
      </c>
    </row>
    <row r="43" spans="1:53">
      <c r="E43" s="78">
        <f ca="1">SUM(Assumptions!BD3:BD103)</f>
        <v>1905.67278495</v>
      </c>
      <c r="F43" s="78">
        <f ca="1">SUM(Assumptions!BU3:BU103)</f>
        <v>1417.703359284</v>
      </c>
      <c r="G43" s="78">
        <f ca="1">SUM(Assumptions!BV3:BV103)</f>
        <v>2598.5961356832</v>
      </c>
      <c r="H43" s="78">
        <f ca="1">SUM(Assumptions!BW3:BW103)</f>
        <v>3463.0221355236</v>
      </c>
      <c r="I43" s="78">
        <f ca="1">SUM(Assumptions!BX3:BX103)</f>
        <v>4143.0712646628</v>
      </c>
      <c r="J43" s="78">
        <f ca="1">SUM(Assumptions!BY3:BY103)</f>
        <v>25739.3339714268</v>
      </c>
      <c r="K43" s="78">
        <f ca="1">SUM(Assumptions!BZ3:BZ103)</f>
        <v>142.3981842696</v>
      </c>
      <c r="L43" s="78">
        <f ca="1">SUM(Assumptions!CA3:CA103)</f>
        <v>926.9479489752</v>
      </c>
      <c r="M43" s="78">
        <f ca="1">SUM(Assumptions!CB3:CB103)</f>
        <v>9552.664028214</v>
      </c>
      <c r="N43" s="78">
        <f ca="1">SUM(Assumptions!CC3:CC103)</f>
        <v>2683.7149310532</v>
      </c>
      <c r="O43" s="78">
        <f ca="1">SUM(Assumptions!CD3:CD103)</f>
        <v>1871.1694122048</v>
      </c>
      <c r="P43" s="78">
        <f ca="1">SUM(Assumptions!CE3:CE103)</f>
        <v>683.3929337064</v>
      </c>
      <c r="Q43" s="78">
        <f ca="1">SUM(Assumptions!CF3:CF103)</f>
        <v>1452.138763518</v>
      </c>
      <c r="R43" s="78">
        <f ca="1">SUM(Assumptions!CG3:CG103)</f>
        <v>608.733526734</v>
      </c>
      <c r="S43" s="78">
        <f ca="1">SUM(Assumptions!CH3:CH103)</f>
        <v>231.9590069676</v>
      </c>
      <c r="T43" s="78">
        <f ca="1">SUM(Assumptions!CI3:CI103)</f>
        <v>1093.5575100432</v>
      </c>
      <c r="U43" s="78">
        <f ca="1">SUM(Assumptions!CJ3:CJ103)</f>
        <v>1635.0014528784</v>
      </c>
      <c r="V43" s="78">
        <f ca="1">SUM(Assumptions!CK3:CK103)</f>
        <v>364.5103568004</v>
      </c>
      <c r="W43" s="78">
        <f ca="1">SUM(Assumptions!CL3:CL103)</f>
        <v>245.389331898</v>
      </c>
      <c r="X43" s="78">
        <f ca="1">SUM(Assumptions!CM3:CM103)</f>
        <v>0</v>
      </c>
      <c r="Y43" s="78">
        <f ca="1">SUM(Assumptions!CN3:CN103)</f>
        <v>0</v>
      </c>
      <c r="Z43" s="78">
        <f ca="1">SUM(Assumptions!CO3:CO103)</f>
        <v>0</v>
      </c>
      <c r="AA43" s="78">
        <f ca="1">SUM(Assumptions!CP3:CP103)</f>
        <v>0</v>
      </c>
      <c r="AB43" s="78">
        <f ca="1">SUM(Assumptions!CQ3:CQ103)</f>
        <v>0</v>
      </c>
      <c r="AC43" s="78">
        <f ca="1">SUM(Assumptions!CR3:CR103)</f>
        <v>0</v>
      </c>
      <c r="AD43" s="78">
        <f ca="1">SUM(Assumptions!CS3:CS103)</f>
        <v>0</v>
      </c>
      <c r="AE43" s="78">
        <f ca="1">SUM(Assumptions!CT3:CT103)</f>
        <v>0</v>
      </c>
      <c r="AF43" s="78">
        <f ca="1">SUM(Assumptions!CU3:CU103)</f>
        <v>0</v>
      </c>
      <c r="AG43" s="78">
        <f ca="1">SUM(Assumptions!CV3:CV103)</f>
        <v>0</v>
      </c>
      <c r="AH43" s="78">
        <f ca="1">SUM(Assumptions!CW3:CW103)</f>
        <v>0</v>
      </c>
      <c r="AI43" s="78">
        <f>SUM(Assumptions!CX3:CX103)</f>
        <v>0</v>
      </c>
      <c r="AJ43" s="78">
        <f ca="1">SUM(Assumptions!CY3:CY103)</f>
        <v>75.3</v>
      </c>
      <c r="AK43" s="78">
        <f ca="1">SUM(Assumptions!DP3:DP103)</f>
        <v>74.136</v>
      </c>
      <c r="AL43" s="78">
        <f ca="1">SUM(Assumptions!DQ3:DQ103)</f>
        <v>73.96</v>
      </c>
      <c r="AM43" s="78">
        <f ca="1">SUM(Assumptions!DR3:DR103)</f>
        <v>75</v>
      </c>
      <c r="AN43" s="78">
        <f ca="1">SUM(Assumptions!DS3:DS103)</f>
        <v>74.436</v>
      </c>
      <c r="AO43" s="78">
        <f ca="1">SUM(Assumptions!DT3:DT103)</f>
        <v>73.6032309765692</v>
      </c>
      <c r="AP43" s="78">
        <f ca="1">SUM(Assumptions!DU3:DU103)</f>
        <v>74.136</v>
      </c>
      <c r="AQ43" s="78">
        <f ca="1">SUM(Assumptions!DV3:DV103)</f>
        <v>75.86</v>
      </c>
      <c r="AR43" s="78">
        <f ca="1">SUM(Assumptions!DW3:DW103)</f>
        <v>73.8</v>
      </c>
      <c r="AS43" s="78">
        <f ca="1">SUM(Assumptions!DX3:DX103)</f>
        <v>74.46</v>
      </c>
      <c r="AT43" s="78">
        <f ca="1">SUM(Assumptions!DY3:DY103)</f>
        <v>74.436</v>
      </c>
      <c r="AU43" s="78">
        <f ca="1">SUM(Assumptions!DZ3:DZ103)</f>
        <v>75.3</v>
      </c>
      <c r="AV43" s="78">
        <f ca="1">SUM(Assumptions!EA3:EA103)</f>
        <v>74.136</v>
      </c>
      <c r="AW43" s="78">
        <f ca="1">SUM(Assumptions!EB3:EB103)</f>
        <v>74.136</v>
      </c>
      <c r="AX43" s="78">
        <f ca="1">SUM(Assumptions!EC3:EC103)</f>
        <v>74.136</v>
      </c>
      <c r="AY43" s="78">
        <f>SUM(Assumptions!CX3:CX103)</f>
        <v>0</v>
      </c>
    </row>
    <row r="45" spans="1:53">
      <c r="E45" t="str">
        <f>E4</f>
        <v>Africa_North</v>
      </c>
      <c r="F45" t="str">
        <f t="shared" ref="F45:AX45" si="2">F4</f>
        <v>Africa_Other</v>
      </c>
      <c r="G45" t="str">
        <f t="shared" si="2"/>
        <v>Australia</v>
      </c>
      <c r="H45" t="str">
        <f t="shared" si="2"/>
        <v>Austria</v>
      </c>
      <c r="I45" t="str">
        <f t="shared" si="2"/>
        <v>Baltics</v>
      </c>
      <c r="J45" t="str">
        <f t="shared" si="2"/>
        <v>BeNeLux</v>
      </c>
      <c r="K45" t="str">
        <f t="shared" si="2"/>
        <v>Brazil</v>
      </c>
      <c r="L45" t="str">
        <f t="shared" si="2"/>
        <v>China</v>
      </c>
      <c r="M45" t="str">
        <f t="shared" si="2"/>
        <v>CroSloven</v>
      </c>
      <c r="N45" t="str">
        <f t="shared" si="2"/>
        <v>CzechSlovak</v>
      </c>
      <c r="O45" t="str">
        <f t="shared" si="2"/>
        <v>France</v>
      </c>
      <c r="P45" t="str">
        <f t="shared" si="2"/>
        <v>Germany</v>
      </c>
      <c r="Q45" t="str">
        <f t="shared" si="2"/>
        <v>GreeceCyp</v>
      </c>
      <c r="R45" t="str">
        <f t="shared" si="2"/>
        <v>HunRomBul</v>
      </c>
      <c r="S45" t="str">
        <f t="shared" si="2"/>
        <v>Iceland</v>
      </c>
      <c r="T45" t="str">
        <f t="shared" si="2"/>
        <v>India</v>
      </c>
      <c r="U45" t="str">
        <f t="shared" si="2"/>
        <v>Ireland</v>
      </c>
      <c r="V45" t="str">
        <f t="shared" si="2"/>
        <v>ItalyMal</v>
      </c>
      <c r="W45" t="str">
        <f t="shared" si="2"/>
        <v>Japan</v>
      </c>
      <c r="X45" t="str">
        <f t="shared" si="2"/>
        <v>LatAm</v>
      </c>
      <c r="Y45" t="str">
        <f t="shared" si="2"/>
        <v>MidEast</v>
      </c>
      <c r="Z45" t="str">
        <f t="shared" si="2"/>
        <v>NorthAm</v>
      </c>
      <c r="AA45" t="str">
        <f t="shared" si="2"/>
        <v>Norway</v>
      </c>
      <c r="AB45" t="str">
        <f t="shared" si="2"/>
        <v>Poland</v>
      </c>
      <c r="AC45" t="str">
        <f t="shared" si="2"/>
        <v>ROW</v>
      </c>
      <c r="AD45" t="str">
        <f t="shared" si="2"/>
        <v>Russia</v>
      </c>
      <c r="AE45" t="str">
        <f t="shared" si="2"/>
        <v>SaudiArabia</v>
      </c>
      <c r="AF45" t="str">
        <f t="shared" si="2"/>
        <v>SouthAfrica</v>
      </c>
      <c r="AG45" t="str">
        <f t="shared" si="2"/>
        <v>SpainPor</v>
      </c>
      <c r="AH45" t="str">
        <f t="shared" si="2"/>
        <v>SweFinDen</v>
      </c>
      <c r="AI45" t="str">
        <f t="shared" si="2"/>
        <v>Switzerland</v>
      </c>
      <c r="AJ45" t="str">
        <f t="shared" si="2"/>
        <v>Turkey</v>
      </c>
      <c r="AK45" t="str">
        <f t="shared" si="2"/>
        <v>UK</v>
      </c>
      <c r="AL45" t="str">
        <f t="shared" si="2"/>
        <v>Ukraine</v>
      </c>
      <c r="AM45" t="str">
        <f t="shared" si="2"/>
        <v>WestBalkans</v>
      </c>
      <c r="AN45" t="str">
        <f t="shared" si="2"/>
        <v>\I:</v>
      </c>
      <c r="AO45" t="str">
        <f t="shared" si="2"/>
        <v>\I:</v>
      </c>
      <c r="AP45" t="str">
        <f t="shared" si="2"/>
        <v>\I:</v>
      </c>
      <c r="AQ45" t="str">
        <f t="shared" si="2"/>
        <v>\I:</v>
      </c>
      <c r="AR45" t="str">
        <f t="shared" si="2"/>
        <v>\I:</v>
      </c>
      <c r="AS45" t="str">
        <f t="shared" si="2"/>
        <v>\I:</v>
      </c>
      <c r="AT45" t="str">
        <f t="shared" si="2"/>
        <v>\I:</v>
      </c>
      <c r="AU45" t="str">
        <f t="shared" si="2"/>
        <v>\I:</v>
      </c>
      <c r="AV45" t="str">
        <f t="shared" si="2"/>
        <v>\I:</v>
      </c>
      <c r="AW45" t="str">
        <f t="shared" si="2"/>
        <v>\I:</v>
      </c>
      <c r="AX45" t="str">
        <f t="shared" si="2"/>
        <v>\I:</v>
      </c>
      <c r="AY45">
        <f t="shared" ref="AY45" si="3">AY4</f>
        <v>0</v>
      </c>
    </row>
    <row r="46" spans="1:53">
      <c r="A46" s="121" t="s">
        <v>48</v>
      </c>
      <c r="B46" s="121" t="s">
        <v>66</v>
      </c>
      <c r="C46" s="90" t="s">
        <v>89</v>
      </c>
      <c r="D46" s="90" t="s">
        <v>90</v>
      </c>
      <c r="E46" s="122">
        <f>IFERROR(SUMIFS(E$5:E$39,$C$5:$C$39,"TR",$D$5:$D$39,$A46)/SUMIFS(E$5:E$39,$C$5:$C$39,"TR",$D$5:$D$39,$B46),"")</f>
        <v>0</v>
      </c>
      <c r="F46" s="122">
        <f t="shared" ref="F46:AX46" si="4">IFERROR(SUMIFS(F$5:F$39,$C$5:$C$39,"TR",$D$5:$D$39,$A46)/SUMIFS(F$5:F$39,$C$5:$C$39,"TR",$D$5:$D$39,$B46),"")</f>
        <v>0.00154668594043321</v>
      </c>
      <c r="G46" s="122">
        <f t="shared" si="4"/>
        <v>0.00937422319222144</v>
      </c>
      <c r="H46" s="122">
        <f t="shared" si="4"/>
        <v>0.0341636572578982</v>
      </c>
      <c r="I46" s="122">
        <f t="shared" si="4"/>
        <v>0.0353607186558534</v>
      </c>
      <c r="J46" s="122">
        <f t="shared" si="4"/>
        <v>0.0543422220932431</v>
      </c>
      <c r="K46" s="122">
        <f t="shared" si="4"/>
        <v>0.262701313368659</v>
      </c>
      <c r="L46" s="122">
        <f t="shared" si="4"/>
        <v>0.0142888210067871</v>
      </c>
      <c r="M46" s="122">
        <f t="shared" si="4"/>
        <v>0.00578692551396977</v>
      </c>
      <c r="N46" s="122">
        <f t="shared" si="4"/>
        <v>0.0438686876708376</v>
      </c>
      <c r="O46" s="122">
        <f t="shared" si="4"/>
        <v>0.0831104964538051</v>
      </c>
      <c r="P46" s="122">
        <f t="shared" si="4"/>
        <v>0.0416509748769461</v>
      </c>
      <c r="Q46" s="122">
        <f t="shared" si="4"/>
        <v>0.00931873881780423</v>
      </c>
      <c r="R46" s="122">
        <f t="shared" si="4"/>
        <v>0.0528749179403314</v>
      </c>
      <c r="S46" s="122">
        <f t="shared" si="4"/>
        <v>0.032251602082527</v>
      </c>
      <c r="T46" s="122">
        <f t="shared" si="4"/>
        <v>0.0274192904415345</v>
      </c>
      <c r="U46" s="122">
        <f t="shared" si="4"/>
        <v>0.0340245632867295</v>
      </c>
      <c r="V46" s="122">
        <f t="shared" si="4"/>
        <v>0.00390313490238861</v>
      </c>
      <c r="W46" s="122">
        <f t="shared" si="4"/>
        <v>0.0104994932971253</v>
      </c>
      <c r="X46" s="122">
        <f t="shared" si="4"/>
        <v>0.0310866753975418</v>
      </c>
      <c r="Y46" s="122">
        <f t="shared" si="4"/>
        <v>0</v>
      </c>
      <c r="Z46" s="122">
        <f t="shared" si="4"/>
        <v>0.0782243871274655</v>
      </c>
      <c r="AA46" s="122">
        <f t="shared" si="4"/>
        <v>0.0639480555813204</v>
      </c>
      <c r="AB46" s="122">
        <f t="shared" si="4"/>
        <v>0.0403600231596315</v>
      </c>
      <c r="AC46" s="122">
        <f t="shared" si="4"/>
        <v>0.0118148447044803</v>
      </c>
      <c r="AD46" s="122">
        <f t="shared" si="4"/>
        <v>0</v>
      </c>
      <c r="AE46" s="122">
        <f t="shared" si="4"/>
        <v>0</v>
      </c>
      <c r="AF46" s="122">
        <f t="shared" si="4"/>
        <v>0</v>
      </c>
      <c r="AG46" s="122">
        <f t="shared" si="4"/>
        <v>0.0213826315120774</v>
      </c>
      <c r="AH46" s="122">
        <f t="shared" si="4"/>
        <v>0.0493251712308786</v>
      </c>
      <c r="AI46" s="122">
        <f t="shared" si="4"/>
        <v>0.0134070831833431</v>
      </c>
      <c r="AJ46" s="122">
        <f t="shared" si="4"/>
        <v>0.0224231668141415</v>
      </c>
      <c r="AK46" s="122">
        <f t="shared" si="4"/>
        <v>0.0310737358837812</v>
      </c>
      <c r="AL46" s="122">
        <f t="shared" si="4"/>
        <v>0.0478153452018106</v>
      </c>
      <c r="AM46" s="122">
        <f t="shared" si="4"/>
        <v>0</v>
      </c>
      <c r="AN46" s="122" t="str">
        <f t="shared" si="4"/>
        <v/>
      </c>
      <c r="AO46" s="122" t="str">
        <f t="shared" si="4"/>
        <v/>
      </c>
      <c r="AP46" s="122" t="str">
        <f t="shared" si="4"/>
        <v/>
      </c>
      <c r="AQ46" s="122" t="str">
        <f t="shared" si="4"/>
        <v/>
      </c>
      <c r="AR46" s="122" t="str">
        <f t="shared" si="4"/>
        <v/>
      </c>
      <c r="AS46" s="122" t="str">
        <f t="shared" si="4"/>
        <v/>
      </c>
      <c r="AT46" s="122" t="str">
        <f t="shared" si="4"/>
        <v/>
      </c>
      <c r="AU46" s="122" t="str">
        <f t="shared" si="4"/>
        <v/>
      </c>
      <c r="AV46" s="122" t="str">
        <f t="shared" si="4"/>
        <v/>
      </c>
      <c r="AW46" s="122" t="str">
        <f t="shared" si="4"/>
        <v/>
      </c>
      <c r="AX46" s="122" t="str">
        <f t="shared" si="4"/>
        <v/>
      </c>
      <c r="AY46" s="122" t="str">
        <f t="shared" ref="AY46:AY47" si="5">IFERROR(SUMIFS(AY$5:AY$39,$C$5:$C$39,"TR",$D$5:$D$39,$A46)/SUMIFS(AY$5:AY$39,$C$5:$C$39,"TR",$D$5:$D$39,$B46),"")</f>
        <v/>
      </c>
    </row>
    <row r="47" spans="1:53">
      <c r="A47" s="121" t="s">
        <v>44</v>
      </c>
      <c r="B47" s="121" t="s">
        <v>60</v>
      </c>
      <c r="C47" s="90"/>
      <c r="D47" s="90" t="s">
        <v>91</v>
      </c>
      <c r="E47" s="122">
        <f t="shared" ref="E47:AX47" si="6">IFERROR(SUMIFS(E$5:E$39,$C$5:$C$39,"TR",$D$5:$D$39,$A47)/SUMIFS(E$5:E$39,$C$5:$C$39,"TR",$D$5:$D$39,$B47),"")</f>
        <v>0</v>
      </c>
      <c r="F47" s="122">
        <f t="shared" si="6"/>
        <v>0</v>
      </c>
      <c r="G47" s="122">
        <f t="shared" si="6"/>
        <v>6.39325021734687e-5</v>
      </c>
      <c r="H47" s="122">
        <f t="shared" si="6"/>
        <v>0.0689133691308702</v>
      </c>
      <c r="I47" s="122">
        <f t="shared" si="6"/>
        <v>0.037794492670514</v>
      </c>
      <c r="J47" s="122">
        <f t="shared" si="6"/>
        <v>0.0673618026810702</v>
      </c>
      <c r="K47" s="122">
        <f t="shared" si="6"/>
        <v>0.453366100113129</v>
      </c>
      <c r="L47" s="122">
        <f t="shared" si="6"/>
        <v>0.00976562008057987</v>
      </c>
      <c r="M47" s="122">
        <f t="shared" si="6"/>
        <v>0.0529760327705428</v>
      </c>
      <c r="N47" s="122">
        <f t="shared" si="6"/>
        <v>0.0647945028931237</v>
      </c>
      <c r="O47" s="122">
        <f t="shared" si="6"/>
        <v>0.0821698118854082</v>
      </c>
      <c r="P47" s="122">
        <f t="shared" si="6"/>
        <v>0.0569319293364532</v>
      </c>
      <c r="Q47" s="122">
        <f t="shared" si="6"/>
        <v>0.063781720673862</v>
      </c>
      <c r="R47" s="122">
        <f t="shared" si="6"/>
        <v>0.0643218571721316</v>
      </c>
      <c r="S47" s="122">
        <f t="shared" si="6"/>
        <v>0.0842267544319646</v>
      </c>
      <c r="T47" s="122">
        <f t="shared" si="6"/>
        <v>0.000672624377589211</v>
      </c>
      <c r="U47" s="122">
        <f t="shared" si="6"/>
        <v>0.0549826953913666</v>
      </c>
      <c r="V47" s="122">
        <f t="shared" si="6"/>
        <v>0.0584518356760712</v>
      </c>
      <c r="W47" s="122">
        <f t="shared" si="6"/>
        <v>0.000568557356125225</v>
      </c>
      <c r="X47" s="122">
        <f t="shared" si="6"/>
        <v>0.0503697390552527</v>
      </c>
      <c r="Y47" s="122">
        <f t="shared" si="6"/>
        <v>0</v>
      </c>
      <c r="Z47" s="122">
        <f t="shared" si="6"/>
        <v>0.0324182053873617</v>
      </c>
      <c r="AA47" s="122">
        <f t="shared" si="6"/>
        <v>0.197996530065871</v>
      </c>
      <c r="AB47" s="122">
        <f t="shared" si="6"/>
        <v>0.0591709061499185</v>
      </c>
      <c r="AC47" s="122">
        <f t="shared" si="6"/>
        <v>0.0709933315950041</v>
      </c>
      <c r="AD47" s="122">
        <f t="shared" si="6"/>
        <v>0.000102662723730354</v>
      </c>
      <c r="AE47" s="122">
        <f t="shared" si="6"/>
        <v>0</v>
      </c>
      <c r="AF47" s="122">
        <f t="shared" si="6"/>
        <v>0</v>
      </c>
      <c r="AG47" s="122">
        <f t="shared" si="6"/>
        <v>0.0685029645717881</v>
      </c>
      <c r="AH47" s="122">
        <f t="shared" si="6"/>
        <v>0.222242764065942</v>
      </c>
      <c r="AI47" s="122">
        <f t="shared" si="6"/>
        <v>0.0551178640310267</v>
      </c>
      <c r="AJ47" s="122">
        <f t="shared" si="6"/>
        <v>0.00581199953960751</v>
      </c>
      <c r="AK47" s="122">
        <f t="shared" si="6"/>
        <v>0.05214825516063</v>
      </c>
      <c r="AL47" s="122">
        <f t="shared" si="6"/>
        <v>0</v>
      </c>
      <c r="AM47" s="122">
        <f t="shared" si="6"/>
        <v>0.026823157444209</v>
      </c>
      <c r="AN47" s="122" t="str">
        <f t="shared" si="6"/>
        <v/>
      </c>
      <c r="AO47" s="122" t="str">
        <f t="shared" si="6"/>
        <v/>
      </c>
      <c r="AP47" s="122" t="str">
        <f t="shared" si="6"/>
        <v/>
      </c>
      <c r="AQ47" s="122" t="str">
        <f t="shared" si="6"/>
        <v/>
      </c>
      <c r="AR47" s="122" t="str">
        <f t="shared" si="6"/>
        <v/>
      </c>
      <c r="AS47" s="122" t="str">
        <f t="shared" si="6"/>
        <v/>
      </c>
      <c r="AT47" s="122" t="str">
        <f t="shared" si="6"/>
        <v/>
      </c>
      <c r="AU47" s="122" t="str">
        <f t="shared" si="6"/>
        <v/>
      </c>
      <c r="AV47" s="122" t="str">
        <f t="shared" si="6"/>
        <v/>
      </c>
      <c r="AW47" s="122" t="str">
        <f t="shared" si="6"/>
        <v/>
      </c>
      <c r="AX47" s="122" t="str">
        <f t="shared" si="6"/>
        <v/>
      </c>
      <c r="AY47" s="122" t="str">
        <f t="shared" si="5"/>
        <v/>
      </c>
    </row>
    <row r="52" spans="3:50">
      <c r="D52" t="s">
        <v>92</v>
      </c>
      <c r="E52" t="str">
        <f>Cars!D44</f>
        <v>Africa_North</v>
      </c>
      <c r="F52" t="str">
        <f>Cars!E44</f>
        <v>Africa_Other</v>
      </c>
      <c r="G52" t="str">
        <f>Cars!F44</f>
        <v>Australia</v>
      </c>
      <c r="H52" t="str">
        <f>Cars!G44</f>
        <v>Austria</v>
      </c>
      <c r="I52" t="str">
        <f>Cars!H44</f>
        <v>Baltics</v>
      </c>
      <c r="J52" t="str">
        <f>Cars!I44</f>
        <v>BeNeLux</v>
      </c>
      <c r="K52" t="str">
        <f>Cars!J44</f>
        <v>Brazil</v>
      </c>
      <c r="L52" t="str">
        <f>Cars!K44</f>
        <v>China</v>
      </c>
      <c r="M52" t="str">
        <f>Cars!L44</f>
        <v>CroSloven</v>
      </c>
      <c r="N52" t="str">
        <f>Cars!M44</f>
        <v>CzechSlovak</v>
      </c>
      <c r="O52" t="str">
        <f>Cars!N44</f>
        <v>France</v>
      </c>
      <c r="P52" t="str">
        <f>Cars!O44</f>
        <v>Germany</v>
      </c>
      <c r="Q52" t="str">
        <f>Cars!P44</f>
        <v>GreeceCyp</v>
      </c>
      <c r="R52" t="str">
        <f>Cars!Q44</f>
        <v>HunRomBul</v>
      </c>
      <c r="S52" t="str">
        <f>Cars!R44</f>
        <v>Iceland</v>
      </c>
      <c r="T52" t="str">
        <f>Cars!S44</f>
        <v>India</v>
      </c>
      <c r="U52" t="str">
        <f>Cars!T44</f>
        <v>Ireland</v>
      </c>
      <c r="V52" t="str">
        <f>Cars!U44</f>
        <v>ItalyMal</v>
      </c>
      <c r="W52" t="str">
        <f>Cars!V44</f>
        <v>Japan</v>
      </c>
      <c r="X52" t="str">
        <f>Cars!W44</f>
        <v>LatAm</v>
      </c>
      <c r="Y52" t="str">
        <f>Cars!X44</f>
        <v>MidEast</v>
      </c>
      <c r="Z52" t="str">
        <f>Cars!Y44</f>
        <v>NorthAm</v>
      </c>
      <c r="AA52" t="str">
        <f>Cars!Z44</f>
        <v>Norway</v>
      </c>
      <c r="AB52" t="str">
        <f>Cars!AA44</f>
        <v>Poland</v>
      </c>
      <c r="AC52" t="str">
        <f>Cars!AB44</f>
        <v>ROW</v>
      </c>
      <c r="AD52" t="str">
        <f>Cars!AC44</f>
        <v>Russia</v>
      </c>
      <c r="AE52" t="str">
        <f>Cars!AD44</f>
        <v>SaudiArabia</v>
      </c>
      <c r="AF52" t="str">
        <f>Cars!AE44</f>
        <v>SouthAfrica</v>
      </c>
      <c r="AG52" t="str">
        <f>Cars!AF44</f>
        <v>SpainPor</v>
      </c>
      <c r="AH52" t="str">
        <f>Cars!AG44</f>
        <v>SweFinDen</v>
      </c>
      <c r="AI52" t="str">
        <f>Cars!AH44</f>
        <v>Switzerland</v>
      </c>
      <c r="AJ52" t="str">
        <f>Cars!AI44</f>
        <v>Turkey</v>
      </c>
      <c r="AK52" t="str">
        <f>Cars!AJ44</f>
        <v>UK</v>
      </c>
      <c r="AL52" t="str">
        <f>Cars!AK44</f>
        <v>Ukraine</v>
      </c>
      <c r="AM52" t="str">
        <f>Cars!AL44</f>
        <v>WestBalkans</v>
      </c>
      <c r="AN52" t="str">
        <f>Cars!AM44</f>
        <v>\I:</v>
      </c>
      <c r="AO52" t="str">
        <f>Cars!AN44</f>
        <v>\I:</v>
      </c>
      <c r="AP52" t="str">
        <f>Cars!AO44</f>
        <v>\I:</v>
      </c>
      <c r="AQ52" t="str">
        <f>Cars!AP44</f>
        <v>\I:</v>
      </c>
      <c r="AR52" t="str">
        <f>Cars!AQ44</f>
        <v>\I:</v>
      </c>
      <c r="AS52" t="str">
        <f>Cars!AR44</f>
        <v>\I:</v>
      </c>
      <c r="AT52" t="str">
        <f>Cars!AS44</f>
        <v>\I:</v>
      </c>
      <c r="AU52" t="str">
        <f>Cars!AT44</f>
        <v>\I:</v>
      </c>
      <c r="AV52" t="str">
        <f>Cars!AU44</f>
        <v>\I:</v>
      </c>
      <c r="AW52" t="str">
        <f>Cars!AV44</f>
        <v>\I:</v>
      </c>
      <c r="AX52" t="str">
        <f>Cars!AW44</f>
        <v>\I:</v>
      </c>
    </row>
    <row r="53" spans="3:50">
      <c r="C53" t="s">
        <v>93</v>
      </c>
      <c r="D53" t="s">
        <v>94</v>
      </c>
      <c r="E53" s="3">
        <f>IFERROR(Cars!D45/E59,"")</f>
        <v>0</v>
      </c>
      <c r="F53" s="3">
        <f>IFERROR(Cars!E45/F59,"")</f>
        <v>0</v>
      </c>
      <c r="G53" s="3">
        <f>IFERROR(Cars!F45/G59,"")</f>
        <v>0</v>
      </c>
      <c r="H53" s="3">
        <f>IFERROR(Cars!G45/H59,"")</f>
        <v>0</v>
      </c>
      <c r="I53" s="3">
        <f>IFERROR(Cars!H45/I59,"")</f>
        <v>0</v>
      </c>
      <c r="J53" s="3">
        <f>IFERROR(Cars!I45/J59,"")</f>
        <v>0</v>
      </c>
      <c r="K53" s="3">
        <f>IFERROR(Cars!J45/K59,"")</f>
        <v>0</v>
      </c>
      <c r="L53" s="3">
        <f>IFERROR(Cars!K45/L59,"")</f>
        <v>0</v>
      </c>
      <c r="M53" s="3">
        <f>IFERROR(Cars!L45/M59,"")</f>
        <v>0</v>
      </c>
      <c r="N53" s="3">
        <f>IFERROR(Cars!M45/N59,"")</f>
        <v>0</v>
      </c>
      <c r="O53" s="3">
        <f>IFERROR(Cars!N45/O59,"")</f>
        <v>0</v>
      </c>
      <c r="P53" s="3">
        <f>IFERROR(Cars!O45/P59,"")</f>
        <v>0</v>
      </c>
      <c r="Q53" s="3">
        <f>IFERROR(Cars!P45/Q59,"")</f>
        <v>0</v>
      </c>
      <c r="R53" s="3">
        <f>IFERROR(Cars!Q45/R59,"")</f>
        <v>0</v>
      </c>
      <c r="S53" s="3">
        <f>IFERROR(Cars!R45/S59,"")</f>
        <v>0</v>
      </c>
      <c r="T53" s="3">
        <f>IFERROR(Cars!S45/T59,"")</f>
        <v>0</v>
      </c>
      <c r="U53" s="3">
        <f>IFERROR(Cars!T45/U59,"")</f>
        <v>0</v>
      </c>
      <c r="V53" s="3">
        <f>IFERROR(Cars!U45/V59,"")</f>
        <v>0</v>
      </c>
      <c r="W53" s="3">
        <f>IFERROR(Cars!V45/W59,"")</f>
        <v>0</v>
      </c>
      <c r="X53" s="3">
        <f>IFERROR(Cars!W45/X59,"")</f>
        <v>0</v>
      </c>
      <c r="Y53" s="3">
        <f>IFERROR(Cars!X45/Y59,"")</f>
        <v>0</v>
      </c>
      <c r="Z53" s="3">
        <f>IFERROR(Cars!Y45/Z59,"")</f>
        <v>0</v>
      </c>
      <c r="AA53" s="3">
        <f>IFERROR(Cars!Z45/AA59,"")</f>
        <v>0</v>
      </c>
      <c r="AB53" s="3">
        <f>IFERROR(Cars!AA45/AB59,"")</f>
        <v>0</v>
      </c>
      <c r="AC53" s="3">
        <f>IFERROR(Cars!AB45/AC59,"")</f>
        <v>0</v>
      </c>
      <c r="AD53" s="3">
        <f>IFERROR(Cars!AC45/AD59,"")</f>
        <v>0</v>
      </c>
      <c r="AE53" s="3">
        <f>IFERROR(Cars!AD45/AE59,"")</f>
        <v>0</v>
      </c>
      <c r="AF53" s="3">
        <f>IFERROR(Cars!AE45/AF59,"")</f>
        <v>0</v>
      </c>
      <c r="AG53" s="3">
        <f>IFERROR(Cars!AF45/AG59,"")</f>
        <v>0</v>
      </c>
      <c r="AH53" s="3">
        <f>IFERROR(Cars!AG45/AH59,"")</f>
        <v>0</v>
      </c>
      <c r="AI53" s="3">
        <f>IFERROR(Cars!AH45/AI59,"")</f>
        <v>0</v>
      </c>
      <c r="AJ53" s="3">
        <f>IFERROR(Cars!AI45/AJ59,"")</f>
        <v>0</v>
      </c>
      <c r="AK53" s="3">
        <f>IFERROR(Cars!AJ45/AK59,"")</f>
        <v>0</v>
      </c>
      <c r="AL53" s="3">
        <f>IFERROR(Cars!AK45/AL59,"")</f>
        <v>0</v>
      </c>
      <c r="AM53" s="3">
        <f>IFERROR(Cars!AL45/AM59,"")</f>
        <v>0</v>
      </c>
      <c r="AN53" s="3">
        <f>IFERROR(Cars!AM45/AN59,"")</f>
        <v>0</v>
      </c>
      <c r="AO53" s="3">
        <f>IFERROR(Cars!AN45/AO59,"")</f>
        <v>0</v>
      </c>
      <c r="AP53" s="3">
        <f>IFERROR(Cars!AO45/AP59,"")</f>
        <v>0</v>
      </c>
      <c r="AQ53" s="3">
        <f>IFERROR(Cars!AP45/AQ59,"")</f>
        <v>0</v>
      </c>
      <c r="AR53" s="3">
        <f>IFERROR(Cars!AQ45/AR59,"")</f>
        <v>0</v>
      </c>
      <c r="AS53" s="3">
        <f>IFERROR(Cars!AR45/AS59,"")</f>
        <v>0</v>
      </c>
      <c r="AT53" s="3">
        <f>IFERROR(Cars!AS45/AT59,"")</f>
        <v>0</v>
      </c>
      <c r="AU53" s="3">
        <f>IFERROR(Cars!AT45/AU59,"")</f>
        <v>0</v>
      </c>
      <c r="AV53" s="3">
        <f>IFERROR(Cars!AU45/AV59,"")</f>
        <v>0</v>
      </c>
      <c r="AW53" s="3">
        <f>IFERROR(Cars!AV45/AW59,"")</f>
        <v>0</v>
      </c>
      <c r="AX53" s="3" t="str">
        <f>IFERROR(Cars!AW45/AX59,"")</f>
        <v/>
      </c>
    </row>
    <row r="54" spans="3:50">
      <c r="C54" t="s">
        <v>95</v>
      </c>
      <c r="D54" t="s">
        <v>96</v>
      </c>
      <c r="E54" s="3">
        <f>IFERROR('Trucks-hdt'!D45/E58,"")</f>
        <v>0</v>
      </c>
      <c r="F54" s="3">
        <f>IFERROR('Trucks-hdt'!E45/F58,"")</f>
        <v>0</v>
      </c>
      <c r="G54" s="3">
        <f>IFERROR('Trucks-hdt'!F45/G58,"")</f>
        <v>0</v>
      </c>
      <c r="H54" s="3">
        <f>IFERROR('Trucks-hdt'!G45/H58,"")</f>
        <v>0</v>
      </c>
      <c r="I54" s="3">
        <f>IFERROR('Trucks-hdt'!H45/I58,"")</f>
        <v>0</v>
      </c>
      <c r="J54" s="3">
        <f>IFERROR('Trucks-hdt'!I45/J58,"")</f>
        <v>0</v>
      </c>
      <c r="K54" s="3">
        <f>IFERROR('Trucks-hdt'!J45/K58,"")</f>
        <v>0</v>
      </c>
      <c r="L54" s="3">
        <f>IFERROR('Trucks-hdt'!K45/L58,"")</f>
        <v>0</v>
      </c>
      <c r="M54" s="3">
        <f>IFERROR('Trucks-hdt'!L45/M58,"")</f>
        <v>0</v>
      </c>
      <c r="N54" s="3">
        <f>IFERROR('Trucks-hdt'!M45/N58,"")</f>
        <v>0</v>
      </c>
      <c r="O54" s="3">
        <f>IFERROR('Trucks-hdt'!N45/O58,"")</f>
        <v>0</v>
      </c>
      <c r="P54" s="3">
        <f>IFERROR('Trucks-hdt'!O45/P58,"")</f>
        <v>0</v>
      </c>
      <c r="Q54" s="3">
        <f>IFERROR('Trucks-hdt'!P45/Q58,"")</f>
        <v>0</v>
      </c>
      <c r="R54" s="3">
        <f>IFERROR('Trucks-hdt'!Q45/R58,"")</f>
        <v>0</v>
      </c>
      <c r="S54" s="3">
        <f>IFERROR('Trucks-hdt'!R45/S58,"")</f>
        <v>0</v>
      </c>
      <c r="T54" s="3">
        <f>IFERROR('Trucks-hdt'!S45/T58,"")</f>
        <v>0</v>
      </c>
      <c r="U54" s="3">
        <f>IFERROR('Trucks-hdt'!T45/U58,"")</f>
        <v>0</v>
      </c>
      <c r="V54" s="3">
        <f>IFERROR('Trucks-hdt'!U45/V58,"")</f>
        <v>0</v>
      </c>
      <c r="W54" s="3">
        <f>IFERROR('Trucks-hdt'!V45/W58,"")</f>
        <v>0</v>
      </c>
      <c r="X54" s="3">
        <f>IFERROR('Trucks-hdt'!W45/X58,"")</f>
        <v>0</v>
      </c>
      <c r="Y54" s="3">
        <f>IFERROR('Trucks-hdt'!X45/Y58,"")</f>
        <v>0</v>
      </c>
      <c r="Z54" s="3">
        <f>IFERROR('Trucks-hdt'!Y45/Z58,"")</f>
        <v>0</v>
      </c>
      <c r="AA54" s="3">
        <f>IFERROR('Trucks-hdt'!Z45/AA58,"")</f>
        <v>0</v>
      </c>
      <c r="AB54" s="3">
        <f>IFERROR('Trucks-hdt'!AA45/AB58,"")</f>
        <v>0</v>
      </c>
      <c r="AC54" s="3">
        <f>IFERROR('Trucks-hdt'!AB45/AC58,"")</f>
        <v>0</v>
      </c>
      <c r="AD54" s="3">
        <f>IFERROR('Trucks-hdt'!AC45/AD58,"")</f>
        <v>0</v>
      </c>
      <c r="AE54" s="3">
        <f>IFERROR('Trucks-hdt'!AD45/AE58,"")</f>
        <v>0</v>
      </c>
      <c r="AF54" s="3">
        <f>IFERROR('Trucks-hdt'!AE45/AF58,"")</f>
        <v>0</v>
      </c>
      <c r="AG54" s="3">
        <f>IFERROR('Trucks-hdt'!AF45/AG58,"")</f>
        <v>0</v>
      </c>
      <c r="AH54" s="3">
        <f>IFERROR('Trucks-hdt'!AG45/AH58,"")</f>
        <v>0</v>
      </c>
      <c r="AI54" s="3">
        <f>IFERROR('Trucks-hdt'!AH45/AI58,"")</f>
        <v>0</v>
      </c>
      <c r="AJ54" s="3">
        <f>IFERROR('Trucks-hdt'!AI45/AJ58,"")</f>
        <v>0</v>
      </c>
      <c r="AK54" s="3">
        <f>IFERROR('Trucks-hdt'!AJ45/AK58,"")</f>
        <v>0</v>
      </c>
      <c r="AL54" s="3">
        <f>IFERROR('Trucks-hdt'!AK45/AL58,"")</f>
        <v>0</v>
      </c>
      <c r="AM54" s="3">
        <f>IFERROR('Trucks-hdt'!AL45/AM58,"")</f>
        <v>0</v>
      </c>
      <c r="AN54" s="3">
        <f>IFERROR('Trucks-hdt'!AM45/AN58,"")</f>
        <v>0</v>
      </c>
      <c r="AO54" s="3">
        <f>IFERROR('Trucks-hdt'!AN45/AO58,"")</f>
        <v>0</v>
      </c>
      <c r="AP54" s="3">
        <f>IFERROR('Trucks-hdt'!AO45/AP58,"")</f>
        <v>0</v>
      </c>
      <c r="AQ54" s="3">
        <f>IFERROR('Trucks-hdt'!AP45/AQ58,"")</f>
        <v>0</v>
      </c>
      <c r="AR54" s="3">
        <f>IFERROR('Trucks-hdt'!AQ45/AR58,"")</f>
        <v>0</v>
      </c>
      <c r="AS54" s="3">
        <f>IFERROR('Trucks-hdt'!AR45/AS58,"")</f>
        <v>0</v>
      </c>
      <c r="AT54" s="3">
        <f>IFERROR('Trucks-hdt'!AS45/AT58,"")</f>
        <v>0</v>
      </c>
      <c r="AU54" s="3">
        <f>IFERROR('Trucks-hdt'!AT45/AU58,"")</f>
        <v>0</v>
      </c>
      <c r="AV54" s="3">
        <f>IFERROR('Trucks-hdt'!AU45/AV58,"")</f>
        <v>0</v>
      </c>
      <c r="AW54" s="3">
        <f>IFERROR('Trucks-hdt'!AV45/AW58,"")</f>
        <v>0</v>
      </c>
      <c r="AX54" s="3" t="str">
        <f>IFERROR('Trucks-hdt'!AW45/AX58,"")</f>
        <v/>
      </c>
    </row>
    <row r="57" spans="3:50">
      <c r="C57" s="90" t="s">
        <v>97</v>
      </c>
      <c r="D57" t="s">
        <v>98</v>
      </c>
      <c r="E57" t="s">
        <v>4</v>
      </c>
      <c r="F57" t="s">
        <v>5</v>
      </c>
      <c r="G57" t="s">
        <v>99</v>
      </c>
      <c r="H57" t="s">
        <v>100</v>
      </c>
      <c r="I57" t="s">
        <v>8</v>
      </c>
      <c r="J57" t="s">
        <v>9</v>
      </c>
      <c r="K57" t="s">
        <v>101</v>
      </c>
      <c r="L57" t="s">
        <v>102</v>
      </c>
      <c r="M57" t="s">
        <v>12</v>
      </c>
      <c r="N57" t="s">
        <v>13</v>
      </c>
      <c r="O57" t="s">
        <v>103</v>
      </c>
      <c r="P57" t="s">
        <v>104</v>
      </c>
      <c r="Q57" t="s">
        <v>16</v>
      </c>
      <c r="R57" t="s">
        <v>17</v>
      </c>
      <c r="S57" t="s">
        <v>105</v>
      </c>
      <c r="T57" t="s">
        <v>106</v>
      </c>
      <c r="U57" t="s">
        <v>107</v>
      </c>
      <c r="V57" t="s">
        <v>21</v>
      </c>
      <c r="W57" t="s">
        <v>108</v>
      </c>
      <c r="X57" t="s">
        <v>23</v>
      </c>
      <c r="Y57" t="s">
        <v>24</v>
      </c>
      <c r="Z57" t="s">
        <v>25</v>
      </c>
      <c r="AA57" t="s">
        <v>109</v>
      </c>
      <c r="AB57" t="s">
        <v>110</v>
      </c>
      <c r="AC57" t="s">
        <v>28</v>
      </c>
      <c r="AD57" t="s">
        <v>111</v>
      </c>
      <c r="AE57" t="s">
        <v>112</v>
      </c>
      <c r="AF57" t="s">
        <v>113</v>
      </c>
      <c r="AG57" t="s">
        <v>32</v>
      </c>
      <c r="AH57" t="s">
        <v>33</v>
      </c>
      <c r="AI57" t="s">
        <v>114</v>
      </c>
      <c r="AJ57" t="s">
        <v>115</v>
      </c>
      <c r="AK57" t="s">
        <v>116</v>
      </c>
      <c r="AL57" t="s">
        <v>117</v>
      </c>
      <c r="AM57" t="s">
        <v>38</v>
      </c>
      <c r="AN57" t="s">
        <v>118</v>
      </c>
      <c r="AO57" t="s">
        <v>119</v>
      </c>
      <c r="AP57" t="s">
        <v>28</v>
      </c>
      <c r="AQ57" t="s">
        <v>29</v>
      </c>
      <c r="AR57" t="s">
        <v>120</v>
      </c>
      <c r="AS57" t="s">
        <v>121</v>
      </c>
      <c r="AT57" t="s">
        <v>122</v>
      </c>
      <c r="AU57" t="s">
        <v>123</v>
      </c>
      <c r="AV57" t="s">
        <v>124</v>
      </c>
      <c r="AW57" t="s">
        <v>125</v>
      </c>
      <c r="AX57" t="s">
        <v>126</v>
      </c>
    </row>
    <row r="58" spans="3:50">
      <c r="C58">
        <v>2019</v>
      </c>
      <c r="D58" t="s">
        <v>127</v>
      </c>
      <c r="E58" s="1">
        <v>2018.274</v>
      </c>
      <c r="F58" s="1">
        <v>2792.809383</v>
      </c>
      <c r="G58" s="1">
        <v>964.981</v>
      </c>
      <c r="H58" s="1">
        <v>350.867</v>
      </c>
      <c r="I58" s="1">
        <v>142.6773</v>
      </c>
      <c r="J58" s="1">
        <v>1215.2069</v>
      </c>
      <c r="K58" s="1">
        <v>2724.93</v>
      </c>
      <c r="L58" s="1">
        <v>21308.9</v>
      </c>
      <c r="M58" s="1">
        <v>137.786</v>
      </c>
      <c r="N58" s="1">
        <v>458.463</v>
      </c>
      <c r="O58" s="1">
        <v>2250.3</v>
      </c>
      <c r="P58" s="1">
        <v>3218.77</v>
      </c>
      <c r="Q58" s="1">
        <v>269.2231</v>
      </c>
      <c r="R58" s="1">
        <v>667.972</v>
      </c>
      <c r="S58" s="1">
        <v>15.8709</v>
      </c>
      <c r="T58" s="1">
        <v>8348.05</v>
      </c>
      <c r="U58" s="1">
        <v>302.74</v>
      </c>
      <c r="V58" s="1">
        <v>1746.1618</v>
      </c>
      <c r="W58" s="1">
        <v>4399.22</v>
      </c>
      <c r="X58" s="1">
        <v>3684.5448814</v>
      </c>
      <c r="Y58" s="1">
        <v>3897.7243</v>
      </c>
      <c r="Z58" s="1">
        <v>20059.15</v>
      </c>
      <c r="AA58" s="1">
        <v>265.438</v>
      </c>
      <c r="AB58" s="1">
        <v>919.784</v>
      </c>
      <c r="AC58" s="1">
        <v>13965.300496</v>
      </c>
      <c r="AD58" s="1">
        <v>2457.317</v>
      </c>
      <c r="AE58" s="1">
        <v>1712.87</v>
      </c>
      <c r="AF58" s="1">
        <v>625.812</v>
      </c>
      <c r="AG58" s="1">
        <v>1655.67</v>
      </c>
      <c r="AH58" s="1">
        <v>819.16</v>
      </c>
      <c r="AI58" s="1">
        <v>410.763</v>
      </c>
      <c r="AJ58" s="1">
        <v>1542.4</v>
      </c>
      <c r="AK58" s="1">
        <v>2363.72</v>
      </c>
      <c r="AL58" s="1">
        <v>385.6139</v>
      </c>
      <c r="AM58" s="1">
        <v>189.0739</v>
      </c>
      <c r="AN58" s="1">
        <v>261.55</v>
      </c>
      <c r="AO58" s="1">
        <v>330.101</v>
      </c>
      <c r="AP58" s="1">
        <v>48028.0698408</v>
      </c>
      <c r="AQ58" s="1">
        <v>2457.317</v>
      </c>
      <c r="AR58" s="1">
        <v>94.7031</v>
      </c>
      <c r="AS58" s="1">
        <v>143.645</v>
      </c>
      <c r="AT58" s="1">
        <v>62.0465</v>
      </c>
      <c r="AU58" s="1">
        <v>405.629</v>
      </c>
      <c r="AV58" s="1">
        <v>1542.4</v>
      </c>
      <c r="AW58" s="1">
        <v>385.6139</v>
      </c>
      <c r="AX58" s="1" t="s">
        <v>128</v>
      </c>
    </row>
    <row r="59" spans="3:50">
      <c r="C59">
        <v>2019</v>
      </c>
      <c r="D59" t="s">
        <v>129</v>
      </c>
      <c r="E59" s="1">
        <v>198.38505</v>
      </c>
      <c r="F59" s="1">
        <v>1039.156949</v>
      </c>
      <c r="G59" s="1">
        <v>25.3657</v>
      </c>
      <c r="H59" s="1">
        <v>8.87992</v>
      </c>
      <c r="I59" s="1">
        <v>6.03486</v>
      </c>
      <c r="J59" s="1">
        <v>29.453901</v>
      </c>
      <c r="K59" s="1">
        <v>211.05</v>
      </c>
      <c r="L59" s="1">
        <v>1397.72</v>
      </c>
      <c r="M59" s="1">
        <v>6.15364</v>
      </c>
      <c r="N59" s="1">
        <v>16.12605</v>
      </c>
      <c r="O59" s="1">
        <v>67.2489</v>
      </c>
      <c r="P59" s="1">
        <v>83.093</v>
      </c>
      <c r="Q59" s="1">
        <v>11.92017</v>
      </c>
      <c r="R59" s="1">
        <v>36.1185</v>
      </c>
      <c r="S59" s="1">
        <v>0.360563</v>
      </c>
      <c r="T59" s="1">
        <v>1366.42</v>
      </c>
      <c r="U59" s="1">
        <v>4.93434</v>
      </c>
      <c r="V59" s="1">
        <v>60.233162</v>
      </c>
      <c r="W59" s="1">
        <v>126.265</v>
      </c>
      <c r="X59" s="1">
        <v>308.82149155</v>
      </c>
      <c r="Y59" s="1">
        <v>222.57825</v>
      </c>
      <c r="Z59" s="1">
        <v>493.4994</v>
      </c>
      <c r="AA59" s="1">
        <v>5.3479</v>
      </c>
      <c r="AB59" s="1">
        <v>37.9655</v>
      </c>
      <c r="AC59" s="1">
        <v>1349.4624115</v>
      </c>
      <c r="AD59" s="1">
        <v>153.82385</v>
      </c>
      <c r="AE59" s="1">
        <v>34.2685</v>
      </c>
      <c r="AF59" s="1">
        <v>58.5583</v>
      </c>
      <c r="AG59" s="1">
        <v>57.4198</v>
      </c>
      <c r="AH59" s="1">
        <v>21.61493</v>
      </c>
      <c r="AI59" s="1">
        <v>8.57528</v>
      </c>
      <c r="AJ59" s="1">
        <v>83.4296</v>
      </c>
      <c r="AK59" s="1">
        <v>66.8363</v>
      </c>
      <c r="AL59" s="1">
        <v>47.04945</v>
      </c>
      <c r="AM59" s="1">
        <v>15.805908</v>
      </c>
      <c r="AN59" s="1">
        <v>10.2863</v>
      </c>
      <c r="AO59" s="1">
        <v>19.3716</v>
      </c>
      <c r="AP59" s="1">
        <v>4241.80896233</v>
      </c>
      <c r="AQ59" s="1">
        <v>153.82385</v>
      </c>
      <c r="AR59" s="1">
        <v>6.94523</v>
      </c>
      <c r="AS59" s="1">
        <v>5.45415</v>
      </c>
      <c r="AT59" s="1">
        <v>2.08839</v>
      </c>
      <c r="AU59" s="1">
        <v>10.2789</v>
      </c>
      <c r="AV59" s="1">
        <v>83.4296</v>
      </c>
      <c r="AW59" s="1">
        <v>47.04945</v>
      </c>
      <c r="AX59" s="1" t="s">
        <v>128</v>
      </c>
    </row>
  </sheetData>
  <conditionalFormatting sqref="E53:AX5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:AX5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50"/>
  <sheetViews>
    <sheetView zoomScale="52" zoomScaleNormal="52" workbookViewId="0">
      <selection activeCell="BE46" sqref="BE46"/>
    </sheetView>
  </sheetViews>
  <sheetFormatPr defaultColWidth="9" defaultRowHeight="14.5"/>
  <cols>
    <col min="1" max="1" width="10.8636363636364" customWidth="1"/>
    <col min="2" max="2" width="2" customWidth="1"/>
    <col min="4" max="10" width="6.13636363636364" customWidth="1"/>
    <col min="11" max="11" width="6.13636363636364" style="111" customWidth="1"/>
    <col min="12" max="20" width="6.13636363636364" customWidth="1"/>
    <col min="21" max="22" width="8.13636363636364" customWidth="1"/>
    <col min="23" max="23" width="7.4" customWidth="1"/>
    <col min="24" max="24" width="8.86363636363636" customWidth="1"/>
    <col min="25" max="25" width="5.86363636363636" style="111" customWidth="1"/>
    <col min="26" max="26" width="7.4" customWidth="1"/>
    <col min="27" max="27" width="6.6" customWidth="1"/>
    <col min="28" max="28" width="5.6" customWidth="1"/>
    <col min="29" max="29" width="6.6" customWidth="1"/>
    <col min="30" max="30" width="7.26363636363636" customWidth="1"/>
    <col min="31" max="32" width="6.6" customWidth="1"/>
    <col min="33" max="33" width="7.4" customWidth="1"/>
    <col min="34" max="34" width="8" customWidth="1"/>
    <col min="35" max="50" width="6.6" customWidth="1"/>
    <col min="51" max="51" width="6" customWidth="1"/>
    <col min="52" max="52" width="11.6" customWidth="1"/>
    <col min="54" max="54" width="4.4" customWidth="1"/>
    <col min="57" max="57" width="11.6" customWidth="1"/>
  </cols>
  <sheetData>
    <row r="1" spans="1:61">
      <c r="BE1" s="101"/>
    </row>
    <row r="2" spans="1:61">
      <c r="AY2" t="s">
        <v>130</v>
      </c>
      <c r="BD2" t="s">
        <v>131</v>
      </c>
      <c r="BE2" s="101"/>
    </row>
    <row r="3" spans="1:61">
      <c r="C3" t="s">
        <v>132</v>
      </c>
      <c r="D3" t="str">
        <f>'TRA balance'!E4</f>
        <v>Africa_North</v>
      </c>
      <c r="E3" t="str">
        <f>'TRA balance'!F4</f>
        <v>Africa_Other</v>
      </c>
      <c r="F3" t="str">
        <f>'TRA balance'!G4</f>
        <v>Australia</v>
      </c>
      <c r="G3" t="str">
        <f>'TRA balance'!H4</f>
        <v>Austria</v>
      </c>
      <c r="H3" t="str">
        <f>'TRA balance'!I4</f>
        <v>Baltics</v>
      </c>
      <c r="I3" t="str">
        <f>'TRA balance'!J4</f>
        <v>BeNeLux</v>
      </c>
      <c r="J3" t="str">
        <f>'TRA balance'!K4</f>
        <v>Brazil</v>
      </c>
      <c r="K3" s="111" t="str">
        <f>'TRA balance'!L4</f>
        <v>China</v>
      </c>
      <c r="L3" t="str">
        <f>'TRA balance'!M4</f>
        <v>CroSloven</v>
      </c>
      <c r="M3" t="str">
        <f>'TRA balance'!N4</f>
        <v>CzechSlovak</v>
      </c>
      <c r="N3" t="str">
        <f>'TRA balance'!O4</f>
        <v>France</v>
      </c>
      <c r="O3" t="str">
        <f>'TRA balance'!P4</f>
        <v>Germany</v>
      </c>
      <c r="P3" t="str">
        <f>'TRA balance'!Q4</f>
        <v>GreeceCyp</v>
      </c>
      <c r="Q3" t="str">
        <f>'TRA balance'!R4</f>
        <v>HunRomBul</v>
      </c>
      <c r="R3" t="str">
        <f>'TRA balance'!S4</f>
        <v>Iceland</v>
      </c>
      <c r="S3" t="str">
        <f>'TRA balance'!T4</f>
        <v>India</v>
      </c>
      <c r="T3" t="str">
        <f>'TRA balance'!U4</f>
        <v>Ireland</v>
      </c>
      <c r="U3" t="str">
        <f>'TRA balance'!V4</f>
        <v>ItalyMal</v>
      </c>
      <c r="V3" t="str">
        <f>'TRA balance'!W4</f>
        <v>Japan</v>
      </c>
      <c r="W3" t="str">
        <f>'TRA balance'!X4</f>
        <v>LatAm</v>
      </c>
      <c r="X3" t="str">
        <f>'TRA balance'!Y4</f>
        <v>MidEast</v>
      </c>
      <c r="Y3" s="111" t="str">
        <f>'TRA balance'!Z4</f>
        <v>NorthAm</v>
      </c>
      <c r="Z3" t="str">
        <f>'TRA balance'!AA4</f>
        <v>Norway</v>
      </c>
      <c r="AA3" t="str">
        <f>'TRA balance'!AB4</f>
        <v>Poland</v>
      </c>
      <c r="AB3" t="str">
        <f>'TRA balance'!AC4</f>
        <v>ROW</v>
      </c>
      <c r="AC3" t="str">
        <f>'TRA balance'!AD4</f>
        <v>Russia</v>
      </c>
      <c r="AD3" t="str">
        <f>'TRA balance'!AE4</f>
        <v>SaudiArabia</v>
      </c>
      <c r="AE3" t="str">
        <f>'TRA balance'!AF4</f>
        <v>SouthAfrica</v>
      </c>
      <c r="AF3" t="str">
        <f>'TRA balance'!AG4</f>
        <v>SpainPor</v>
      </c>
      <c r="AG3" t="str">
        <f>'TRA balance'!AH4</f>
        <v>SweFinDen</v>
      </c>
      <c r="AH3" t="str">
        <f>'TRA balance'!AI4</f>
        <v>Switzerland</v>
      </c>
      <c r="AI3" t="str">
        <f>'TRA balance'!AJ4</f>
        <v>Turkey</v>
      </c>
      <c r="AJ3" t="str">
        <f>'TRA balance'!AK4</f>
        <v>UK</v>
      </c>
      <c r="AK3" t="str">
        <f>'TRA balance'!AL4</f>
        <v>Ukraine</v>
      </c>
      <c r="AL3" t="str">
        <f>'TRA balance'!AM4</f>
        <v>WestBalkans</v>
      </c>
      <c r="AM3" t="str">
        <f>'TRA balance'!AN4</f>
        <v>\I:</v>
      </c>
      <c r="AN3" t="str">
        <f>'TRA balance'!AO4</f>
        <v>\I:</v>
      </c>
      <c r="AO3" t="str">
        <f>'TRA balance'!AP4</f>
        <v>\I:</v>
      </c>
      <c r="AP3" t="str">
        <f>'TRA balance'!AQ4</f>
        <v>\I:</v>
      </c>
      <c r="AQ3" t="str">
        <f>'TRA balance'!AR4</f>
        <v>\I:</v>
      </c>
      <c r="AR3" t="str">
        <f>'TRA balance'!AS4</f>
        <v>\I:</v>
      </c>
      <c r="AS3" t="str">
        <f>'TRA balance'!AT4</f>
        <v>\I:</v>
      </c>
      <c r="AT3" t="str">
        <f>'TRA balance'!AU4</f>
        <v>\I:</v>
      </c>
      <c r="AU3" t="str">
        <f>'TRA balance'!AV4</f>
        <v>\I:</v>
      </c>
      <c r="AV3" t="str">
        <f>'TRA balance'!AW4</f>
        <v>\I:</v>
      </c>
      <c r="AW3" t="str">
        <f>'TRA balance'!AX4</f>
        <v>\I:</v>
      </c>
      <c r="AX3" t="s">
        <v>133</v>
      </c>
      <c r="AY3" t="s">
        <v>134</v>
      </c>
      <c r="AZ3" t="s">
        <v>135</v>
      </c>
      <c r="BA3" t="s">
        <v>136</v>
      </c>
      <c r="BB3" t="s">
        <v>137</v>
      </c>
      <c r="BD3" t="s">
        <v>138</v>
      </c>
      <c r="BE3" t="s">
        <v>139</v>
      </c>
      <c r="BF3" t="s">
        <v>140</v>
      </c>
      <c r="BG3" t="s">
        <v>141</v>
      </c>
      <c r="BH3" t="s">
        <v>142</v>
      </c>
      <c r="BI3" t="s">
        <v>143</v>
      </c>
    </row>
    <row r="4" spans="1:61">
      <c r="A4" t="s">
        <v>78</v>
      </c>
      <c r="C4" s="43" t="s">
        <v>44</v>
      </c>
      <c r="D4" s="1" cm="1">
        <f ca="1" t="array" ref="D4">SUM(SUMIFS(Assumptions!BD$3:BD$102,Assumptions!$B$3:$B$102,'2-w'!$C4,Assumptions!$G$3:$G$102,{"TRW"}))</f>
        <v>0</v>
      </c>
      <c r="E4" s="1" cm="1">
        <f ca="1" t="array" ref="E4">SUM(SUMIFS(Assumptions!BE$3:BE$102,Assumptions!$B$3:$B$102,'2-w'!$C4,Assumptions!$G$3:$G$102,{"TRW"}))</f>
        <v>0</v>
      </c>
      <c r="F4" s="1" cm="1">
        <f ca="1" t="array" ref="F4">SUM(SUMIFS(Assumptions!BF$3:BF$102,Assumptions!$B$3:$B$102,'2-w'!$C4,Assumptions!$G$3:$G$102,{"TRW"}))</f>
        <v>0</v>
      </c>
      <c r="G4" s="1" cm="1">
        <f ca="1" t="array" ref="G4">SUM(SUMIFS(Assumptions!BG$3:BG$102,Assumptions!$B$3:$B$102,'2-w'!$C4,Assumptions!$G$3:$G$102,{"TRW"}))</f>
        <v>0</v>
      </c>
      <c r="H4" s="1" cm="1">
        <f ca="1" t="array" ref="H4">SUM(SUMIFS(Assumptions!BH$3:BH$102,Assumptions!$B$3:$B$102,'2-w'!$C4,Assumptions!$G$3:$G$102,{"TRW"}))</f>
        <v>0</v>
      </c>
      <c r="I4" s="1" cm="1">
        <f ca="1" t="array" ref="I4">SUM(SUMIFS(Assumptions!BI$3:BI$102,Assumptions!$B$3:$B$102,'2-w'!$C4,Assumptions!$G$3:$G$102,{"TRW"}))</f>
        <v>0</v>
      </c>
      <c r="J4" s="1" cm="1">
        <f ca="1" t="array" ref="J4">SUM(SUMIFS(Assumptions!BJ$3:BJ$102,Assumptions!$B$3:$B$102,'2-w'!$C4,Assumptions!$G$3:$G$102,{"TRW"}))</f>
        <v>0</v>
      </c>
      <c r="K4" s="112" cm="1">
        <f ca="1" t="array" ref="K4">SUM(SUMIFS(Assumptions!BK$3:BK$102,Assumptions!$B$3:$B$102,'2-w'!$C4,Assumptions!$G$3:$G$102,{"TRW"}))</f>
        <v>0</v>
      </c>
      <c r="L4" s="1" cm="1">
        <f ca="1" t="array" ref="L4">SUM(SUMIFS(Assumptions!BL$3:BL$102,Assumptions!$B$3:$B$102,'2-w'!$C4,Assumptions!$G$3:$G$102,{"TRW"}))</f>
        <v>0</v>
      </c>
      <c r="M4" s="1" cm="1">
        <f ca="1" t="array" ref="M4">SUM(SUMIFS(Assumptions!BM$3:BM$102,Assumptions!$B$3:$B$102,'2-w'!$C4,Assumptions!$G$3:$G$102,{"TRW"}))</f>
        <v>0</v>
      </c>
      <c r="N4" s="1" cm="1">
        <f ca="1" t="array" ref="N4">SUM(SUMIFS(Assumptions!BN$3:BN$102,Assumptions!$B$3:$B$102,'2-w'!$C4,Assumptions!$G$3:$G$102,{"TRW"}))</f>
        <v>0</v>
      </c>
      <c r="O4" s="1" cm="1">
        <f ca="1" t="array" ref="O4">SUM(SUMIFS(Assumptions!BO$3:BO$102,Assumptions!$B$3:$B$102,'2-w'!$C4,Assumptions!$G$3:$G$102,{"TRW"}))</f>
        <v>0</v>
      </c>
      <c r="P4" s="1" cm="1">
        <f ca="1" t="array" ref="P4">SUM(SUMIFS(Assumptions!BP$3:BP$102,Assumptions!$B$3:$B$102,'2-w'!$C4,Assumptions!$G$3:$G$102,{"TRW"}))</f>
        <v>0</v>
      </c>
      <c r="Q4" s="1" cm="1">
        <f ca="1" t="array" ref="Q4">SUM(SUMIFS(Assumptions!BQ$3:BQ$102,Assumptions!$B$3:$B$102,'2-w'!$C4,Assumptions!$G$3:$G$102,{"TRW"}))</f>
        <v>0</v>
      </c>
      <c r="R4" s="1" cm="1">
        <f ca="1" t="array" ref="R4">SUM(SUMIFS(Assumptions!BR$3:BR$102,Assumptions!$B$3:$B$102,'2-w'!$C4,Assumptions!$G$3:$G$102,{"TRW"}))</f>
        <v>0</v>
      </c>
      <c r="S4" s="1" cm="1">
        <f ca="1" t="array" ref="S4">SUM(SUMIFS(Assumptions!BS$3:BS$102,Assumptions!$B$3:$B$102,'2-w'!$C4,Assumptions!$G$3:$G$102,{"TRW"}))</f>
        <v>0</v>
      </c>
      <c r="T4" s="1" cm="1">
        <f ca="1" t="array" ref="T4">SUM(SUMIFS(Assumptions!BT$3:BT$102,Assumptions!$B$3:$B$102,'2-w'!$C4,Assumptions!$G$3:$G$102,{"TRW"}))</f>
        <v>0</v>
      </c>
      <c r="U4" s="1" cm="1">
        <f ca="1" t="array" ref="U4">SUM(SUMIFS(Assumptions!BU$3:BU$102,Assumptions!$B$3:$B$102,'2-w'!$C4,Assumptions!$G$3:$G$102,{"TRW"}))</f>
        <v>0</v>
      </c>
      <c r="V4" s="1" cm="1">
        <f ca="1" t="array" ref="V4">SUM(SUMIFS(Assumptions!BV$3:BV$102,Assumptions!$B$3:$B$102,'2-w'!$C4,Assumptions!$G$3:$G$102,{"TRW"}))</f>
        <v>0</v>
      </c>
      <c r="W4" s="1" cm="1">
        <f ca="1" t="array" ref="W4">SUM(SUMIFS(Assumptions!BW$3:BW$102,Assumptions!$B$3:$B$102,'2-w'!$C4,Assumptions!$G$3:$G$102,{"TRW"}))</f>
        <v>0</v>
      </c>
      <c r="X4" s="1" cm="1">
        <f ca="1" t="array" ref="X4">SUM(SUMIFS(Assumptions!BX$3:BX$102,Assumptions!$B$3:$B$102,'2-w'!$C4,Assumptions!$G$3:$G$102,{"TRW"}))</f>
        <v>0</v>
      </c>
      <c r="Y4" s="112" cm="1">
        <f ca="1" t="array" ref="Y4">SUM(SUMIFS(Assumptions!BY$3:BY$102,Assumptions!$B$3:$B$102,'2-w'!$C4,Assumptions!$G$3:$G$102,{"TRW"}))</f>
        <v>0</v>
      </c>
      <c r="Z4" s="1" cm="1">
        <f ca="1" t="array" ref="Z4">SUM(SUMIFS(Assumptions!BZ$3:BZ$102,Assumptions!$B$3:$B$102,'2-w'!$C4,Assumptions!$G$3:$G$102,{"TRW"}))</f>
        <v>0</v>
      </c>
      <c r="AA4" s="1" cm="1">
        <f ca="1" t="array" ref="AA4">SUM(SUMIFS(Assumptions!CA$3:CA$102,Assumptions!$B$3:$B$102,'2-w'!$C4,Assumptions!$G$3:$G$102,{"TRW"}))</f>
        <v>0</v>
      </c>
      <c r="AB4" s="1" cm="1">
        <f ca="1" t="array" ref="AB4">SUM(SUMIFS(Assumptions!CB$3:CB$102,Assumptions!$B$3:$B$102,'2-w'!$C4,Assumptions!$G$3:$G$102,{"TRW"}))</f>
        <v>0</v>
      </c>
      <c r="AC4" s="1" cm="1">
        <f ca="1" t="array" ref="AC4">SUM(SUMIFS(Assumptions!CC$3:CC$102,Assumptions!$B$3:$B$102,'2-w'!$C4,Assumptions!$G$3:$G$102,{"TRW"}))</f>
        <v>0</v>
      </c>
      <c r="AD4" s="1" cm="1">
        <f ca="1" t="array" ref="AD4">SUM(SUMIFS(Assumptions!CD$3:CD$102,Assumptions!$B$3:$B$102,'2-w'!$C4,Assumptions!$G$3:$G$102,{"TRW"}))</f>
        <v>0</v>
      </c>
      <c r="AE4" s="1" cm="1">
        <f ca="1" t="array" ref="AE4">SUM(SUMIFS(Assumptions!CE$3:CE$102,Assumptions!$B$3:$B$102,'2-w'!$C4,Assumptions!$G$3:$G$102,{"TRW"}))</f>
        <v>0</v>
      </c>
      <c r="AF4" s="1" cm="1">
        <f ca="1" t="array" ref="AF4">SUM(SUMIFS(Assumptions!CF$3:CF$102,Assumptions!$B$3:$B$102,'2-w'!$C4,Assumptions!$G$3:$G$102,{"TRW"}))</f>
        <v>0</v>
      </c>
      <c r="AG4" s="1" cm="1">
        <f ca="1" t="array" ref="AG4">SUM(SUMIFS(Assumptions!CG$3:CG$102,Assumptions!$B$3:$B$102,'2-w'!$C4,Assumptions!$G$3:$G$102,{"TRW"}))</f>
        <v>0</v>
      </c>
      <c r="AH4" s="1" cm="1">
        <f ca="1" t="array" ref="AH4">SUM(SUMIFS(Assumptions!CH$3:CH$102,Assumptions!$B$3:$B$102,'2-w'!$C4,Assumptions!$G$3:$G$102,{"TRW"}))</f>
        <v>0</v>
      </c>
      <c r="AI4" s="1" cm="1">
        <f ca="1" t="array" ref="AI4">SUM(SUMIFS(Assumptions!CI$3:CI$102,Assumptions!$B$3:$B$102,'2-w'!$C4,Assumptions!$G$3:$G$102,{"TRW"}))</f>
        <v>0</v>
      </c>
      <c r="AJ4" s="1" cm="1">
        <f ca="1" t="array" ref="AJ4">SUM(SUMIFS(Assumptions!CJ$3:CJ$102,Assumptions!$B$3:$B$102,'2-w'!$C4,Assumptions!$G$3:$G$102,{"TRW"}))</f>
        <v>0</v>
      </c>
      <c r="AK4" s="1" cm="1">
        <f ca="1" t="array" ref="AK4">SUM(SUMIFS(Assumptions!CK$3:CK$102,Assumptions!$B$3:$B$102,'2-w'!$C4,Assumptions!$G$3:$G$102,{"TRW"}))</f>
        <v>0</v>
      </c>
      <c r="AL4" s="1" cm="1">
        <f ca="1" t="array" ref="AL4">SUM(SUMIFS(Assumptions!CL$3:CL$102,Assumptions!$B$3:$B$102,'2-w'!$C4,Assumptions!$G$3:$G$102,{"TRW"}))</f>
        <v>0</v>
      </c>
      <c r="AM4" s="1" cm="1">
        <f ca="1" t="array" ref="AM4">SUM(SUMIFS(Assumptions!CM$3:CM$102,Assumptions!$B$3:$B$102,'2-w'!$C4,Assumptions!$G$3:$G$102,{"TRW"}))</f>
        <v>0</v>
      </c>
      <c r="AN4" s="1" cm="1">
        <f ca="1" t="array" ref="AN4">SUM(SUMIFS(Assumptions!CN$3:CN$102,Assumptions!$B$3:$B$102,'2-w'!$C4,Assumptions!$G$3:$G$102,{"TRW"}))</f>
        <v>0</v>
      </c>
      <c r="AO4" s="1" cm="1">
        <f ca="1" t="array" ref="AO4">SUM(SUMIFS(Assumptions!CO$3:CO$102,Assumptions!$B$3:$B$102,'2-w'!$C4,Assumptions!$G$3:$G$102,{"TRW"}))</f>
        <v>0</v>
      </c>
      <c r="AP4" s="1" cm="1">
        <f ca="1" t="array" ref="AP4">SUM(SUMIFS(Assumptions!CP$3:CP$102,Assumptions!$B$3:$B$102,'2-w'!$C4,Assumptions!$G$3:$G$102,{"TRW"}))</f>
        <v>0</v>
      </c>
      <c r="AQ4" s="1" cm="1">
        <f ca="1" t="array" ref="AQ4">SUM(SUMIFS(Assumptions!CQ$3:CQ$102,Assumptions!$B$3:$B$102,'2-w'!$C4,Assumptions!$G$3:$G$102,{"TRW"}))</f>
        <v>0</v>
      </c>
      <c r="AR4" s="1" cm="1">
        <f ca="1" t="array" ref="AR4">SUM(SUMIFS(Assumptions!CR$3:CR$102,Assumptions!$B$3:$B$102,'2-w'!$C4,Assumptions!$G$3:$G$102,{"TRW"}))</f>
        <v>0</v>
      </c>
      <c r="AS4" s="1" cm="1">
        <f ca="1" t="array" ref="AS4">SUM(SUMIFS(Assumptions!CS$3:CS$102,Assumptions!$B$3:$B$102,'2-w'!$C4,Assumptions!$G$3:$G$102,{"TRW"}))</f>
        <v>0</v>
      </c>
      <c r="AT4" s="1" cm="1">
        <f ca="1" t="array" ref="AT4">SUM(SUMIFS(Assumptions!CT$3:CT$102,Assumptions!$B$3:$B$102,'2-w'!$C4,Assumptions!$G$3:$G$102,{"TRW"}))</f>
        <v>0</v>
      </c>
      <c r="AU4" s="1" cm="1">
        <f ca="1" t="array" ref="AU4">SUM(SUMIFS(Assumptions!CU$3:CU$102,Assumptions!$B$3:$B$102,'2-w'!$C4,Assumptions!$G$3:$G$102,{"TRW"}))</f>
        <v>0</v>
      </c>
      <c r="AV4" s="1" cm="1">
        <f ca="1" t="array" ref="AV4">SUM(SUMIFS(Assumptions!CV$3:CV$102,Assumptions!$B$3:$B$102,'2-w'!$C4,Assumptions!$G$3:$G$102,{"TRW"}))</f>
        <v>0</v>
      </c>
      <c r="AW4" s="1" cm="1">
        <f ca="1" t="array" ref="AW4">SUM(SUMIFS(Assumptions!CW$3:CW$102,Assumptions!$B$3:$B$102,'2-w'!$C4,Assumptions!$G$3:$G$102,{"TRW"}))</f>
        <v>0</v>
      </c>
      <c r="AX4" s="105" t="str">
        <f ca="1">IF(SUM(D4:AW4)=0,"zero","")</f>
        <v>zero</v>
      </c>
      <c r="AY4" s="1" t="s">
        <v>133</v>
      </c>
      <c r="BA4" t="str">
        <f t="shared" ref="BA4:BA42" si="0">IF($AZ4="","",$BA$45)</f>
        <v/>
      </c>
      <c r="BB4" t="str">
        <f t="shared" ref="BB4:BB11" si="1">IF($AZ4="","",25)</f>
        <v/>
      </c>
      <c r="BD4" t="str">
        <f>IF($AZ4="","*","DMD")</f>
        <v>*</v>
      </c>
      <c r="BE4">
        <f>AZ4</f>
        <v>0</v>
      </c>
      <c r="BG4" t="s">
        <v>92</v>
      </c>
      <c r="BH4" t="s">
        <v>144</v>
      </c>
      <c r="BI4" t="s">
        <v>145</v>
      </c>
    </row>
    <row r="5" spans="1:61">
      <c r="A5" t="s">
        <v>78</v>
      </c>
      <c r="C5" s="43" t="s">
        <v>48</v>
      </c>
      <c r="D5" s="1" cm="1">
        <f ca="1" t="array" ref="D5">SUM(SUMIFS(Assumptions!BD$3:BD$102,Assumptions!$B$3:$B$102,'2-w'!$C5,Assumptions!$G$3:$G$102,{"TRW"}))</f>
        <v>0</v>
      </c>
      <c r="E5" s="1" cm="1">
        <f ca="1" t="array" ref="E5">SUM(SUMIFS(Assumptions!BE$3:BE$102,Assumptions!$B$3:$B$102,'2-w'!$C5,Assumptions!$G$3:$G$102,{"TRW"}))</f>
        <v>0</v>
      </c>
      <c r="F5" s="1" cm="1">
        <f ca="1" t="array" ref="F5">SUM(SUMIFS(Assumptions!BF$3:BF$102,Assumptions!$B$3:$B$102,'2-w'!$C5,Assumptions!$G$3:$G$102,{"TRW"}))</f>
        <v>0</v>
      </c>
      <c r="G5" s="1" cm="1">
        <f ca="1" t="array" ref="G5">SUM(SUMIFS(Assumptions!BG$3:BG$102,Assumptions!$B$3:$B$102,'2-w'!$C5,Assumptions!$G$3:$G$102,{"TRW"}))</f>
        <v>0</v>
      </c>
      <c r="H5" s="1" cm="1">
        <f ca="1" t="array" ref="H5">SUM(SUMIFS(Assumptions!BH$3:BH$102,Assumptions!$B$3:$B$102,'2-w'!$C5,Assumptions!$G$3:$G$102,{"TRW"}))</f>
        <v>0</v>
      </c>
      <c r="I5" s="1" cm="1">
        <f ca="1" t="array" ref="I5">SUM(SUMIFS(Assumptions!BI$3:BI$102,Assumptions!$B$3:$B$102,'2-w'!$C5,Assumptions!$G$3:$G$102,{"TRW"}))</f>
        <v>0</v>
      </c>
      <c r="J5" s="1" cm="1">
        <f ca="1" t="array" ref="J5">SUM(SUMIFS(Assumptions!BJ$3:BJ$102,Assumptions!$B$3:$B$102,'2-w'!$C5,Assumptions!$G$3:$G$102,{"TRW"}))</f>
        <v>0</v>
      </c>
      <c r="K5" s="112" cm="1">
        <f ca="1" t="array" ref="K5">SUM(SUMIFS(Assumptions!BK$3:BK$102,Assumptions!$B$3:$B$102,'2-w'!$C5,Assumptions!$G$3:$G$102,{"TRW"}))</f>
        <v>0</v>
      </c>
      <c r="L5" s="1" cm="1">
        <f ca="1" t="array" ref="L5">SUM(SUMIFS(Assumptions!BL$3:BL$102,Assumptions!$B$3:$B$102,'2-w'!$C5,Assumptions!$G$3:$G$102,{"TRW"}))</f>
        <v>0</v>
      </c>
      <c r="M5" s="1" cm="1">
        <f ca="1" t="array" ref="M5">SUM(SUMIFS(Assumptions!BM$3:BM$102,Assumptions!$B$3:$B$102,'2-w'!$C5,Assumptions!$G$3:$G$102,{"TRW"}))</f>
        <v>0</v>
      </c>
      <c r="N5" s="1" cm="1">
        <f ca="1" t="array" ref="N5">SUM(SUMIFS(Assumptions!BN$3:BN$102,Assumptions!$B$3:$B$102,'2-w'!$C5,Assumptions!$G$3:$G$102,{"TRW"}))</f>
        <v>0</v>
      </c>
      <c r="O5" s="1" cm="1">
        <f ca="1" t="array" ref="O5">SUM(SUMIFS(Assumptions!BO$3:BO$102,Assumptions!$B$3:$B$102,'2-w'!$C5,Assumptions!$G$3:$G$102,{"TRW"}))</f>
        <v>0</v>
      </c>
      <c r="P5" s="1" cm="1">
        <f ca="1" t="array" ref="P5">SUM(SUMIFS(Assumptions!BP$3:BP$102,Assumptions!$B$3:$B$102,'2-w'!$C5,Assumptions!$G$3:$G$102,{"TRW"}))</f>
        <v>0</v>
      </c>
      <c r="Q5" s="1" cm="1">
        <f ca="1" t="array" ref="Q5">SUM(SUMIFS(Assumptions!BQ$3:BQ$102,Assumptions!$B$3:$B$102,'2-w'!$C5,Assumptions!$G$3:$G$102,{"TRW"}))</f>
        <v>0</v>
      </c>
      <c r="R5" s="1" cm="1">
        <f ca="1" t="array" ref="R5">SUM(SUMIFS(Assumptions!BR$3:BR$102,Assumptions!$B$3:$B$102,'2-w'!$C5,Assumptions!$G$3:$G$102,{"TRW"}))</f>
        <v>0</v>
      </c>
      <c r="S5" s="1" cm="1">
        <f ca="1" t="array" ref="S5">SUM(SUMIFS(Assumptions!BS$3:BS$102,Assumptions!$B$3:$B$102,'2-w'!$C5,Assumptions!$G$3:$G$102,{"TRW"}))</f>
        <v>0</v>
      </c>
      <c r="T5" s="1" cm="1">
        <f ca="1" t="array" ref="T5">SUM(SUMIFS(Assumptions!BT$3:BT$102,Assumptions!$B$3:$B$102,'2-w'!$C5,Assumptions!$G$3:$G$102,{"TRW"}))</f>
        <v>0</v>
      </c>
      <c r="U5" s="1" cm="1">
        <f ca="1" t="array" ref="U5">SUM(SUMIFS(Assumptions!BU$3:BU$102,Assumptions!$B$3:$B$102,'2-w'!$C5,Assumptions!$G$3:$G$102,{"TRW"}))</f>
        <v>0</v>
      </c>
      <c r="V5" s="1" cm="1">
        <f ca="1" t="array" ref="V5">SUM(SUMIFS(Assumptions!BV$3:BV$102,Assumptions!$B$3:$B$102,'2-w'!$C5,Assumptions!$G$3:$G$102,{"TRW"}))</f>
        <v>0</v>
      </c>
      <c r="W5" s="1" cm="1">
        <f ca="1" t="array" ref="W5">SUM(SUMIFS(Assumptions!BW$3:BW$102,Assumptions!$B$3:$B$102,'2-w'!$C5,Assumptions!$G$3:$G$102,{"TRW"}))</f>
        <v>0</v>
      </c>
      <c r="X5" s="1" cm="1">
        <f ca="1" t="array" ref="X5">SUM(SUMIFS(Assumptions!BX$3:BX$102,Assumptions!$B$3:$B$102,'2-w'!$C5,Assumptions!$G$3:$G$102,{"TRW"}))</f>
        <v>0</v>
      </c>
      <c r="Y5" s="112" cm="1">
        <f ca="1" t="array" ref="Y5">SUM(SUMIFS(Assumptions!BY$3:BY$102,Assumptions!$B$3:$B$102,'2-w'!$C5,Assumptions!$G$3:$G$102,{"TRW"}))</f>
        <v>0</v>
      </c>
      <c r="Z5" s="1" cm="1">
        <f ca="1" t="array" ref="Z5">SUM(SUMIFS(Assumptions!BZ$3:BZ$102,Assumptions!$B$3:$B$102,'2-w'!$C5,Assumptions!$G$3:$G$102,{"TRW"}))</f>
        <v>0</v>
      </c>
      <c r="AA5" s="1" cm="1">
        <f ca="1" t="array" ref="AA5">SUM(SUMIFS(Assumptions!CA$3:CA$102,Assumptions!$B$3:$B$102,'2-w'!$C5,Assumptions!$G$3:$G$102,{"TRW"}))</f>
        <v>0</v>
      </c>
      <c r="AB5" s="1" cm="1">
        <f ca="1" t="array" ref="AB5">SUM(SUMIFS(Assumptions!CB$3:CB$102,Assumptions!$B$3:$B$102,'2-w'!$C5,Assumptions!$G$3:$G$102,{"TRW"}))</f>
        <v>0</v>
      </c>
      <c r="AC5" s="1" cm="1">
        <f ca="1" t="array" ref="AC5">SUM(SUMIFS(Assumptions!CC$3:CC$102,Assumptions!$B$3:$B$102,'2-w'!$C5,Assumptions!$G$3:$G$102,{"TRW"}))</f>
        <v>0</v>
      </c>
      <c r="AD5" s="1" cm="1">
        <f ca="1" t="array" ref="AD5">SUM(SUMIFS(Assumptions!CD$3:CD$102,Assumptions!$B$3:$B$102,'2-w'!$C5,Assumptions!$G$3:$G$102,{"TRW"}))</f>
        <v>0</v>
      </c>
      <c r="AE5" s="1" cm="1">
        <f ca="1" t="array" ref="AE5">SUM(SUMIFS(Assumptions!CE$3:CE$102,Assumptions!$B$3:$B$102,'2-w'!$C5,Assumptions!$G$3:$G$102,{"TRW"}))</f>
        <v>0</v>
      </c>
      <c r="AF5" s="1" cm="1">
        <f ca="1" t="array" ref="AF5">SUM(SUMIFS(Assumptions!CF$3:CF$102,Assumptions!$B$3:$B$102,'2-w'!$C5,Assumptions!$G$3:$G$102,{"TRW"}))</f>
        <v>0</v>
      </c>
      <c r="AG5" s="1" cm="1">
        <f ca="1" t="array" ref="AG5">SUM(SUMIFS(Assumptions!CG$3:CG$102,Assumptions!$B$3:$B$102,'2-w'!$C5,Assumptions!$G$3:$G$102,{"TRW"}))</f>
        <v>0</v>
      </c>
      <c r="AH5" s="1" cm="1">
        <f ca="1" t="array" ref="AH5">SUM(SUMIFS(Assumptions!CH$3:CH$102,Assumptions!$B$3:$B$102,'2-w'!$C5,Assumptions!$G$3:$G$102,{"TRW"}))</f>
        <v>0</v>
      </c>
      <c r="AI5" s="1" cm="1">
        <f ca="1" t="array" ref="AI5">SUM(SUMIFS(Assumptions!CI$3:CI$102,Assumptions!$B$3:$B$102,'2-w'!$C5,Assumptions!$G$3:$G$102,{"TRW"}))</f>
        <v>0</v>
      </c>
      <c r="AJ5" s="1" cm="1">
        <f ca="1" t="array" ref="AJ5">SUM(SUMIFS(Assumptions!CJ$3:CJ$102,Assumptions!$B$3:$B$102,'2-w'!$C5,Assumptions!$G$3:$G$102,{"TRW"}))</f>
        <v>0</v>
      </c>
      <c r="AK5" s="1" cm="1">
        <f ca="1" t="array" ref="AK5">SUM(SUMIFS(Assumptions!CK$3:CK$102,Assumptions!$B$3:$B$102,'2-w'!$C5,Assumptions!$G$3:$G$102,{"TRW"}))</f>
        <v>0</v>
      </c>
      <c r="AL5" s="1" cm="1">
        <f ca="1" t="array" ref="AL5">SUM(SUMIFS(Assumptions!CL$3:CL$102,Assumptions!$B$3:$B$102,'2-w'!$C5,Assumptions!$G$3:$G$102,{"TRW"}))</f>
        <v>0</v>
      </c>
      <c r="AM5" s="1" cm="1">
        <f ca="1" t="array" ref="AM5">SUM(SUMIFS(Assumptions!CM$3:CM$102,Assumptions!$B$3:$B$102,'2-w'!$C5,Assumptions!$G$3:$G$102,{"TRW"}))</f>
        <v>0</v>
      </c>
      <c r="AN5" s="1" cm="1">
        <f ca="1" t="array" ref="AN5">SUM(SUMIFS(Assumptions!CN$3:CN$102,Assumptions!$B$3:$B$102,'2-w'!$C5,Assumptions!$G$3:$G$102,{"TRW"}))</f>
        <v>0</v>
      </c>
      <c r="AO5" s="1" cm="1">
        <f ca="1" t="array" ref="AO5">SUM(SUMIFS(Assumptions!CO$3:CO$102,Assumptions!$B$3:$B$102,'2-w'!$C5,Assumptions!$G$3:$G$102,{"TRW"}))</f>
        <v>0</v>
      </c>
      <c r="AP5" s="1" cm="1">
        <f ca="1" t="array" ref="AP5">SUM(SUMIFS(Assumptions!CP$3:CP$102,Assumptions!$B$3:$B$102,'2-w'!$C5,Assumptions!$G$3:$G$102,{"TRW"}))</f>
        <v>0</v>
      </c>
      <c r="AQ5" s="1" cm="1">
        <f ca="1" t="array" ref="AQ5">SUM(SUMIFS(Assumptions!CQ$3:CQ$102,Assumptions!$B$3:$B$102,'2-w'!$C5,Assumptions!$G$3:$G$102,{"TRW"}))</f>
        <v>0</v>
      </c>
      <c r="AR5" s="1" cm="1">
        <f ca="1" t="array" ref="AR5">SUM(SUMIFS(Assumptions!CR$3:CR$102,Assumptions!$B$3:$B$102,'2-w'!$C5,Assumptions!$G$3:$G$102,{"TRW"}))</f>
        <v>0</v>
      </c>
      <c r="AS5" s="1" cm="1">
        <f ca="1" t="array" ref="AS5">SUM(SUMIFS(Assumptions!CS$3:CS$102,Assumptions!$B$3:$B$102,'2-w'!$C5,Assumptions!$G$3:$G$102,{"TRW"}))</f>
        <v>0</v>
      </c>
      <c r="AT5" s="1" cm="1">
        <f ca="1" t="array" ref="AT5">SUM(SUMIFS(Assumptions!CT$3:CT$102,Assumptions!$B$3:$B$102,'2-w'!$C5,Assumptions!$G$3:$G$102,{"TRW"}))</f>
        <v>0</v>
      </c>
      <c r="AU5" s="1" cm="1">
        <f ca="1" t="array" ref="AU5">SUM(SUMIFS(Assumptions!CU$3:CU$102,Assumptions!$B$3:$B$102,'2-w'!$C5,Assumptions!$G$3:$G$102,{"TRW"}))</f>
        <v>0</v>
      </c>
      <c r="AV5" s="1" cm="1">
        <f ca="1" t="array" ref="AV5">SUM(SUMIFS(Assumptions!CV$3:CV$102,Assumptions!$B$3:$B$102,'2-w'!$C5,Assumptions!$G$3:$G$102,{"TRW"}))</f>
        <v>0</v>
      </c>
      <c r="AW5" s="1" cm="1">
        <f ca="1" t="array" ref="AW5">SUM(SUMIFS(Assumptions!CW$3:CW$102,Assumptions!$B$3:$B$102,'2-w'!$C5,Assumptions!$G$3:$G$102,{"TRW"}))</f>
        <v>0</v>
      </c>
      <c r="AX5" s="105" t="str">
        <f ca="1" t="shared" ref="AX5:AX10" si="2">IF(SUM(D5:AW5)=0,"zero","")</f>
        <v>zero</v>
      </c>
      <c r="AY5" t="s">
        <v>133</v>
      </c>
      <c r="BA5" t="str">
        <f t="shared" si="0"/>
        <v/>
      </c>
      <c r="BB5" t="str">
        <f t="shared" si="1"/>
        <v/>
      </c>
      <c r="BD5" t="str">
        <f t="shared" ref="BD5:BD42" si="3">IF(AZ5="","*","DMD")</f>
        <v>*</v>
      </c>
      <c r="BE5">
        <f t="shared" ref="BE5:BE42" si="4">AZ5</f>
        <v>0</v>
      </c>
      <c r="BG5" t="s">
        <v>92</v>
      </c>
      <c r="BH5" t="s">
        <v>144</v>
      </c>
      <c r="BI5" t="s">
        <v>145</v>
      </c>
    </row>
    <row r="6" spans="1:61">
      <c r="A6" t="s">
        <v>78</v>
      </c>
      <c r="C6" s="43" t="s">
        <v>60</v>
      </c>
      <c r="D6" s="1" cm="1">
        <f ca="1" t="array" ref="D6">SUM(SUMIFS(Assumptions!BD$3:BD$102,Assumptions!$B$3:$B$102,'2-w'!$C6,Assumptions!$G$3:$G$102,{"TRW"}))</f>
        <v>0</v>
      </c>
      <c r="E6" s="1" cm="1">
        <f ca="1" t="array" ref="E6">SUM(SUMIFS(Assumptions!BE$3:BE$102,Assumptions!$B$3:$B$102,'2-w'!$C6,Assumptions!$G$3:$G$102,{"TRW"}))</f>
        <v>0</v>
      </c>
      <c r="F6" s="1" cm="1">
        <f ca="1" t="array" ref="F6">SUM(SUMIFS(Assumptions!BF$3:BF$102,Assumptions!$B$3:$B$102,'2-w'!$C6,Assumptions!$G$3:$G$102,{"TRW"}))</f>
        <v>0</v>
      </c>
      <c r="G6" s="1" cm="1">
        <f ca="1" t="array" ref="G6">SUM(SUMIFS(Assumptions!BG$3:BG$102,Assumptions!$B$3:$B$102,'2-w'!$C6,Assumptions!$G$3:$G$102,{"TRW"}))</f>
        <v>0</v>
      </c>
      <c r="H6" s="1" cm="1">
        <f ca="1" t="array" ref="H6">SUM(SUMIFS(Assumptions!BH$3:BH$102,Assumptions!$B$3:$B$102,'2-w'!$C6,Assumptions!$G$3:$G$102,{"TRW"}))</f>
        <v>0</v>
      </c>
      <c r="I6" s="1" cm="1">
        <f ca="1" t="array" ref="I6">SUM(SUMIFS(Assumptions!BI$3:BI$102,Assumptions!$B$3:$B$102,'2-w'!$C6,Assumptions!$G$3:$G$102,{"TRW"}))</f>
        <v>0</v>
      </c>
      <c r="J6" s="1" cm="1">
        <f ca="1" t="array" ref="J6">SUM(SUMIFS(Assumptions!BJ$3:BJ$102,Assumptions!$B$3:$B$102,'2-w'!$C6,Assumptions!$G$3:$G$102,{"TRW"}))</f>
        <v>0</v>
      </c>
      <c r="K6" s="112" cm="1">
        <f ca="1" t="array" ref="K6">SUM(SUMIFS(Assumptions!BK$3:BK$102,Assumptions!$B$3:$B$102,'2-w'!$C6,Assumptions!$G$3:$G$102,{"TRW"}))</f>
        <v>0</v>
      </c>
      <c r="L6" s="1" cm="1">
        <f ca="1" t="array" ref="L6">SUM(SUMIFS(Assumptions!BL$3:BL$102,Assumptions!$B$3:$B$102,'2-w'!$C6,Assumptions!$G$3:$G$102,{"TRW"}))</f>
        <v>0</v>
      </c>
      <c r="M6" s="1" cm="1">
        <f ca="1" t="array" ref="M6">SUM(SUMIFS(Assumptions!BM$3:BM$102,Assumptions!$B$3:$B$102,'2-w'!$C6,Assumptions!$G$3:$G$102,{"TRW"}))</f>
        <v>0</v>
      </c>
      <c r="N6" s="1" cm="1">
        <f ca="1" t="array" ref="N6">SUM(SUMIFS(Assumptions!BN$3:BN$102,Assumptions!$B$3:$B$102,'2-w'!$C6,Assumptions!$G$3:$G$102,{"TRW"}))</f>
        <v>0</v>
      </c>
      <c r="O6" s="1" cm="1">
        <f ca="1" t="array" ref="O6">SUM(SUMIFS(Assumptions!BO$3:BO$102,Assumptions!$B$3:$B$102,'2-w'!$C6,Assumptions!$G$3:$G$102,{"TRW"}))</f>
        <v>0</v>
      </c>
      <c r="P6" s="1" cm="1">
        <f ca="1" t="array" ref="P6">SUM(SUMIFS(Assumptions!BP$3:BP$102,Assumptions!$B$3:$B$102,'2-w'!$C6,Assumptions!$G$3:$G$102,{"TRW"}))</f>
        <v>0</v>
      </c>
      <c r="Q6" s="1" cm="1">
        <f ca="1" t="array" ref="Q6">SUM(SUMIFS(Assumptions!BQ$3:BQ$102,Assumptions!$B$3:$B$102,'2-w'!$C6,Assumptions!$G$3:$G$102,{"TRW"}))</f>
        <v>0</v>
      </c>
      <c r="R6" s="1" cm="1">
        <f ca="1" t="array" ref="R6">SUM(SUMIFS(Assumptions!BR$3:BR$102,Assumptions!$B$3:$B$102,'2-w'!$C6,Assumptions!$G$3:$G$102,{"TRW"}))</f>
        <v>0</v>
      </c>
      <c r="S6" s="1" cm="1">
        <f ca="1" t="array" ref="S6">SUM(SUMIFS(Assumptions!BS$3:BS$102,Assumptions!$B$3:$B$102,'2-w'!$C6,Assumptions!$G$3:$G$102,{"TRW"}))</f>
        <v>0</v>
      </c>
      <c r="T6" s="1" cm="1">
        <f ca="1" t="array" ref="T6">SUM(SUMIFS(Assumptions!BT$3:BT$102,Assumptions!$B$3:$B$102,'2-w'!$C6,Assumptions!$G$3:$G$102,{"TRW"}))</f>
        <v>0</v>
      </c>
      <c r="U6" s="1" cm="1">
        <f ca="1" t="array" ref="U6">SUM(SUMIFS(Assumptions!BU$3:BU$102,Assumptions!$B$3:$B$102,'2-w'!$C6,Assumptions!$G$3:$G$102,{"TRW"}))</f>
        <v>0</v>
      </c>
      <c r="V6" s="1" cm="1">
        <f ca="1" t="array" ref="V6">SUM(SUMIFS(Assumptions!BV$3:BV$102,Assumptions!$B$3:$B$102,'2-w'!$C6,Assumptions!$G$3:$G$102,{"TRW"}))</f>
        <v>0</v>
      </c>
      <c r="W6" s="1" cm="1">
        <f ca="1" t="array" ref="W6">SUM(SUMIFS(Assumptions!BW$3:BW$102,Assumptions!$B$3:$B$102,'2-w'!$C6,Assumptions!$G$3:$G$102,{"TRW"}))</f>
        <v>0</v>
      </c>
      <c r="X6" s="1" cm="1">
        <f ca="1" t="array" ref="X6">SUM(SUMIFS(Assumptions!BX$3:BX$102,Assumptions!$B$3:$B$102,'2-w'!$C6,Assumptions!$G$3:$G$102,{"TRW"}))</f>
        <v>0</v>
      </c>
      <c r="Y6" s="112" cm="1">
        <f ca="1" t="array" ref="Y6">SUM(SUMIFS(Assumptions!BY$3:BY$102,Assumptions!$B$3:$B$102,'2-w'!$C6,Assumptions!$G$3:$G$102,{"TRW"}))</f>
        <v>0</v>
      </c>
      <c r="Z6" s="1" cm="1">
        <f ca="1" t="array" ref="Z6">SUM(SUMIFS(Assumptions!BZ$3:BZ$102,Assumptions!$B$3:$B$102,'2-w'!$C6,Assumptions!$G$3:$G$102,{"TRW"}))</f>
        <v>0</v>
      </c>
      <c r="AA6" s="1" cm="1">
        <f ca="1" t="array" ref="AA6">SUM(SUMIFS(Assumptions!CA$3:CA$102,Assumptions!$B$3:$B$102,'2-w'!$C6,Assumptions!$G$3:$G$102,{"TRW"}))</f>
        <v>0</v>
      </c>
      <c r="AB6" s="1" cm="1">
        <f ca="1" t="array" ref="AB6">SUM(SUMIFS(Assumptions!CB$3:CB$102,Assumptions!$B$3:$B$102,'2-w'!$C6,Assumptions!$G$3:$G$102,{"TRW"}))</f>
        <v>0</v>
      </c>
      <c r="AC6" s="1" cm="1">
        <f ca="1" t="array" ref="AC6">SUM(SUMIFS(Assumptions!CC$3:CC$102,Assumptions!$B$3:$B$102,'2-w'!$C6,Assumptions!$G$3:$G$102,{"TRW"}))</f>
        <v>0</v>
      </c>
      <c r="AD6" s="1" cm="1">
        <f ca="1" t="array" ref="AD6">SUM(SUMIFS(Assumptions!CD$3:CD$102,Assumptions!$B$3:$B$102,'2-w'!$C6,Assumptions!$G$3:$G$102,{"TRW"}))</f>
        <v>0</v>
      </c>
      <c r="AE6" s="1" cm="1">
        <f ca="1" t="array" ref="AE6">SUM(SUMIFS(Assumptions!CE$3:CE$102,Assumptions!$B$3:$B$102,'2-w'!$C6,Assumptions!$G$3:$G$102,{"TRW"}))</f>
        <v>0</v>
      </c>
      <c r="AF6" s="1" cm="1">
        <f ca="1" t="array" ref="AF6">SUM(SUMIFS(Assumptions!CF$3:CF$102,Assumptions!$B$3:$B$102,'2-w'!$C6,Assumptions!$G$3:$G$102,{"TRW"}))</f>
        <v>0</v>
      </c>
      <c r="AG6" s="1" cm="1">
        <f ca="1" t="array" ref="AG6">SUM(SUMIFS(Assumptions!CG$3:CG$102,Assumptions!$B$3:$B$102,'2-w'!$C6,Assumptions!$G$3:$G$102,{"TRW"}))</f>
        <v>0</v>
      </c>
      <c r="AH6" s="1" cm="1">
        <f ca="1" t="array" ref="AH6">SUM(SUMIFS(Assumptions!CH$3:CH$102,Assumptions!$B$3:$B$102,'2-w'!$C6,Assumptions!$G$3:$G$102,{"TRW"}))</f>
        <v>0</v>
      </c>
      <c r="AI6" s="1" cm="1">
        <f ca="1" t="array" ref="AI6">SUM(SUMIFS(Assumptions!CI$3:CI$102,Assumptions!$B$3:$B$102,'2-w'!$C6,Assumptions!$G$3:$G$102,{"TRW"}))</f>
        <v>0</v>
      </c>
      <c r="AJ6" s="1" cm="1">
        <f ca="1" t="array" ref="AJ6">SUM(SUMIFS(Assumptions!CJ$3:CJ$102,Assumptions!$B$3:$B$102,'2-w'!$C6,Assumptions!$G$3:$G$102,{"TRW"}))</f>
        <v>0</v>
      </c>
      <c r="AK6" s="1" cm="1">
        <f ca="1" t="array" ref="AK6">SUM(SUMIFS(Assumptions!CK$3:CK$102,Assumptions!$B$3:$B$102,'2-w'!$C6,Assumptions!$G$3:$G$102,{"TRW"}))</f>
        <v>0</v>
      </c>
      <c r="AL6" s="1" cm="1">
        <f ca="1" t="array" ref="AL6">SUM(SUMIFS(Assumptions!CL$3:CL$102,Assumptions!$B$3:$B$102,'2-w'!$C6,Assumptions!$G$3:$G$102,{"TRW"}))</f>
        <v>0</v>
      </c>
      <c r="AM6" s="1" cm="1">
        <f ca="1" t="array" ref="AM6">SUM(SUMIFS(Assumptions!CM$3:CM$102,Assumptions!$B$3:$B$102,'2-w'!$C6,Assumptions!$G$3:$G$102,{"TRW"}))</f>
        <v>0</v>
      </c>
      <c r="AN6" s="1" cm="1">
        <f ca="1" t="array" ref="AN6">SUM(SUMIFS(Assumptions!CN$3:CN$102,Assumptions!$B$3:$B$102,'2-w'!$C6,Assumptions!$G$3:$G$102,{"TRW"}))</f>
        <v>0</v>
      </c>
      <c r="AO6" s="1" cm="1">
        <f ca="1" t="array" ref="AO6">SUM(SUMIFS(Assumptions!CO$3:CO$102,Assumptions!$B$3:$B$102,'2-w'!$C6,Assumptions!$G$3:$G$102,{"TRW"}))</f>
        <v>0</v>
      </c>
      <c r="AP6" s="1" cm="1">
        <f ca="1" t="array" ref="AP6">SUM(SUMIFS(Assumptions!CP$3:CP$102,Assumptions!$B$3:$B$102,'2-w'!$C6,Assumptions!$G$3:$G$102,{"TRW"}))</f>
        <v>0</v>
      </c>
      <c r="AQ6" s="1" cm="1">
        <f ca="1" t="array" ref="AQ6">SUM(SUMIFS(Assumptions!CQ$3:CQ$102,Assumptions!$B$3:$B$102,'2-w'!$C6,Assumptions!$G$3:$G$102,{"TRW"}))</f>
        <v>0</v>
      </c>
      <c r="AR6" s="1" cm="1">
        <f ca="1" t="array" ref="AR6">SUM(SUMIFS(Assumptions!CR$3:CR$102,Assumptions!$B$3:$B$102,'2-w'!$C6,Assumptions!$G$3:$G$102,{"TRW"}))</f>
        <v>0</v>
      </c>
      <c r="AS6" s="1" cm="1">
        <f ca="1" t="array" ref="AS6">SUM(SUMIFS(Assumptions!CS$3:CS$102,Assumptions!$B$3:$B$102,'2-w'!$C6,Assumptions!$G$3:$G$102,{"TRW"}))</f>
        <v>0</v>
      </c>
      <c r="AT6" s="1" cm="1">
        <f ca="1" t="array" ref="AT6">SUM(SUMIFS(Assumptions!CT$3:CT$102,Assumptions!$B$3:$B$102,'2-w'!$C6,Assumptions!$G$3:$G$102,{"TRW"}))</f>
        <v>0</v>
      </c>
      <c r="AU6" s="1" cm="1">
        <f ca="1" t="array" ref="AU6">SUM(SUMIFS(Assumptions!CU$3:CU$102,Assumptions!$B$3:$B$102,'2-w'!$C6,Assumptions!$G$3:$G$102,{"TRW"}))</f>
        <v>0</v>
      </c>
      <c r="AV6" s="1" cm="1">
        <f ca="1" t="array" ref="AV6">SUM(SUMIFS(Assumptions!CV$3:CV$102,Assumptions!$B$3:$B$102,'2-w'!$C6,Assumptions!$G$3:$G$102,{"TRW"}))</f>
        <v>0</v>
      </c>
      <c r="AW6" s="1" cm="1">
        <f ca="1" t="array" ref="AW6">SUM(SUMIFS(Assumptions!CW$3:CW$102,Assumptions!$B$3:$B$102,'2-w'!$C6,Assumptions!$G$3:$G$102,{"TRW"}))</f>
        <v>0</v>
      </c>
      <c r="AX6" s="105" t="str">
        <f ca="1" t="shared" si="2"/>
        <v>zero</v>
      </c>
      <c r="AY6" t="s">
        <v>133</v>
      </c>
      <c r="BA6" t="str">
        <f t="shared" si="0"/>
        <v/>
      </c>
      <c r="BB6" t="str">
        <f t="shared" si="1"/>
        <v/>
      </c>
      <c r="BD6" t="str">
        <f t="shared" si="3"/>
        <v>*</v>
      </c>
      <c r="BE6">
        <f t="shared" si="4"/>
        <v>0</v>
      </c>
      <c r="BG6" t="s">
        <v>92</v>
      </c>
      <c r="BH6" t="s">
        <v>144</v>
      </c>
      <c r="BI6" t="s">
        <v>145</v>
      </c>
    </row>
    <row r="7" spans="1:61">
      <c r="A7" t="s">
        <v>78</v>
      </c>
      <c r="C7" s="43" t="s">
        <v>64</v>
      </c>
      <c r="D7" s="1" cm="1">
        <f ca="1" t="array" ref="D7">SUM(SUMIFS(Assumptions!BD$3:BD$102,Assumptions!$B$3:$B$102,'2-w'!$C7,Assumptions!$G$3:$G$102,{"TRW"}))</f>
        <v>0</v>
      </c>
      <c r="E7" s="1" cm="1">
        <f ca="1" t="array" ref="E7">SUM(SUMIFS(Assumptions!BE$3:BE$102,Assumptions!$B$3:$B$102,'2-w'!$C7,Assumptions!$G$3:$G$102,{"TRW"}))</f>
        <v>0</v>
      </c>
      <c r="F7" s="1" cm="1">
        <f ca="1" t="array" ref="F7">SUM(SUMIFS(Assumptions!BF$3:BF$102,Assumptions!$B$3:$B$102,'2-w'!$C7,Assumptions!$G$3:$G$102,{"TRW"}))</f>
        <v>0.0647991036</v>
      </c>
      <c r="G7" s="1" cm="1">
        <f ca="1" t="array" ref="G7">SUM(SUMIFS(Assumptions!BG$3:BG$102,Assumptions!$B$3:$B$102,'2-w'!$C7,Assumptions!$G$3:$G$102,{"TRW"}))</f>
        <v>0.0385164666</v>
      </c>
      <c r="H7" s="1" cm="1">
        <f ca="1" t="array" ref="H7">SUM(SUMIFS(Assumptions!BH$3:BH$102,Assumptions!$B$3:$B$102,'2-w'!$C7,Assumptions!$G$3:$G$102,{"TRW"}))</f>
        <v>0</v>
      </c>
      <c r="I7" s="1" cm="1">
        <f ca="1" t="array" ref="I7">SUM(SUMIFS(Assumptions!BI$3:BI$102,Assumptions!$B$3:$B$102,'2-w'!$C7,Assumptions!$G$3:$G$102,{"TRW"}))</f>
        <v>1.739269989</v>
      </c>
      <c r="J7" s="1" cm="1">
        <f ca="1" t="array" ref="J7">SUM(SUMIFS(Assumptions!BJ$3:BJ$102,Assumptions!$B$3:$B$102,'2-w'!$C7,Assumptions!$G$3:$G$102,{"TRW"}))</f>
        <v>0</v>
      </c>
      <c r="K7" s="112" cm="1">
        <f ca="1" t="array" ref="K7">SUM(SUMIFS(Assumptions!BK$3:BK$102,Assumptions!$B$3:$B$102,'2-w'!$C7,Assumptions!$G$3:$G$102,{"TRW"}))</f>
        <v>147.21780820392</v>
      </c>
      <c r="L7" s="1" cm="1">
        <f ca="1" t="array" ref="L7">SUM(SUMIFS(Assumptions!BL$3:BL$102,Assumptions!$B$3:$B$102,'2-w'!$C7,Assumptions!$G$3:$G$102,{"TRW"}))</f>
        <v>0</v>
      </c>
      <c r="M7" s="1" cm="1">
        <f ca="1" t="array" ref="M7">SUM(SUMIFS(Assumptions!BM$3:BM$102,Assumptions!$B$3:$B$102,'2-w'!$C7,Assumptions!$G$3:$G$102,{"TRW"}))</f>
        <v>0</v>
      </c>
      <c r="N7" s="1" cm="1">
        <f ca="1" t="array" ref="N7">SUM(SUMIFS(Assumptions!BN$3:BN$102,Assumptions!$B$3:$B$102,'2-w'!$C7,Assumptions!$G$3:$G$102,{"TRW"}))</f>
        <v>0.8842929813</v>
      </c>
      <c r="O7" s="1" cm="1">
        <f ca="1" t="array" ref="O7">SUM(SUMIFS(Assumptions!BO$3:BO$102,Assumptions!$B$3:$B$102,'2-w'!$C7,Assumptions!$G$3:$G$102,{"TRW"}))</f>
        <v>0.9072000108</v>
      </c>
      <c r="P7" s="1" cm="1">
        <f ca="1" t="array" ref="P7">SUM(SUMIFS(Assumptions!BP$3:BP$102,Assumptions!$B$3:$B$102,'2-w'!$C7,Assumptions!$G$3:$G$102,{"TRW"}))</f>
        <v>0.0553945041</v>
      </c>
      <c r="Q7" s="1" cm="1">
        <f ca="1" t="array" ref="Q7">SUM(SUMIFS(Assumptions!BQ$3:BQ$102,Assumptions!$B$3:$B$102,'2-w'!$C7,Assumptions!$G$3:$G$102,{"TRW"}))</f>
        <v>0</v>
      </c>
      <c r="R7" s="1" cm="1">
        <f ca="1" t="array" ref="R7">SUM(SUMIFS(Assumptions!BR$3:BR$102,Assumptions!$B$3:$B$102,'2-w'!$C7,Assumptions!$G$3:$G$102,{"TRW"}))</f>
        <v>0.0608990994</v>
      </c>
      <c r="S7" s="1" cm="1">
        <f ca="1" t="array" ref="S7">SUM(SUMIFS(Assumptions!BS$3:BS$102,Assumptions!$B$3:$B$102,'2-w'!$C7,Assumptions!$G$3:$G$102,{"TRW"}))</f>
        <v>0</v>
      </c>
      <c r="T7" s="1" cm="1">
        <f ca="1" t="array" ref="T7">SUM(SUMIFS(Assumptions!BT$3:BT$102,Assumptions!$B$3:$B$102,'2-w'!$C7,Assumptions!$G$3:$G$102,{"TRW"}))</f>
        <v>0.0731925909</v>
      </c>
      <c r="U7" s="1" cm="1">
        <f ca="1" t="array" ref="U7">SUM(SUMIFS(Assumptions!BU$3:BU$102,Assumptions!$B$3:$B$102,'2-w'!$C7,Assumptions!$G$3:$G$102,{"TRW"}))</f>
        <v>0.3730847013</v>
      </c>
      <c r="V7" s="1" cm="1">
        <f ca="1" t="array" ref="V7">SUM(SUMIFS(Assumptions!BV$3:BV$102,Assumptions!$B$3:$B$102,'2-w'!$C7,Assumptions!$G$3:$G$102,{"TRW"}))</f>
        <v>0</v>
      </c>
      <c r="W7" s="1" cm="1">
        <f ca="1" t="array" ref="W7">SUM(SUMIFS(Assumptions!BW$3:BW$102,Assumptions!$B$3:$B$102,'2-w'!$C7,Assumptions!$G$3:$G$102,{"TRW"}))</f>
        <v>1.1029161636</v>
      </c>
      <c r="X7" s="1" cm="1">
        <f ca="1" t="array" ref="X7">SUM(SUMIFS(Assumptions!BX$3:BX$102,Assumptions!$B$3:$B$102,'2-w'!$C7,Assumptions!$G$3:$G$102,{"TRW"}))</f>
        <v>0</v>
      </c>
      <c r="Y7" s="112" cm="1">
        <f ca="1" t="array" ref="Y7">SUM(SUMIFS(Assumptions!BY$3:BY$102,Assumptions!$B$3:$B$102,'2-w'!$C7,Assumptions!$G$3:$G$102,{"TRW"}))</f>
        <v>21.0333852117</v>
      </c>
      <c r="Z7" s="1" cm="1">
        <f ca="1" t="array" ref="Z7">SUM(SUMIFS(Assumptions!BZ$3:BZ$102,Assumptions!$B$3:$B$102,'2-w'!$C7,Assumptions!$G$3:$G$102,{"TRW"}))</f>
        <v>2.3192998407</v>
      </c>
      <c r="AA7" s="1" cm="1">
        <f ca="1" t="array" ref="AA7">SUM(SUMIFS(Assumptions!CA$3:CA$102,Assumptions!$B$3:$B$102,'2-w'!$C7,Assumptions!$G$3:$G$102,{"TRW"}))</f>
        <v>0</v>
      </c>
      <c r="AB7" s="1" cm="1">
        <f ca="1" t="array" ref="AB7">SUM(SUMIFS(Assumptions!CB$3:CB$102,Assumptions!$B$3:$B$102,'2-w'!$C7,Assumptions!$G$3:$G$102,{"TRW"}))</f>
        <v>1.3254487704</v>
      </c>
      <c r="AC7" s="1" cm="1">
        <f ca="1" t="array" ref="AC7">SUM(SUMIFS(Assumptions!CC$3:CC$102,Assumptions!$B$3:$B$102,'2-w'!$C7,Assumptions!$G$3:$G$102,{"TRW"}))</f>
        <v>0</v>
      </c>
      <c r="AD7" s="1" cm="1">
        <f ca="1" t="array" ref="AD7">SUM(SUMIFS(Assumptions!CD$3:CD$102,Assumptions!$B$3:$B$102,'2-w'!$C7,Assumptions!$G$3:$G$102,{"TRW"}))</f>
        <v>0</v>
      </c>
      <c r="AE7" s="1" cm="1">
        <f ca="1" t="array" ref="AE7">SUM(SUMIFS(Assumptions!CE$3:CE$102,Assumptions!$B$3:$B$102,'2-w'!$C7,Assumptions!$G$3:$G$102,{"TRW"}))</f>
        <v>0</v>
      </c>
      <c r="AF7" s="1" cm="1">
        <f ca="1" t="array" ref="AF7">SUM(SUMIFS(Assumptions!CF$3:CF$102,Assumptions!$B$3:$B$102,'2-w'!$C7,Assumptions!$G$3:$G$102,{"TRW"}))</f>
        <v>0.4503154608</v>
      </c>
      <c r="AG7" s="1" cm="1">
        <f ca="1" t="array" ref="AG7">SUM(SUMIFS(Assumptions!CG$3:CG$102,Assumptions!$B$3:$B$102,'2-w'!$C7,Assumptions!$G$3:$G$102,{"TRW"}))</f>
        <v>1.0188274257</v>
      </c>
      <c r="AH7" s="1" cm="1">
        <f ca="1" t="array" ref="AH7">SUM(SUMIFS(Assumptions!CH$3:CH$102,Assumptions!$B$3:$B$102,'2-w'!$C7,Assumptions!$G$3:$G$102,{"TRW"}))</f>
        <v>0</v>
      </c>
      <c r="AI7" s="1" cm="1">
        <f ca="1" t="array" ref="AI7">SUM(SUMIFS(Assumptions!CI$3:CI$102,Assumptions!$B$3:$B$102,'2-w'!$C7,Assumptions!$G$3:$G$102,{"TRW"}))</f>
        <v>0</v>
      </c>
      <c r="AJ7" s="1" cm="1">
        <f ca="1" t="array" ref="AJ7">SUM(SUMIFS(Assumptions!CJ$3:CJ$102,Assumptions!$B$3:$B$102,'2-w'!$C7,Assumptions!$G$3:$G$102,{"TRW"}))</f>
        <v>0.9895240125</v>
      </c>
      <c r="AK7" s="1" cm="1">
        <f ca="1" t="array" ref="AK7">SUM(SUMIFS(Assumptions!CK$3:CK$102,Assumptions!$B$3:$B$102,'2-w'!$C7,Assumptions!$G$3:$G$102,{"TRW"}))</f>
        <v>0</v>
      </c>
      <c r="AL7" s="1" cm="1">
        <f ca="1" t="array" ref="AL7">SUM(SUMIFS(Assumptions!CL$3:CL$102,Assumptions!$B$3:$B$102,'2-w'!$C7,Assumptions!$G$3:$G$102,{"TRW"}))</f>
        <v>0</v>
      </c>
      <c r="AM7" s="1" cm="1">
        <f ca="1" t="array" ref="AM7">SUM(SUMIFS(Assumptions!CM$3:CM$102,Assumptions!$B$3:$B$102,'2-w'!$C7,Assumptions!$G$3:$G$102,{"TRW"}))</f>
        <v>0</v>
      </c>
      <c r="AN7" s="1" cm="1">
        <f ca="1" t="array" ref="AN7">SUM(SUMIFS(Assumptions!CN$3:CN$102,Assumptions!$B$3:$B$102,'2-w'!$C7,Assumptions!$G$3:$G$102,{"TRW"}))</f>
        <v>0</v>
      </c>
      <c r="AO7" s="1" cm="1">
        <f ca="1" t="array" ref="AO7">SUM(SUMIFS(Assumptions!CO$3:CO$102,Assumptions!$B$3:$B$102,'2-w'!$C7,Assumptions!$G$3:$G$102,{"TRW"}))</f>
        <v>0</v>
      </c>
      <c r="AP7" s="1" cm="1">
        <f ca="1" t="array" ref="AP7">SUM(SUMIFS(Assumptions!CP$3:CP$102,Assumptions!$B$3:$B$102,'2-w'!$C7,Assumptions!$G$3:$G$102,{"TRW"}))</f>
        <v>0</v>
      </c>
      <c r="AQ7" s="1" cm="1">
        <f ca="1" t="array" ref="AQ7">SUM(SUMIFS(Assumptions!CQ$3:CQ$102,Assumptions!$B$3:$B$102,'2-w'!$C7,Assumptions!$G$3:$G$102,{"TRW"}))</f>
        <v>0</v>
      </c>
      <c r="AR7" s="1" cm="1">
        <f ca="1" t="array" ref="AR7">SUM(SUMIFS(Assumptions!CR$3:CR$102,Assumptions!$B$3:$B$102,'2-w'!$C7,Assumptions!$G$3:$G$102,{"TRW"}))</f>
        <v>0</v>
      </c>
      <c r="AS7" s="1" cm="1">
        <f ca="1" t="array" ref="AS7">SUM(SUMIFS(Assumptions!CS$3:CS$102,Assumptions!$B$3:$B$102,'2-w'!$C7,Assumptions!$G$3:$G$102,{"TRW"}))</f>
        <v>0</v>
      </c>
      <c r="AT7" s="1" cm="1">
        <f ca="1" t="array" ref="AT7">SUM(SUMIFS(Assumptions!CT$3:CT$102,Assumptions!$B$3:$B$102,'2-w'!$C7,Assumptions!$G$3:$G$102,{"TRW"}))</f>
        <v>0</v>
      </c>
      <c r="AU7" s="1" cm="1">
        <f ca="1" t="array" ref="AU7">SUM(SUMIFS(Assumptions!CU$3:CU$102,Assumptions!$B$3:$B$102,'2-w'!$C7,Assumptions!$G$3:$G$102,{"TRW"}))</f>
        <v>0</v>
      </c>
      <c r="AV7" s="1" cm="1">
        <f ca="1" t="array" ref="AV7">SUM(SUMIFS(Assumptions!CV$3:CV$102,Assumptions!$B$3:$B$102,'2-w'!$C7,Assumptions!$G$3:$G$102,{"TRW"}))</f>
        <v>0</v>
      </c>
      <c r="AW7" s="1" cm="1">
        <f ca="1" t="array" ref="AW7">SUM(SUMIFS(Assumptions!CW$3:CW$102,Assumptions!$B$3:$B$102,'2-w'!$C7,Assumptions!$G$3:$G$102,{"TRW"}))</f>
        <v>0</v>
      </c>
      <c r="AX7" s="105" t="str">
        <f ca="1" t="shared" si="2"/>
        <v/>
      </c>
      <c r="AY7" t="s">
        <v>133</v>
      </c>
      <c r="BA7" t="str">
        <f t="shared" si="0"/>
        <v/>
      </c>
      <c r="BB7" t="str">
        <f t="shared" si="1"/>
        <v/>
      </c>
      <c r="BD7" t="str">
        <f t="shared" si="3"/>
        <v>*</v>
      </c>
      <c r="BE7">
        <f t="shared" si="4"/>
        <v>0</v>
      </c>
      <c r="BG7" t="s">
        <v>92</v>
      </c>
      <c r="BH7" t="s">
        <v>144</v>
      </c>
      <c r="BI7" t="s">
        <v>145</v>
      </c>
    </row>
    <row r="8" spans="1:61">
      <c r="A8" t="s">
        <v>78</v>
      </c>
      <c r="C8" s="43" t="s">
        <v>66</v>
      </c>
      <c r="D8" s="1" cm="1">
        <f ca="1" t="array" ref="D8">SUM(SUMIFS(Assumptions!BD$3:BD$102,Assumptions!$B$3:$B$102,'2-w'!$C8,Assumptions!$G$3:$G$102,{"TRW"}))</f>
        <v>250.48460281194</v>
      </c>
      <c r="E8" s="1" cm="1">
        <f ca="1" t="array" ref="E8">SUM(SUMIFS(Assumptions!BE$3:BE$102,Assumptions!$B$3:$B$102,'2-w'!$C8,Assumptions!$G$3:$G$102,{"TRW"}))</f>
        <v>434.96326194804</v>
      </c>
      <c r="F8" s="1" cm="1">
        <f ca="1" t="array" ref="F8">SUM(SUMIFS(Assumptions!BF$3:BF$102,Assumptions!$B$3:$B$102,'2-w'!$C8,Assumptions!$G$3:$G$102,{"TRW"}))</f>
        <v>10.2405930457104</v>
      </c>
      <c r="G8" s="1" cm="1">
        <f ca="1" t="array" ref="G8">SUM(SUMIFS(Assumptions!BG$3:BG$102,Assumptions!$B$3:$B$102,'2-w'!$C8,Assumptions!$G$3:$G$102,{"TRW"}))</f>
        <v>0.33583422714228</v>
      </c>
      <c r="H8" s="1" cm="1">
        <f ca="1" t="array" ref="H8">SUM(SUMIFS(Assumptions!BH$3:BH$102,Assumptions!$B$3:$B$102,'2-w'!$C8,Assumptions!$G$3:$G$102,{"TRW"}))</f>
        <v>0.3036171670686</v>
      </c>
      <c r="I8" s="1" cm="1">
        <f ca="1" t="array" ref="I8">SUM(SUMIFS(Assumptions!BI$3:BI$102,Assumptions!$B$3:$B$102,'2-w'!$C8,Assumptions!$G$3:$G$102,{"TRW"}))</f>
        <v>1.29937338565218</v>
      </c>
      <c r="J8" s="1" cm="1">
        <f ca="1" t="array" ref="J8">SUM(SUMIFS(Assumptions!BJ$3:BJ$102,Assumptions!$B$3:$B$102,'2-w'!$C8,Assumptions!$G$3:$G$102,{"TRW"}))</f>
        <v>12.1254548451246</v>
      </c>
      <c r="K8" s="112" cm="1">
        <f ca="1" t="array" ref="K8">SUM(SUMIFS(Assumptions!BK$3:BK$102,Assumptions!$B$3:$B$102,'2-w'!$C8,Assumptions!$G$3:$G$102,{"TRW"}))</f>
        <v>540.17052635916</v>
      </c>
      <c r="L8" s="1" cm="1">
        <f ca="1" t="array" ref="L8">SUM(SUMIFS(Assumptions!BL$3:BL$102,Assumptions!$B$3:$B$102,'2-w'!$C8,Assumptions!$G$3:$G$102,{"TRW"}))</f>
        <v>0.5074037159994</v>
      </c>
      <c r="M8" s="1" cm="1">
        <f ca="1" t="array" ref="M8">SUM(SUMIFS(Assumptions!BM$3:BM$102,Assumptions!$B$3:$B$102,'2-w'!$C8,Assumptions!$G$3:$G$102,{"TRW"}))</f>
        <v>1.202850034506</v>
      </c>
      <c r="N8" s="1" cm="1">
        <f ca="1" t="array" ref="N8">SUM(SUMIFS(Assumptions!BN$3:BN$102,Assumptions!$B$3:$B$102,'2-w'!$C8,Assumptions!$G$3:$G$102,{"TRW"}))</f>
        <v>1.59615068474286</v>
      </c>
      <c r="O8" s="1" cm="1">
        <f ca="1" t="array" ref="O8">SUM(SUMIFS(Assumptions!BO$3:BO$102,Assumptions!$B$3:$B$102,'2-w'!$C8,Assumptions!$G$3:$G$102,{"TRW"}))</f>
        <v>3.50466819890778</v>
      </c>
      <c r="P8" s="1" cm="1">
        <f ca="1" t="array" ref="P8">SUM(SUMIFS(Assumptions!BP$3:BP$102,Assumptions!$B$3:$B$102,'2-w'!$C8,Assumptions!$G$3:$G$102,{"TRW"}))</f>
        <v>0.5481242931051</v>
      </c>
      <c r="Q8" s="1" cm="1">
        <f ca="1" t="array" ref="Q8">SUM(SUMIFS(Assumptions!BQ$3:BQ$102,Assumptions!$B$3:$B$102,'2-w'!$C8,Assumptions!$G$3:$G$102,{"TRW"}))</f>
        <v>1.8747115580484</v>
      </c>
      <c r="R8" s="1" cm="1">
        <f ca="1" t="array" ref="R8">SUM(SUMIFS(Assumptions!BR$3:BR$102,Assumptions!$B$3:$B$102,'2-w'!$C8,Assumptions!$G$3:$G$102,{"TRW"}))</f>
        <v>0.02533997458386</v>
      </c>
      <c r="S8" s="1" cm="1">
        <f ca="1" t="array" ref="S8">SUM(SUMIFS(Assumptions!BS$3:BS$102,Assumptions!$B$3:$B$102,'2-w'!$C8,Assumptions!$G$3:$G$102,{"TRW"}))</f>
        <v>537.15200056416</v>
      </c>
      <c r="T8" s="1" cm="1">
        <f ca="1" t="array" ref="T8">SUM(SUMIFS(Assumptions!BT$3:BT$102,Assumptions!$B$3:$B$102,'2-w'!$C8,Assumptions!$G$3:$G$102,{"TRW"}))</f>
        <v>0.15632851109112</v>
      </c>
      <c r="U8" s="1" cm="1">
        <f ca="1" t="array" ref="U8">SUM(SUMIFS(Assumptions!BU$3:BU$102,Assumptions!$B$3:$B$102,'2-w'!$C8,Assumptions!$G$3:$G$102,{"TRW"}))</f>
        <v>1.5834267140031</v>
      </c>
      <c r="V8" s="1" cm="1">
        <f ca="1" t="array" ref="V8">SUM(SUMIFS(Assumptions!BV$3:BV$102,Assumptions!$B$3:$B$102,'2-w'!$C8,Assumptions!$G$3:$G$102,{"TRW"}))</f>
        <v>14.2608440592648</v>
      </c>
      <c r="W8" s="1" cm="1">
        <f ca="1" t="array" ref="W8">SUM(SUMIFS(Assumptions!BW$3:BW$102,Assumptions!$B$3:$B$102,'2-w'!$C8,Assumptions!$G$3:$G$102,{"TRW"}))</f>
        <v>23.0551733199258</v>
      </c>
      <c r="X8" s="1" cm="1">
        <f ca="1" t="array" ref="X8">SUM(SUMIFS(Assumptions!BX$3:BX$102,Assumptions!$B$3:$B$102,'2-w'!$C8,Assumptions!$G$3:$G$102,{"TRW"}))</f>
        <v>33.034734535572</v>
      </c>
      <c r="Y8" s="112" cm="1">
        <f ca="1" t="array" ref="Y8">SUM(SUMIFS(Assumptions!BY$3:BY$102,Assumptions!$B$3:$B$102,'2-w'!$C8,Assumptions!$G$3:$G$102,{"TRW"}))</f>
        <v>14.6777994476813</v>
      </c>
      <c r="Z8" s="1" cm="1">
        <f ca="1" t="array" ref="Z8">SUM(SUMIFS(Assumptions!BZ$3:BZ$102,Assumptions!$B$3:$B$102,'2-w'!$C8,Assumptions!$G$3:$G$102,{"TRW"}))</f>
        <v>0.13529496782772</v>
      </c>
      <c r="AA8" s="1" cm="1">
        <f ca="1" t="array" ref="AA8">SUM(SUMIFS(Assumptions!CA$3:CA$102,Assumptions!$B$3:$B$102,'2-w'!$C8,Assumptions!$G$3:$G$102,{"TRW"}))</f>
        <v>2.6232780250656</v>
      </c>
      <c r="AB8" s="1" cm="1">
        <f ca="1" t="array" ref="AB8">SUM(SUMIFS(Assumptions!CB$3:CB$102,Assumptions!$B$3:$B$102,'2-w'!$C8,Assumptions!$G$3:$G$102,{"TRW"}))</f>
        <v>1583.05227947748</v>
      </c>
      <c r="AC8" s="1" cm="1">
        <f ca="1" t="array" ref="AC8">SUM(SUMIFS(Assumptions!CC$3:CC$102,Assumptions!$B$3:$B$102,'2-w'!$C8,Assumptions!$G$3:$G$102,{"TRW"}))</f>
        <v>16.2431530969554</v>
      </c>
      <c r="AD8" s="1" cm="1">
        <f ca="1" t="array" ref="AD8">SUM(SUMIFS(Assumptions!CD$3:CD$102,Assumptions!$B$3:$B$102,'2-w'!$C8,Assumptions!$G$3:$G$102,{"TRW"}))</f>
        <v>14.2711896336912</v>
      </c>
      <c r="AE8" s="1" cm="1">
        <f ca="1" t="array" ref="AE8">SUM(SUMIFS(Assumptions!CE$3:CE$102,Assumptions!$B$3:$B$102,'2-w'!$C8,Assumptions!$G$3:$G$102,{"TRW"}))</f>
        <v>110.80105697304</v>
      </c>
      <c r="AF8" s="1" cm="1">
        <f ca="1" t="array" ref="AF8">SUM(SUMIFS(Assumptions!CF$3:CF$102,Assumptions!$B$3:$B$102,'2-w'!$C8,Assumptions!$G$3:$G$102,{"TRW"}))</f>
        <v>1.31502265617672</v>
      </c>
      <c r="AG8" s="1" cm="1">
        <f ca="1" t="array" ref="AG8">SUM(SUMIFS(Assumptions!CG$3:CG$102,Assumptions!$B$3:$B$102,'2-w'!$C8,Assumptions!$G$3:$G$102,{"TRW"}))</f>
        <v>0.9222909106266</v>
      </c>
      <c r="AH8" s="1" cm="1">
        <f ca="1" t="array" ref="AH8">SUM(SUMIFS(Assumptions!CH$3:CH$102,Assumptions!$B$3:$B$102,'2-w'!$C8,Assumptions!$G$3:$G$102,{"TRW"}))</f>
        <v>0.48438556819938</v>
      </c>
      <c r="AI8" s="1" cm="1">
        <f ca="1" t="array" ref="AI8">SUM(SUMIFS(Assumptions!CI$3:CI$102,Assumptions!$B$3:$B$102,'2-w'!$C8,Assumptions!$G$3:$G$102,{"TRW"}))</f>
        <v>1.3903119822816</v>
      </c>
      <c r="AJ8" s="1" cm="1">
        <f ca="1" t="array" ref="AJ8">SUM(SUMIFS(Assumptions!CJ$3:CJ$102,Assumptions!$B$3:$B$102,'2-w'!$C8,Assumptions!$G$3:$G$102,{"TRW"}))</f>
        <v>2.49964595385588</v>
      </c>
      <c r="AK8" s="1" cm="1">
        <f ca="1" t="array" ref="AK8">SUM(SUMIFS(Assumptions!CK$3:CK$102,Assumptions!$B$3:$B$102,'2-w'!$C8,Assumptions!$G$3:$G$102,{"TRW"}))</f>
        <v>0.8100800588664</v>
      </c>
      <c r="AL8" s="1" cm="1">
        <f ca="1" t="array" ref="AL8">SUM(SUMIFS(Assumptions!CL$3:CL$102,Assumptions!$B$3:$B$102,'2-w'!$C8,Assumptions!$G$3:$G$102,{"TRW"}))</f>
        <v>0.5281093469934</v>
      </c>
      <c r="AM8" s="1" cm="1">
        <f ca="1" t="array" ref="AM8">SUM(SUMIFS(Assumptions!CM$3:CM$102,Assumptions!$B$3:$B$102,'2-w'!$C8,Assumptions!$G$3:$G$102,{"TRW"}))</f>
        <v>0</v>
      </c>
      <c r="AN8" s="1" cm="1">
        <f ca="1" t="array" ref="AN8">SUM(SUMIFS(Assumptions!CN$3:CN$102,Assumptions!$B$3:$B$102,'2-w'!$C8,Assumptions!$G$3:$G$102,{"TRW"}))</f>
        <v>0</v>
      </c>
      <c r="AO8" s="1" cm="1">
        <f ca="1" t="array" ref="AO8">SUM(SUMIFS(Assumptions!CO$3:CO$102,Assumptions!$B$3:$B$102,'2-w'!$C8,Assumptions!$G$3:$G$102,{"TRW"}))</f>
        <v>0</v>
      </c>
      <c r="AP8" s="1" cm="1">
        <f ca="1" t="array" ref="AP8">SUM(SUMIFS(Assumptions!CP$3:CP$102,Assumptions!$B$3:$B$102,'2-w'!$C8,Assumptions!$G$3:$G$102,{"TRW"}))</f>
        <v>0</v>
      </c>
      <c r="AQ8" s="1" cm="1">
        <f ca="1" t="array" ref="AQ8">SUM(SUMIFS(Assumptions!CQ$3:CQ$102,Assumptions!$B$3:$B$102,'2-w'!$C8,Assumptions!$G$3:$G$102,{"TRW"}))</f>
        <v>0</v>
      </c>
      <c r="AR8" s="1" cm="1">
        <f ca="1" t="array" ref="AR8">SUM(SUMIFS(Assumptions!CR$3:CR$102,Assumptions!$B$3:$B$102,'2-w'!$C8,Assumptions!$G$3:$G$102,{"TRW"}))</f>
        <v>0</v>
      </c>
      <c r="AS8" s="1" cm="1">
        <f ca="1" t="array" ref="AS8">SUM(SUMIFS(Assumptions!CS$3:CS$102,Assumptions!$B$3:$B$102,'2-w'!$C8,Assumptions!$G$3:$G$102,{"TRW"}))</f>
        <v>0</v>
      </c>
      <c r="AT8" s="1" cm="1">
        <f ca="1" t="array" ref="AT8">SUM(SUMIFS(Assumptions!CT$3:CT$102,Assumptions!$B$3:$B$102,'2-w'!$C8,Assumptions!$G$3:$G$102,{"TRW"}))</f>
        <v>0</v>
      </c>
      <c r="AU8" s="1" cm="1">
        <f ca="1" t="array" ref="AU8">SUM(SUMIFS(Assumptions!CU$3:CU$102,Assumptions!$B$3:$B$102,'2-w'!$C8,Assumptions!$G$3:$G$102,{"TRW"}))</f>
        <v>0</v>
      </c>
      <c r="AV8" s="1" cm="1">
        <f ca="1" t="array" ref="AV8">SUM(SUMIFS(Assumptions!CV$3:CV$102,Assumptions!$B$3:$B$102,'2-w'!$C8,Assumptions!$G$3:$G$102,{"TRW"}))</f>
        <v>0</v>
      </c>
      <c r="AW8" s="1" cm="1">
        <f ca="1" t="array" ref="AW8">SUM(SUMIFS(Assumptions!CW$3:CW$102,Assumptions!$B$3:$B$102,'2-w'!$C8,Assumptions!$G$3:$G$102,{"TRW"}))</f>
        <v>0</v>
      </c>
      <c r="AX8" s="105" t="str">
        <f ca="1" t="shared" si="2"/>
        <v/>
      </c>
      <c r="AY8" t="s">
        <v>133</v>
      </c>
      <c r="BA8" t="str">
        <f t="shared" si="0"/>
        <v/>
      </c>
      <c r="BB8" t="str">
        <f t="shared" si="1"/>
        <v/>
      </c>
      <c r="BD8" t="str">
        <f t="shared" si="3"/>
        <v>*</v>
      </c>
      <c r="BE8">
        <f t="shared" si="4"/>
        <v>0</v>
      </c>
      <c r="BG8" t="s">
        <v>92</v>
      </c>
      <c r="BH8" t="s">
        <v>144</v>
      </c>
      <c r="BI8" t="s">
        <v>145</v>
      </c>
    </row>
    <row r="9" spans="1:61">
      <c r="A9" t="s">
        <v>78</v>
      </c>
      <c r="C9" s="43" t="s">
        <v>74</v>
      </c>
      <c r="D9" s="1" cm="1">
        <f ca="1" t="array" ref="D9">SUM(SUMIFS(Assumptions!BD$3:BD$102,Assumptions!$B$3:$B$102,'2-w'!$C9,Assumptions!$G$3:$G$102,{"TRW"}))</f>
        <v>0</v>
      </c>
      <c r="E9" s="1" cm="1">
        <f ca="1" t="array" ref="E9">SUM(SUMIFS(Assumptions!BE$3:BE$102,Assumptions!$B$3:$B$102,'2-w'!$C9,Assumptions!$G$3:$G$102,{"TRW"}))</f>
        <v>0</v>
      </c>
      <c r="F9" s="1" cm="1">
        <f ca="1" t="array" ref="F9">SUM(SUMIFS(Assumptions!BF$3:BF$102,Assumptions!$B$3:$B$102,'2-w'!$C9,Assumptions!$G$3:$G$102,{"TRW"}))</f>
        <v>0</v>
      </c>
      <c r="G9" s="1" cm="1">
        <f ca="1" t="array" ref="G9">SUM(SUMIFS(Assumptions!BG$3:BG$102,Assumptions!$B$3:$B$102,'2-w'!$C9,Assumptions!$G$3:$G$102,{"TRW"}))</f>
        <v>0</v>
      </c>
      <c r="H9" s="1" cm="1">
        <f ca="1" t="array" ref="H9">SUM(SUMIFS(Assumptions!BH$3:BH$102,Assumptions!$B$3:$B$102,'2-w'!$C9,Assumptions!$G$3:$G$102,{"TRW"}))</f>
        <v>0</v>
      </c>
      <c r="I9" s="1" cm="1">
        <f ca="1" t="array" ref="I9">SUM(SUMIFS(Assumptions!BI$3:BI$102,Assumptions!$B$3:$B$102,'2-w'!$C9,Assumptions!$G$3:$G$102,{"TRW"}))</f>
        <v>0</v>
      </c>
      <c r="J9" s="1" cm="1">
        <f ca="1" t="array" ref="J9">SUM(SUMIFS(Assumptions!BJ$3:BJ$102,Assumptions!$B$3:$B$102,'2-w'!$C9,Assumptions!$G$3:$G$102,{"TRW"}))</f>
        <v>0</v>
      </c>
      <c r="K9" s="112" cm="1">
        <f ca="1" t="array" ref="K9">SUM(SUMIFS(Assumptions!BK$3:BK$102,Assumptions!$B$3:$B$102,'2-w'!$C9,Assumptions!$G$3:$G$102,{"TRW"}))</f>
        <v>0</v>
      </c>
      <c r="L9" s="1" cm="1">
        <f ca="1" t="array" ref="L9">SUM(SUMIFS(Assumptions!BL$3:BL$102,Assumptions!$B$3:$B$102,'2-w'!$C9,Assumptions!$G$3:$G$102,{"TRW"}))</f>
        <v>0</v>
      </c>
      <c r="M9" s="1" cm="1">
        <f ca="1" t="array" ref="M9">SUM(SUMIFS(Assumptions!BM$3:BM$102,Assumptions!$B$3:$B$102,'2-w'!$C9,Assumptions!$G$3:$G$102,{"TRW"}))</f>
        <v>0</v>
      </c>
      <c r="N9" s="1" cm="1">
        <f ca="1" t="array" ref="N9">SUM(SUMIFS(Assumptions!BN$3:BN$102,Assumptions!$B$3:$B$102,'2-w'!$C9,Assumptions!$G$3:$G$102,{"TRW"}))</f>
        <v>0</v>
      </c>
      <c r="O9" s="1" cm="1">
        <f ca="1" t="array" ref="O9">SUM(SUMIFS(Assumptions!BO$3:BO$102,Assumptions!$B$3:$B$102,'2-w'!$C9,Assumptions!$G$3:$G$102,{"TRW"}))</f>
        <v>0</v>
      </c>
      <c r="P9" s="1" cm="1">
        <f ca="1" t="array" ref="P9">SUM(SUMIFS(Assumptions!BP$3:BP$102,Assumptions!$B$3:$B$102,'2-w'!$C9,Assumptions!$G$3:$G$102,{"TRW"}))</f>
        <v>0</v>
      </c>
      <c r="Q9" s="1" cm="1">
        <f ca="1" t="array" ref="Q9">SUM(SUMIFS(Assumptions!BQ$3:BQ$102,Assumptions!$B$3:$B$102,'2-w'!$C9,Assumptions!$G$3:$G$102,{"TRW"}))</f>
        <v>0</v>
      </c>
      <c r="R9" s="1" cm="1">
        <f ca="1" t="array" ref="R9">SUM(SUMIFS(Assumptions!BR$3:BR$102,Assumptions!$B$3:$B$102,'2-w'!$C9,Assumptions!$G$3:$G$102,{"TRW"}))</f>
        <v>0</v>
      </c>
      <c r="S9" s="1" cm="1">
        <f ca="1" t="array" ref="S9">SUM(SUMIFS(Assumptions!BS$3:BS$102,Assumptions!$B$3:$B$102,'2-w'!$C9,Assumptions!$G$3:$G$102,{"TRW"}))</f>
        <v>0</v>
      </c>
      <c r="T9" s="1" cm="1">
        <f ca="1" t="array" ref="T9">SUM(SUMIFS(Assumptions!BT$3:BT$102,Assumptions!$B$3:$B$102,'2-w'!$C9,Assumptions!$G$3:$G$102,{"TRW"}))</f>
        <v>0</v>
      </c>
      <c r="U9" s="1" cm="1">
        <f ca="1" t="array" ref="U9">SUM(SUMIFS(Assumptions!BU$3:BU$102,Assumptions!$B$3:$B$102,'2-w'!$C9,Assumptions!$G$3:$G$102,{"TRW"}))</f>
        <v>0</v>
      </c>
      <c r="V9" s="1" cm="1">
        <f ca="1" t="array" ref="V9">SUM(SUMIFS(Assumptions!BV$3:BV$102,Assumptions!$B$3:$B$102,'2-w'!$C9,Assumptions!$G$3:$G$102,{"TRW"}))</f>
        <v>0</v>
      </c>
      <c r="W9" s="1" cm="1">
        <f ca="1" t="array" ref="W9">SUM(SUMIFS(Assumptions!BW$3:BW$102,Assumptions!$B$3:$B$102,'2-w'!$C9,Assumptions!$G$3:$G$102,{"TRW"}))</f>
        <v>0</v>
      </c>
      <c r="X9" s="1" cm="1">
        <f ca="1" t="array" ref="X9">SUM(SUMIFS(Assumptions!BX$3:BX$102,Assumptions!$B$3:$B$102,'2-w'!$C9,Assumptions!$G$3:$G$102,{"TRW"}))</f>
        <v>0</v>
      </c>
      <c r="Y9" s="112" cm="1">
        <f ca="1" t="array" ref="Y9">SUM(SUMIFS(Assumptions!BY$3:BY$102,Assumptions!$B$3:$B$102,'2-w'!$C9,Assumptions!$G$3:$G$102,{"TRW"}))</f>
        <v>0</v>
      </c>
      <c r="Z9" s="1" cm="1">
        <f ca="1" t="array" ref="Z9">SUM(SUMIFS(Assumptions!BZ$3:BZ$102,Assumptions!$B$3:$B$102,'2-w'!$C9,Assumptions!$G$3:$G$102,{"TRW"}))</f>
        <v>0</v>
      </c>
      <c r="AA9" s="1" cm="1">
        <f ca="1" t="array" ref="AA9">SUM(SUMIFS(Assumptions!CA$3:CA$102,Assumptions!$B$3:$B$102,'2-w'!$C9,Assumptions!$G$3:$G$102,{"TRW"}))</f>
        <v>0</v>
      </c>
      <c r="AB9" s="1" cm="1">
        <f ca="1" t="array" ref="AB9">SUM(SUMIFS(Assumptions!CB$3:CB$102,Assumptions!$B$3:$B$102,'2-w'!$C9,Assumptions!$G$3:$G$102,{"TRW"}))</f>
        <v>0</v>
      </c>
      <c r="AC9" s="1" cm="1">
        <f ca="1" t="array" ref="AC9">SUM(SUMIFS(Assumptions!CC$3:CC$102,Assumptions!$B$3:$B$102,'2-w'!$C9,Assumptions!$G$3:$G$102,{"TRW"}))</f>
        <v>0</v>
      </c>
      <c r="AD9" s="1" cm="1">
        <f ca="1" t="array" ref="AD9">SUM(SUMIFS(Assumptions!CD$3:CD$102,Assumptions!$B$3:$B$102,'2-w'!$C9,Assumptions!$G$3:$G$102,{"TRW"}))</f>
        <v>0</v>
      </c>
      <c r="AE9" s="1" cm="1">
        <f ca="1" t="array" ref="AE9">SUM(SUMIFS(Assumptions!CE$3:CE$102,Assumptions!$B$3:$B$102,'2-w'!$C9,Assumptions!$G$3:$G$102,{"TRW"}))</f>
        <v>0</v>
      </c>
      <c r="AF9" s="1" cm="1">
        <f ca="1" t="array" ref="AF9">SUM(SUMIFS(Assumptions!CF$3:CF$102,Assumptions!$B$3:$B$102,'2-w'!$C9,Assumptions!$G$3:$G$102,{"TRW"}))</f>
        <v>0</v>
      </c>
      <c r="AG9" s="1" cm="1">
        <f ca="1" t="array" ref="AG9">SUM(SUMIFS(Assumptions!CG$3:CG$102,Assumptions!$B$3:$B$102,'2-w'!$C9,Assumptions!$G$3:$G$102,{"TRW"}))</f>
        <v>0</v>
      </c>
      <c r="AH9" s="1" cm="1">
        <f ca="1" t="array" ref="AH9">SUM(SUMIFS(Assumptions!CH$3:CH$102,Assumptions!$B$3:$B$102,'2-w'!$C9,Assumptions!$G$3:$G$102,{"TRW"}))</f>
        <v>0</v>
      </c>
      <c r="AI9" s="1" cm="1">
        <f ca="1" t="array" ref="AI9">SUM(SUMIFS(Assumptions!CI$3:CI$102,Assumptions!$B$3:$B$102,'2-w'!$C9,Assumptions!$G$3:$G$102,{"TRW"}))</f>
        <v>0</v>
      </c>
      <c r="AJ9" s="1" cm="1">
        <f ca="1" t="array" ref="AJ9">SUM(SUMIFS(Assumptions!CJ$3:CJ$102,Assumptions!$B$3:$B$102,'2-w'!$C9,Assumptions!$G$3:$G$102,{"TRW"}))</f>
        <v>0</v>
      </c>
      <c r="AK9" s="1" cm="1">
        <f ca="1" t="array" ref="AK9">SUM(SUMIFS(Assumptions!CK$3:CK$102,Assumptions!$B$3:$B$102,'2-w'!$C9,Assumptions!$G$3:$G$102,{"TRW"}))</f>
        <v>0</v>
      </c>
      <c r="AL9" s="1" cm="1">
        <f ca="1" t="array" ref="AL9">SUM(SUMIFS(Assumptions!CL$3:CL$102,Assumptions!$B$3:$B$102,'2-w'!$C9,Assumptions!$G$3:$G$102,{"TRW"}))</f>
        <v>0</v>
      </c>
      <c r="AM9" s="1" cm="1">
        <f ca="1" t="array" ref="AM9">SUM(SUMIFS(Assumptions!CM$3:CM$102,Assumptions!$B$3:$B$102,'2-w'!$C9,Assumptions!$G$3:$G$102,{"TRW"}))</f>
        <v>0</v>
      </c>
      <c r="AN9" s="1" cm="1">
        <f ca="1" t="array" ref="AN9">SUM(SUMIFS(Assumptions!CN$3:CN$102,Assumptions!$B$3:$B$102,'2-w'!$C9,Assumptions!$G$3:$G$102,{"TRW"}))</f>
        <v>0</v>
      </c>
      <c r="AO9" s="1" cm="1">
        <f ca="1" t="array" ref="AO9">SUM(SUMIFS(Assumptions!CO$3:CO$102,Assumptions!$B$3:$B$102,'2-w'!$C9,Assumptions!$G$3:$G$102,{"TRW"}))</f>
        <v>0</v>
      </c>
      <c r="AP9" s="1" cm="1">
        <f ca="1" t="array" ref="AP9">SUM(SUMIFS(Assumptions!CP$3:CP$102,Assumptions!$B$3:$B$102,'2-w'!$C9,Assumptions!$G$3:$G$102,{"TRW"}))</f>
        <v>0</v>
      </c>
      <c r="AQ9" s="1" cm="1">
        <f ca="1" t="array" ref="AQ9">SUM(SUMIFS(Assumptions!CQ$3:CQ$102,Assumptions!$B$3:$B$102,'2-w'!$C9,Assumptions!$G$3:$G$102,{"TRW"}))</f>
        <v>0</v>
      </c>
      <c r="AR9" s="1" cm="1">
        <f ca="1" t="array" ref="AR9">SUM(SUMIFS(Assumptions!CR$3:CR$102,Assumptions!$B$3:$B$102,'2-w'!$C9,Assumptions!$G$3:$G$102,{"TRW"}))</f>
        <v>0</v>
      </c>
      <c r="AS9" s="1" cm="1">
        <f ca="1" t="array" ref="AS9">SUM(SUMIFS(Assumptions!CS$3:CS$102,Assumptions!$B$3:$B$102,'2-w'!$C9,Assumptions!$G$3:$G$102,{"TRW"}))</f>
        <v>0</v>
      </c>
      <c r="AT9" s="1" cm="1">
        <f ca="1" t="array" ref="AT9">SUM(SUMIFS(Assumptions!CT$3:CT$102,Assumptions!$B$3:$B$102,'2-w'!$C9,Assumptions!$G$3:$G$102,{"TRW"}))</f>
        <v>0</v>
      </c>
      <c r="AU9" s="1" cm="1">
        <f ca="1" t="array" ref="AU9">SUM(SUMIFS(Assumptions!CU$3:CU$102,Assumptions!$B$3:$B$102,'2-w'!$C9,Assumptions!$G$3:$G$102,{"TRW"}))</f>
        <v>0</v>
      </c>
      <c r="AV9" s="1" cm="1">
        <f ca="1" t="array" ref="AV9">SUM(SUMIFS(Assumptions!CV$3:CV$102,Assumptions!$B$3:$B$102,'2-w'!$C9,Assumptions!$G$3:$G$102,{"TRW"}))</f>
        <v>0</v>
      </c>
      <c r="AW9" s="1" cm="1">
        <f ca="1" t="array" ref="AW9">SUM(SUMIFS(Assumptions!CW$3:CW$102,Assumptions!$B$3:$B$102,'2-w'!$C9,Assumptions!$G$3:$G$102,{"TRW"}))</f>
        <v>0</v>
      </c>
      <c r="AX9" s="105" t="str">
        <f ca="1" t="shared" si="2"/>
        <v>zero</v>
      </c>
      <c r="AY9" t="s">
        <v>133</v>
      </c>
      <c r="BA9" t="str">
        <f t="shared" si="0"/>
        <v/>
      </c>
      <c r="BB9" t="str">
        <f t="shared" si="1"/>
        <v/>
      </c>
      <c r="BD9" t="str">
        <f t="shared" si="3"/>
        <v>*</v>
      </c>
      <c r="BE9">
        <f t="shared" si="4"/>
        <v>0</v>
      </c>
      <c r="BG9" t="s">
        <v>92</v>
      </c>
      <c r="BH9" t="s">
        <v>144</v>
      </c>
      <c r="BI9" t="s">
        <v>145</v>
      </c>
    </row>
    <row r="10" spans="1:61">
      <c r="A10" t="s">
        <v>78</v>
      </c>
      <c r="C10" s="43" t="s">
        <v>52</v>
      </c>
      <c r="D10" s="1" cm="1">
        <f ca="1" t="array" ref="D10">SUM(SUMIFS(Assumptions!BD$3:BD$102,Assumptions!$B$3:$B$102,'2-w'!$C10,Assumptions!$G$3:$G$102,{"TRW"}))</f>
        <v>0</v>
      </c>
      <c r="E10" s="1" cm="1">
        <f ca="1" t="array" ref="E10">SUM(SUMIFS(Assumptions!BE$3:BE$102,Assumptions!$B$3:$B$102,'2-w'!$C10,Assumptions!$G$3:$G$102,{"TRW"}))</f>
        <v>0</v>
      </c>
      <c r="F10" s="1" cm="1">
        <f ca="1" t="array" ref="F10">SUM(SUMIFS(Assumptions!BF$3:BF$102,Assumptions!$B$3:$B$102,'2-w'!$C10,Assumptions!$G$3:$G$102,{"TRW"}))</f>
        <v>0</v>
      </c>
      <c r="G10" s="1" cm="1">
        <f ca="1" t="array" ref="G10">SUM(SUMIFS(Assumptions!BG$3:BG$102,Assumptions!$B$3:$B$102,'2-w'!$C10,Assumptions!$G$3:$G$102,{"TRW"}))</f>
        <v>0</v>
      </c>
      <c r="H10" s="1" cm="1">
        <f ca="1" t="array" ref="H10">SUM(SUMIFS(Assumptions!BH$3:BH$102,Assumptions!$B$3:$B$102,'2-w'!$C10,Assumptions!$G$3:$G$102,{"TRW"}))</f>
        <v>0</v>
      </c>
      <c r="I10" s="1" cm="1">
        <f ca="1" t="array" ref="I10">SUM(SUMIFS(Assumptions!BI$3:BI$102,Assumptions!$B$3:$B$102,'2-w'!$C10,Assumptions!$G$3:$G$102,{"TRW"}))</f>
        <v>0</v>
      </c>
      <c r="J10" s="1" cm="1">
        <f ca="1" t="array" ref="J10">SUM(SUMIFS(Assumptions!BJ$3:BJ$102,Assumptions!$B$3:$B$102,'2-w'!$C10,Assumptions!$G$3:$G$102,{"TRW"}))</f>
        <v>0</v>
      </c>
      <c r="K10" s="112" cm="1">
        <f ca="1" t="array" ref="K10">SUM(SUMIFS(Assumptions!BK$3:BK$102,Assumptions!$B$3:$B$102,'2-w'!$C10,Assumptions!$G$3:$G$102,{"TRW"}))</f>
        <v>0</v>
      </c>
      <c r="L10" s="1" cm="1">
        <f ca="1" t="array" ref="L10">SUM(SUMIFS(Assumptions!BL$3:BL$102,Assumptions!$B$3:$B$102,'2-w'!$C10,Assumptions!$G$3:$G$102,{"TRW"}))</f>
        <v>0</v>
      </c>
      <c r="M10" s="1" cm="1">
        <f ca="1" t="array" ref="M10">SUM(SUMIFS(Assumptions!BM$3:BM$102,Assumptions!$B$3:$B$102,'2-w'!$C10,Assumptions!$G$3:$G$102,{"TRW"}))</f>
        <v>0</v>
      </c>
      <c r="N10" s="1" cm="1">
        <f ca="1" t="array" ref="N10">SUM(SUMIFS(Assumptions!BN$3:BN$102,Assumptions!$B$3:$B$102,'2-w'!$C10,Assumptions!$G$3:$G$102,{"TRW"}))</f>
        <v>0</v>
      </c>
      <c r="O10" s="1" cm="1">
        <f ca="1" t="array" ref="O10">SUM(SUMIFS(Assumptions!BO$3:BO$102,Assumptions!$B$3:$B$102,'2-w'!$C10,Assumptions!$G$3:$G$102,{"TRW"}))</f>
        <v>0</v>
      </c>
      <c r="P10" s="1" cm="1">
        <f ca="1" t="array" ref="P10">SUM(SUMIFS(Assumptions!BP$3:BP$102,Assumptions!$B$3:$B$102,'2-w'!$C10,Assumptions!$G$3:$G$102,{"TRW"}))</f>
        <v>0</v>
      </c>
      <c r="Q10" s="1" cm="1">
        <f ca="1" t="array" ref="Q10">SUM(SUMIFS(Assumptions!BQ$3:BQ$102,Assumptions!$B$3:$B$102,'2-w'!$C10,Assumptions!$G$3:$G$102,{"TRW"}))</f>
        <v>0</v>
      </c>
      <c r="R10" s="1" cm="1">
        <f ca="1" t="array" ref="R10">SUM(SUMIFS(Assumptions!BR$3:BR$102,Assumptions!$B$3:$B$102,'2-w'!$C10,Assumptions!$G$3:$G$102,{"TRW"}))</f>
        <v>0</v>
      </c>
      <c r="S10" s="1" cm="1">
        <f ca="1" t="array" ref="S10">SUM(SUMIFS(Assumptions!BS$3:BS$102,Assumptions!$B$3:$B$102,'2-w'!$C10,Assumptions!$G$3:$G$102,{"TRW"}))</f>
        <v>0</v>
      </c>
      <c r="T10" s="1" cm="1">
        <f ca="1" t="array" ref="T10">SUM(SUMIFS(Assumptions!BT$3:BT$102,Assumptions!$B$3:$B$102,'2-w'!$C10,Assumptions!$G$3:$G$102,{"TRW"}))</f>
        <v>0</v>
      </c>
      <c r="U10" s="1" cm="1">
        <f ca="1" t="array" ref="U10">SUM(SUMIFS(Assumptions!BU$3:BU$102,Assumptions!$B$3:$B$102,'2-w'!$C10,Assumptions!$G$3:$G$102,{"TRW"}))</f>
        <v>0</v>
      </c>
      <c r="V10" s="1" cm="1">
        <f ca="1" t="array" ref="V10">SUM(SUMIFS(Assumptions!BV$3:BV$102,Assumptions!$B$3:$B$102,'2-w'!$C10,Assumptions!$G$3:$G$102,{"TRW"}))</f>
        <v>0</v>
      </c>
      <c r="W10" s="1" cm="1">
        <f ca="1" t="array" ref="W10">SUM(SUMIFS(Assumptions!BW$3:BW$102,Assumptions!$B$3:$B$102,'2-w'!$C10,Assumptions!$G$3:$G$102,{"TRW"}))</f>
        <v>0</v>
      </c>
      <c r="X10" s="1" cm="1">
        <f ca="1" t="array" ref="X10">SUM(SUMIFS(Assumptions!BX$3:BX$102,Assumptions!$B$3:$B$102,'2-w'!$C10,Assumptions!$G$3:$G$102,{"TRW"}))</f>
        <v>0</v>
      </c>
      <c r="Y10" s="112" cm="1">
        <f ca="1" t="array" ref="Y10">SUM(SUMIFS(Assumptions!BY$3:BY$102,Assumptions!$B$3:$B$102,'2-w'!$C10,Assumptions!$G$3:$G$102,{"TRW"}))</f>
        <v>0</v>
      </c>
      <c r="Z10" s="1" cm="1">
        <f ca="1" t="array" ref="Z10">SUM(SUMIFS(Assumptions!BZ$3:BZ$102,Assumptions!$B$3:$B$102,'2-w'!$C10,Assumptions!$G$3:$G$102,{"TRW"}))</f>
        <v>0</v>
      </c>
      <c r="AA10" s="1" cm="1">
        <f ca="1" t="array" ref="AA10">SUM(SUMIFS(Assumptions!CA$3:CA$102,Assumptions!$B$3:$B$102,'2-w'!$C10,Assumptions!$G$3:$G$102,{"TRW"}))</f>
        <v>0</v>
      </c>
      <c r="AB10" s="1" cm="1">
        <f ca="1" t="array" ref="AB10">SUM(SUMIFS(Assumptions!CB$3:CB$102,Assumptions!$B$3:$B$102,'2-w'!$C10,Assumptions!$G$3:$G$102,{"TRW"}))</f>
        <v>0</v>
      </c>
      <c r="AC10" s="1" cm="1">
        <f ca="1" t="array" ref="AC10">SUM(SUMIFS(Assumptions!CC$3:CC$102,Assumptions!$B$3:$B$102,'2-w'!$C10,Assumptions!$G$3:$G$102,{"TRW"}))</f>
        <v>0</v>
      </c>
      <c r="AD10" s="1" cm="1">
        <f ca="1" t="array" ref="AD10">SUM(SUMIFS(Assumptions!CD$3:CD$102,Assumptions!$B$3:$B$102,'2-w'!$C10,Assumptions!$G$3:$G$102,{"TRW"}))</f>
        <v>0</v>
      </c>
      <c r="AE10" s="1" cm="1">
        <f ca="1" t="array" ref="AE10">SUM(SUMIFS(Assumptions!CE$3:CE$102,Assumptions!$B$3:$B$102,'2-w'!$C10,Assumptions!$G$3:$G$102,{"TRW"}))</f>
        <v>0</v>
      </c>
      <c r="AF10" s="1" cm="1">
        <f ca="1" t="array" ref="AF10">SUM(SUMIFS(Assumptions!CF$3:CF$102,Assumptions!$B$3:$B$102,'2-w'!$C10,Assumptions!$G$3:$G$102,{"TRW"}))</f>
        <v>0</v>
      </c>
      <c r="AG10" s="1" cm="1">
        <f ca="1" t="array" ref="AG10">SUM(SUMIFS(Assumptions!CG$3:CG$102,Assumptions!$B$3:$B$102,'2-w'!$C10,Assumptions!$G$3:$G$102,{"TRW"}))</f>
        <v>0</v>
      </c>
      <c r="AH10" s="1" cm="1">
        <f ca="1" t="array" ref="AH10">SUM(SUMIFS(Assumptions!CH$3:CH$102,Assumptions!$B$3:$B$102,'2-w'!$C10,Assumptions!$G$3:$G$102,{"TRW"}))</f>
        <v>0</v>
      </c>
      <c r="AI10" s="1" cm="1">
        <f ca="1" t="array" ref="AI10">SUM(SUMIFS(Assumptions!CI$3:CI$102,Assumptions!$B$3:$B$102,'2-w'!$C10,Assumptions!$G$3:$G$102,{"TRW"}))</f>
        <v>0</v>
      </c>
      <c r="AJ10" s="1" cm="1">
        <f ca="1" t="array" ref="AJ10">SUM(SUMIFS(Assumptions!CJ$3:CJ$102,Assumptions!$B$3:$B$102,'2-w'!$C10,Assumptions!$G$3:$G$102,{"TRW"}))</f>
        <v>0</v>
      </c>
      <c r="AK10" s="1" cm="1">
        <f ca="1" t="array" ref="AK10">SUM(SUMIFS(Assumptions!CK$3:CK$102,Assumptions!$B$3:$B$102,'2-w'!$C10,Assumptions!$G$3:$G$102,{"TRW"}))</f>
        <v>0</v>
      </c>
      <c r="AL10" s="1" cm="1">
        <f ca="1" t="array" ref="AL10">SUM(SUMIFS(Assumptions!CL$3:CL$102,Assumptions!$B$3:$B$102,'2-w'!$C10,Assumptions!$G$3:$G$102,{"TRW"}))</f>
        <v>0</v>
      </c>
      <c r="AM10" s="1" cm="1">
        <f ca="1" t="array" ref="AM10">SUM(SUMIFS(Assumptions!CM$3:CM$102,Assumptions!$B$3:$B$102,'2-w'!$C10,Assumptions!$G$3:$G$102,{"TRW"}))</f>
        <v>0</v>
      </c>
      <c r="AN10" s="1" cm="1">
        <f ca="1" t="array" ref="AN10">SUM(SUMIFS(Assumptions!CN$3:CN$102,Assumptions!$B$3:$B$102,'2-w'!$C10,Assumptions!$G$3:$G$102,{"TRW"}))</f>
        <v>0</v>
      </c>
      <c r="AO10" s="1" cm="1">
        <f ca="1" t="array" ref="AO10">SUM(SUMIFS(Assumptions!CO$3:CO$102,Assumptions!$B$3:$B$102,'2-w'!$C10,Assumptions!$G$3:$G$102,{"TRW"}))</f>
        <v>0</v>
      </c>
      <c r="AP10" s="1" cm="1">
        <f ca="1" t="array" ref="AP10">SUM(SUMIFS(Assumptions!CP$3:CP$102,Assumptions!$B$3:$B$102,'2-w'!$C10,Assumptions!$G$3:$G$102,{"TRW"}))</f>
        <v>0</v>
      </c>
      <c r="AQ10" s="1" cm="1">
        <f ca="1" t="array" ref="AQ10">SUM(SUMIFS(Assumptions!CQ$3:CQ$102,Assumptions!$B$3:$B$102,'2-w'!$C10,Assumptions!$G$3:$G$102,{"TRW"}))</f>
        <v>0</v>
      </c>
      <c r="AR10" s="1" cm="1">
        <f ca="1" t="array" ref="AR10">SUM(SUMIFS(Assumptions!CR$3:CR$102,Assumptions!$B$3:$B$102,'2-w'!$C10,Assumptions!$G$3:$G$102,{"TRW"}))</f>
        <v>0</v>
      </c>
      <c r="AS10" s="1" cm="1">
        <f ca="1" t="array" ref="AS10">SUM(SUMIFS(Assumptions!CS$3:CS$102,Assumptions!$B$3:$B$102,'2-w'!$C10,Assumptions!$G$3:$G$102,{"TRW"}))</f>
        <v>0</v>
      </c>
      <c r="AT10" s="1" cm="1">
        <f ca="1" t="array" ref="AT10">SUM(SUMIFS(Assumptions!CT$3:CT$102,Assumptions!$B$3:$B$102,'2-w'!$C10,Assumptions!$G$3:$G$102,{"TRW"}))</f>
        <v>0</v>
      </c>
      <c r="AU10" s="1" cm="1">
        <f ca="1" t="array" ref="AU10">SUM(SUMIFS(Assumptions!CU$3:CU$102,Assumptions!$B$3:$B$102,'2-w'!$C10,Assumptions!$G$3:$G$102,{"TRW"}))</f>
        <v>0</v>
      </c>
      <c r="AV10" s="1" cm="1">
        <f ca="1" t="array" ref="AV10">SUM(SUMIFS(Assumptions!CV$3:CV$102,Assumptions!$B$3:$B$102,'2-w'!$C10,Assumptions!$G$3:$G$102,{"TRW"}))</f>
        <v>0</v>
      </c>
      <c r="AW10" s="1" cm="1">
        <f ca="1" t="array" ref="AW10">SUM(SUMIFS(Assumptions!CW$3:CW$102,Assumptions!$B$3:$B$102,'2-w'!$C10,Assumptions!$G$3:$G$102,{"TRW"}))</f>
        <v>0</v>
      </c>
      <c r="AX10" s="105" t="str">
        <f ca="1" t="shared" si="2"/>
        <v>zero</v>
      </c>
      <c r="AY10" t="s">
        <v>133</v>
      </c>
      <c r="BA10" t="str">
        <f t="shared" si="0"/>
        <v/>
      </c>
      <c r="BB10" t="str">
        <f t="shared" si="1"/>
        <v/>
      </c>
      <c r="BD10" t="str">
        <f t="shared" si="3"/>
        <v>*</v>
      </c>
      <c r="BE10">
        <f t="shared" si="4"/>
        <v>0</v>
      </c>
      <c r="BG10" t="s">
        <v>92</v>
      </c>
      <c r="BH10" t="s">
        <v>144</v>
      </c>
      <c r="BI10" t="s">
        <v>145</v>
      </c>
    </row>
    <row r="11" spans="1:61">
      <c r="A11" s="101" t="s">
        <v>146</v>
      </c>
      <c r="B11" s="101"/>
      <c r="D11" s="102">
        <f ca="1" t="shared" ref="D11:AW11" si="5">SUM(D$4:D$10)/SUM($D$4:$AJ$10)</f>
        <v>0.0659778583139769</v>
      </c>
      <c r="E11" s="102">
        <f ca="1" t="shared" si="5"/>
        <v>0.114569694689533</v>
      </c>
      <c r="F11" s="102">
        <f ca="1" t="shared" si="5"/>
        <v>0.00271444909373392</v>
      </c>
      <c r="G11" s="102">
        <f ca="1" t="shared" si="5"/>
        <v>9.86042924562937e-5</v>
      </c>
      <c r="H11" s="102">
        <f ca="1" t="shared" si="5"/>
        <v>7.99730211185191e-5</v>
      </c>
      <c r="I11" s="102">
        <f ca="1" t="shared" si="5"/>
        <v>0.00080038126012091</v>
      </c>
      <c r="J11" s="102">
        <f ca="1" t="shared" si="5"/>
        <v>0.00319385516228633</v>
      </c>
      <c r="K11" s="113">
        <f ca="1" t="shared" si="5"/>
        <v>0.181058674406959</v>
      </c>
      <c r="L11" s="102">
        <f ca="1" t="shared" si="5"/>
        <v>0.000133650572156438</v>
      </c>
      <c r="M11" s="102">
        <f ca="1" t="shared" si="5"/>
        <v>0.000316831726416264</v>
      </c>
      <c r="N11" s="102">
        <f ca="1" t="shared" si="5"/>
        <v>0.000653350980127295</v>
      </c>
      <c r="O11" s="102">
        <f ca="1" t="shared" si="5"/>
        <v>0.00116208985451525</v>
      </c>
      <c r="P11" s="102">
        <f ca="1" t="shared" si="5"/>
        <v>0.000158967366635766</v>
      </c>
      <c r="Q11" s="102">
        <f ca="1" t="shared" si="5"/>
        <v>0.000493800625539272</v>
      </c>
      <c r="R11" s="102">
        <f ca="1" t="shared" si="5"/>
        <v>2.27154457422181e-5</v>
      </c>
      <c r="S11" s="102">
        <f ca="1" t="shared" si="5"/>
        <v>0.141486295718142</v>
      </c>
      <c r="T11" s="102">
        <f ca="1" t="shared" si="5"/>
        <v>6.04560542933144e-5</v>
      </c>
      <c r="U11" s="102">
        <f ca="1" t="shared" si="5"/>
        <v>0.000515346777803594</v>
      </c>
      <c r="V11" s="102">
        <f ca="1" t="shared" si="5"/>
        <v>0.00375631850507915</v>
      </c>
      <c r="W11" s="102">
        <f ca="1" t="shared" si="5"/>
        <v>0.00636326140284605</v>
      </c>
      <c r="X11" s="102">
        <f ca="1" t="shared" si="5"/>
        <v>0.00870137729089955</v>
      </c>
      <c r="Y11" s="113">
        <f ca="1" t="shared" si="5"/>
        <v>0.00940635653940726</v>
      </c>
      <c r="Z11" s="102">
        <f ca="1" t="shared" si="5"/>
        <v>0.000646542368980874</v>
      </c>
      <c r="AA11" s="102">
        <f ca="1" t="shared" si="5"/>
        <v>0.000690973672285525</v>
      </c>
      <c r="AB11" s="102">
        <f ca="1" t="shared" si="5"/>
        <v>0.417326446802168</v>
      </c>
      <c r="AC11" s="102">
        <f ca="1" t="shared" si="5"/>
        <v>0.00427846039865279</v>
      </c>
      <c r="AD11" s="102">
        <f ca="1" t="shared" si="5"/>
        <v>0.00375904353821899</v>
      </c>
      <c r="AE11" s="102">
        <f ca="1" t="shared" si="5"/>
        <v>0.0291850930394099</v>
      </c>
      <c r="AF11" s="102">
        <f ca="1" t="shared" si="5"/>
        <v>0.000464991567747576</v>
      </c>
      <c r="AG11" s="102">
        <f ca="1" t="shared" si="5"/>
        <v>0.000511292227654298</v>
      </c>
      <c r="AH11" s="102">
        <f ca="1" t="shared" si="5"/>
        <v>0.000127587572366626</v>
      </c>
      <c r="AI11" s="102">
        <f ca="1" t="shared" si="5"/>
        <v>0.000366209363567425</v>
      </c>
      <c r="AJ11" s="102">
        <f ca="1" t="shared" si="5"/>
        <v>0.000919050349160377</v>
      </c>
      <c r="AK11" s="102">
        <f ca="1" t="shared" si="5"/>
        <v>0.000213375779376718</v>
      </c>
      <c r="AL11" s="102">
        <f ca="1" t="shared" si="5"/>
        <v>0.000139104453044475</v>
      </c>
      <c r="AM11" s="102">
        <f ca="1" t="shared" si="5"/>
        <v>0</v>
      </c>
      <c r="AN11" s="102">
        <f ca="1" t="shared" si="5"/>
        <v>0</v>
      </c>
      <c r="AO11" s="102">
        <f ca="1" t="shared" si="5"/>
        <v>0</v>
      </c>
      <c r="AP11" s="102">
        <f ca="1" t="shared" si="5"/>
        <v>0</v>
      </c>
      <c r="AQ11" s="102">
        <f ca="1" t="shared" si="5"/>
        <v>0</v>
      </c>
      <c r="AR11" s="102">
        <f ca="1" t="shared" si="5"/>
        <v>0</v>
      </c>
      <c r="AS11" s="102">
        <f ca="1" t="shared" si="5"/>
        <v>0</v>
      </c>
      <c r="AT11" s="102">
        <f ca="1" t="shared" si="5"/>
        <v>0</v>
      </c>
      <c r="AU11" s="102">
        <f ca="1" t="shared" si="5"/>
        <v>0</v>
      </c>
      <c r="AV11" s="102">
        <f ca="1" t="shared" si="5"/>
        <v>0</v>
      </c>
      <c r="AW11" s="102">
        <f ca="1" t="shared" si="5"/>
        <v>0</v>
      </c>
      <c r="AY11" t="s">
        <v>133</v>
      </c>
      <c r="BA11" t="str">
        <f t="shared" si="0"/>
        <v/>
      </c>
      <c r="BB11" t="str">
        <f t="shared" si="1"/>
        <v/>
      </c>
      <c r="BD11" t="str">
        <f t="shared" si="3"/>
        <v>*</v>
      </c>
      <c r="BE11">
        <f t="shared" si="4"/>
        <v>0</v>
      </c>
      <c r="BG11" t="s">
        <v>92</v>
      </c>
      <c r="BH11" t="s">
        <v>144</v>
      </c>
      <c r="BI11" t="s">
        <v>145</v>
      </c>
    </row>
    <row r="12" spans="1:61">
      <c r="AY12" t="s">
        <v>133</v>
      </c>
      <c r="BA12" t="str">
        <f t="shared" si="0"/>
        <v/>
      </c>
      <c r="BB12" s="111" t="str">
        <f t="shared" ref="BB12:BB18" si="6">IF($AZ12="","",12)</f>
        <v/>
      </c>
      <c r="BD12" t="str">
        <f t="shared" si="3"/>
        <v>*</v>
      </c>
      <c r="BE12">
        <f t="shared" si="4"/>
        <v>0</v>
      </c>
      <c r="BG12" t="s">
        <v>92</v>
      </c>
      <c r="BH12" t="s">
        <v>144</v>
      </c>
      <c r="BI12" t="s">
        <v>145</v>
      </c>
    </row>
    <row r="13" spans="1:61">
      <c r="A13" s="101" t="s">
        <v>147</v>
      </c>
      <c r="B13" s="101"/>
      <c r="C13" s="80">
        <f ca="1">SUM(D13:AJ13)</f>
        <v>596.338</v>
      </c>
      <c r="D13" s="78">
        <f ca="1" t="shared" ref="D13:AJ13" si="7">SUM(D19:D25)</f>
        <v>35.426</v>
      </c>
      <c r="E13" s="78">
        <f ca="1" t="shared" ref="E13:U13" si="8">SUM(E19:E25)</f>
        <v>61.516</v>
      </c>
      <c r="F13" s="78">
        <f ca="1" t="shared" si="8"/>
        <v>1.476</v>
      </c>
      <c r="G13" s="78">
        <f ca="1" t="shared" si="8"/>
        <v>0.064</v>
      </c>
      <c r="H13" s="78">
        <f ca="1" t="shared" si="8"/>
        <v>0.043</v>
      </c>
      <c r="I13" s="78">
        <f ca="1" t="shared" si="8"/>
        <v>0.929</v>
      </c>
      <c r="J13" s="78">
        <f ca="1" t="shared" si="8"/>
        <v>1.715</v>
      </c>
      <c r="K13" s="114">
        <f ca="1" t="shared" si="8"/>
        <v>139.489</v>
      </c>
      <c r="L13" s="78">
        <f ca="1" t="shared" si="8"/>
        <v>0.072</v>
      </c>
      <c r="M13" s="78">
        <f ca="1" t="shared" si="8"/>
        <v>0.17</v>
      </c>
      <c r="N13" s="78">
        <f ca="1" t="shared" si="8"/>
        <v>0.605</v>
      </c>
      <c r="O13" s="78">
        <f ca="1" t="shared" si="8"/>
        <v>0.885</v>
      </c>
      <c r="P13" s="78">
        <f ca="1" t="shared" si="8"/>
        <v>0.102</v>
      </c>
      <c r="Q13" s="78">
        <f ca="1" t="shared" si="8"/>
        <v>0.265</v>
      </c>
      <c r="R13" s="78">
        <f ca="1" t="shared" si="8"/>
        <v>0.03</v>
      </c>
      <c r="S13" s="78">
        <f ca="1" t="shared" si="8"/>
        <v>75.969</v>
      </c>
      <c r="T13" s="78">
        <f ca="1" t="shared" si="8"/>
        <v>0.053</v>
      </c>
      <c r="U13" s="78">
        <f ca="1" t="shared" si="8"/>
        <v>0.384</v>
      </c>
      <c r="V13" s="3">
        <f ca="1" t="shared" si="7"/>
        <v>3.53</v>
      </c>
      <c r="W13" s="3">
        <f ca="1" t="shared" si="7"/>
        <v>3.734</v>
      </c>
      <c r="X13" s="3">
        <f ca="1" t="shared" si="7"/>
        <v>6.541</v>
      </c>
      <c r="Y13" s="115">
        <f ca="1" t="shared" si="7"/>
        <v>11.09</v>
      </c>
      <c r="Z13" s="3">
        <f ca="1" t="shared" si="7"/>
        <v>1.772</v>
      </c>
      <c r="AA13" s="3">
        <f ca="1" t="shared" si="7"/>
        <v>0.371</v>
      </c>
      <c r="AB13" s="3">
        <f ca="1" t="shared" si="7"/>
        <v>224.457</v>
      </c>
      <c r="AC13" s="3">
        <f ca="1" t="shared" si="7"/>
        <v>5.36</v>
      </c>
      <c r="AD13" s="3">
        <f ca="1" t="shared" si="7"/>
        <v>2.018</v>
      </c>
      <c r="AE13" s="3">
        <f ca="1" t="shared" si="7"/>
        <v>15.67</v>
      </c>
      <c r="AF13" s="3">
        <f ca="1" t="shared" si="7"/>
        <v>0.408</v>
      </c>
      <c r="AG13" s="3">
        <f ca="1" t="shared" si="7"/>
        <v>0.567</v>
      </c>
      <c r="AH13" s="3">
        <f ca="1" t="shared" si="7"/>
        <v>0.069</v>
      </c>
      <c r="AI13" s="3">
        <f ca="1" t="shared" si="7"/>
        <v>0.197</v>
      </c>
      <c r="AJ13" s="3">
        <f ca="1" t="shared" si="7"/>
        <v>1.361</v>
      </c>
      <c r="AK13" s="3">
        <f ca="1" t="shared" ref="AK13:AW13" si="9">SUM(AK19:AK25)</f>
        <v>0.2</v>
      </c>
      <c r="AL13" s="3">
        <f ca="1" t="shared" si="9"/>
        <v>0.131</v>
      </c>
      <c r="AM13" s="3">
        <f ca="1" t="shared" si="9"/>
        <v>0</v>
      </c>
      <c r="AN13" s="3">
        <f ca="1" t="shared" si="9"/>
        <v>0</v>
      </c>
      <c r="AO13" s="3">
        <f ca="1" t="shared" si="9"/>
        <v>0</v>
      </c>
      <c r="AP13" s="3">
        <f ca="1" t="shared" si="9"/>
        <v>0</v>
      </c>
      <c r="AQ13" s="3">
        <f ca="1" t="shared" si="9"/>
        <v>0</v>
      </c>
      <c r="AR13" s="3">
        <f ca="1" t="shared" si="9"/>
        <v>0</v>
      </c>
      <c r="AS13" s="3">
        <f ca="1" t="shared" si="9"/>
        <v>0</v>
      </c>
      <c r="AT13" s="3">
        <f ca="1" t="shared" si="9"/>
        <v>0</v>
      </c>
      <c r="AU13" s="3">
        <f ca="1" t="shared" si="9"/>
        <v>0</v>
      </c>
      <c r="AV13" s="3">
        <f ca="1" t="shared" si="9"/>
        <v>0</v>
      </c>
      <c r="AW13" s="3">
        <f ca="1" t="shared" si="9"/>
        <v>0</v>
      </c>
      <c r="AY13" t="s">
        <v>133</v>
      </c>
      <c r="BA13" t="str">
        <f t="shared" si="0"/>
        <v/>
      </c>
      <c r="BB13" s="111" t="str">
        <f t="shared" si="6"/>
        <v/>
      </c>
      <c r="BD13" t="str">
        <f t="shared" si="3"/>
        <v>*</v>
      </c>
      <c r="BE13">
        <f t="shared" si="4"/>
        <v>0</v>
      </c>
      <c r="BG13" t="s">
        <v>92</v>
      </c>
      <c r="BH13" t="s">
        <v>144</v>
      </c>
      <c r="BI13" t="s">
        <v>145</v>
      </c>
    </row>
    <row r="14" spans="1:61">
      <c r="A14" s="101" t="s">
        <v>148</v>
      </c>
      <c r="B14" s="101"/>
      <c r="D14" s="102">
        <f ca="1" t="shared" ref="D14:AJ14" si="10">D13/SUM($D$13:$AJ$13)</f>
        <v>0.059405907388092</v>
      </c>
      <c r="E14" s="102">
        <f ca="1" t="shared" ref="E14:U14" si="11">E13/SUM($D$13:$AJ$13)</f>
        <v>0.10315626372963</v>
      </c>
      <c r="F14" s="102">
        <f ca="1" t="shared" si="11"/>
        <v>0.00247510639939095</v>
      </c>
      <c r="G14" s="102">
        <f ca="1" t="shared" si="11"/>
        <v>0.000107321686694459</v>
      </c>
      <c r="H14" s="102">
        <f ca="1" t="shared" si="11"/>
        <v>7.21067582478393e-5</v>
      </c>
      <c r="I14" s="102">
        <f ca="1" t="shared" si="11"/>
        <v>0.00155784135842425</v>
      </c>
      <c r="J14" s="102">
        <f ca="1" t="shared" si="11"/>
        <v>0.00287588582314057</v>
      </c>
      <c r="K14" s="113">
        <f ca="1" t="shared" si="11"/>
        <v>0.233909293051927</v>
      </c>
      <c r="L14" s="102">
        <f ca="1" t="shared" si="11"/>
        <v>0.000120736897531266</v>
      </c>
      <c r="M14" s="102">
        <f ca="1" t="shared" si="11"/>
        <v>0.000285073230282156</v>
      </c>
      <c r="N14" s="102">
        <f ca="1" t="shared" si="11"/>
        <v>0.00101452531953355</v>
      </c>
      <c r="O14" s="102">
        <f ca="1" t="shared" si="11"/>
        <v>0.00148405769882181</v>
      </c>
      <c r="P14" s="102">
        <f ca="1" t="shared" si="11"/>
        <v>0.000171043938169293</v>
      </c>
      <c r="Q14" s="102">
        <f ca="1" t="shared" si="11"/>
        <v>0.000444378858969242</v>
      </c>
      <c r="R14" s="102">
        <f ca="1" t="shared" si="11"/>
        <v>5.03070406380274e-5</v>
      </c>
      <c r="S14" s="102">
        <f ca="1" t="shared" si="11"/>
        <v>0.127392519007677</v>
      </c>
      <c r="T14" s="102">
        <f ca="1" t="shared" si="11"/>
        <v>8.88757717938485e-5</v>
      </c>
      <c r="U14" s="102">
        <f ca="1" t="shared" si="11"/>
        <v>0.000643930120166751</v>
      </c>
      <c r="V14" s="102">
        <f ca="1" t="shared" si="10"/>
        <v>0.00591946178174123</v>
      </c>
      <c r="W14" s="102">
        <f ca="1" t="shared" si="10"/>
        <v>0.00626154965807982</v>
      </c>
      <c r="X14" s="102">
        <f ca="1" t="shared" si="10"/>
        <v>0.0109686117604446</v>
      </c>
      <c r="Y14" s="113">
        <f ca="1" t="shared" si="10"/>
        <v>0.0185968360225241</v>
      </c>
      <c r="Z14" s="102">
        <f ca="1" t="shared" si="10"/>
        <v>0.00297146920035282</v>
      </c>
      <c r="AA14" s="102">
        <f ca="1" t="shared" si="10"/>
        <v>0.000622130402556939</v>
      </c>
      <c r="AB14" s="102">
        <f ca="1" t="shared" si="10"/>
        <v>0.376392247349658</v>
      </c>
      <c r="AC14" s="102">
        <f ca="1" t="shared" si="10"/>
        <v>0.0089881912606609</v>
      </c>
      <c r="AD14" s="102">
        <f ca="1" t="shared" si="10"/>
        <v>0.00338398693358465</v>
      </c>
      <c r="AE14" s="102">
        <f ca="1" t="shared" si="10"/>
        <v>0.0262770442265963</v>
      </c>
      <c r="AF14" s="102">
        <f ca="1" t="shared" si="10"/>
        <v>0.000684175752677173</v>
      </c>
      <c r="AG14" s="102">
        <f ca="1" t="shared" si="10"/>
        <v>0.000950803068058719</v>
      </c>
      <c r="AH14" s="102">
        <f ca="1" t="shared" si="10"/>
        <v>0.000115706193467463</v>
      </c>
      <c r="AI14" s="102">
        <f ca="1" t="shared" si="10"/>
        <v>0.00033034956685638</v>
      </c>
      <c r="AJ14" s="102">
        <f ca="1" t="shared" si="10"/>
        <v>0.00228226274361185</v>
      </c>
      <c r="AK14" s="102">
        <f ca="1" t="shared" ref="AK14:AW14" si="12">AK13/SUM($D$13:$AJ$13)</f>
        <v>0.000335380270920183</v>
      </c>
      <c r="AL14" s="102">
        <f ca="1" t="shared" si="12"/>
        <v>0.00021967407745272</v>
      </c>
      <c r="AM14" s="102">
        <f ca="1" t="shared" si="12"/>
        <v>0</v>
      </c>
      <c r="AN14" s="102">
        <f ca="1" t="shared" si="12"/>
        <v>0</v>
      </c>
      <c r="AO14" s="102">
        <f ca="1" t="shared" si="12"/>
        <v>0</v>
      </c>
      <c r="AP14" s="102">
        <f ca="1" t="shared" si="12"/>
        <v>0</v>
      </c>
      <c r="AQ14" s="102">
        <f ca="1" t="shared" si="12"/>
        <v>0</v>
      </c>
      <c r="AR14" s="102">
        <f ca="1" t="shared" si="12"/>
        <v>0</v>
      </c>
      <c r="AS14" s="102">
        <f ca="1" t="shared" si="12"/>
        <v>0</v>
      </c>
      <c r="AT14" s="102">
        <f ca="1" t="shared" si="12"/>
        <v>0</v>
      </c>
      <c r="AU14" s="102">
        <f ca="1" t="shared" si="12"/>
        <v>0</v>
      </c>
      <c r="AV14" s="102">
        <f ca="1" t="shared" si="12"/>
        <v>0</v>
      </c>
      <c r="AW14" s="102">
        <f ca="1" t="shared" si="12"/>
        <v>0</v>
      </c>
      <c r="AY14" t="s">
        <v>133</v>
      </c>
      <c r="BA14" t="str">
        <f t="shared" si="0"/>
        <v/>
      </c>
      <c r="BB14" s="111" t="str">
        <f t="shared" si="6"/>
        <v/>
      </c>
      <c r="BD14" t="str">
        <f t="shared" si="3"/>
        <v>*</v>
      </c>
      <c r="BE14">
        <f t="shared" si="4"/>
        <v>0</v>
      </c>
      <c r="BG14" t="s">
        <v>92</v>
      </c>
      <c r="BH14" t="s">
        <v>144</v>
      </c>
      <c r="BI14" t="s">
        <v>145</v>
      </c>
    </row>
    <row r="15" spans="1:61">
      <c r="A15" s="101"/>
      <c r="B15" s="101"/>
      <c r="D15" s="102"/>
      <c r="E15" s="102"/>
      <c r="F15" s="102"/>
      <c r="G15" s="102"/>
      <c r="H15" s="102"/>
      <c r="I15" s="102"/>
      <c r="J15" s="102"/>
      <c r="K15" s="113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13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Y15" t="s">
        <v>133</v>
      </c>
      <c r="BA15" t="str">
        <f t="shared" si="0"/>
        <v/>
      </c>
      <c r="BB15" s="111" t="str">
        <f t="shared" si="6"/>
        <v/>
      </c>
      <c r="BD15" t="str">
        <f t="shared" si="3"/>
        <v>*</v>
      </c>
      <c r="BE15">
        <f t="shared" si="4"/>
        <v>0</v>
      </c>
      <c r="BG15" t="s">
        <v>92</v>
      </c>
      <c r="BH15" t="s">
        <v>144</v>
      </c>
      <c r="BI15" t="s">
        <v>145</v>
      </c>
    </row>
    <row r="16" spans="1:61">
      <c r="AY16" t="s">
        <v>133</v>
      </c>
      <c r="BA16" t="str">
        <f t="shared" si="0"/>
        <v/>
      </c>
      <c r="BB16" s="111" t="str">
        <f t="shared" si="6"/>
        <v/>
      </c>
      <c r="BD16" t="str">
        <f t="shared" si="3"/>
        <v>*</v>
      </c>
      <c r="BE16">
        <f t="shared" si="4"/>
        <v>0</v>
      </c>
      <c r="BG16" t="s">
        <v>92</v>
      </c>
      <c r="BH16" t="s">
        <v>144</v>
      </c>
      <c r="BI16" t="s">
        <v>145</v>
      </c>
    </row>
    <row r="17" spans="1:61">
      <c r="A17" s="101" t="s">
        <v>149</v>
      </c>
      <c r="B17" s="101"/>
      <c r="D17" s="3">
        <f ca="1">IFERROR(D11/D14,"")</f>
        <v>1.11062790242309</v>
      </c>
      <c r="E17" s="3">
        <f ca="1" t="shared" ref="E17:U17" si="13">IFERROR(E11/E14,"")</f>
        <v>1.11064215150151</v>
      </c>
      <c r="F17" s="3">
        <f ca="1" t="shared" si="13"/>
        <v>1.09669996182866</v>
      </c>
      <c r="G17" s="3">
        <f ca="1" t="shared" si="13"/>
        <v>0.91877322741877</v>
      </c>
      <c r="H17" s="3">
        <f ca="1" t="shared" si="13"/>
        <v>1.10909189459943</v>
      </c>
      <c r="I17" s="3">
        <f ca="1" t="shared" si="13"/>
        <v>0.513775844884804</v>
      </c>
      <c r="J17" s="3">
        <f ca="1" t="shared" si="13"/>
        <v>1.11056396487901</v>
      </c>
      <c r="K17" s="115">
        <f ca="1" t="shared" si="13"/>
        <v>0.774055070855027</v>
      </c>
      <c r="L17" s="3">
        <f ca="1" t="shared" si="13"/>
        <v>1.1069571513698</v>
      </c>
      <c r="M17" s="3">
        <f ca="1" t="shared" si="13"/>
        <v>1.11140469451542</v>
      </c>
      <c r="N17" s="3">
        <f ca="1" t="shared" si="13"/>
        <v>0.643996721962233</v>
      </c>
      <c r="O17" s="3">
        <f ca="1" t="shared" si="13"/>
        <v>0.783048971369399</v>
      </c>
      <c r="P17" s="3">
        <f ca="1" t="shared" si="13"/>
        <v>0.929394916518032</v>
      </c>
      <c r="Q17" s="3">
        <f ca="1" t="shared" si="13"/>
        <v>1.11121538653901</v>
      </c>
      <c r="R17" s="3">
        <f ca="1" t="shared" si="13"/>
        <v>0.451536116100763</v>
      </c>
      <c r="S17" s="3">
        <f ca="1" t="shared" si="13"/>
        <v>1.11063268722723</v>
      </c>
      <c r="T17" s="3">
        <f ca="1" t="shared" si="13"/>
        <v>0.68023099066352</v>
      </c>
      <c r="U17" s="3">
        <f ca="1" t="shared" si="13"/>
        <v>0.800314757244374</v>
      </c>
      <c r="V17" s="3">
        <f ca="1" t="shared" ref="V17:AW17" si="14">IFERROR(V11/V14,"")</f>
        <v>0.634570953167675</v>
      </c>
      <c r="W17" s="3">
        <f ca="1" t="shared" si="14"/>
        <v>1.01624386139539</v>
      </c>
      <c r="X17" s="3">
        <f ca="1" t="shared" si="14"/>
        <v>0.793297956107698</v>
      </c>
      <c r="Y17" s="115">
        <f ca="1" t="shared" si="14"/>
        <v>0.505804133994323</v>
      </c>
      <c r="Z17" s="3">
        <f ca="1" t="shared" si="14"/>
        <v>0.217583399115867</v>
      </c>
      <c r="AA17" s="3">
        <f ca="1" t="shared" si="14"/>
        <v>1.11065729860756</v>
      </c>
      <c r="AB17" s="3">
        <f ca="1" t="shared" si="14"/>
        <v>1.10875409825985</v>
      </c>
      <c r="AC17" s="3">
        <f ca="1" t="shared" si="14"/>
        <v>0.47600905171862</v>
      </c>
      <c r="AD17" s="3">
        <f ca="1" t="shared" si="14"/>
        <v>1.11083275792588</v>
      </c>
      <c r="AE17" s="3">
        <f ca="1" t="shared" si="14"/>
        <v>1.11066879469915</v>
      </c>
      <c r="AF17" s="3">
        <f ca="1" t="shared" si="14"/>
        <v>0.679637601782975</v>
      </c>
      <c r="AG17" s="3">
        <f ca="1" t="shared" si="14"/>
        <v>0.537747767998076</v>
      </c>
      <c r="AH17" s="3">
        <f ca="1" t="shared" si="14"/>
        <v>1.10268576420245</v>
      </c>
      <c r="AI17" s="3">
        <f ca="1" t="shared" si="14"/>
        <v>1.10855106320341</v>
      </c>
      <c r="AJ17" s="3">
        <f ca="1" t="shared" si="14"/>
        <v>0.402692613605878</v>
      </c>
      <c r="AK17" s="3">
        <f ca="1" t="shared" si="14"/>
        <v>0.636220427609766</v>
      </c>
      <c r="AL17" s="3">
        <f ca="1" t="shared" si="14"/>
        <v>0.633231078775847</v>
      </c>
      <c r="AM17" s="3" t="str">
        <f ca="1" t="shared" si="14"/>
        <v/>
      </c>
      <c r="AN17" s="3" t="str">
        <f ca="1" t="shared" si="14"/>
        <v/>
      </c>
      <c r="AO17" s="3" t="str">
        <f ca="1" t="shared" si="14"/>
        <v/>
      </c>
      <c r="AP17" s="3" t="str">
        <f ca="1" t="shared" si="14"/>
        <v/>
      </c>
      <c r="AQ17" s="3" t="str">
        <f ca="1" t="shared" si="14"/>
        <v/>
      </c>
      <c r="AR17" s="3" t="str">
        <f ca="1" t="shared" si="14"/>
        <v/>
      </c>
      <c r="AS17" s="3" t="str">
        <f ca="1" t="shared" si="14"/>
        <v/>
      </c>
      <c r="AT17" s="3" t="str">
        <f ca="1" t="shared" si="14"/>
        <v/>
      </c>
      <c r="AU17" s="3" t="str">
        <f ca="1" t="shared" si="14"/>
        <v/>
      </c>
      <c r="AV17" s="3" t="str">
        <f ca="1" t="shared" si="14"/>
        <v/>
      </c>
      <c r="AW17" s="3" t="str">
        <f ca="1" t="shared" si="14"/>
        <v/>
      </c>
      <c r="AY17" t="s">
        <v>133</v>
      </c>
      <c r="BA17" t="str">
        <f t="shared" si="0"/>
        <v/>
      </c>
      <c r="BB17" s="111" t="str">
        <f t="shared" si="6"/>
        <v/>
      </c>
      <c r="BD17" t="str">
        <f t="shared" si="3"/>
        <v>*</v>
      </c>
      <c r="BE17">
        <f t="shared" si="4"/>
        <v>0</v>
      </c>
      <c r="BG17" t="s">
        <v>92</v>
      </c>
      <c r="BH17" t="s">
        <v>144</v>
      </c>
      <c r="BI17" t="s">
        <v>145</v>
      </c>
    </row>
    <row r="18" spans="1:61">
      <c r="AY18" t="s">
        <v>133</v>
      </c>
      <c r="BA18" t="str">
        <f t="shared" si="0"/>
        <v/>
      </c>
      <c r="BB18" s="111" t="str">
        <f t="shared" si="6"/>
        <v/>
      </c>
      <c r="BD18" t="str">
        <f t="shared" si="3"/>
        <v>*</v>
      </c>
      <c r="BE18">
        <f t="shared" si="4"/>
        <v>0</v>
      </c>
      <c r="BG18" t="s">
        <v>92</v>
      </c>
      <c r="BH18" t="s">
        <v>144</v>
      </c>
      <c r="BI18" t="s">
        <v>145</v>
      </c>
    </row>
    <row r="19" spans="1:61">
      <c r="A19" t="s">
        <v>150</v>
      </c>
      <c r="C19" t="str">
        <f t="shared" ref="C19:C25" si="15">C4</f>
        <v>TRABDS</v>
      </c>
      <c r="D19" s="78">
        <f ca="1">ROUND(D4*D28/D36,3)</f>
        <v>0</v>
      </c>
      <c r="E19" s="78">
        <f ca="1" t="shared" ref="E19:U19" si="16">ROUND(E4*E28/E36,3)</f>
        <v>0</v>
      </c>
      <c r="F19" s="78">
        <f ca="1" t="shared" si="16"/>
        <v>0</v>
      </c>
      <c r="G19" s="78">
        <f ca="1" t="shared" si="16"/>
        <v>0</v>
      </c>
      <c r="H19" s="78">
        <f ca="1" t="shared" si="16"/>
        <v>0</v>
      </c>
      <c r="I19" s="78">
        <f ca="1" t="shared" si="16"/>
        <v>0</v>
      </c>
      <c r="J19" s="78">
        <f ca="1" t="shared" si="16"/>
        <v>0</v>
      </c>
      <c r="K19" s="114">
        <f ca="1" t="shared" si="16"/>
        <v>0</v>
      </c>
      <c r="L19" s="78">
        <f ca="1" t="shared" si="16"/>
        <v>0</v>
      </c>
      <c r="M19" s="78">
        <f ca="1" t="shared" si="16"/>
        <v>0</v>
      </c>
      <c r="N19" s="78">
        <f ca="1" t="shared" si="16"/>
        <v>0</v>
      </c>
      <c r="O19" s="78">
        <f ca="1" t="shared" si="16"/>
        <v>0</v>
      </c>
      <c r="P19" s="78">
        <f ca="1" t="shared" si="16"/>
        <v>0</v>
      </c>
      <c r="Q19" s="78">
        <f ca="1" t="shared" si="16"/>
        <v>0</v>
      </c>
      <c r="R19" s="78">
        <f ca="1" t="shared" si="16"/>
        <v>0</v>
      </c>
      <c r="S19" s="78">
        <f ca="1" t="shared" si="16"/>
        <v>0</v>
      </c>
      <c r="T19" s="78">
        <f ca="1" t="shared" si="16"/>
        <v>0</v>
      </c>
      <c r="U19" s="78">
        <f ca="1" t="shared" si="16"/>
        <v>0</v>
      </c>
      <c r="V19" s="78">
        <f ca="1" t="shared" ref="V19:AW19" si="17">ROUND(V4*V28/V36,3)</f>
        <v>0</v>
      </c>
      <c r="W19" s="78">
        <f ca="1" t="shared" si="17"/>
        <v>0</v>
      </c>
      <c r="X19" s="78">
        <f ca="1" t="shared" si="17"/>
        <v>0</v>
      </c>
      <c r="Y19" s="114">
        <f ca="1" t="shared" si="17"/>
        <v>0</v>
      </c>
      <c r="Z19" s="78">
        <f ca="1" t="shared" si="17"/>
        <v>0</v>
      </c>
      <c r="AA19" s="78">
        <f ca="1" t="shared" si="17"/>
        <v>0</v>
      </c>
      <c r="AB19" s="78">
        <f ca="1" t="shared" si="17"/>
        <v>0</v>
      </c>
      <c r="AC19" s="78">
        <f ca="1" t="shared" si="17"/>
        <v>0</v>
      </c>
      <c r="AD19" s="78">
        <f ca="1" t="shared" si="17"/>
        <v>0</v>
      </c>
      <c r="AE19" s="78">
        <f ca="1" t="shared" si="17"/>
        <v>0</v>
      </c>
      <c r="AF19" s="78">
        <f ca="1" t="shared" si="17"/>
        <v>0</v>
      </c>
      <c r="AG19" s="78">
        <f ca="1" t="shared" si="17"/>
        <v>0</v>
      </c>
      <c r="AH19" s="78">
        <f ca="1" t="shared" si="17"/>
        <v>0</v>
      </c>
      <c r="AI19" s="78">
        <f ca="1" t="shared" si="17"/>
        <v>0</v>
      </c>
      <c r="AJ19" s="78">
        <f ca="1" t="shared" si="17"/>
        <v>0</v>
      </c>
      <c r="AK19" s="78">
        <f ca="1" t="shared" si="17"/>
        <v>0</v>
      </c>
      <c r="AL19" s="78">
        <f ca="1" t="shared" si="17"/>
        <v>0</v>
      </c>
      <c r="AM19" s="78">
        <f ca="1" t="shared" si="17"/>
        <v>0</v>
      </c>
      <c r="AN19" s="78">
        <f ca="1" t="shared" si="17"/>
        <v>0</v>
      </c>
      <c r="AO19" s="78">
        <f ca="1" t="shared" si="17"/>
        <v>0</v>
      </c>
      <c r="AP19" s="78">
        <f ca="1" t="shared" si="17"/>
        <v>0</v>
      </c>
      <c r="AQ19" s="78">
        <f ca="1" t="shared" si="17"/>
        <v>0</v>
      </c>
      <c r="AR19" s="78">
        <f ca="1" t="shared" si="17"/>
        <v>0</v>
      </c>
      <c r="AS19" s="78">
        <f ca="1" t="shared" si="17"/>
        <v>0</v>
      </c>
      <c r="AT19" s="78">
        <f ca="1" t="shared" si="17"/>
        <v>0</v>
      </c>
      <c r="AU19" s="78">
        <f ca="1" t="shared" si="17"/>
        <v>0</v>
      </c>
      <c r="AV19" s="78">
        <f ca="1" t="shared" si="17"/>
        <v>0</v>
      </c>
      <c r="AW19" s="78">
        <f ca="1" t="shared" si="17"/>
        <v>0</v>
      </c>
      <c r="AY19" t="s">
        <v>151</v>
      </c>
      <c r="AZ19" t="str">
        <f ca="1">IF(AX4="zero","\I:",$BA$45&amp;"_"&amp;VLOOKUP(C19,'TRA balance'!$BB$5:$BC$15,2,FALSE))</f>
        <v>\I:</v>
      </c>
      <c r="BA19" t="str">
        <f ca="1" t="shared" si="0"/>
        <v>Trd_2w</v>
      </c>
      <c r="BB19" s="111">
        <f ca="1" t="shared" ref="BB19:BB45" si="18">IF($AZ19="","",25)</f>
        <v>25</v>
      </c>
      <c r="BD19" t="str">
        <f ca="1" t="shared" si="3"/>
        <v>DMD</v>
      </c>
      <c r="BE19" t="str">
        <f ca="1" t="shared" si="4"/>
        <v>\I:</v>
      </c>
      <c r="BG19" t="s">
        <v>92</v>
      </c>
      <c r="BH19" t="s">
        <v>144</v>
      </c>
      <c r="BI19" t="s">
        <v>145</v>
      </c>
    </row>
    <row r="20" spans="1:61">
      <c r="C20" t="str">
        <f t="shared" si="15"/>
        <v>TRABGS</v>
      </c>
      <c r="D20" s="78">
        <f ca="1" t="shared" ref="D20:AW20" si="19">ROUND(D5*D29/D37,3)</f>
        <v>0</v>
      </c>
      <c r="E20" s="78">
        <f ca="1" t="shared" ref="E20:U20" si="20">ROUND(E5*E29/E37,3)</f>
        <v>0</v>
      </c>
      <c r="F20" s="78">
        <f ca="1" t="shared" si="20"/>
        <v>0</v>
      </c>
      <c r="G20" s="78">
        <f ca="1" t="shared" si="20"/>
        <v>0</v>
      </c>
      <c r="H20" s="78">
        <f ca="1" t="shared" si="20"/>
        <v>0</v>
      </c>
      <c r="I20" s="78">
        <f ca="1" t="shared" si="20"/>
        <v>0</v>
      </c>
      <c r="J20" s="78">
        <f ca="1" t="shared" si="20"/>
        <v>0</v>
      </c>
      <c r="K20" s="114">
        <f ca="1" t="shared" si="20"/>
        <v>0</v>
      </c>
      <c r="L20" s="78">
        <f ca="1" t="shared" si="20"/>
        <v>0</v>
      </c>
      <c r="M20" s="78">
        <f ca="1" t="shared" si="20"/>
        <v>0</v>
      </c>
      <c r="N20" s="78">
        <f ca="1" t="shared" si="20"/>
        <v>0</v>
      </c>
      <c r="O20" s="78">
        <f ca="1" t="shared" si="20"/>
        <v>0</v>
      </c>
      <c r="P20" s="78">
        <f ca="1" t="shared" si="20"/>
        <v>0</v>
      </c>
      <c r="Q20" s="78">
        <f ca="1" t="shared" si="20"/>
        <v>0</v>
      </c>
      <c r="R20" s="78">
        <f ca="1" t="shared" si="20"/>
        <v>0</v>
      </c>
      <c r="S20" s="78">
        <f ca="1" t="shared" si="20"/>
        <v>0</v>
      </c>
      <c r="T20" s="78">
        <f ca="1" t="shared" si="20"/>
        <v>0</v>
      </c>
      <c r="U20" s="78">
        <f ca="1" t="shared" si="20"/>
        <v>0</v>
      </c>
      <c r="V20" s="78">
        <f ca="1" t="shared" si="19"/>
        <v>0</v>
      </c>
      <c r="W20" s="78">
        <f ca="1" t="shared" si="19"/>
        <v>0</v>
      </c>
      <c r="X20" s="78">
        <f ca="1" t="shared" si="19"/>
        <v>0</v>
      </c>
      <c r="Y20" s="114">
        <f ca="1" t="shared" si="19"/>
        <v>0</v>
      </c>
      <c r="Z20" s="78">
        <f ca="1" t="shared" si="19"/>
        <v>0</v>
      </c>
      <c r="AA20" s="78">
        <f ca="1" t="shared" si="19"/>
        <v>0</v>
      </c>
      <c r="AB20" s="78">
        <f ca="1" t="shared" si="19"/>
        <v>0</v>
      </c>
      <c r="AC20" s="78">
        <f ca="1" t="shared" si="19"/>
        <v>0</v>
      </c>
      <c r="AD20" s="78">
        <f ca="1" t="shared" si="19"/>
        <v>0</v>
      </c>
      <c r="AE20" s="78">
        <f ca="1" t="shared" si="19"/>
        <v>0</v>
      </c>
      <c r="AF20" s="78">
        <f ca="1" t="shared" si="19"/>
        <v>0</v>
      </c>
      <c r="AG20" s="78">
        <f ca="1" t="shared" si="19"/>
        <v>0</v>
      </c>
      <c r="AH20" s="78">
        <f ca="1" t="shared" si="19"/>
        <v>0</v>
      </c>
      <c r="AI20" s="78">
        <f ca="1" t="shared" si="19"/>
        <v>0</v>
      </c>
      <c r="AJ20" s="78">
        <f ca="1" t="shared" si="19"/>
        <v>0</v>
      </c>
      <c r="AK20" s="78">
        <f ca="1" t="shared" si="19"/>
        <v>0</v>
      </c>
      <c r="AL20" s="78">
        <f ca="1" t="shared" si="19"/>
        <v>0</v>
      </c>
      <c r="AM20" s="78">
        <f ca="1" t="shared" si="19"/>
        <v>0</v>
      </c>
      <c r="AN20" s="78">
        <f ca="1" t="shared" si="19"/>
        <v>0</v>
      </c>
      <c r="AO20" s="78">
        <f ca="1" t="shared" si="19"/>
        <v>0</v>
      </c>
      <c r="AP20" s="78">
        <f ca="1" t="shared" si="19"/>
        <v>0</v>
      </c>
      <c r="AQ20" s="78">
        <f ca="1" t="shared" si="19"/>
        <v>0</v>
      </c>
      <c r="AR20" s="78">
        <f ca="1" t="shared" si="19"/>
        <v>0</v>
      </c>
      <c r="AS20" s="78">
        <f ca="1" t="shared" si="19"/>
        <v>0</v>
      </c>
      <c r="AT20" s="78">
        <f ca="1" t="shared" si="19"/>
        <v>0</v>
      </c>
      <c r="AU20" s="78">
        <f ca="1" t="shared" si="19"/>
        <v>0</v>
      </c>
      <c r="AV20" s="78">
        <f ca="1" t="shared" si="19"/>
        <v>0</v>
      </c>
      <c r="AW20" s="78">
        <f ca="1" t="shared" si="19"/>
        <v>0</v>
      </c>
      <c r="AY20" t="s">
        <v>151</v>
      </c>
      <c r="AZ20" t="str">
        <f ca="1">IF(AX5="zero","\I:",$BA$45&amp;"_"&amp;VLOOKUP(C20,'TRA balance'!$BB$5:$BC$15,2,FALSE))</f>
        <v>\I:</v>
      </c>
      <c r="BA20" t="str">
        <f ca="1" t="shared" si="0"/>
        <v>Trd_2w</v>
      </c>
      <c r="BB20" s="111">
        <f ca="1" t="shared" si="18"/>
        <v>25</v>
      </c>
      <c r="BD20" t="str">
        <f ca="1" t="shared" si="3"/>
        <v>DMD</v>
      </c>
      <c r="BE20" t="str">
        <f ca="1" t="shared" si="4"/>
        <v>\I:</v>
      </c>
      <c r="BG20" t="s">
        <v>92</v>
      </c>
      <c r="BH20" t="s">
        <v>144</v>
      </c>
      <c r="BI20" t="s">
        <v>145</v>
      </c>
    </row>
    <row r="21" spans="1:61">
      <c r="C21" t="str">
        <f t="shared" si="15"/>
        <v>TRADST</v>
      </c>
      <c r="D21" s="78">
        <f ca="1" t="shared" ref="D21:AW21" si="21">ROUND(D6*D30/D38,3)</f>
        <v>0</v>
      </c>
      <c r="E21" s="78">
        <f ca="1" t="shared" ref="E21:U21" si="22">ROUND(E6*E30/E38,3)</f>
        <v>0</v>
      </c>
      <c r="F21" s="78">
        <f ca="1" t="shared" si="22"/>
        <v>0</v>
      </c>
      <c r="G21" s="78">
        <f ca="1" t="shared" si="22"/>
        <v>0</v>
      </c>
      <c r="H21" s="78">
        <f ca="1" t="shared" si="22"/>
        <v>0</v>
      </c>
      <c r="I21" s="78">
        <f ca="1" t="shared" si="22"/>
        <v>0</v>
      </c>
      <c r="J21" s="78">
        <f ca="1" t="shared" si="22"/>
        <v>0</v>
      </c>
      <c r="K21" s="114">
        <f ca="1" t="shared" si="22"/>
        <v>0</v>
      </c>
      <c r="L21" s="78">
        <f ca="1" t="shared" si="22"/>
        <v>0</v>
      </c>
      <c r="M21" s="78">
        <f ca="1" t="shared" si="22"/>
        <v>0</v>
      </c>
      <c r="N21" s="78">
        <f ca="1" t="shared" si="22"/>
        <v>0</v>
      </c>
      <c r="O21" s="78">
        <f ca="1" t="shared" si="22"/>
        <v>0</v>
      </c>
      <c r="P21" s="78">
        <f ca="1" t="shared" si="22"/>
        <v>0</v>
      </c>
      <c r="Q21" s="78">
        <f ca="1" t="shared" si="22"/>
        <v>0</v>
      </c>
      <c r="R21" s="78">
        <f ca="1" t="shared" si="22"/>
        <v>0</v>
      </c>
      <c r="S21" s="78">
        <f ca="1" t="shared" si="22"/>
        <v>0</v>
      </c>
      <c r="T21" s="78">
        <f ca="1" t="shared" si="22"/>
        <v>0</v>
      </c>
      <c r="U21" s="78">
        <f ca="1" t="shared" si="22"/>
        <v>0</v>
      </c>
      <c r="V21" s="78">
        <f ca="1" t="shared" si="21"/>
        <v>0</v>
      </c>
      <c r="W21" s="78">
        <f ca="1" t="shared" si="21"/>
        <v>0</v>
      </c>
      <c r="X21" s="78">
        <f ca="1" t="shared" si="21"/>
        <v>0</v>
      </c>
      <c r="Y21" s="114">
        <f ca="1" t="shared" si="21"/>
        <v>0</v>
      </c>
      <c r="Z21" s="78">
        <f ca="1" t="shared" si="21"/>
        <v>0</v>
      </c>
      <c r="AA21" s="78">
        <f ca="1" t="shared" si="21"/>
        <v>0</v>
      </c>
      <c r="AB21" s="78">
        <f ca="1" t="shared" si="21"/>
        <v>0</v>
      </c>
      <c r="AC21" s="78">
        <f ca="1" t="shared" si="21"/>
        <v>0</v>
      </c>
      <c r="AD21" s="78">
        <f ca="1" t="shared" si="21"/>
        <v>0</v>
      </c>
      <c r="AE21" s="78">
        <f ca="1" t="shared" si="21"/>
        <v>0</v>
      </c>
      <c r="AF21" s="78">
        <f ca="1" t="shared" si="21"/>
        <v>0</v>
      </c>
      <c r="AG21" s="78">
        <f ca="1" t="shared" si="21"/>
        <v>0</v>
      </c>
      <c r="AH21" s="78">
        <f ca="1" t="shared" si="21"/>
        <v>0</v>
      </c>
      <c r="AI21" s="78">
        <f ca="1" t="shared" si="21"/>
        <v>0</v>
      </c>
      <c r="AJ21" s="78">
        <f ca="1" t="shared" si="21"/>
        <v>0</v>
      </c>
      <c r="AK21" s="78">
        <f ca="1" t="shared" si="21"/>
        <v>0</v>
      </c>
      <c r="AL21" s="78">
        <f ca="1" t="shared" si="21"/>
        <v>0</v>
      </c>
      <c r="AM21" s="78">
        <f ca="1" t="shared" si="21"/>
        <v>0</v>
      </c>
      <c r="AN21" s="78">
        <f ca="1" t="shared" si="21"/>
        <v>0</v>
      </c>
      <c r="AO21" s="78">
        <f ca="1" t="shared" si="21"/>
        <v>0</v>
      </c>
      <c r="AP21" s="78">
        <f ca="1" t="shared" si="21"/>
        <v>0</v>
      </c>
      <c r="AQ21" s="78">
        <f ca="1" t="shared" si="21"/>
        <v>0</v>
      </c>
      <c r="AR21" s="78">
        <f ca="1" t="shared" si="21"/>
        <v>0</v>
      </c>
      <c r="AS21" s="78">
        <f ca="1" t="shared" si="21"/>
        <v>0</v>
      </c>
      <c r="AT21" s="78">
        <f ca="1" t="shared" si="21"/>
        <v>0</v>
      </c>
      <c r="AU21" s="78">
        <f ca="1" t="shared" si="21"/>
        <v>0</v>
      </c>
      <c r="AV21" s="78">
        <f ca="1" t="shared" si="21"/>
        <v>0</v>
      </c>
      <c r="AW21" s="78">
        <f ca="1" t="shared" si="21"/>
        <v>0</v>
      </c>
      <c r="AY21" t="s">
        <v>151</v>
      </c>
      <c r="AZ21" t="str">
        <f ca="1">IF(AX6="zero","\I:",$BA$45&amp;"_"&amp;VLOOKUP(C21,'TRA balance'!$BB$5:$BC$15,2,FALSE))</f>
        <v>\I:</v>
      </c>
      <c r="BA21" t="str">
        <f ca="1" t="shared" si="0"/>
        <v>Trd_2w</v>
      </c>
      <c r="BB21" s="111">
        <f ca="1" t="shared" si="18"/>
        <v>25</v>
      </c>
      <c r="BD21" t="str">
        <f ca="1" t="shared" si="3"/>
        <v>DMD</v>
      </c>
      <c r="BE21" t="str">
        <f ca="1" t="shared" si="4"/>
        <v>\I:</v>
      </c>
      <c r="BG21" t="s">
        <v>92</v>
      </c>
      <c r="BH21" t="s">
        <v>144</v>
      </c>
      <c r="BI21" t="s">
        <v>145</v>
      </c>
    </row>
    <row r="22" s="111" customFormat="1" spans="1:61">
      <c r="C22" s="111" t="str">
        <f t="shared" si="15"/>
        <v>TRAELC</v>
      </c>
      <c r="D22" s="114">
        <f ca="1" t="shared" ref="D22:AW22" si="23">ROUND(D7*D31/D39,3)</f>
        <v>0</v>
      </c>
      <c r="E22" s="114">
        <f ca="1" t="shared" ref="E22:U22" si="24">ROUND(E7*E31/E39,3)</f>
        <v>0</v>
      </c>
      <c r="F22" s="114">
        <f ca="1" t="shared" si="24"/>
        <v>0.028</v>
      </c>
      <c r="G22" s="114">
        <f ca="1" t="shared" si="24"/>
        <v>0.017</v>
      </c>
      <c r="H22" s="114">
        <f ca="1" t="shared" si="24"/>
        <v>0</v>
      </c>
      <c r="I22" s="114">
        <f ca="1" t="shared" si="24"/>
        <v>0.745</v>
      </c>
      <c r="J22" s="114">
        <f ca="1" t="shared" si="24"/>
        <v>0</v>
      </c>
      <c r="K22" s="114">
        <f ca="1" t="shared" si="24"/>
        <v>63.093</v>
      </c>
      <c r="L22" s="114">
        <f ca="1" t="shared" si="24"/>
        <v>0</v>
      </c>
      <c r="M22" s="114">
        <f ca="1" t="shared" si="24"/>
        <v>0</v>
      </c>
      <c r="N22" s="114">
        <f ca="1" t="shared" si="24"/>
        <v>0.379</v>
      </c>
      <c r="O22" s="114">
        <f ca="1" t="shared" si="24"/>
        <v>0.389</v>
      </c>
      <c r="P22" s="114">
        <f ca="1" t="shared" si="24"/>
        <v>0.024</v>
      </c>
      <c r="Q22" s="114">
        <f ca="1" t="shared" si="24"/>
        <v>0</v>
      </c>
      <c r="R22" s="114">
        <f ca="1" t="shared" si="24"/>
        <v>0.026</v>
      </c>
      <c r="S22" s="114">
        <f ca="1" t="shared" si="24"/>
        <v>0</v>
      </c>
      <c r="T22" s="114">
        <f ca="1" t="shared" si="24"/>
        <v>0.031</v>
      </c>
      <c r="U22" s="114">
        <f ca="1" t="shared" si="24"/>
        <v>0.16</v>
      </c>
      <c r="V22" s="114">
        <f ca="1" t="shared" si="23"/>
        <v>0</v>
      </c>
      <c r="W22" s="114">
        <f ca="1" t="shared" si="23"/>
        <v>0.473</v>
      </c>
      <c r="X22" s="114">
        <f ca="1" t="shared" si="23"/>
        <v>0</v>
      </c>
      <c r="Y22" s="114">
        <f ca="1" t="shared" si="23"/>
        <v>9.014</v>
      </c>
      <c r="Z22" s="114">
        <f ca="1" t="shared" si="23"/>
        <v>1.739</v>
      </c>
      <c r="AA22" s="114">
        <f ca="1" t="shared" si="23"/>
        <v>0</v>
      </c>
      <c r="AB22" s="114">
        <f ca="1" t="shared" si="23"/>
        <v>0.568</v>
      </c>
      <c r="AC22" s="114">
        <f ca="1" t="shared" si="23"/>
        <v>0</v>
      </c>
      <c r="AD22" s="114">
        <f ca="1" t="shared" si="23"/>
        <v>0</v>
      </c>
      <c r="AE22" s="114">
        <f ca="1" t="shared" si="23"/>
        <v>0</v>
      </c>
      <c r="AF22" s="114">
        <f ca="1" t="shared" si="23"/>
        <v>0.208</v>
      </c>
      <c r="AG22" s="114">
        <f ca="1" t="shared" si="23"/>
        <v>0.437</v>
      </c>
      <c r="AH22" s="114">
        <f ca="1" t="shared" si="23"/>
        <v>0</v>
      </c>
      <c r="AI22" s="114">
        <f ca="1" t="shared" si="23"/>
        <v>0</v>
      </c>
      <c r="AJ22" s="114">
        <f ca="1" t="shared" si="23"/>
        <v>0.742</v>
      </c>
      <c r="AK22" s="114">
        <f ca="1" t="shared" si="23"/>
        <v>0</v>
      </c>
      <c r="AL22" s="114">
        <f ca="1" t="shared" si="23"/>
        <v>0</v>
      </c>
      <c r="AM22" s="114">
        <f ca="1" t="shared" si="23"/>
        <v>0</v>
      </c>
      <c r="AN22" s="114">
        <f ca="1" t="shared" si="23"/>
        <v>0</v>
      </c>
      <c r="AO22" s="114">
        <f ca="1" t="shared" si="23"/>
        <v>0</v>
      </c>
      <c r="AP22" s="114">
        <f ca="1" t="shared" si="23"/>
        <v>0</v>
      </c>
      <c r="AQ22" s="114">
        <f ca="1" t="shared" si="23"/>
        <v>0</v>
      </c>
      <c r="AR22" s="114">
        <f ca="1" t="shared" si="23"/>
        <v>0</v>
      </c>
      <c r="AS22" s="114">
        <f ca="1" t="shared" si="23"/>
        <v>0</v>
      </c>
      <c r="AT22" s="114">
        <f ca="1" t="shared" si="23"/>
        <v>0</v>
      </c>
      <c r="AU22" s="114">
        <f ca="1" t="shared" si="23"/>
        <v>0</v>
      </c>
      <c r="AV22" s="114">
        <f ca="1" t="shared" si="23"/>
        <v>0</v>
      </c>
      <c r="AW22" s="114">
        <f ca="1" t="shared" si="23"/>
        <v>0</v>
      </c>
      <c r="AY22" s="111" t="s">
        <v>151</v>
      </c>
      <c r="AZ22" s="111" t="str">
        <f ca="1">IF(AX7="zero","\I:",$BA$45&amp;"_"&amp;VLOOKUP(C22,'TRA balance'!$BB$5:$BC$15,2,FALSE))</f>
        <v>Trd_2w_elc</v>
      </c>
      <c r="BA22" s="111" t="str">
        <f ca="1" t="shared" si="0"/>
        <v>Trd_2w</v>
      </c>
      <c r="BB22" s="111">
        <f ca="1" t="shared" si="18"/>
        <v>25</v>
      </c>
      <c r="BD22" s="111" t="str">
        <f ca="1" t="shared" si="3"/>
        <v>DMD</v>
      </c>
      <c r="BE22" s="111" t="str">
        <f ca="1" t="shared" si="4"/>
        <v>Trd_2w_elc</v>
      </c>
      <c r="BG22" s="111" t="s">
        <v>92</v>
      </c>
      <c r="BH22" s="111" t="s">
        <v>144</v>
      </c>
      <c r="BI22" s="111" t="s">
        <v>145</v>
      </c>
    </row>
    <row r="23" s="111" customFormat="1" spans="1:61">
      <c r="C23" s="111" t="str">
        <f t="shared" si="15"/>
        <v>TRAGSL</v>
      </c>
      <c r="D23" s="114">
        <f ca="1" t="shared" ref="D23:AW23" si="25">ROUND(D8*D32/D40,3)</f>
        <v>35.426</v>
      </c>
      <c r="E23" s="114">
        <f ca="1" t="shared" ref="E23:U23" si="26">ROUND(E8*E32/E40,3)</f>
        <v>61.516</v>
      </c>
      <c r="F23" s="114">
        <f ca="1" t="shared" si="26"/>
        <v>1.448</v>
      </c>
      <c r="G23" s="114">
        <f ca="1" t="shared" si="26"/>
        <v>0.047</v>
      </c>
      <c r="H23" s="114">
        <f ca="1" t="shared" si="26"/>
        <v>0.043</v>
      </c>
      <c r="I23" s="114">
        <f ca="1" t="shared" si="26"/>
        <v>0.184</v>
      </c>
      <c r="J23" s="114">
        <f ca="1" t="shared" si="26"/>
        <v>1.715</v>
      </c>
      <c r="K23" s="114">
        <f ca="1" t="shared" si="26"/>
        <v>76.396</v>
      </c>
      <c r="L23" s="114">
        <f ca="1" t="shared" si="26"/>
        <v>0.072</v>
      </c>
      <c r="M23" s="114">
        <f ca="1" t="shared" si="26"/>
        <v>0.17</v>
      </c>
      <c r="N23" s="114">
        <f ca="1" t="shared" si="26"/>
        <v>0.226</v>
      </c>
      <c r="O23" s="114">
        <f ca="1" t="shared" si="26"/>
        <v>0.496</v>
      </c>
      <c r="P23" s="114">
        <f ca="1" t="shared" si="26"/>
        <v>0.078</v>
      </c>
      <c r="Q23" s="114">
        <f ca="1" t="shared" si="26"/>
        <v>0.265</v>
      </c>
      <c r="R23" s="114">
        <f ca="1" t="shared" si="26"/>
        <v>0.004</v>
      </c>
      <c r="S23" s="114">
        <f ca="1" t="shared" si="26"/>
        <v>75.969</v>
      </c>
      <c r="T23" s="114">
        <f ca="1" t="shared" si="26"/>
        <v>0.022</v>
      </c>
      <c r="U23" s="114">
        <f ca="1" t="shared" si="26"/>
        <v>0.224</v>
      </c>
      <c r="V23" s="114">
        <f ca="1" t="shared" si="25"/>
        <v>3.53</v>
      </c>
      <c r="W23" s="114">
        <f ca="1" t="shared" si="25"/>
        <v>3.261</v>
      </c>
      <c r="X23" s="114">
        <f ca="1" t="shared" si="25"/>
        <v>6.541</v>
      </c>
      <c r="Y23" s="114">
        <f ca="1" t="shared" si="25"/>
        <v>2.076</v>
      </c>
      <c r="Z23" s="114">
        <f ca="1" t="shared" si="25"/>
        <v>0.033</v>
      </c>
      <c r="AA23" s="114">
        <f ca="1" t="shared" si="25"/>
        <v>0.371</v>
      </c>
      <c r="AB23" s="114">
        <f ca="1" t="shared" si="25"/>
        <v>223.889</v>
      </c>
      <c r="AC23" s="114">
        <f ca="1" t="shared" si="25"/>
        <v>5.36</v>
      </c>
      <c r="AD23" s="114">
        <f ca="1" t="shared" si="25"/>
        <v>2.018</v>
      </c>
      <c r="AE23" s="114">
        <f ca="1" t="shared" si="25"/>
        <v>15.67</v>
      </c>
      <c r="AF23" s="114">
        <f ca="1" t="shared" si="25"/>
        <v>0.2</v>
      </c>
      <c r="AG23" s="114">
        <f ca="1" t="shared" si="25"/>
        <v>0.13</v>
      </c>
      <c r="AH23" s="114">
        <f ca="1" t="shared" si="25"/>
        <v>0.069</v>
      </c>
      <c r="AI23" s="114">
        <f ca="1" t="shared" si="25"/>
        <v>0.197</v>
      </c>
      <c r="AJ23" s="114">
        <f ca="1" t="shared" si="25"/>
        <v>0.619</v>
      </c>
      <c r="AK23" s="114">
        <f ca="1" t="shared" si="25"/>
        <v>0.2</v>
      </c>
      <c r="AL23" s="114">
        <f ca="1" t="shared" si="25"/>
        <v>0.131</v>
      </c>
      <c r="AM23" s="114">
        <f ca="1" t="shared" si="25"/>
        <v>0</v>
      </c>
      <c r="AN23" s="114">
        <f ca="1" t="shared" si="25"/>
        <v>0</v>
      </c>
      <c r="AO23" s="114">
        <f ca="1" t="shared" si="25"/>
        <v>0</v>
      </c>
      <c r="AP23" s="114">
        <f ca="1" t="shared" si="25"/>
        <v>0</v>
      </c>
      <c r="AQ23" s="114">
        <f ca="1" t="shared" si="25"/>
        <v>0</v>
      </c>
      <c r="AR23" s="114">
        <f ca="1" t="shared" si="25"/>
        <v>0</v>
      </c>
      <c r="AS23" s="114">
        <f ca="1" t="shared" si="25"/>
        <v>0</v>
      </c>
      <c r="AT23" s="114">
        <f ca="1" t="shared" si="25"/>
        <v>0</v>
      </c>
      <c r="AU23" s="114">
        <f ca="1" t="shared" si="25"/>
        <v>0</v>
      </c>
      <c r="AV23" s="114">
        <f ca="1" t="shared" si="25"/>
        <v>0</v>
      </c>
      <c r="AW23" s="114">
        <f ca="1" t="shared" si="25"/>
        <v>0</v>
      </c>
      <c r="AY23" s="111" t="s">
        <v>151</v>
      </c>
      <c r="AZ23" s="111" t="str">
        <f ca="1">IF(AX8="zero","\I:",$BA$45&amp;"_"&amp;VLOOKUP(C23,'TRA balance'!$BB$5:$BC$15,2,FALSE))</f>
        <v>Trd_2w_gsl</v>
      </c>
      <c r="BA23" s="111" t="str">
        <f ca="1" t="shared" si="0"/>
        <v>Trd_2w</v>
      </c>
      <c r="BB23" s="111">
        <f ca="1" t="shared" si="18"/>
        <v>25</v>
      </c>
      <c r="BD23" s="111" t="str">
        <f ca="1" t="shared" si="3"/>
        <v>DMD</v>
      </c>
      <c r="BE23" s="111" t="str">
        <f ca="1" t="shared" si="4"/>
        <v>Trd_2w_gsl</v>
      </c>
      <c r="BG23" s="111" t="s">
        <v>92</v>
      </c>
      <c r="BH23" s="111" t="s">
        <v>144</v>
      </c>
      <c r="BI23" s="111" t="s">
        <v>145</v>
      </c>
    </row>
    <row r="24" spans="1:61">
      <c r="C24" t="str">
        <f t="shared" si="15"/>
        <v>TRALPG</v>
      </c>
      <c r="D24" s="78">
        <f ca="1" t="shared" ref="D24:AW24" si="27">ROUND(D9*D33/D41,3)</f>
        <v>0</v>
      </c>
      <c r="E24" s="78">
        <f ca="1" t="shared" ref="E24:U24" si="28">ROUND(E9*E33/E41,3)</f>
        <v>0</v>
      </c>
      <c r="F24" s="78">
        <f ca="1" t="shared" si="28"/>
        <v>0</v>
      </c>
      <c r="G24" s="78">
        <f ca="1" t="shared" si="28"/>
        <v>0</v>
      </c>
      <c r="H24" s="78">
        <f ca="1" t="shared" si="28"/>
        <v>0</v>
      </c>
      <c r="I24" s="78">
        <f ca="1" t="shared" si="28"/>
        <v>0</v>
      </c>
      <c r="J24" s="78">
        <f ca="1" t="shared" si="28"/>
        <v>0</v>
      </c>
      <c r="K24" s="114">
        <f ca="1" t="shared" si="28"/>
        <v>0</v>
      </c>
      <c r="L24" s="78">
        <f ca="1" t="shared" si="28"/>
        <v>0</v>
      </c>
      <c r="M24" s="78">
        <f ca="1" t="shared" si="28"/>
        <v>0</v>
      </c>
      <c r="N24" s="78">
        <f ca="1" t="shared" si="28"/>
        <v>0</v>
      </c>
      <c r="O24" s="78">
        <f ca="1" t="shared" si="28"/>
        <v>0</v>
      </c>
      <c r="P24" s="78">
        <f ca="1" t="shared" si="28"/>
        <v>0</v>
      </c>
      <c r="Q24" s="78">
        <f ca="1" t="shared" si="28"/>
        <v>0</v>
      </c>
      <c r="R24" s="78">
        <f ca="1" t="shared" si="28"/>
        <v>0</v>
      </c>
      <c r="S24" s="78">
        <f ca="1" t="shared" si="28"/>
        <v>0</v>
      </c>
      <c r="T24" s="78">
        <f ca="1" t="shared" si="28"/>
        <v>0</v>
      </c>
      <c r="U24" s="78">
        <f ca="1" t="shared" si="28"/>
        <v>0</v>
      </c>
      <c r="V24" s="78">
        <f ca="1" t="shared" si="27"/>
        <v>0</v>
      </c>
      <c r="W24" s="78">
        <f ca="1" t="shared" si="27"/>
        <v>0</v>
      </c>
      <c r="X24" s="78">
        <f ca="1" t="shared" si="27"/>
        <v>0</v>
      </c>
      <c r="Y24" s="114">
        <f ca="1" t="shared" si="27"/>
        <v>0</v>
      </c>
      <c r="Z24" s="78">
        <f ca="1" t="shared" si="27"/>
        <v>0</v>
      </c>
      <c r="AA24" s="78">
        <f ca="1" t="shared" si="27"/>
        <v>0</v>
      </c>
      <c r="AB24" s="78">
        <f ca="1" t="shared" si="27"/>
        <v>0</v>
      </c>
      <c r="AC24" s="78">
        <f ca="1" t="shared" si="27"/>
        <v>0</v>
      </c>
      <c r="AD24" s="78">
        <f ca="1" t="shared" si="27"/>
        <v>0</v>
      </c>
      <c r="AE24" s="78">
        <f ca="1" t="shared" si="27"/>
        <v>0</v>
      </c>
      <c r="AF24" s="78">
        <f ca="1" t="shared" si="27"/>
        <v>0</v>
      </c>
      <c r="AG24" s="78">
        <f ca="1" t="shared" si="27"/>
        <v>0</v>
      </c>
      <c r="AH24" s="78">
        <f ca="1" t="shared" si="27"/>
        <v>0</v>
      </c>
      <c r="AI24" s="78">
        <f ca="1" t="shared" si="27"/>
        <v>0</v>
      </c>
      <c r="AJ24" s="78">
        <f ca="1" t="shared" si="27"/>
        <v>0</v>
      </c>
      <c r="AK24" s="78">
        <f ca="1" t="shared" si="27"/>
        <v>0</v>
      </c>
      <c r="AL24" s="78">
        <f ca="1" t="shared" si="27"/>
        <v>0</v>
      </c>
      <c r="AM24" s="78">
        <f ca="1" t="shared" si="27"/>
        <v>0</v>
      </c>
      <c r="AN24" s="78">
        <f ca="1" t="shared" si="27"/>
        <v>0</v>
      </c>
      <c r="AO24" s="78">
        <f ca="1" t="shared" si="27"/>
        <v>0</v>
      </c>
      <c r="AP24" s="78">
        <f ca="1" t="shared" si="27"/>
        <v>0</v>
      </c>
      <c r="AQ24" s="78">
        <f ca="1" t="shared" si="27"/>
        <v>0</v>
      </c>
      <c r="AR24" s="78">
        <f ca="1" t="shared" si="27"/>
        <v>0</v>
      </c>
      <c r="AS24" s="78">
        <f ca="1" t="shared" si="27"/>
        <v>0</v>
      </c>
      <c r="AT24" s="78">
        <f ca="1" t="shared" si="27"/>
        <v>0</v>
      </c>
      <c r="AU24" s="78">
        <f ca="1" t="shared" si="27"/>
        <v>0</v>
      </c>
      <c r="AV24" s="78">
        <f ca="1" t="shared" si="27"/>
        <v>0</v>
      </c>
      <c r="AW24" s="78">
        <f ca="1" t="shared" si="27"/>
        <v>0</v>
      </c>
      <c r="AY24" t="s">
        <v>151</v>
      </c>
      <c r="AZ24" t="str">
        <f ca="1">IF(AX9="zero","\I:",$BA$45&amp;"_"&amp;VLOOKUP(C24,'TRA balance'!$BB$5:$BC$15,2,FALSE))</f>
        <v>\I:</v>
      </c>
      <c r="BA24" t="str">
        <f ca="1" t="shared" si="0"/>
        <v>Trd_2w</v>
      </c>
      <c r="BB24" s="111">
        <f ca="1" t="shared" si="18"/>
        <v>25</v>
      </c>
      <c r="BD24" t="str">
        <f ca="1" t="shared" si="3"/>
        <v>DMD</v>
      </c>
      <c r="BE24" t="str">
        <f ca="1" t="shared" si="4"/>
        <v>\I:</v>
      </c>
      <c r="BG24" t="s">
        <v>92</v>
      </c>
      <c r="BH24" t="s">
        <v>144</v>
      </c>
      <c r="BI24" t="s">
        <v>145</v>
      </c>
    </row>
    <row r="25" spans="1:61">
      <c r="C25" t="str">
        <f t="shared" si="15"/>
        <v>TRANGA</v>
      </c>
      <c r="D25" s="78">
        <f ca="1" t="shared" ref="D25:AW25" si="29">ROUND(D10*D34/D42,3)</f>
        <v>0</v>
      </c>
      <c r="E25" s="78">
        <f ca="1" t="shared" ref="E25:U25" si="30">ROUND(E10*E34/E42,3)</f>
        <v>0</v>
      </c>
      <c r="F25" s="78">
        <f ca="1" t="shared" si="30"/>
        <v>0</v>
      </c>
      <c r="G25" s="78">
        <f ca="1" t="shared" si="30"/>
        <v>0</v>
      </c>
      <c r="H25" s="78">
        <f ca="1" t="shared" si="30"/>
        <v>0</v>
      </c>
      <c r="I25" s="78">
        <f ca="1" t="shared" si="30"/>
        <v>0</v>
      </c>
      <c r="J25" s="78">
        <f ca="1" t="shared" si="30"/>
        <v>0</v>
      </c>
      <c r="K25" s="114">
        <f ca="1" t="shared" si="30"/>
        <v>0</v>
      </c>
      <c r="L25" s="78">
        <f ca="1" t="shared" si="30"/>
        <v>0</v>
      </c>
      <c r="M25" s="78">
        <f ca="1" t="shared" si="30"/>
        <v>0</v>
      </c>
      <c r="N25" s="78">
        <f ca="1" t="shared" si="30"/>
        <v>0</v>
      </c>
      <c r="O25" s="78">
        <f ca="1" t="shared" si="30"/>
        <v>0</v>
      </c>
      <c r="P25" s="78">
        <f ca="1" t="shared" si="30"/>
        <v>0</v>
      </c>
      <c r="Q25" s="78">
        <f ca="1" t="shared" si="30"/>
        <v>0</v>
      </c>
      <c r="R25" s="78">
        <f ca="1" t="shared" si="30"/>
        <v>0</v>
      </c>
      <c r="S25" s="78">
        <f ca="1" t="shared" si="30"/>
        <v>0</v>
      </c>
      <c r="T25" s="78">
        <f ca="1" t="shared" si="30"/>
        <v>0</v>
      </c>
      <c r="U25" s="78">
        <f ca="1" t="shared" si="30"/>
        <v>0</v>
      </c>
      <c r="V25" s="78">
        <f ca="1" t="shared" si="29"/>
        <v>0</v>
      </c>
      <c r="W25" s="78">
        <f ca="1" t="shared" si="29"/>
        <v>0</v>
      </c>
      <c r="X25" s="78">
        <f ca="1" t="shared" si="29"/>
        <v>0</v>
      </c>
      <c r="Y25" s="114">
        <f ca="1" t="shared" si="29"/>
        <v>0</v>
      </c>
      <c r="Z25" s="78">
        <f ca="1" t="shared" si="29"/>
        <v>0</v>
      </c>
      <c r="AA25" s="78">
        <f ca="1" t="shared" si="29"/>
        <v>0</v>
      </c>
      <c r="AB25" s="78">
        <f ca="1" t="shared" si="29"/>
        <v>0</v>
      </c>
      <c r="AC25" s="78">
        <f ca="1" t="shared" si="29"/>
        <v>0</v>
      </c>
      <c r="AD25" s="78">
        <f ca="1" t="shared" si="29"/>
        <v>0</v>
      </c>
      <c r="AE25" s="78">
        <f ca="1" t="shared" si="29"/>
        <v>0</v>
      </c>
      <c r="AF25" s="78">
        <f ca="1" t="shared" si="29"/>
        <v>0</v>
      </c>
      <c r="AG25" s="78">
        <f ca="1" t="shared" si="29"/>
        <v>0</v>
      </c>
      <c r="AH25" s="78">
        <f ca="1" t="shared" si="29"/>
        <v>0</v>
      </c>
      <c r="AI25" s="78">
        <f ca="1" t="shared" si="29"/>
        <v>0</v>
      </c>
      <c r="AJ25" s="78">
        <f ca="1" t="shared" si="29"/>
        <v>0</v>
      </c>
      <c r="AK25" s="78">
        <f ca="1" t="shared" si="29"/>
        <v>0</v>
      </c>
      <c r="AL25" s="78">
        <f ca="1" t="shared" si="29"/>
        <v>0</v>
      </c>
      <c r="AM25" s="78">
        <f ca="1" t="shared" si="29"/>
        <v>0</v>
      </c>
      <c r="AN25" s="78">
        <f ca="1" t="shared" si="29"/>
        <v>0</v>
      </c>
      <c r="AO25" s="78">
        <f ca="1" t="shared" si="29"/>
        <v>0</v>
      </c>
      <c r="AP25" s="78">
        <f ca="1" t="shared" si="29"/>
        <v>0</v>
      </c>
      <c r="AQ25" s="78">
        <f ca="1" t="shared" si="29"/>
        <v>0</v>
      </c>
      <c r="AR25" s="78">
        <f ca="1" t="shared" si="29"/>
        <v>0</v>
      </c>
      <c r="AS25" s="78">
        <f ca="1" t="shared" si="29"/>
        <v>0</v>
      </c>
      <c r="AT25" s="78">
        <f ca="1" t="shared" si="29"/>
        <v>0</v>
      </c>
      <c r="AU25" s="78">
        <f ca="1" t="shared" si="29"/>
        <v>0</v>
      </c>
      <c r="AV25" s="78">
        <f ca="1" t="shared" si="29"/>
        <v>0</v>
      </c>
      <c r="AW25" s="78">
        <f ca="1" t="shared" si="29"/>
        <v>0</v>
      </c>
      <c r="AY25" t="s">
        <v>151</v>
      </c>
      <c r="AZ25" t="str">
        <f ca="1">IF(AX10="zero","\I:",$BA$45&amp;"_"&amp;VLOOKUP(C25,'TRA balance'!$BB$5:$BC$15,2,FALSE))</f>
        <v>\I:</v>
      </c>
      <c r="BA25" t="str">
        <f ca="1" t="shared" si="0"/>
        <v>Trd_2w</v>
      </c>
      <c r="BB25" s="111">
        <f ca="1" t="shared" si="18"/>
        <v>25</v>
      </c>
      <c r="BD25" t="str">
        <f ca="1" t="shared" si="3"/>
        <v>DMD</v>
      </c>
      <c r="BE25" t="str">
        <f ca="1" t="shared" si="4"/>
        <v>\I:</v>
      </c>
      <c r="BG25" t="s">
        <v>92</v>
      </c>
      <c r="BH25" t="s">
        <v>144</v>
      </c>
      <c r="BI25" t="s">
        <v>145</v>
      </c>
    </row>
    <row r="26" spans="1:61">
      <c r="D26" s="78"/>
      <c r="E26" s="78"/>
      <c r="F26" s="78"/>
      <c r="G26" s="78"/>
      <c r="H26" s="78"/>
      <c r="I26" s="78"/>
      <c r="J26" s="78"/>
      <c r="K26" s="114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114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Y26" t="s">
        <v>133</v>
      </c>
      <c r="BA26" t="str">
        <f t="shared" si="0"/>
        <v/>
      </c>
      <c r="BB26" s="111" t="str">
        <f t="shared" si="18"/>
        <v/>
      </c>
      <c r="BD26" t="str">
        <f t="shared" si="3"/>
        <v>*</v>
      </c>
      <c r="BE26">
        <f t="shared" si="4"/>
        <v>0</v>
      </c>
      <c r="BG26" t="s">
        <v>92</v>
      </c>
      <c r="BH26" t="s">
        <v>144</v>
      </c>
      <c r="BI26" t="s">
        <v>145</v>
      </c>
    </row>
    <row r="27" spans="1:61"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 s="111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 s="111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Y27" t="s">
        <v>133</v>
      </c>
      <c r="BA27" t="str">
        <f t="shared" si="0"/>
        <v/>
      </c>
      <c r="BB27" s="111" t="str">
        <f t="shared" si="18"/>
        <v/>
      </c>
      <c r="BD27" t="str">
        <f t="shared" si="3"/>
        <v>*</v>
      </c>
      <c r="BE27">
        <f t="shared" si="4"/>
        <v>0</v>
      </c>
      <c r="BG27" t="s">
        <v>92</v>
      </c>
      <c r="BH27" t="s">
        <v>144</v>
      </c>
      <c r="BI27" t="s">
        <v>145</v>
      </c>
    </row>
    <row r="28" spans="1:61">
      <c r="A28" t="s">
        <v>152</v>
      </c>
      <c r="C28" t="str">
        <f>C19</f>
        <v>TRABDS</v>
      </c>
      <c r="D28">
        <f t="shared" ref="D28:AC34" si="31">$AX28*D$27</f>
        <v>0.99</v>
      </c>
      <c r="E28">
        <f t="shared" si="31"/>
        <v>0.99</v>
      </c>
      <c r="F28">
        <f t="shared" si="31"/>
        <v>0.99</v>
      </c>
      <c r="G28">
        <f t="shared" si="31"/>
        <v>0.99</v>
      </c>
      <c r="H28">
        <f t="shared" si="31"/>
        <v>0.99</v>
      </c>
      <c r="I28">
        <f t="shared" si="31"/>
        <v>0.99</v>
      </c>
      <c r="J28">
        <f t="shared" si="31"/>
        <v>0.99</v>
      </c>
      <c r="K28" s="111">
        <f t="shared" si="31"/>
        <v>0.99</v>
      </c>
      <c r="L28">
        <f t="shared" si="31"/>
        <v>0.99</v>
      </c>
      <c r="M28">
        <f t="shared" si="31"/>
        <v>0.99</v>
      </c>
      <c r="N28">
        <f t="shared" si="31"/>
        <v>0.99</v>
      </c>
      <c r="O28">
        <f t="shared" si="31"/>
        <v>0.99</v>
      </c>
      <c r="P28">
        <f t="shared" si="31"/>
        <v>0.99</v>
      </c>
      <c r="Q28">
        <f t="shared" si="31"/>
        <v>0.99</v>
      </c>
      <c r="R28">
        <f t="shared" si="31"/>
        <v>0.99</v>
      </c>
      <c r="S28">
        <f t="shared" si="31"/>
        <v>0.99</v>
      </c>
      <c r="T28">
        <f t="shared" si="31"/>
        <v>0.99</v>
      </c>
      <c r="U28">
        <f t="shared" si="31"/>
        <v>0.99</v>
      </c>
      <c r="V28">
        <f t="shared" si="31"/>
        <v>0.99</v>
      </c>
      <c r="W28">
        <f t="shared" si="31"/>
        <v>0.99</v>
      </c>
      <c r="X28">
        <f t="shared" si="31"/>
        <v>0.99</v>
      </c>
      <c r="Y28" s="111">
        <f t="shared" si="31"/>
        <v>0.99</v>
      </c>
      <c r="Z28">
        <f t="shared" si="31"/>
        <v>0.99</v>
      </c>
      <c r="AA28">
        <f t="shared" si="31"/>
        <v>0.99</v>
      </c>
      <c r="AB28">
        <f t="shared" si="31"/>
        <v>0.99</v>
      </c>
      <c r="AC28">
        <f t="shared" si="31"/>
        <v>0.99</v>
      </c>
      <c r="AD28">
        <f t="shared" ref="AD28:AS34" si="32">$AX28*AD$27</f>
        <v>0.99</v>
      </c>
      <c r="AE28">
        <f t="shared" si="32"/>
        <v>0.99</v>
      </c>
      <c r="AF28">
        <f t="shared" si="32"/>
        <v>0.99</v>
      </c>
      <c r="AG28">
        <f t="shared" si="32"/>
        <v>0.99</v>
      </c>
      <c r="AH28">
        <f t="shared" si="32"/>
        <v>0.99</v>
      </c>
      <c r="AI28">
        <f t="shared" si="32"/>
        <v>0.99</v>
      </c>
      <c r="AJ28">
        <f t="shared" si="32"/>
        <v>0.99</v>
      </c>
      <c r="AK28">
        <f t="shared" si="32"/>
        <v>0.99</v>
      </c>
      <c r="AL28">
        <f t="shared" si="32"/>
        <v>0.99</v>
      </c>
      <c r="AM28">
        <f t="shared" si="32"/>
        <v>0.99</v>
      </c>
      <c r="AN28">
        <f t="shared" si="32"/>
        <v>0.99</v>
      </c>
      <c r="AO28">
        <f t="shared" si="32"/>
        <v>0.99</v>
      </c>
      <c r="AP28">
        <f t="shared" si="32"/>
        <v>0.99</v>
      </c>
      <c r="AQ28">
        <f t="shared" si="32"/>
        <v>0.99</v>
      </c>
      <c r="AR28">
        <f t="shared" si="32"/>
        <v>0.99</v>
      </c>
      <c r="AS28">
        <f t="shared" si="32"/>
        <v>0.99</v>
      </c>
      <c r="AT28">
        <f t="shared" ref="AK28:AW34" si="33">$AX28*AT$27</f>
        <v>0.99</v>
      </c>
      <c r="AU28">
        <f t="shared" si="33"/>
        <v>0.99</v>
      </c>
      <c r="AV28">
        <f t="shared" si="33"/>
        <v>0.99</v>
      </c>
      <c r="AW28">
        <f t="shared" si="33"/>
        <v>0.99</v>
      </c>
      <c r="AX28" s="106">
        <v>0.99</v>
      </c>
      <c r="AY28" t="s">
        <v>153</v>
      </c>
      <c r="AZ28" s="3" t="str">
        <f ca="1">AZ19</f>
        <v>\I:</v>
      </c>
      <c r="BA28" t="str">
        <f ca="1" t="shared" si="0"/>
        <v>Trd_2w</v>
      </c>
      <c r="BB28" s="111">
        <f ca="1" t="shared" si="18"/>
        <v>25</v>
      </c>
      <c r="BD28" t="str">
        <f ca="1" t="shared" si="3"/>
        <v>DMD</v>
      </c>
      <c r="BE28" t="str">
        <f ca="1" t="shared" si="4"/>
        <v>\I:</v>
      </c>
      <c r="BG28" t="s">
        <v>92</v>
      </c>
      <c r="BH28" t="s">
        <v>144</v>
      </c>
      <c r="BI28" t="s">
        <v>145</v>
      </c>
    </row>
    <row r="29" spans="1:61">
      <c r="C29" t="str">
        <f t="shared" ref="C29:C34" si="34">C20</f>
        <v>TRABGS</v>
      </c>
      <c r="D29">
        <f t="shared" si="31"/>
        <v>0.99</v>
      </c>
      <c r="E29">
        <f t="shared" si="31"/>
        <v>0.99</v>
      </c>
      <c r="F29">
        <f t="shared" si="31"/>
        <v>0.99</v>
      </c>
      <c r="G29">
        <f t="shared" si="31"/>
        <v>0.99</v>
      </c>
      <c r="H29">
        <f t="shared" si="31"/>
        <v>0.99</v>
      </c>
      <c r="I29">
        <f t="shared" si="31"/>
        <v>0.99</v>
      </c>
      <c r="J29">
        <f t="shared" si="31"/>
        <v>0.99</v>
      </c>
      <c r="K29" s="111">
        <f t="shared" si="31"/>
        <v>0.99</v>
      </c>
      <c r="L29">
        <f t="shared" si="31"/>
        <v>0.99</v>
      </c>
      <c r="M29">
        <f t="shared" si="31"/>
        <v>0.99</v>
      </c>
      <c r="N29">
        <f t="shared" si="31"/>
        <v>0.99</v>
      </c>
      <c r="O29">
        <f t="shared" si="31"/>
        <v>0.99</v>
      </c>
      <c r="P29">
        <f t="shared" si="31"/>
        <v>0.99</v>
      </c>
      <c r="Q29">
        <f t="shared" si="31"/>
        <v>0.99</v>
      </c>
      <c r="R29">
        <f t="shared" si="31"/>
        <v>0.99</v>
      </c>
      <c r="S29">
        <f t="shared" si="31"/>
        <v>0.99</v>
      </c>
      <c r="T29">
        <f t="shared" si="31"/>
        <v>0.99</v>
      </c>
      <c r="U29">
        <f t="shared" si="31"/>
        <v>0.99</v>
      </c>
      <c r="V29">
        <f t="shared" si="31"/>
        <v>0.99</v>
      </c>
      <c r="W29">
        <f t="shared" si="31"/>
        <v>0.99</v>
      </c>
      <c r="X29">
        <f t="shared" si="31"/>
        <v>0.99</v>
      </c>
      <c r="Y29" s="111">
        <f t="shared" si="31"/>
        <v>0.99</v>
      </c>
      <c r="Z29">
        <f t="shared" si="31"/>
        <v>0.99</v>
      </c>
      <c r="AA29">
        <f t="shared" si="31"/>
        <v>0.99</v>
      </c>
      <c r="AB29">
        <f t="shared" si="31"/>
        <v>0.99</v>
      </c>
      <c r="AC29">
        <f t="shared" si="31"/>
        <v>0.99</v>
      </c>
      <c r="AD29">
        <f t="shared" si="32"/>
        <v>0.99</v>
      </c>
      <c r="AE29">
        <f t="shared" si="32"/>
        <v>0.99</v>
      </c>
      <c r="AF29">
        <f t="shared" si="32"/>
        <v>0.99</v>
      </c>
      <c r="AG29">
        <f t="shared" si="32"/>
        <v>0.99</v>
      </c>
      <c r="AH29">
        <f t="shared" si="32"/>
        <v>0.99</v>
      </c>
      <c r="AI29">
        <f t="shared" si="32"/>
        <v>0.99</v>
      </c>
      <c r="AJ29">
        <f t="shared" si="32"/>
        <v>0.99</v>
      </c>
      <c r="AK29">
        <f t="shared" si="33"/>
        <v>0.99</v>
      </c>
      <c r="AL29">
        <f t="shared" si="33"/>
        <v>0.99</v>
      </c>
      <c r="AM29">
        <f t="shared" si="33"/>
        <v>0.99</v>
      </c>
      <c r="AN29">
        <f t="shared" si="33"/>
        <v>0.99</v>
      </c>
      <c r="AO29">
        <f t="shared" si="33"/>
        <v>0.99</v>
      </c>
      <c r="AP29">
        <f t="shared" si="33"/>
        <v>0.99</v>
      </c>
      <c r="AQ29">
        <f t="shared" si="33"/>
        <v>0.99</v>
      </c>
      <c r="AR29">
        <f t="shared" si="33"/>
        <v>0.99</v>
      </c>
      <c r="AS29">
        <f t="shared" si="33"/>
        <v>0.99</v>
      </c>
      <c r="AT29">
        <f t="shared" si="33"/>
        <v>0.99</v>
      </c>
      <c r="AU29">
        <f t="shared" si="33"/>
        <v>0.99</v>
      </c>
      <c r="AV29">
        <f t="shared" si="33"/>
        <v>0.99</v>
      </c>
      <c r="AW29">
        <f t="shared" si="33"/>
        <v>0.99</v>
      </c>
      <c r="AX29" s="106">
        <v>0.99</v>
      </c>
      <c r="AY29" t="s">
        <v>153</v>
      </c>
      <c r="AZ29" s="3" t="str">
        <f ca="1" t="shared" ref="AZ29:AZ34" si="35">AZ20</f>
        <v>\I:</v>
      </c>
      <c r="BA29" t="str">
        <f ca="1" t="shared" si="0"/>
        <v>Trd_2w</v>
      </c>
      <c r="BB29" s="111">
        <f ca="1" t="shared" si="18"/>
        <v>25</v>
      </c>
      <c r="BD29" t="str">
        <f ca="1" t="shared" si="3"/>
        <v>DMD</v>
      </c>
      <c r="BE29" t="str">
        <f ca="1" t="shared" si="4"/>
        <v>\I:</v>
      </c>
      <c r="BG29" t="s">
        <v>92</v>
      </c>
      <c r="BH29" t="s">
        <v>144</v>
      </c>
      <c r="BI29" t="s">
        <v>145</v>
      </c>
    </row>
    <row r="30" spans="1:61">
      <c r="C30" t="str">
        <f t="shared" si="34"/>
        <v>TRADST</v>
      </c>
      <c r="D30">
        <f t="shared" si="31"/>
        <v>0.99</v>
      </c>
      <c r="E30">
        <f t="shared" si="31"/>
        <v>0.99</v>
      </c>
      <c r="F30">
        <f t="shared" si="31"/>
        <v>0.99</v>
      </c>
      <c r="G30">
        <f t="shared" si="31"/>
        <v>0.99</v>
      </c>
      <c r="H30">
        <f t="shared" si="31"/>
        <v>0.99</v>
      </c>
      <c r="I30">
        <f t="shared" si="31"/>
        <v>0.99</v>
      </c>
      <c r="J30">
        <f t="shared" si="31"/>
        <v>0.99</v>
      </c>
      <c r="K30" s="111">
        <f t="shared" si="31"/>
        <v>0.99</v>
      </c>
      <c r="L30">
        <f t="shared" si="31"/>
        <v>0.99</v>
      </c>
      <c r="M30">
        <f t="shared" si="31"/>
        <v>0.99</v>
      </c>
      <c r="N30">
        <f t="shared" si="31"/>
        <v>0.99</v>
      </c>
      <c r="O30">
        <f t="shared" si="31"/>
        <v>0.99</v>
      </c>
      <c r="P30">
        <f t="shared" si="31"/>
        <v>0.99</v>
      </c>
      <c r="Q30">
        <f t="shared" si="31"/>
        <v>0.99</v>
      </c>
      <c r="R30">
        <f t="shared" si="31"/>
        <v>0.99</v>
      </c>
      <c r="S30">
        <f t="shared" si="31"/>
        <v>0.99</v>
      </c>
      <c r="T30">
        <f t="shared" si="31"/>
        <v>0.99</v>
      </c>
      <c r="U30">
        <f t="shared" si="31"/>
        <v>0.99</v>
      </c>
      <c r="V30">
        <f t="shared" si="31"/>
        <v>0.99</v>
      </c>
      <c r="W30">
        <f t="shared" si="31"/>
        <v>0.99</v>
      </c>
      <c r="X30">
        <f t="shared" si="31"/>
        <v>0.99</v>
      </c>
      <c r="Y30" s="111">
        <f t="shared" si="31"/>
        <v>0.99</v>
      </c>
      <c r="Z30">
        <f t="shared" si="31"/>
        <v>0.99</v>
      </c>
      <c r="AA30">
        <f t="shared" si="31"/>
        <v>0.99</v>
      </c>
      <c r="AB30">
        <f t="shared" si="31"/>
        <v>0.99</v>
      </c>
      <c r="AC30">
        <f t="shared" si="31"/>
        <v>0.99</v>
      </c>
      <c r="AD30">
        <f t="shared" si="32"/>
        <v>0.99</v>
      </c>
      <c r="AE30">
        <f t="shared" si="32"/>
        <v>0.99</v>
      </c>
      <c r="AF30">
        <f t="shared" si="32"/>
        <v>0.99</v>
      </c>
      <c r="AG30">
        <f t="shared" si="32"/>
        <v>0.99</v>
      </c>
      <c r="AH30">
        <f t="shared" si="32"/>
        <v>0.99</v>
      </c>
      <c r="AI30">
        <f t="shared" si="32"/>
        <v>0.99</v>
      </c>
      <c r="AJ30">
        <f t="shared" si="32"/>
        <v>0.99</v>
      </c>
      <c r="AK30">
        <f t="shared" si="33"/>
        <v>0.99</v>
      </c>
      <c r="AL30">
        <f t="shared" si="33"/>
        <v>0.99</v>
      </c>
      <c r="AM30">
        <f t="shared" si="33"/>
        <v>0.99</v>
      </c>
      <c r="AN30">
        <f t="shared" si="33"/>
        <v>0.99</v>
      </c>
      <c r="AO30">
        <f t="shared" si="33"/>
        <v>0.99</v>
      </c>
      <c r="AP30">
        <f t="shared" si="33"/>
        <v>0.99</v>
      </c>
      <c r="AQ30">
        <f t="shared" si="33"/>
        <v>0.99</v>
      </c>
      <c r="AR30">
        <f t="shared" si="33"/>
        <v>0.99</v>
      </c>
      <c r="AS30">
        <f t="shared" si="33"/>
        <v>0.99</v>
      </c>
      <c r="AT30">
        <f t="shared" si="33"/>
        <v>0.99</v>
      </c>
      <c r="AU30">
        <f t="shared" si="33"/>
        <v>0.99</v>
      </c>
      <c r="AV30">
        <f t="shared" si="33"/>
        <v>0.99</v>
      </c>
      <c r="AW30">
        <f t="shared" si="33"/>
        <v>0.99</v>
      </c>
      <c r="AX30" s="106">
        <v>0.99</v>
      </c>
      <c r="AY30" t="s">
        <v>153</v>
      </c>
      <c r="AZ30" s="3" t="str">
        <f ca="1" t="shared" si="35"/>
        <v>\I:</v>
      </c>
      <c r="BA30" t="str">
        <f ca="1" t="shared" si="0"/>
        <v>Trd_2w</v>
      </c>
      <c r="BB30" s="111">
        <f ca="1" t="shared" si="18"/>
        <v>25</v>
      </c>
      <c r="BD30" t="str">
        <f ca="1" t="shared" si="3"/>
        <v>DMD</v>
      </c>
      <c r="BE30" t="str">
        <f ca="1" t="shared" si="4"/>
        <v>\I:</v>
      </c>
      <c r="BG30" t="s">
        <v>92</v>
      </c>
      <c r="BH30" t="s">
        <v>144</v>
      </c>
      <c r="BI30" t="s">
        <v>145</v>
      </c>
    </row>
    <row r="31" spans="1:61">
      <c r="C31" t="str">
        <f t="shared" si="34"/>
        <v>TRAELC</v>
      </c>
      <c r="D31">
        <f t="shared" si="31"/>
        <v>3</v>
      </c>
      <c r="E31">
        <f t="shared" si="31"/>
        <v>3</v>
      </c>
      <c r="F31">
        <f t="shared" si="31"/>
        <v>3</v>
      </c>
      <c r="G31">
        <f t="shared" si="31"/>
        <v>3</v>
      </c>
      <c r="H31">
        <f t="shared" si="31"/>
        <v>3</v>
      </c>
      <c r="I31">
        <f t="shared" si="31"/>
        <v>3</v>
      </c>
      <c r="J31">
        <f t="shared" si="31"/>
        <v>3</v>
      </c>
      <c r="K31" s="111">
        <f t="shared" si="31"/>
        <v>3</v>
      </c>
      <c r="L31">
        <f t="shared" si="31"/>
        <v>3</v>
      </c>
      <c r="M31">
        <f t="shared" si="31"/>
        <v>3</v>
      </c>
      <c r="N31">
        <f t="shared" si="31"/>
        <v>3</v>
      </c>
      <c r="O31">
        <f t="shared" si="31"/>
        <v>3</v>
      </c>
      <c r="P31">
        <f t="shared" si="31"/>
        <v>3</v>
      </c>
      <c r="Q31">
        <f t="shared" si="31"/>
        <v>3</v>
      </c>
      <c r="R31">
        <f t="shared" si="31"/>
        <v>3</v>
      </c>
      <c r="S31">
        <f t="shared" si="31"/>
        <v>3</v>
      </c>
      <c r="T31">
        <f t="shared" si="31"/>
        <v>3</v>
      </c>
      <c r="U31">
        <f t="shared" si="31"/>
        <v>3</v>
      </c>
      <c r="V31">
        <f t="shared" si="31"/>
        <v>3</v>
      </c>
      <c r="W31">
        <f t="shared" si="31"/>
        <v>3</v>
      </c>
      <c r="X31">
        <f t="shared" si="31"/>
        <v>3</v>
      </c>
      <c r="Y31" s="111">
        <f t="shared" si="31"/>
        <v>3</v>
      </c>
      <c r="Z31">
        <f t="shared" si="31"/>
        <v>3</v>
      </c>
      <c r="AA31">
        <f t="shared" si="31"/>
        <v>3</v>
      </c>
      <c r="AB31">
        <f t="shared" si="31"/>
        <v>3</v>
      </c>
      <c r="AC31">
        <f t="shared" si="31"/>
        <v>3</v>
      </c>
      <c r="AD31">
        <f t="shared" si="32"/>
        <v>3</v>
      </c>
      <c r="AE31">
        <f t="shared" si="32"/>
        <v>3</v>
      </c>
      <c r="AF31">
        <f t="shared" si="32"/>
        <v>3</v>
      </c>
      <c r="AG31">
        <f t="shared" si="32"/>
        <v>3</v>
      </c>
      <c r="AH31">
        <f t="shared" si="32"/>
        <v>3</v>
      </c>
      <c r="AI31">
        <f t="shared" si="32"/>
        <v>3</v>
      </c>
      <c r="AJ31">
        <f t="shared" si="32"/>
        <v>3</v>
      </c>
      <c r="AK31">
        <f t="shared" si="33"/>
        <v>3</v>
      </c>
      <c r="AL31">
        <f t="shared" si="33"/>
        <v>3</v>
      </c>
      <c r="AM31">
        <f t="shared" si="33"/>
        <v>3</v>
      </c>
      <c r="AN31">
        <f t="shared" si="33"/>
        <v>3</v>
      </c>
      <c r="AO31">
        <f t="shared" si="33"/>
        <v>3</v>
      </c>
      <c r="AP31">
        <f t="shared" si="33"/>
        <v>3</v>
      </c>
      <c r="AQ31">
        <f t="shared" si="33"/>
        <v>3</v>
      </c>
      <c r="AR31">
        <f t="shared" si="33"/>
        <v>3</v>
      </c>
      <c r="AS31">
        <f t="shared" si="33"/>
        <v>3</v>
      </c>
      <c r="AT31">
        <f t="shared" si="33"/>
        <v>3</v>
      </c>
      <c r="AU31">
        <f t="shared" si="33"/>
        <v>3</v>
      </c>
      <c r="AV31">
        <f t="shared" si="33"/>
        <v>3</v>
      </c>
      <c r="AW31">
        <f t="shared" si="33"/>
        <v>3</v>
      </c>
      <c r="AX31" s="106">
        <v>3</v>
      </c>
      <c r="AY31" t="s">
        <v>153</v>
      </c>
      <c r="AZ31" s="3" t="str">
        <f ca="1" t="shared" si="35"/>
        <v>Trd_2w_elc</v>
      </c>
      <c r="BA31" t="str">
        <f ca="1" t="shared" si="0"/>
        <v>Trd_2w</v>
      </c>
      <c r="BB31" s="111">
        <f ca="1" t="shared" si="18"/>
        <v>25</v>
      </c>
      <c r="BD31" t="str">
        <f ca="1" t="shared" si="3"/>
        <v>DMD</v>
      </c>
      <c r="BE31" t="str">
        <f ca="1" t="shared" si="4"/>
        <v>Trd_2w_elc</v>
      </c>
      <c r="BG31" t="s">
        <v>92</v>
      </c>
      <c r="BH31" t="s">
        <v>144</v>
      </c>
      <c r="BI31" t="s">
        <v>145</v>
      </c>
    </row>
    <row r="32" spans="1:61">
      <c r="C32" t="str">
        <f t="shared" si="34"/>
        <v>TRAGSL</v>
      </c>
      <c r="D32">
        <f t="shared" si="31"/>
        <v>0.99</v>
      </c>
      <c r="E32">
        <f t="shared" si="31"/>
        <v>0.99</v>
      </c>
      <c r="F32">
        <f t="shared" si="31"/>
        <v>0.99</v>
      </c>
      <c r="G32">
        <f t="shared" si="31"/>
        <v>0.99</v>
      </c>
      <c r="H32">
        <f t="shared" si="31"/>
        <v>0.99</v>
      </c>
      <c r="I32">
        <f t="shared" si="31"/>
        <v>0.99</v>
      </c>
      <c r="J32">
        <f t="shared" si="31"/>
        <v>0.99</v>
      </c>
      <c r="K32" s="111">
        <f t="shared" si="31"/>
        <v>0.99</v>
      </c>
      <c r="L32">
        <f t="shared" si="31"/>
        <v>0.99</v>
      </c>
      <c r="M32">
        <f t="shared" si="31"/>
        <v>0.99</v>
      </c>
      <c r="N32">
        <f t="shared" si="31"/>
        <v>0.99</v>
      </c>
      <c r="O32">
        <f t="shared" si="31"/>
        <v>0.99</v>
      </c>
      <c r="P32">
        <f t="shared" si="31"/>
        <v>0.99</v>
      </c>
      <c r="Q32">
        <f t="shared" si="31"/>
        <v>0.99</v>
      </c>
      <c r="R32">
        <f t="shared" si="31"/>
        <v>0.99</v>
      </c>
      <c r="S32">
        <f t="shared" si="31"/>
        <v>0.99</v>
      </c>
      <c r="T32">
        <f t="shared" si="31"/>
        <v>0.99</v>
      </c>
      <c r="U32">
        <f t="shared" si="31"/>
        <v>0.99</v>
      </c>
      <c r="V32">
        <f t="shared" si="31"/>
        <v>0.99</v>
      </c>
      <c r="W32">
        <f t="shared" si="31"/>
        <v>0.99</v>
      </c>
      <c r="X32">
        <f t="shared" si="31"/>
        <v>0.99</v>
      </c>
      <c r="Y32" s="111">
        <f t="shared" si="31"/>
        <v>0.99</v>
      </c>
      <c r="Z32">
        <f t="shared" si="31"/>
        <v>0.99</v>
      </c>
      <c r="AA32">
        <f t="shared" si="31"/>
        <v>0.99</v>
      </c>
      <c r="AB32">
        <f t="shared" si="31"/>
        <v>0.99</v>
      </c>
      <c r="AC32">
        <f t="shared" si="31"/>
        <v>0.99</v>
      </c>
      <c r="AD32">
        <f t="shared" si="32"/>
        <v>0.99</v>
      </c>
      <c r="AE32">
        <f t="shared" si="32"/>
        <v>0.99</v>
      </c>
      <c r="AF32">
        <f t="shared" si="32"/>
        <v>0.99</v>
      </c>
      <c r="AG32">
        <f t="shared" si="32"/>
        <v>0.99</v>
      </c>
      <c r="AH32">
        <f t="shared" si="32"/>
        <v>0.99</v>
      </c>
      <c r="AI32">
        <f t="shared" si="32"/>
        <v>0.99</v>
      </c>
      <c r="AJ32">
        <f t="shared" si="32"/>
        <v>0.99</v>
      </c>
      <c r="AK32">
        <f t="shared" si="33"/>
        <v>0.99</v>
      </c>
      <c r="AL32">
        <f t="shared" si="33"/>
        <v>0.99</v>
      </c>
      <c r="AM32">
        <f t="shared" si="33"/>
        <v>0.99</v>
      </c>
      <c r="AN32">
        <f t="shared" si="33"/>
        <v>0.99</v>
      </c>
      <c r="AO32">
        <f t="shared" si="33"/>
        <v>0.99</v>
      </c>
      <c r="AP32">
        <f t="shared" si="33"/>
        <v>0.99</v>
      </c>
      <c r="AQ32">
        <f t="shared" si="33"/>
        <v>0.99</v>
      </c>
      <c r="AR32">
        <f t="shared" si="33"/>
        <v>0.99</v>
      </c>
      <c r="AS32">
        <f t="shared" si="33"/>
        <v>0.99</v>
      </c>
      <c r="AT32">
        <f t="shared" si="33"/>
        <v>0.99</v>
      </c>
      <c r="AU32">
        <f t="shared" si="33"/>
        <v>0.99</v>
      </c>
      <c r="AV32">
        <f t="shared" si="33"/>
        <v>0.99</v>
      </c>
      <c r="AW32">
        <f t="shared" si="33"/>
        <v>0.99</v>
      </c>
      <c r="AX32" s="106">
        <v>0.99</v>
      </c>
      <c r="AY32" t="s">
        <v>153</v>
      </c>
      <c r="AZ32" s="107" t="str">
        <f ca="1" t="shared" si="35"/>
        <v>Trd_2w_gsl</v>
      </c>
      <c r="BA32" t="str">
        <f ca="1" t="shared" si="0"/>
        <v>Trd_2w</v>
      </c>
      <c r="BB32" s="111">
        <f ca="1" t="shared" si="18"/>
        <v>25</v>
      </c>
      <c r="BD32" t="str">
        <f ca="1" t="shared" si="3"/>
        <v>DMD</v>
      </c>
      <c r="BE32" t="str">
        <f ca="1" t="shared" si="4"/>
        <v>Trd_2w_gsl</v>
      </c>
      <c r="BG32" t="s">
        <v>92</v>
      </c>
      <c r="BH32" t="s">
        <v>144</v>
      </c>
      <c r="BI32" t="s">
        <v>145</v>
      </c>
    </row>
    <row r="33" spans="1:61">
      <c r="C33" t="str">
        <f t="shared" si="34"/>
        <v>TRALPG</v>
      </c>
      <c r="D33">
        <f t="shared" si="31"/>
        <v>0.99</v>
      </c>
      <c r="E33">
        <f t="shared" si="31"/>
        <v>0.99</v>
      </c>
      <c r="F33">
        <f t="shared" si="31"/>
        <v>0.99</v>
      </c>
      <c r="G33">
        <f t="shared" si="31"/>
        <v>0.99</v>
      </c>
      <c r="H33">
        <f t="shared" si="31"/>
        <v>0.99</v>
      </c>
      <c r="I33">
        <f t="shared" si="31"/>
        <v>0.99</v>
      </c>
      <c r="J33">
        <f t="shared" si="31"/>
        <v>0.99</v>
      </c>
      <c r="K33" s="111">
        <f t="shared" si="31"/>
        <v>0.99</v>
      </c>
      <c r="L33">
        <f t="shared" si="31"/>
        <v>0.99</v>
      </c>
      <c r="M33">
        <f t="shared" si="31"/>
        <v>0.99</v>
      </c>
      <c r="N33">
        <f t="shared" si="31"/>
        <v>0.99</v>
      </c>
      <c r="O33">
        <f t="shared" si="31"/>
        <v>0.99</v>
      </c>
      <c r="P33">
        <f t="shared" si="31"/>
        <v>0.99</v>
      </c>
      <c r="Q33">
        <f t="shared" si="31"/>
        <v>0.99</v>
      </c>
      <c r="R33">
        <f t="shared" si="31"/>
        <v>0.99</v>
      </c>
      <c r="S33">
        <f t="shared" si="31"/>
        <v>0.99</v>
      </c>
      <c r="T33">
        <f t="shared" si="31"/>
        <v>0.99</v>
      </c>
      <c r="U33">
        <f t="shared" si="31"/>
        <v>0.99</v>
      </c>
      <c r="V33">
        <f t="shared" si="31"/>
        <v>0.99</v>
      </c>
      <c r="W33">
        <f t="shared" si="31"/>
        <v>0.99</v>
      </c>
      <c r="X33">
        <f t="shared" si="31"/>
        <v>0.99</v>
      </c>
      <c r="Y33" s="111">
        <f t="shared" si="31"/>
        <v>0.99</v>
      </c>
      <c r="Z33">
        <f t="shared" si="31"/>
        <v>0.99</v>
      </c>
      <c r="AA33">
        <f t="shared" si="31"/>
        <v>0.99</v>
      </c>
      <c r="AB33">
        <f t="shared" si="31"/>
        <v>0.99</v>
      </c>
      <c r="AC33">
        <f t="shared" si="31"/>
        <v>0.99</v>
      </c>
      <c r="AD33">
        <f t="shared" si="32"/>
        <v>0.99</v>
      </c>
      <c r="AE33">
        <f t="shared" si="32"/>
        <v>0.99</v>
      </c>
      <c r="AF33">
        <f t="shared" si="32"/>
        <v>0.99</v>
      </c>
      <c r="AG33">
        <f t="shared" si="32"/>
        <v>0.99</v>
      </c>
      <c r="AH33">
        <f t="shared" si="32"/>
        <v>0.99</v>
      </c>
      <c r="AI33">
        <f t="shared" si="32"/>
        <v>0.99</v>
      </c>
      <c r="AJ33">
        <f t="shared" si="32"/>
        <v>0.99</v>
      </c>
      <c r="AK33">
        <f t="shared" si="33"/>
        <v>0.99</v>
      </c>
      <c r="AL33">
        <f t="shared" si="33"/>
        <v>0.99</v>
      </c>
      <c r="AM33">
        <f t="shared" si="33"/>
        <v>0.99</v>
      </c>
      <c r="AN33">
        <f t="shared" si="33"/>
        <v>0.99</v>
      </c>
      <c r="AO33">
        <f t="shared" si="33"/>
        <v>0.99</v>
      </c>
      <c r="AP33">
        <f t="shared" si="33"/>
        <v>0.99</v>
      </c>
      <c r="AQ33">
        <f t="shared" si="33"/>
        <v>0.99</v>
      </c>
      <c r="AR33">
        <f t="shared" si="33"/>
        <v>0.99</v>
      </c>
      <c r="AS33">
        <f t="shared" si="33"/>
        <v>0.99</v>
      </c>
      <c r="AT33">
        <f t="shared" si="33"/>
        <v>0.99</v>
      </c>
      <c r="AU33">
        <f t="shared" si="33"/>
        <v>0.99</v>
      </c>
      <c r="AV33">
        <f t="shared" si="33"/>
        <v>0.99</v>
      </c>
      <c r="AW33">
        <f t="shared" si="33"/>
        <v>0.99</v>
      </c>
      <c r="AX33" s="106">
        <v>0.99</v>
      </c>
      <c r="AY33" t="s">
        <v>153</v>
      </c>
      <c r="AZ33" s="3" t="str">
        <f ca="1" t="shared" si="35"/>
        <v>\I:</v>
      </c>
      <c r="BA33" t="str">
        <f ca="1" t="shared" si="0"/>
        <v>Trd_2w</v>
      </c>
      <c r="BB33" s="111">
        <f ca="1" t="shared" si="18"/>
        <v>25</v>
      </c>
      <c r="BD33" t="str">
        <f ca="1" t="shared" si="3"/>
        <v>DMD</v>
      </c>
      <c r="BE33" t="str">
        <f ca="1" t="shared" si="4"/>
        <v>\I:</v>
      </c>
      <c r="BG33" t="s">
        <v>92</v>
      </c>
      <c r="BH33" t="s">
        <v>144</v>
      </c>
      <c r="BI33" t="s">
        <v>145</v>
      </c>
    </row>
    <row r="34" spans="1:61">
      <c r="C34" t="str">
        <f t="shared" si="34"/>
        <v>TRANGA</v>
      </c>
      <c r="D34">
        <f t="shared" si="31"/>
        <v>0.99</v>
      </c>
      <c r="E34">
        <f t="shared" si="31"/>
        <v>0.99</v>
      </c>
      <c r="F34">
        <f t="shared" si="31"/>
        <v>0.99</v>
      </c>
      <c r="G34">
        <f t="shared" si="31"/>
        <v>0.99</v>
      </c>
      <c r="H34">
        <f t="shared" si="31"/>
        <v>0.99</v>
      </c>
      <c r="I34">
        <f t="shared" si="31"/>
        <v>0.99</v>
      </c>
      <c r="J34">
        <f t="shared" si="31"/>
        <v>0.99</v>
      </c>
      <c r="K34" s="111">
        <f t="shared" si="31"/>
        <v>0.99</v>
      </c>
      <c r="L34">
        <f t="shared" si="31"/>
        <v>0.99</v>
      </c>
      <c r="M34">
        <f t="shared" si="31"/>
        <v>0.99</v>
      </c>
      <c r="N34">
        <f t="shared" si="31"/>
        <v>0.99</v>
      </c>
      <c r="O34">
        <f t="shared" si="31"/>
        <v>0.99</v>
      </c>
      <c r="P34">
        <f t="shared" si="31"/>
        <v>0.99</v>
      </c>
      <c r="Q34">
        <f t="shared" si="31"/>
        <v>0.99</v>
      </c>
      <c r="R34">
        <f t="shared" si="31"/>
        <v>0.99</v>
      </c>
      <c r="S34">
        <f t="shared" si="31"/>
        <v>0.99</v>
      </c>
      <c r="T34">
        <f t="shared" si="31"/>
        <v>0.99</v>
      </c>
      <c r="U34">
        <f t="shared" si="31"/>
        <v>0.99</v>
      </c>
      <c r="V34">
        <f t="shared" si="31"/>
        <v>0.99</v>
      </c>
      <c r="W34">
        <f t="shared" si="31"/>
        <v>0.99</v>
      </c>
      <c r="X34">
        <f t="shared" si="31"/>
        <v>0.99</v>
      </c>
      <c r="Y34" s="111">
        <f t="shared" si="31"/>
        <v>0.99</v>
      </c>
      <c r="Z34">
        <f t="shared" si="31"/>
        <v>0.99</v>
      </c>
      <c r="AA34">
        <f t="shared" si="31"/>
        <v>0.99</v>
      </c>
      <c r="AB34">
        <f t="shared" si="31"/>
        <v>0.99</v>
      </c>
      <c r="AC34">
        <f t="shared" si="31"/>
        <v>0.99</v>
      </c>
      <c r="AD34">
        <f t="shared" si="32"/>
        <v>0.99</v>
      </c>
      <c r="AE34">
        <f t="shared" si="32"/>
        <v>0.99</v>
      </c>
      <c r="AF34">
        <f t="shared" si="32"/>
        <v>0.99</v>
      </c>
      <c r="AG34">
        <f t="shared" si="32"/>
        <v>0.99</v>
      </c>
      <c r="AH34">
        <f t="shared" si="32"/>
        <v>0.99</v>
      </c>
      <c r="AI34">
        <f t="shared" si="32"/>
        <v>0.99</v>
      </c>
      <c r="AJ34">
        <f t="shared" si="32"/>
        <v>0.99</v>
      </c>
      <c r="AK34">
        <f t="shared" si="33"/>
        <v>0.99</v>
      </c>
      <c r="AL34">
        <f t="shared" si="33"/>
        <v>0.99</v>
      </c>
      <c r="AM34">
        <f t="shared" si="33"/>
        <v>0.99</v>
      </c>
      <c r="AN34">
        <f t="shared" si="33"/>
        <v>0.99</v>
      </c>
      <c r="AO34">
        <f t="shared" si="33"/>
        <v>0.99</v>
      </c>
      <c r="AP34">
        <f t="shared" si="33"/>
        <v>0.99</v>
      </c>
      <c r="AQ34">
        <f t="shared" si="33"/>
        <v>0.99</v>
      </c>
      <c r="AR34">
        <f t="shared" si="33"/>
        <v>0.99</v>
      </c>
      <c r="AS34">
        <f t="shared" si="33"/>
        <v>0.99</v>
      </c>
      <c r="AT34">
        <f t="shared" si="33"/>
        <v>0.99</v>
      </c>
      <c r="AU34">
        <f t="shared" si="33"/>
        <v>0.99</v>
      </c>
      <c r="AV34">
        <f t="shared" si="33"/>
        <v>0.99</v>
      </c>
      <c r="AW34">
        <f t="shared" si="33"/>
        <v>0.99</v>
      </c>
      <c r="AX34" s="106">
        <v>0.99</v>
      </c>
      <c r="AY34" t="s">
        <v>153</v>
      </c>
      <c r="AZ34" s="3" t="str">
        <f ca="1" t="shared" si="35"/>
        <v>\I:</v>
      </c>
      <c r="BA34" t="str">
        <f ca="1" t="shared" si="0"/>
        <v>Trd_2w</v>
      </c>
      <c r="BB34" s="111">
        <f ca="1" t="shared" si="18"/>
        <v>25</v>
      </c>
      <c r="BD34" t="str">
        <f ca="1" t="shared" si="3"/>
        <v>DMD</v>
      </c>
      <c r="BE34" t="str">
        <f ca="1" t="shared" si="4"/>
        <v>\I:</v>
      </c>
      <c r="BG34" t="s">
        <v>92</v>
      </c>
      <c r="BH34" t="s">
        <v>144</v>
      </c>
      <c r="BI34" t="s">
        <v>145</v>
      </c>
    </row>
    <row r="35" spans="1:61">
      <c r="AY35" t="s">
        <v>133</v>
      </c>
      <c r="BA35" t="str">
        <f t="shared" si="0"/>
        <v/>
      </c>
      <c r="BB35" s="111" t="str">
        <f t="shared" si="18"/>
        <v/>
      </c>
      <c r="BD35" t="str">
        <f t="shared" si="3"/>
        <v>*</v>
      </c>
      <c r="BE35">
        <f t="shared" si="4"/>
        <v>0</v>
      </c>
      <c r="BG35" t="s">
        <v>92</v>
      </c>
      <c r="BH35" t="s">
        <v>144</v>
      </c>
      <c r="BI35" t="s">
        <v>145</v>
      </c>
    </row>
    <row r="36" spans="1:61">
      <c r="A36" t="s">
        <v>154</v>
      </c>
      <c r="C36" t="str">
        <f>C28</f>
        <v>TRABDS</v>
      </c>
      <c r="D36" s="78">
        <v>7</v>
      </c>
      <c r="E36" s="78">
        <v>7</v>
      </c>
      <c r="F36" s="78">
        <v>7</v>
      </c>
      <c r="G36" s="78">
        <v>7</v>
      </c>
      <c r="H36" s="78">
        <v>7</v>
      </c>
      <c r="I36" s="78">
        <v>7</v>
      </c>
      <c r="J36" s="78">
        <v>7</v>
      </c>
      <c r="K36" s="114">
        <v>7</v>
      </c>
      <c r="L36" s="78">
        <v>7</v>
      </c>
      <c r="M36" s="78">
        <v>7</v>
      </c>
      <c r="N36" s="78">
        <v>7</v>
      </c>
      <c r="O36" s="78">
        <v>7</v>
      </c>
      <c r="P36" s="78">
        <v>7</v>
      </c>
      <c r="Q36" s="78">
        <v>7</v>
      </c>
      <c r="R36" s="78">
        <v>7</v>
      </c>
      <c r="S36" s="78">
        <v>7</v>
      </c>
      <c r="T36" s="78">
        <v>7</v>
      </c>
      <c r="U36" s="78">
        <v>7</v>
      </c>
      <c r="V36" s="78">
        <v>4</v>
      </c>
      <c r="W36" s="78">
        <v>7</v>
      </c>
      <c r="X36" s="78">
        <v>5</v>
      </c>
      <c r="Y36" s="114">
        <v>7</v>
      </c>
      <c r="Z36" s="78">
        <v>4</v>
      </c>
      <c r="AA36" s="78">
        <v>7</v>
      </c>
      <c r="AB36" s="78">
        <v>7</v>
      </c>
      <c r="AC36" s="78">
        <v>3</v>
      </c>
      <c r="AD36" s="78">
        <v>7</v>
      </c>
      <c r="AE36" s="78">
        <v>7</v>
      </c>
      <c r="AF36" s="78">
        <v>6.5</v>
      </c>
      <c r="AG36" s="78">
        <v>7</v>
      </c>
      <c r="AH36" s="78">
        <v>7</v>
      </c>
      <c r="AI36" s="78">
        <v>7</v>
      </c>
      <c r="AJ36" s="78">
        <v>4</v>
      </c>
      <c r="AK36" s="78">
        <v>4</v>
      </c>
      <c r="AL36" s="78">
        <v>4</v>
      </c>
      <c r="AM36" s="78">
        <v>4</v>
      </c>
      <c r="AN36" s="78">
        <v>4</v>
      </c>
      <c r="AO36" s="78">
        <v>4</v>
      </c>
      <c r="AP36" s="78">
        <v>4</v>
      </c>
      <c r="AQ36" s="78">
        <v>4</v>
      </c>
      <c r="AR36" s="78">
        <v>4</v>
      </c>
      <c r="AS36" s="78">
        <v>4</v>
      </c>
      <c r="AT36" s="78">
        <v>4</v>
      </c>
      <c r="AU36" s="78">
        <v>4</v>
      </c>
      <c r="AV36" s="78">
        <v>4</v>
      </c>
      <c r="AW36" s="78">
        <v>4</v>
      </c>
      <c r="AY36" t="s">
        <v>155</v>
      </c>
      <c r="AZ36" s="3" t="str">
        <f ca="1">AZ28</f>
        <v>\I:</v>
      </c>
      <c r="BA36" t="str">
        <f ca="1" t="shared" si="0"/>
        <v>Trd_2w</v>
      </c>
      <c r="BB36" s="111">
        <f ca="1" t="shared" si="18"/>
        <v>25</v>
      </c>
      <c r="BD36" t="str">
        <f ca="1" t="shared" si="3"/>
        <v>DMD</v>
      </c>
      <c r="BE36" t="str">
        <f ca="1" t="shared" si="4"/>
        <v>\I:</v>
      </c>
      <c r="BG36" t="s">
        <v>92</v>
      </c>
      <c r="BH36" t="s">
        <v>144</v>
      </c>
      <c r="BI36" t="s">
        <v>145</v>
      </c>
    </row>
    <row r="37" spans="1:61">
      <c r="C37" t="str">
        <f t="shared" ref="C37:C42" si="36">C29</f>
        <v>TRABGS</v>
      </c>
      <c r="D37" s="78">
        <v>7</v>
      </c>
      <c r="E37" s="78">
        <v>7</v>
      </c>
      <c r="F37" s="78">
        <v>7</v>
      </c>
      <c r="G37" s="78">
        <v>7</v>
      </c>
      <c r="H37" s="78">
        <v>7</v>
      </c>
      <c r="I37" s="78">
        <v>7</v>
      </c>
      <c r="J37" s="78">
        <v>7</v>
      </c>
      <c r="K37" s="114">
        <v>7</v>
      </c>
      <c r="L37" s="78">
        <v>7</v>
      </c>
      <c r="M37" s="78">
        <v>7</v>
      </c>
      <c r="N37" s="78">
        <v>7</v>
      </c>
      <c r="O37" s="78">
        <v>7</v>
      </c>
      <c r="P37" s="78">
        <v>7</v>
      </c>
      <c r="Q37" s="78">
        <v>7</v>
      </c>
      <c r="R37" s="78">
        <v>7</v>
      </c>
      <c r="S37" s="78">
        <v>7</v>
      </c>
      <c r="T37" s="78">
        <v>7</v>
      </c>
      <c r="U37" s="78">
        <v>7</v>
      </c>
      <c r="V37" s="78">
        <v>4</v>
      </c>
      <c r="W37" s="78">
        <v>7</v>
      </c>
      <c r="X37" s="78">
        <v>5</v>
      </c>
      <c r="Y37" s="114">
        <v>7</v>
      </c>
      <c r="Z37" s="78">
        <v>4</v>
      </c>
      <c r="AA37" s="78">
        <v>7</v>
      </c>
      <c r="AB37" s="78">
        <v>7</v>
      </c>
      <c r="AC37" s="78">
        <v>3</v>
      </c>
      <c r="AD37" s="78">
        <v>7</v>
      </c>
      <c r="AE37" s="78">
        <v>7</v>
      </c>
      <c r="AF37" s="78">
        <v>6.5</v>
      </c>
      <c r="AG37" s="78">
        <v>7</v>
      </c>
      <c r="AH37" s="78">
        <v>7</v>
      </c>
      <c r="AI37" s="78">
        <v>7</v>
      </c>
      <c r="AJ37" s="78">
        <v>4</v>
      </c>
      <c r="AK37" s="78">
        <v>4</v>
      </c>
      <c r="AL37" s="78">
        <v>4</v>
      </c>
      <c r="AM37" s="78">
        <v>4</v>
      </c>
      <c r="AN37" s="78">
        <v>4</v>
      </c>
      <c r="AO37" s="78">
        <v>4</v>
      </c>
      <c r="AP37" s="78">
        <v>4</v>
      </c>
      <c r="AQ37" s="78">
        <v>4</v>
      </c>
      <c r="AR37" s="78">
        <v>4</v>
      </c>
      <c r="AS37" s="78">
        <v>4</v>
      </c>
      <c r="AT37" s="78">
        <v>4</v>
      </c>
      <c r="AU37" s="78">
        <v>4</v>
      </c>
      <c r="AV37" s="78">
        <v>4</v>
      </c>
      <c r="AW37" s="78">
        <v>4</v>
      </c>
      <c r="AY37" t="s">
        <v>155</v>
      </c>
      <c r="AZ37" s="3" t="str">
        <f ca="1" t="shared" ref="AZ37:AZ42" si="37">AZ29</f>
        <v>\I:</v>
      </c>
      <c r="BA37" t="str">
        <f ca="1" t="shared" si="0"/>
        <v>Trd_2w</v>
      </c>
      <c r="BB37" s="111">
        <f ca="1" t="shared" si="18"/>
        <v>25</v>
      </c>
      <c r="BD37" t="str">
        <f ca="1" t="shared" si="3"/>
        <v>DMD</v>
      </c>
      <c r="BE37" t="str">
        <f ca="1" t="shared" si="4"/>
        <v>\I:</v>
      </c>
      <c r="BG37" t="s">
        <v>92</v>
      </c>
      <c r="BH37" t="s">
        <v>144</v>
      </c>
      <c r="BI37" t="s">
        <v>145</v>
      </c>
    </row>
    <row r="38" spans="1:61">
      <c r="C38" t="str">
        <f t="shared" si="36"/>
        <v>TRADST</v>
      </c>
      <c r="D38" s="78">
        <v>7</v>
      </c>
      <c r="E38" s="78">
        <v>7</v>
      </c>
      <c r="F38" s="78">
        <v>7</v>
      </c>
      <c r="G38" s="78">
        <v>7</v>
      </c>
      <c r="H38" s="78">
        <v>7</v>
      </c>
      <c r="I38" s="78">
        <v>7</v>
      </c>
      <c r="J38" s="78">
        <v>7</v>
      </c>
      <c r="K38" s="114">
        <v>7</v>
      </c>
      <c r="L38" s="78">
        <v>7</v>
      </c>
      <c r="M38" s="78">
        <v>7</v>
      </c>
      <c r="N38" s="78">
        <v>7</v>
      </c>
      <c r="O38" s="78">
        <v>7</v>
      </c>
      <c r="P38" s="78">
        <v>7</v>
      </c>
      <c r="Q38" s="78">
        <v>7</v>
      </c>
      <c r="R38" s="78">
        <v>7</v>
      </c>
      <c r="S38" s="78">
        <v>7</v>
      </c>
      <c r="T38" s="78">
        <v>7</v>
      </c>
      <c r="U38" s="78">
        <v>7</v>
      </c>
      <c r="V38" s="78">
        <v>4</v>
      </c>
      <c r="W38" s="78">
        <v>7</v>
      </c>
      <c r="X38" s="78">
        <v>5</v>
      </c>
      <c r="Y38" s="114">
        <v>7</v>
      </c>
      <c r="Z38" s="78">
        <v>4</v>
      </c>
      <c r="AA38" s="78">
        <v>7</v>
      </c>
      <c r="AB38" s="78">
        <v>7</v>
      </c>
      <c r="AC38" s="78">
        <v>3</v>
      </c>
      <c r="AD38" s="78">
        <v>7</v>
      </c>
      <c r="AE38" s="78">
        <v>7</v>
      </c>
      <c r="AF38" s="78">
        <v>6.5</v>
      </c>
      <c r="AG38" s="78">
        <v>7</v>
      </c>
      <c r="AH38" s="78">
        <v>7</v>
      </c>
      <c r="AI38" s="78">
        <v>7</v>
      </c>
      <c r="AJ38" s="78">
        <v>4</v>
      </c>
      <c r="AK38" s="78">
        <v>4</v>
      </c>
      <c r="AL38" s="78">
        <v>4</v>
      </c>
      <c r="AM38" s="78">
        <v>4</v>
      </c>
      <c r="AN38" s="78">
        <v>4</v>
      </c>
      <c r="AO38" s="78">
        <v>4</v>
      </c>
      <c r="AP38" s="78">
        <v>4</v>
      </c>
      <c r="AQ38" s="78">
        <v>4</v>
      </c>
      <c r="AR38" s="78">
        <v>4</v>
      </c>
      <c r="AS38" s="78">
        <v>4</v>
      </c>
      <c r="AT38" s="78">
        <v>4</v>
      </c>
      <c r="AU38" s="78">
        <v>4</v>
      </c>
      <c r="AV38" s="78">
        <v>4</v>
      </c>
      <c r="AW38" s="78">
        <v>4</v>
      </c>
      <c r="AY38" t="s">
        <v>155</v>
      </c>
      <c r="AZ38" s="3" t="str">
        <f ca="1" t="shared" si="37"/>
        <v>\I:</v>
      </c>
      <c r="BA38" t="str">
        <f ca="1" t="shared" si="0"/>
        <v>Trd_2w</v>
      </c>
      <c r="BB38" s="111">
        <f ca="1" t="shared" si="18"/>
        <v>25</v>
      </c>
      <c r="BD38" t="str">
        <f ca="1" t="shared" si="3"/>
        <v>DMD</v>
      </c>
      <c r="BE38" t="str">
        <f ca="1" t="shared" si="4"/>
        <v>\I:</v>
      </c>
      <c r="BG38" t="s">
        <v>92</v>
      </c>
      <c r="BH38" t="s">
        <v>144</v>
      </c>
      <c r="BI38" t="s">
        <v>145</v>
      </c>
    </row>
    <row r="39" spans="1:61">
      <c r="C39" t="str">
        <f t="shared" si="36"/>
        <v>TRAELC</v>
      </c>
      <c r="D39" s="78">
        <v>7</v>
      </c>
      <c r="E39" s="78">
        <v>7</v>
      </c>
      <c r="F39" s="78">
        <v>7</v>
      </c>
      <c r="G39" s="78">
        <v>7</v>
      </c>
      <c r="H39" s="78">
        <v>7</v>
      </c>
      <c r="I39" s="78">
        <v>7</v>
      </c>
      <c r="J39" s="78">
        <v>7</v>
      </c>
      <c r="K39" s="114">
        <v>7</v>
      </c>
      <c r="L39" s="78">
        <v>7</v>
      </c>
      <c r="M39" s="78">
        <v>7</v>
      </c>
      <c r="N39" s="78">
        <v>7</v>
      </c>
      <c r="O39" s="78">
        <v>7</v>
      </c>
      <c r="P39" s="78">
        <v>7</v>
      </c>
      <c r="Q39" s="78">
        <v>7</v>
      </c>
      <c r="R39" s="78">
        <v>7</v>
      </c>
      <c r="S39" s="78">
        <v>7</v>
      </c>
      <c r="T39" s="78">
        <v>7</v>
      </c>
      <c r="U39" s="78">
        <v>7</v>
      </c>
      <c r="V39" s="78">
        <v>4</v>
      </c>
      <c r="W39" s="78">
        <v>7</v>
      </c>
      <c r="X39" s="78">
        <v>5</v>
      </c>
      <c r="Y39" s="114">
        <v>7</v>
      </c>
      <c r="Z39" s="78">
        <v>4</v>
      </c>
      <c r="AA39" s="78">
        <v>7</v>
      </c>
      <c r="AB39" s="78">
        <v>7</v>
      </c>
      <c r="AC39" s="78">
        <v>3</v>
      </c>
      <c r="AD39" s="78">
        <v>7</v>
      </c>
      <c r="AE39" s="78">
        <v>7</v>
      </c>
      <c r="AF39" s="78">
        <v>6.5</v>
      </c>
      <c r="AG39" s="78">
        <v>7</v>
      </c>
      <c r="AH39" s="78">
        <v>7</v>
      </c>
      <c r="AI39" s="78">
        <v>7</v>
      </c>
      <c r="AJ39" s="78">
        <v>4</v>
      </c>
      <c r="AK39" s="78">
        <v>4</v>
      </c>
      <c r="AL39" s="78">
        <v>4</v>
      </c>
      <c r="AM39" s="78">
        <v>4</v>
      </c>
      <c r="AN39" s="78">
        <v>4</v>
      </c>
      <c r="AO39" s="78">
        <v>4</v>
      </c>
      <c r="AP39" s="78">
        <v>4</v>
      </c>
      <c r="AQ39" s="78">
        <v>4</v>
      </c>
      <c r="AR39" s="78">
        <v>4</v>
      </c>
      <c r="AS39" s="78">
        <v>4</v>
      </c>
      <c r="AT39" s="78">
        <v>4</v>
      </c>
      <c r="AU39" s="78">
        <v>4</v>
      </c>
      <c r="AV39" s="78">
        <v>4</v>
      </c>
      <c r="AW39" s="78">
        <v>4</v>
      </c>
      <c r="AY39" t="s">
        <v>155</v>
      </c>
      <c r="AZ39" s="3" t="str">
        <f ca="1" t="shared" si="37"/>
        <v>Trd_2w_elc</v>
      </c>
      <c r="BA39" t="str">
        <f ca="1" t="shared" si="0"/>
        <v>Trd_2w</v>
      </c>
      <c r="BB39" s="111">
        <f ca="1" t="shared" si="18"/>
        <v>25</v>
      </c>
      <c r="BD39" t="str">
        <f ca="1" t="shared" si="3"/>
        <v>DMD</v>
      </c>
      <c r="BE39" t="str">
        <f ca="1" t="shared" si="4"/>
        <v>Trd_2w_elc</v>
      </c>
      <c r="BG39" t="s">
        <v>92</v>
      </c>
      <c r="BH39" t="s">
        <v>144</v>
      </c>
      <c r="BI39" t="s">
        <v>145</v>
      </c>
    </row>
    <row r="40" spans="1:61">
      <c r="C40" t="str">
        <f t="shared" si="36"/>
        <v>TRAGSL</v>
      </c>
      <c r="D40" s="78">
        <v>7</v>
      </c>
      <c r="E40" s="78">
        <v>7</v>
      </c>
      <c r="F40" s="78">
        <v>7</v>
      </c>
      <c r="G40" s="78">
        <v>7</v>
      </c>
      <c r="H40" s="78">
        <v>7</v>
      </c>
      <c r="I40" s="78">
        <v>7</v>
      </c>
      <c r="J40" s="78">
        <v>7</v>
      </c>
      <c r="K40" s="114">
        <v>7</v>
      </c>
      <c r="L40" s="78">
        <v>7</v>
      </c>
      <c r="M40" s="78">
        <v>7</v>
      </c>
      <c r="N40" s="78">
        <v>7</v>
      </c>
      <c r="O40" s="78">
        <v>7</v>
      </c>
      <c r="P40" s="78">
        <v>7</v>
      </c>
      <c r="Q40" s="78">
        <v>7</v>
      </c>
      <c r="R40" s="78">
        <v>7</v>
      </c>
      <c r="S40" s="78">
        <v>7</v>
      </c>
      <c r="T40" s="78">
        <v>7</v>
      </c>
      <c r="U40" s="78">
        <v>7</v>
      </c>
      <c r="V40" s="78">
        <v>4</v>
      </c>
      <c r="W40" s="78">
        <v>7</v>
      </c>
      <c r="X40" s="78">
        <v>5</v>
      </c>
      <c r="Y40" s="114">
        <v>7</v>
      </c>
      <c r="Z40" s="78">
        <v>4</v>
      </c>
      <c r="AA40" s="78">
        <v>7</v>
      </c>
      <c r="AB40" s="78">
        <v>7</v>
      </c>
      <c r="AC40" s="78">
        <v>3</v>
      </c>
      <c r="AD40" s="78">
        <v>7</v>
      </c>
      <c r="AE40" s="78">
        <v>7</v>
      </c>
      <c r="AF40" s="78">
        <v>6.5</v>
      </c>
      <c r="AG40" s="78">
        <v>7</v>
      </c>
      <c r="AH40" s="78">
        <v>7</v>
      </c>
      <c r="AI40" s="78">
        <v>7</v>
      </c>
      <c r="AJ40" s="78">
        <v>4</v>
      </c>
      <c r="AK40" s="78">
        <v>4</v>
      </c>
      <c r="AL40" s="78">
        <v>4</v>
      </c>
      <c r="AM40" s="78">
        <v>4</v>
      </c>
      <c r="AN40" s="78">
        <v>4</v>
      </c>
      <c r="AO40" s="78">
        <v>4</v>
      </c>
      <c r="AP40" s="78">
        <v>4</v>
      </c>
      <c r="AQ40" s="78">
        <v>4</v>
      </c>
      <c r="AR40" s="78">
        <v>4</v>
      </c>
      <c r="AS40" s="78">
        <v>4</v>
      </c>
      <c r="AT40" s="78">
        <v>4</v>
      </c>
      <c r="AU40" s="78">
        <v>4</v>
      </c>
      <c r="AV40" s="78">
        <v>4</v>
      </c>
      <c r="AW40" s="78">
        <v>4</v>
      </c>
      <c r="AY40" t="s">
        <v>155</v>
      </c>
      <c r="AZ40" s="3" t="str">
        <f ca="1" t="shared" si="37"/>
        <v>Trd_2w_gsl</v>
      </c>
      <c r="BA40" t="str">
        <f ca="1" t="shared" si="0"/>
        <v>Trd_2w</v>
      </c>
      <c r="BB40" s="111">
        <f ca="1" t="shared" si="18"/>
        <v>25</v>
      </c>
      <c r="BD40" t="str">
        <f ca="1" t="shared" si="3"/>
        <v>DMD</v>
      </c>
      <c r="BE40" t="str">
        <f ca="1" t="shared" si="4"/>
        <v>Trd_2w_gsl</v>
      </c>
      <c r="BG40" t="s">
        <v>92</v>
      </c>
      <c r="BH40" t="s">
        <v>144</v>
      </c>
      <c r="BI40" t="s">
        <v>145</v>
      </c>
    </row>
    <row r="41" spans="1:61">
      <c r="C41" t="str">
        <f t="shared" si="36"/>
        <v>TRALPG</v>
      </c>
      <c r="D41" s="78">
        <v>7</v>
      </c>
      <c r="E41" s="78">
        <v>7</v>
      </c>
      <c r="F41" s="78">
        <v>7</v>
      </c>
      <c r="G41" s="78">
        <v>7</v>
      </c>
      <c r="H41" s="78">
        <v>7</v>
      </c>
      <c r="I41" s="78">
        <v>7</v>
      </c>
      <c r="J41" s="78">
        <v>7</v>
      </c>
      <c r="K41" s="114">
        <v>7</v>
      </c>
      <c r="L41" s="78">
        <v>7</v>
      </c>
      <c r="M41" s="78">
        <v>7</v>
      </c>
      <c r="N41" s="78">
        <v>7</v>
      </c>
      <c r="O41" s="78">
        <v>7</v>
      </c>
      <c r="P41" s="78">
        <v>7</v>
      </c>
      <c r="Q41" s="78">
        <v>7</v>
      </c>
      <c r="R41" s="78">
        <v>7</v>
      </c>
      <c r="S41" s="78">
        <v>7</v>
      </c>
      <c r="T41" s="78">
        <v>7</v>
      </c>
      <c r="U41" s="78">
        <v>7</v>
      </c>
      <c r="V41" s="78">
        <v>4</v>
      </c>
      <c r="W41" s="78">
        <v>7</v>
      </c>
      <c r="X41" s="78">
        <v>5</v>
      </c>
      <c r="Y41" s="114">
        <v>7</v>
      </c>
      <c r="Z41" s="78">
        <v>4</v>
      </c>
      <c r="AA41" s="78">
        <v>7</v>
      </c>
      <c r="AB41" s="78">
        <v>7</v>
      </c>
      <c r="AC41" s="78">
        <v>3</v>
      </c>
      <c r="AD41" s="78">
        <v>7</v>
      </c>
      <c r="AE41" s="78">
        <v>7</v>
      </c>
      <c r="AF41" s="78">
        <v>6.5</v>
      </c>
      <c r="AG41" s="78">
        <v>7</v>
      </c>
      <c r="AH41" s="78">
        <v>7</v>
      </c>
      <c r="AI41" s="78">
        <v>7</v>
      </c>
      <c r="AJ41" s="78">
        <v>4</v>
      </c>
      <c r="AK41" s="78">
        <v>4</v>
      </c>
      <c r="AL41" s="78">
        <v>4</v>
      </c>
      <c r="AM41" s="78">
        <v>4</v>
      </c>
      <c r="AN41" s="78">
        <v>4</v>
      </c>
      <c r="AO41" s="78">
        <v>4</v>
      </c>
      <c r="AP41" s="78">
        <v>4</v>
      </c>
      <c r="AQ41" s="78">
        <v>4</v>
      </c>
      <c r="AR41" s="78">
        <v>4</v>
      </c>
      <c r="AS41" s="78">
        <v>4</v>
      </c>
      <c r="AT41" s="78">
        <v>4</v>
      </c>
      <c r="AU41" s="78">
        <v>4</v>
      </c>
      <c r="AV41" s="78">
        <v>4</v>
      </c>
      <c r="AW41" s="78">
        <v>4</v>
      </c>
      <c r="AY41" t="s">
        <v>155</v>
      </c>
      <c r="AZ41" s="3" t="str">
        <f ca="1" t="shared" si="37"/>
        <v>\I:</v>
      </c>
      <c r="BA41" t="str">
        <f ca="1" t="shared" si="0"/>
        <v>Trd_2w</v>
      </c>
      <c r="BB41" s="111">
        <f ca="1" t="shared" si="18"/>
        <v>25</v>
      </c>
      <c r="BD41" t="str">
        <f ca="1" t="shared" si="3"/>
        <v>DMD</v>
      </c>
      <c r="BE41" t="str">
        <f ca="1" t="shared" si="4"/>
        <v>\I:</v>
      </c>
      <c r="BG41" t="s">
        <v>92</v>
      </c>
      <c r="BH41" t="s">
        <v>144</v>
      </c>
      <c r="BI41" t="s">
        <v>145</v>
      </c>
    </row>
    <row r="42" spans="1:61">
      <c r="C42" t="str">
        <f t="shared" si="36"/>
        <v>TRANGA</v>
      </c>
      <c r="D42" s="78">
        <v>7</v>
      </c>
      <c r="E42" s="78">
        <v>7</v>
      </c>
      <c r="F42" s="78">
        <v>7</v>
      </c>
      <c r="G42" s="78">
        <v>7</v>
      </c>
      <c r="H42" s="78">
        <v>7</v>
      </c>
      <c r="I42" s="78">
        <v>7</v>
      </c>
      <c r="J42" s="78">
        <v>7</v>
      </c>
      <c r="K42" s="114">
        <v>7</v>
      </c>
      <c r="L42" s="78">
        <v>7</v>
      </c>
      <c r="M42" s="78">
        <v>7</v>
      </c>
      <c r="N42" s="78">
        <v>7</v>
      </c>
      <c r="O42" s="78">
        <v>7</v>
      </c>
      <c r="P42" s="78">
        <v>7</v>
      </c>
      <c r="Q42" s="78">
        <v>7</v>
      </c>
      <c r="R42" s="78">
        <v>7</v>
      </c>
      <c r="S42" s="78">
        <v>7</v>
      </c>
      <c r="T42" s="78">
        <v>7</v>
      </c>
      <c r="U42" s="78">
        <v>7</v>
      </c>
      <c r="V42" s="78">
        <v>4</v>
      </c>
      <c r="W42" s="78">
        <v>7</v>
      </c>
      <c r="X42" s="78">
        <v>5</v>
      </c>
      <c r="Y42" s="114">
        <v>7</v>
      </c>
      <c r="Z42" s="78">
        <v>4</v>
      </c>
      <c r="AA42" s="78">
        <v>7</v>
      </c>
      <c r="AB42" s="78">
        <v>7</v>
      </c>
      <c r="AC42" s="78">
        <v>3</v>
      </c>
      <c r="AD42" s="78">
        <v>7</v>
      </c>
      <c r="AE42" s="78">
        <v>7</v>
      </c>
      <c r="AF42" s="78">
        <v>6.5</v>
      </c>
      <c r="AG42" s="78">
        <v>7</v>
      </c>
      <c r="AH42" s="78">
        <v>7</v>
      </c>
      <c r="AI42" s="78">
        <v>7</v>
      </c>
      <c r="AJ42" s="78">
        <v>4</v>
      </c>
      <c r="AK42" s="78">
        <v>4</v>
      </c>
      <c r="AL42" s="78">
        <v>4</v>
      </c>
      <c r="AM42" s="78">
        <v>4</v>
      </c>
      <c r="AN42" s="78">
        <v>4</v>
      </c>
      <c r="AO42" s="78">
        <v>4</v>
      </c>
      <c r="AP42" s="78">
        <v>4</v>
      </c>
      <c r="AQ42" s="78">
        <v>4</v>
      </c>
      <c r="AR42" s="78">
        <v>4</v>
      </c>
      <c r="AS42" s="78">
        <v>4</v>
      </c>
      <c r="AT42" s="78">
        <v>4</v>
      </c>
      <c r="AU42" s="78">
        <v>4</v>
      </c>
      <c r="AV42" s="78">
        <v>4</v>
      </c>
      <c r="AW42" s="78">
        <v>4</v>
      </c>
      <c r="AY42" t="s">
        <v>155</v>
      </c>
      <c r="AZ42" s="3" t="str">
        <f ca="1" t="shared" si="37"/>
        <v>\I:</v>
      </c>
      <c r="BA42" t="str">
        <f ca="1" t="shared" si="0"/>
        <v>Trd_2w</v>
      </c>
      <c r="BB42" s="111">
        <f ca="1" t="shared" si="18"/>
        <v>25</v>
      </c>
      <c r="BD42" t="str">
        <f ca="1" t="shared" si="3"/>
        <v>DMD</v>
      </c>
      <c r="BE42" t="str">
        <f ca="1" t="shared" si="4"/>
        <v>\I:</v>
      </c>
      <c r="BG42" t="s">
        <v>92</v>
      </c>
      <c r="BH42" t="s">
        <v>144</v>
      </c>
      <c r="BI42" t="s">
        <v>145</v>
      </c>
    </row>
    <row r="43" spans="1:61">
      <c r="AY43" t="s">
        <v>133</v>
      </c>
      <c r="BB43" s="111" t="str">
        <f t="shared" si="18"/>
        <v/>
      </c>
    </row>
    <row r="44" spans="1:61">
      <c r="D44" t="str">
        <f>D3</f>
        <v>Africa_North</v>
      </c>
      <c r="E44" t="str">
        <f t="shared" ref="E44:U44" si="38">E3</f>
        <v>Africa_Other</v>
      </c>
      <c r="F44" t="str">
        <f t="shared" si="38"/>
        <v>Australia</v>
      </c>
      <c r="G44" t="str">
        <f t="shared" si="38"/>
        <v>Austria</v>
      </c>
      <c r="H44" t="str">
        <f t="shared" si="38"/>
        <v>Baltics</v>
      </c>
      <c r="I44" t="str">
        <f t="shared" si="38"/>
        <v>BeNeLux</v>
      </c>
      <c r="J44" t="str">
        <f t="shared" si="38"/>
        <v>Brazil</v>
      </c>
      <c r="K44" s="111" t="str">
        <f t="shared" si="38"/>
        <v>China</v>
      </c>
      <c r="L44" t="str">
        <f t="shared" si="38"/>
        <v>CroSloven</v>
      </c>
      <c r="M44" t="str">
        <f t="shared" si="38"/>
        <v>CzechSlovak</v>
      </c>
      <c r="N44" t="str">
        <f t="shared" si="38"/>
        <v>France</v>
      </c>
      <c r="O44" t="str">
        <f t="shared" si="38"/>
        <v>Germany</v>
      </c>
      <c r="P44" t="str">
        <f t="shared" si="38"/>
        <v>GreeceCyp</v>
      </c>
      <c r="Q44" t="str">
        <f t="shared" si="38"/>
        <v>HunRomBul</v>
      </c>
      <c r="R44" t="str">
        <f t="shared" si="38"/>
        <v>Iceland</v>
      </c>
      <c r="S44" t="str">
        <f t="shared" si="38"/>
        <v>India</v>
      </c>
      <c r="T44" t="str">
        <f t="shared" si="38"/>
        <v>Ireland</v>
      </c>
      <c r="U44" t="str">
        <f t="shared" si="38"/>
        <v>ItalyMal</v>
      </c>
      <c r="V44" t="str">
        <f t="shared" ref="V44:AJ44" si="39">V3</f>
        <v>Japan</v>
      </c>
      <c r="W44" t="str">
        <f t="shared" si="39"/>
        <v>LatAm</v>
      </c>
      <c r="X44" t="str">
        <f t="shared" si="39"/>
        <v>MidEast</v>
      </c>
      <c r="Y44" s="111" t="str">
        <f t="shared" si="39"/>
        <v>NorthAm</v>
      </c>
      <c r="Z44" t="str">
        <f t="shared" si="39"/>
        <v>Norway</v>
      </c>
      <c r="AA44" t="str">
        <f t="shared" si="39"/>
        <v>Poland</v>
      </c>
      <c r="AB44" t="str">
        <f t="shared" si="39"/>
        <v>ROW</v>
      </c>
      <c r="AC44" t="str">
        <f t="shared" si="39"/>
        <v>Russia</v>
      </c>
      <c r="AD44" t="str">
        <f t="shared" si="39"/>
        <v>SaudiArabia</v>
      </c>
      <c r="AE44" t="str">
        <f t="shared" si="39"/>
        <v>SouthAfrica</v>
      </c>
      <c r="AF44" t="str">
        <f t="shared" si="39"/>
        <v>SpainPor</v>
      </c>
      <c r="AG44" t="str">
        <f t="shared" si="39"/>
        <v>SweFinDen</v>
      </c>
      <c r="AH44" t="str">
        <f t="shared" si="39"/>
        <v>Switzerland</v>
      </c>
      <c r="AI44" t="str">
        <f t="shared" si="39"/>
        <v>Turkey</v>
      </c>
      <c r="AJ44" t="str">
        <f t="shared" si="39"/>
        <v>UK</v>
      </c>
      <c r="AK44" t="str">
        <f t="shared" ref="AK44:AW44" si="40">AK3</f>
        <v>Ukraine</v>
      </c>
      <c r="AL44" t="str">
        <f t="shared" si="40"/>
        <v>WestBalkans</v>
      </c>
      <c r="AM44" t="str">
        <f t="shared" si="40"/>
        <v>\I:</v>
      </c>
      <c r="AN44" t="str">
        <f t="shared" si="40"/>
        <v>\I:</v>
      </c>
      <c r="AO44" t="str">
        <f t="shared" si="40"/>
        <v>\I:</v>
      </c>
      <c r="AP44" t="str">
        <f t="shared" si="40"/>
        <v>\I:</v>
      </c>
      <c r="AQ44" t="str">
        <f t="shared" si="40"/>
        <v>\I:</v>
      </c>
      <c r="AR44" t="str">
        <f t="shared" si="40"/>
        <v>\I:</v>
      </c>
      <c r="AS44" t="str">
        <f t="shared" si="40"/>
        <v>\I:</v>
      </c>
      <c r="AT44" t="str">
        <f t="shared" si="40"/>
        <v>\I:</v>
      </c>
      <c r="AU44" t="str">
        <f t="shared" si="40"/>
        <v>\I:</v>
      </c>
      <c r="AV44" t="str">
        <f t="shared" si="40"/>
        <v>\I:</v>
      </c>
      <c r="AW44" t="str">
        <f t="shared" si="40"/>
        <v>\I:</v>
      </c>
      <c r="AY44" t="s">
        <v>133</v>
      </c>
      <c r="BB44" s="111" t="str">
        <f t="shared" si="18"/>
        <v/>
      </c>
    </row>
    <row r="45" spans="1:61">
      <c r="A45" t="s">
        <v>156</v>
      </c>
      <c r="D45" s="1"/>
      <c r="E45" s="1"/>
      <c r="F45" s="1"/>
      <c r="G45" s="1"/>
      <c r="H45" s="1"/>
      <c r="I45" s="1"/>
      <c r="J45" s="1"/>
      <c r="K45" s="11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12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Y45" t="s">
        <v>157</v>
      </c>
      <c r="BA45" t="s">
        <v>158</v>
      </c>
      <c r="BB45" t="str">
        <f t="shared" si="18"/>
        <v/>
      </c>
    </row>
    <row r="46" spans="1:61">
      <c r="D46" s="3"/>
      <c r="E46" s="3"/>
      <c r="F46" s="3"/>
      <c r="G46" s="3"/>
      <c r="H46" s="3"/>
      <c r="I46" s="3"/>
      <c r="J46" s="3"/>
      <c r="K46" s="115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15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Y46" t="s">
        <v>133</v>
      </c>
    </row>
    <row r="48" spans="1:61">
      <c r="AY48" t="s">
        <v>159</v>
      </c>
    </row>
    <row r="49" spans="51:54">
      <c r="AY49" t="s">
        <v>160</v>
      </c>
      <c r="AZ49" t="s">
        <v>161</v>
      </c>
      <c r="BA49" t="s">
        <v>162</v>
      </c>
      <c r="BB49" t="s">
        <v>163</v>
      </c>
    </row>
    <row r="50" spans="51:54">
      <c r="AY50" t="s">
        <v>164</v>
      </c>
      <c r="AZ50" t="str">
        <f>BA45</f>
        <v>Trd_2w</v>
      </c>
      <c r="BB50" t="s">
        <v>92</v>
      </c>
    </row>
  </sheetData>
  <conditionalFormatting sqref="D46:AJ4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6:AW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I50"/>
  <sheetViews>
    <sheetView zoomScale="48" zoomScaleNormal="48" topLeftCell="AC1" workbookViewId="0">
      <selection activeCell="BD51" sqref="BD51"/>
    </sheetView>
  </sheetViews>
  <sheetFormatPr defaultColWidth="9" defaultRowHeight="14.5"/>
  <cols>
    <col min="1" max="1" width="10.8636363636364" customWidth="1"/>
    <col min="2" max="2" width="2.6" customWidth="1"/>
    <col min="4" max="20" width="6.13636363636364" customWidth="1"/>
    <col min="21" max="22" width="8.13636363636364" customWidth="1"/>
    <col min="23" max="23" width="7.4" customWidth="1"/>
    <col min="24" max="24" width="8.86363636363636" customWidth="1"/>
    <col min="25" max="25" width="5.86363636363636" customWidth="1"/>
    <col min="26" max="26" width="7.4" customWidth="1"/>
    <col min="27" max="27" width="6.6" customWidth="1"/>
    <col min="28" max="28" width="5.6" customWidth="1"/>
    <col min="29" max="29" width="6.6" customWidth="1"/>
    <col min="30" max="30" width="7.26363636363636" customWidth="1"/>
    <col min="31" max="32" width="6.6" customWidth="1"/>
    <col min="33" max="33" width="7.4" customWidth="1"/>
    <col min="34" max="34" width="8" customWidth="1"/>
    <col min="35" max="49" width="6.6" customWidth="1"/>
    <col min="50" max="50" width="5.6" customWidth="1"/>
    <col min="57" max="57" width="11.6" customWidth="1"/>
  </cols>
  <sheetData>
    <row r="2" spans="1:61">
      <c r="AY2" t="s">
        <v>130</v>
      </c>
      <c r="BD2" t="s">
        <v>131</v>
      </c>
    </row>
    <row r="3" spans="1:61">
      <c r="C3" t="s">
        <v>132</v>
      </c>
      <c r="D3" t="str">
        <f>'TRA balance'!E4</f>
        <v>Africa_North</v>
      </c>
      <c r="E3" t="str">
        <f>'TRA balance'!F4</f>
        <v>Africa_Other</v>
      </c>
      <c r="F3" t="str">
        <f>'TRA balance'!G4</f>
        <v>Australia</v>
      </c>
      <c r="G3" t="str">
        <f>'TRA balance'!H4</f>
        <v>Austria</v>
      </c>
      <c r="H3" t="str">
        <f>'TRA balance'!I4</f>
        <v>Baltics</v>
      </c>
      <c r="I3" t="str">
        <f>'TRA balance'!J4</f>
        <v>BeNeLux</v>
      </c>
      <c r="J3" t="str">
        <f>'TRA balance'!K4</f>
        <v>Brazil</v>
      </c>
      <c r="K3" t="str">
        <f>'TRA balance'!L4</f>
        <v>China</v>
      </c>
      <c r="L3" t="str">
        <f>'TRA balance'!M4</f>
        <v>CroSloven</v>
      </c>
      <c r="M3" t="str">
        <f>'TRA balance'!N4</f>
        <v>CzechSlovak</v>
      </c>
      <c r="N3" t="str">
        <f>'TRA balance'!O4</f>
        <v>France</v>
      </c>
      <c r="O3" t="str">
        <f>'TRA balance'!P4</f>
        <v>Germany</v>
      </c>
      <c r="P3" t="str">
        <f>'TRA balance'!Q4</f>
        <v>GreeceCyp</v>
      </c>
      <c r="Q3" t="str">
        <f>'TRA balance'!R4</f>
        <v>HunRomBul</v>
      </c>
      <c r="R3" t="str">
        <f>'TRA balance'!S4</f>
        <v>Iceland</v>
      </c>
      <c r="S3" t="str">
        <f>'TRA balance'!T4</f>
        <v>India</v>
      </c>
      <c r="T3" t="str">
        <f>'TRA balance'!U4</f>
        <v>Ireland</v>
      </c>
      <c r="U3" t="str">
        <f>'TRA balance'!V4</f>
        <v>ItalyMal</v>
      </c>
      <c r="V3" t="str">
        <f>'TRA balance'!W4</f>
        <v>Japan</v>
      </c>
      <c r="W3" t="str">
        <f>'TRA balance'!X4</f>
        <v>LatAm</v>
      </c>
      <c r="X3" t="str">
        <f>'TRA balance'!Y4</f>
        <v>MidEast</v>
      </c>
      <c r="Y3" t="str">
        <f>'TRA balance'!Z4</f>
        <v>NorthAm</v>
      </c>
      <c r="Z3" t="str">
        <f>'TRA balance'!AA4</f>
        <v>Norway</v>
      </c>
      <c r="AA3" t="str">
        <f>'TRA balance'!AB4</f>
        <v>Poland</v>
      </c>
      <c r="AB3" t="str">
        <f>'TRA balance'!AC4</f>
        <v>ROW</v>
      </c>
      <c r="AC3" t="str">
        <f>'TRA balance'!AD4</f>
        <v>Russia</v>
      </c>
      <c r="AD3" t="str">
        <f>'TRA balance'!AE4</f>
        <v>SaudiArabia</v>
      </c>
      <c r="AE3" t="str">
        <f>'TRA balance'!AF4</f>
        <v>SouthAfrica</v>
      </c>
      <c r="AF3" t="str">
        <f>'TRA balance'!AG4</f>
        <v>SpainPor</v>
      </c>
      <c r="AG3" t="str">
        <f>'TRA balance'!AH4</f>
        <v>SweFinDen</v>
      </c>
      <c r="AH3" t="str">
        <f>'TRA balance'!AI4</f>
        <v>Switzerland</v>
      </c>
      <c r="AI3" t="str">
        <f>'TRA balance'!AJ4</f>
        <v>Turkey</v>
      </c>
      <c r="AJ3" t="str">
        <f>'TRA balance'!AK4</f>
        <v>UK</v>
      </c>
      <c r="AK3" t="str">
        <f>'TRA balance'!AL4</f>
        <v>Ukraine</v>
      </c>
      <c r="AL3" t="str">
        <f>'TRA balance'!AM4</f>
        <v>WestBalkans</v>
      </c>
      <c r="AM3" t="str">
        <f>'TRA balance'!AN4</f>
        <v>\I:</v>
      </c>
      <c r="AN3" t="str">
        <f>'TRA balance'!AO4</f>
        <v>\I:</v>
      </c>
      <c r="AO3" t="str">
        <f>'TRA balance'!AP4</f>
        <v>\I:</v>
      </c>
      <c r="AP3" t="str">
        <f>'TRA balance'!AQ4</f>
        <v>\I:</v>
      </c>
      <c r="AQ3" t="str">
        <f>'TRA balance'!AR4</f>
        <v>\I:</v>
      </c>
      <c r="AR3" t="str">
        <f>'TRA balance'!AS4</f>
        <v>\I:</v>
      </c>
      <c r="AS3" t="str">
        <f>'TRA balance'!AT4</f>
        <v>\I:</v>
      </c>
      <c r="AT3" t="str">
        <f>'TRA balance'!AU4</f>
        <v>\I:</v>
      </c>
      <c r="AU3" t="str">
        <f>'TRA balance'!AV4</f>
        <v>\I:</v>
      </c>
      <c r="AV3" t="str">
        <f>'TRA balance'!AW4</f>
        <v>\I:</v>
      </c>
      <c r="AW3" t="str">
        <f>'TRA balance'!AX4</f>
        <v>\I:</v>
      </c>
      <c r="AX3" t="s">
        <v>133</v>
      </c>
      <c r="AY3" t="s">
        <v>134</v>
      </c>
      <c r="AZ3" t="s">
        <v>135</v>
      </c>
      <c r="BA3" t="s">
        <v>136</v>
      </c>
      <c r="BB3" t="s">
        <v>137</v>
      </c>
      <c r="BD3" t="s">
        <v>138</v>
      </c>
      <c r="BE3" t="s">
        <v>139</v>
      </c>
      <c r="BF3" t="s">
        <v>140</v>
      </c>
      <c r="BG3" t="s">
        <v>141</v>
      </c>
      <c r="BH3" t="s">
        <v>142</v>
      </c>
      <c r="BI3" t="s">
        <v>143</v>
      </c>
    </row>
    <row r="4" spans="1:61">
      <c r="A4" t="s">
        <v>78</v>
      </c>
      <c r="C4" s="43" t="s">
        <v>44</v>
      </c>
      <c r="D4" s="1" cm="1">
        <f ca="1" t="array" ref="D4">SUM(SUMIFS(Assumptions!BD$3:BD$102,Assumptions!$B$3:$B$102,'3-w'!$C4,Assumptions!$G$3:$G$102,{"TRE"}))</f>
        <v>0</v>
      </c>
      <c r="E4" s="1" cm="1">
        <f ca="1" t="array" ref="E4">SUM(SUMIFS(Assumptions!BE$3:BE$102,Assumptions!$B$3:$B$102,'3-w'!$C4,Assumptions!$G$3:$G$102,{"TRE"}))</f>
        <v>0</v>
      </c>
      <c r="F4" s="1" cm="1">
        <f ca="1" t="array" ref="F4">SUM(SUMIFS(Assumptions!BF$3:BF$102,Assumptions!$B$3:$B$102,'3-w'!$C4,Assumptions!$G$3:$G$102,{"TRE"}))</f>
        <v>0</v>
      </c>
      <c r="G4" s="1" cm="1">
        <f ca="1" t="array" ref="G4">SUM(SUMIFS(Assumptions!BG$3:BG$102,Assumptions!$B$3:$B$102,'3-w'!$C4,Assumptions!$G$3:$G$102,{"TRE"}))</f>
        <v>0</v>
      </c>
      <c r="H4" s="1" cm="1">
        <f ca="1" t="array" ref="H4">SUM(SUMIFS(Assumptions!BH$3:BH$102,Assumptions!$B$3:$B$102,'3-w'!$C4,Assumptions!$G$3:$G$102,{"TRE"}))</f>
        <v>0</v>
      </c>
      <c r="I4" s="1" cm="1">
        <f ca="1" t="array" ref="I4">SUM(SUMIFS(Assumptions!BI$3:BI$102,Assumptions!$B$3:$B$102,'3-w'!$C4,Assumptions!$G$3:$G$102,{"TRE"}))</f>
        <v>0</v>
      </c>
      <c r="J4" s="1" cm="1">
        <f ca="1" t="array" ref="J4">SUM(SUMIFS(Assumptions!BJ$3:BJ$102,Assumptions!$B$3:$B$102,'3-w'!$C4,Assumptions!$G$3:$G$102,{"TRE"}))</f>
        <v>0.45572094700776</v>
      </c>
      <c r="K4" s="1" cm="1">
        <f ca="1" t="array" ref="K4">SUM(SUMIFS(Assumptions!BK$3:BK$102,Assumptions!$B$3:$B$102,'3-w'!$C4,Assumptions!$G$3:$G$102,{"TRE"}))</f>
        <v>2.27424003372</v>
      </c>
      <c r="L4" s="1" cm="1">
        <f ca="1" t="array" ref="L4">SUM(SUMIFS(Assumptions!BL$3:BL$102,Assumptions!$B$3:$B$102,'3-w'!$C4,Assumptions!$G$3:$G$102,{"TRE"}))</f>
        <v>0</v>
      </c>
      <c r="M4" s="1" cm="1">
        <f ca="1" t="array" ref="M4">SUM(SUMIFS(Assumptions!BM$3:BM$102,Assumptions!$B$3:$B$102,'3-w'!$C4,Assumptions!$G$3:$G$102,{"TRE"}))</f>
        <v>0</v>
      </c>
      <c r="N4" s="1" cm="1">
        <f ca="1" t="array" ref="N4">SUM(SUMIFS(Assumptions!BN$3:BN$102,Assumptions!$B$3:$B$102,'3-w'!$C4,Assumptions!$G$3:$G$102,{"TRE"}))</f>
        <v>0</v>
      </c>
      <c r="O4" s="1" cm="1">
        <f ca="1" t="array" ref="O4">SUM(SUMIFS(Assumptions!BO$3:BO$102,Assumptions!$B$3:$B$102,'3-w'!$C4,Assumptions!$G$3:$G$102,{"TRE"}))</f>
        <v>0</v>
      </c>
      <c r="P4" s="1" cm="1">
        <f ca="1" t="array" ref="P4">SUM(SUMIFS(Assumptions!BP$3:BP$102,Assumptions!$B$3:$B$102,'3-w'!$C4,Assumptions!$G$3:$G$102,{"TRE"}))</f>
        <v>0</v>
      </c>
      <c r="Q4" s="1" cm="1">
        <f ca="1" t="array" ref="Q4">SUM(SUMIFS(Assumptions!BQ$3:BQ$102,Assumptions!$B$3:$B$102,'3-w'!$C4,Assumptions!$G$3:$G$102,{"TRE"}))</f>
        <v>0</v>
      </c>
      <c r="R4" s="1" cm="1">
        <f ca="1" t="array" ref="R4">SUM(SUMIFS(Assumptions!BR$3:BR$102,Assumptions!$B$3:$B$102,'3-w'!$C4,Assumptions!$G$3:$G$102,{"TRE"}))</f>
        <v>0</v>
      </c>
      <c r="S4" s="1" cm="1">
        <f ca="1" t="array" ref="S4">SUM(SUMIFS(Assumptions!BS$3:BS$102,Assumptions!$B$3:$B$102,'3-w'!$C4,Assumptions!$G$3:$G$102,{"TRE"}))</f>
        <v>0.1023086448</v>
      </c>
      <c r="T4" s="1" cm="1">
        <f ca="1" t="array" ref="T4">SUM(SUMIFS(Assumptions!BT$3:BT$102,Assumptions!$B$3:$B$102,'3-w'!$C4,Assumptions!$G$3:$G$102,{"TRE"}))</f>
        <v>0</v>
      </c>
      <c r="U4" s="1" cm="1">
        <f ca="1" t="array" ref="U4">SUM(SUMIFS(Assumptions!BU$3:BU$102,Assumptions!$B$3:$B$102,'3-w'!$C4,Assumptions!$G$3:$G$102,{"TRE"}))</f>
        <v>0</v>
      </c>
      <c r="V4" s="1" cm="1">
        <f ca="1" t="array" ref="V4">SUM(SUMIFS(Assumptions!BV$3:BV$102,Assumptions!$B$3:$B$102,'3-w'!$C4,Assumptions!$G$3:$G$102,{"TRE"}))</f>
        <v>0.000259623468</v>
      </c>
      <c r="W4" s="1" cm="1">
        <f ca="1" t="array" ref="W4">SUM(SUMIFS(Assumptions!BW$3:BW$102,Assumptions!$B$3:$B$102,'3-w'!$C4,Assumptions!$G$3:$G$102,{"TRE"}))</f>
        <v>0.05198446979964</v>
      </c>
      <c r="X4" s="1" cm="1">
        <f ca="1" t="array" ref="X4">SUM(SUMIFS(Assumptions!BX$3:BX$102,Assumptions!$B$3:$B$102,'3-w'!$C4,Assumptions!$G$3:$G$102,{"TRE"}))</f>
        <v>0</v>
      </c>
      <c r="Y4" s="1" cm="1">
        <f ca="1" t="array" ref="Y4">SUM(SUMIFS(Assumptions!BY$3:BY$102,Assumptions!$B$3:$B$102,'3-w'!$C4,Assumptions!$G$3:$G$102,{"TRE"}))</f>
        <v>0</v>
      </c>
      <c r="Z4" s="1" cm="1">
        <f ca="1" t="array" ref="Z4">SUM(SUMIFS(Assumptions!BZ$3:BZ$102,Assumptions!$B$3:$B$102,'3-w'!$C4,Assumptions!$G$3:$G$102,{"TRE"}))</f>
        <v>0</v>
      </c>
      <c r="AA4" s="1" cm="1">
        <f ca="1" t="array" ref="AA4">SUM(SUMIFS(Assumptions!CA$3:CA$102,Assumptions!$B$3:$B$102,'3-w'!$C4,Assumptions!$G$3:$G$102,{"TRE"}))</f>
        <v>0</v>
      </c>
      <c r="AB4" s="1" cm="1">
        <f ca="1" t="array" ref="AB4">SUM(SUMIFS(Assumptions!CB$3:CB$102,Assumptions!$B$3:$B$102,'3-w'!$C4,Assumptions!$G$3:$G$102,{"TRE"}))</f>
        <v>0</v>
      </c>
      <c r="AC4" s="1" cm="1">
        <f ca="1" t="array" ref="AC4">SUM(SUMIFS(Assumptions!CC$3:CC$102,Assumptions!$B$3:$B$102,'3-w'!$C4,Assumptions!$G$3:$G$102,{"TRE"}))</f>
        <v>0</v>
      </c>
      <c r="AD4" s="1" cm="1">
        <f ca="1" t="array" ref="AD4">SUM(SUMIFS(Assumptions!CD$3:CD$102,Assumptions!$B$3:$B$102,'3-w'!$C4,Assumptions!$G$3:$G$102,{"TRE"}))</f>
        <v>0</v>
      </c>
      <c r="AE4" s="1" cm="1">
        <f ca="1" t="array" ref="AE4">SUM(SUMIFS(Assumptions!CE$3:CE$102,Assumptions!$B$3:$B$102,'3-w'!$C4,Assumptions!$G$3:$G$102,{"TRE"}))</f>
        <v>0</v>
      </c>
      <c r="AF4" s="1" cm="1">
        <f ca="1" t="array" ref="AF4">SUM(SUMIFS(Assumptions!CF$3:CF$102,Assumptions!$B$3:$B$102,'3-w'!$C4,Assumptions!$G$3:$G$102,{"TRE"}))</f>
        <v>0</v>
      </c>
      <c r="AG4" s="1" cm="1">
        <f ca="1" t="array" ref="AG4">SUM(SUMIFS(Assumptions!CG$3:CG$102,Assumptions!$B$3:$B$102,'3-w'!$C4,Assumptions!$G$3:$G$102,{"TRE"}))</f>
        <v>0</v>
      </c>
      <c r="AH4" s="1" cm="1">
        <f ca="1" t="array" ref="AH4">SUM(SUMIFS(Assumptions!CH$3:CH$102,Assumptions!$B$3:$B$102,'3-w'!$C4,Assumptions!$G$3:$G$102,{"TRE"}))</f>
        <v>0</v>
      </c>
      <c r="AI4" s="1" cm="1">
        <f ca="1" t="array" ref="AI4">SUM(SUMIFS(Assumptions!CI$3:CI$102,Assumptions!$B$3:$B$102,'3-w'!$C4,Assumptions!$G$3:$G$102,{"TRE"}))</f>
        <v>0</v>
      </c>
      <c r="AJ4" s="1" cm="1">
        <f ca="1" t="array" ref="AJ4">SUM(SUMIFS(Assumptions!CJ$3:CJ$102,Assumptions!$B$3:$B$102,'3-w'!$C4,Assumptions!$G$3:$G$102,{"TRE"}))</f>
        <v>0</v>
      </c>
      <c r="AK4" s="1" cm="1">
        <f ca="1" t="array" ref="AK4">SUM(SUMIFS(Assumptions!CK$3:CK$102,Assumptions!$B$3:$B$102,'3-w'!$C4,Assumptions!$G$3:$G$102,{"TRE"}))</f>
        <v>0</v>
      </c>
      <c r="AL4" s="1" cm="1">
        <f ca="1" t="array" ref="AL4">SUM(SUMIFS(Assumptions!CL$3:CL$102,Assumptions!$B$3:$B$102,'3-w'!$C4,Assumptions!$G$3:$G$102,{"TRE"}))</f>
        <v>0</v>
      </c>
      <c r="AM4" s="1" cm="1">
        <f ca="1" t="array" ref="AM4">SUM(SUMIFS(Assumptions!CM$3:CM$102,Assumptions!$B$3:$B$102,'3-w'!$C4,Assumptions!$G$3:$G$102,{"TRE"}))</f>
        <v>0</v>
      </c>
      <c r="AN4" s="1" cm="1">
        <f ca="1" t="array" ref="AN4">SUM(SUMIFS(Assumptions!CN$3:CN$102,Assumptions!$B$3:$B$102,'3-w'!$C4,Assumptions!$G$3:$G$102,{"TRE"}))</f>
        <v>0</v>
      </c>
      <c r="AO4" s="1" cm="1">
        <f ca="1" t="array" ref="AO4">SUM(SUMIFS(Assumptions!CO$3:CO$102,Assumptions!$B$3:$B$102,'3-w'!$C4,Assumptions!$G$3:$G$102,{"TRE"}))</f>
        <v>0</v>
      </c>
      <c r="AP4" s="1" cm="1">
        <f ca="1" t="array" ref="AP4">SUM(SUMIFS(Assumptions!CP$3:CP$102,Assumptions!$B$3:$B$102,'3-w'!$C4,Assumptions!$G$3:$G$102,{"TRE"}))</f>
        <v>0</v>
      </c>
      <c r="AQ4" s="1" cm="1">
        <f ca="1" t="array" ref="AQ4">SUM(SUMIFS(Assumptions!CQ$3:CQ$102,Assumptions!$B$3:$B$102,'3-w'!$C4,Assumptions!$G$3:$G$102,{"TRE"}))</f>
        <v>0</v>
      </c>
      <c r="AR4" s="1" cm="1">
        <f ca="1" t="array" ref="AR4">SUM(SUMIFS(Assumptions!CR$3:CR$102,Assumptions!$B$3:$B$102,'3-w'!$C4,Assumptions!$G$3:$G$102,{"TRE"}))</f>
        <v>0</v>
      </c>
      <c r="AS4" s="1" cm="1">
        <f ca="1" t="array" ref="AS4">SUM(SUMIFS(Assumptions!CS$3:CS$102,Assumptions!$B$3:$B$102,'3-w'!$C4,Assumptions!$G$3:$G$102,{"TRE"}))</f>
        <v>0</v>
      </c>
      <c r="AT4" s="1" cm="1">
        <f ca="1" t="array" ref="AT4">SUM(SUMIFS(Assumptions!CT$3:CT$102,Assumptions!$B$3:$B$102,'3-w'!$C4,Assumptions!$G$3:$G$102,{"TRE"}))</f>
        <v>0</v>
      </c>
      <c r="AU4" s="1" cm="1">
        <f ca="1" t="array" ref="AU4">SUM(SUMIFS(Assumptions!CU$3:CU$102,Assumptions!$B$3:$B$102,'3-w'!$C4,Assumptions!$G$3:$G$102,{"TRE"}))</f>
        <v>0</v>
      </c>
      <c r="AV4" s="1" cm="1">
        <f ca="1" t="array" ref="AV4">SUM(SUMIFS(Assumptions!CV$3:CV$102,Assumptions!$B$3:$B$102,'3-w'!$C4,Assumptions!$G$3:$G$102,{"TRE"}))</f>
        <v>0</v>
      </c>
      <c r="AW4" s="1" cm="1">
        <f ca="1" t="array" ref="AW4">SUM(SUMIFS(Assumptions!CW$3:CW$102,Assumptions!$B$3:$B$102,'3-w'!$C4,Assumptions!$G$3:$G$102,{"TRE"}))</f>
        <v>0</v>
      </c>
      <c r="AX4" s="105" t="str">
        <f ca="1">IF(SUM(D4:AW4)=0,"zero","")</f>
        <v/>
      </c>
      <c r="AY4" s="1" t="s">
        <v>133</v>
      </c>
      <c r="BA4" t="str">
        <f t="shared" ref="BA4:BA42" si="0">IF($AZ4="","",$BA$45)</f>
        <v/>
      </c>
      <c r="BB4" t="str">
        <f t="shared" ref="BB4:BB45" si="1">IF($AZ4="","",25)</f>
        <v/>
      </c>
      <c r="BD4" t="str">
        <f>IF($AZ4="","*","DMD")</f>
        <v>*</v>
      </c>
      <c r="BE4">
        <f>AZ4</f>
        <v>0</v>
      </c>
      <c r="BG4" t="s">
        <v>92</v>
      </c>
      <c r="BH4" t="s">
        <v>144</v>
      </c>
      <c r="BI4" t="s">
        <v>145</v>
      </c>
    </row>
    <row r="5" spans="1:61">
      <c r="A5" t="s">
        <v>78</v>
      </c>
      <c r="C5" s="43" t="s">
        <v>48</v>
      </c>
      <c r="D5" s="1" cm="1">
        <f ca="1" t="array" ref="D5">SUM(SUMIFS(Assumptions!BD$3:BD$102,Assumptions!$B$3:$B$102,'3-w'!$C5,Assumptions!$G$3:$G$102,{"TRE"}))</f>
        <v>0</v>
      </c>
      <c r="E5" s="1" cm="1">
        <f ca="1" t="array" ref="E5">SUM(SUMIFS(Assumptions!BE$3:BE$102,Assumptions!$B$3:$B$102,'3-w'!$C5,Assumptions!$G$3:$G$102,{"TRE"}))</f>
        <v>0</v>
      </c>
      <c r="F5" s="1" cm="1">
        <f ca="1" t="array" ref="F5">SUM(SUMIFS(Assumptions!BF$3:BF$102,Assumptions!$B$3:$B$102,'3-w'!$C5,Assumptions!$G$3:$G$102,{"TRE"}))</f>
        <v>0</v>
      </c>
      <c r="G5" s="1" cm="1">
        <f ca="1" t="array" ref="G5">SUM(SUMIFS(Assumptions!BG$3:BG$102,Assumptions!$B$3:$B$102,'3-w'!$C5,Assumptions!$G$3:$G$102,{"TRE"}))</f>
        <v>0</v>
      </c>
      <c r="H5" s="1" cm="1">
        <f ca="1" t="array" ref="H5">SUM(SUMIFS(Assumptions!BH$3:BH$102,Assumptions!$B$3:$B$102,'3-w'!$C5,Assumptions!$G$3:$G$102,{"TRE"}))</f>
        <v>0</v>
      </c>
      <c r="I5" s="1" cm="1">
        <f ca="1" t="array" ref="I5">SUM(SUMIFS(Assumptions!BI$3:BI$102,Assumptions!$B$3:$B$102,'3-w'!$C5,Assumptions!$G$3:$G$102,{"TRE"}))</f>
        <v>0</v>
      </c>
      <c r="J5" s="1" cm="1">
        <f ca="1" t="array" ref="J5">SUM(SUMIFS(Assumptions!BJ$3:BJ$102,Assumptions!$B$3:$B$102,'3-w'!$C5,Assumptions!$G$3:$G$102,{"TRE"}))</f>
        <v>0</v>
      </c>
      <c r="K5" s="1" cm="1">
        <f ca="1" t="array" ref="K5">SUM(SUMIFS(Assumptions!BK$3:BK$102,Assumptions!$B$3:$B$102,'3-w'!$C5,Assumptions!$G$3:$G$102,{"TRE"}))</f>
        <v>0</v>
      </c>
      <c r="L5" s="1" cm="1">
        <f ca="1" t="array" ref="L5">SUM(SUMIFS(Assumptions!BL$3:BL$102,Assumptions!$B$3:$B$102,'3-w'!$C5,Assumptions!$G$3:$G$102,{"TRE"}))</f>
        <v>0</v>
      </c>
      <c r="M5" s="1" cm="1">
        <f ca="1" t="array" ref="M5">SUM(SUMIFS(Assumptions!BM$3:BM$102,Assumptions!$B$3:$B$102,'3-w'!$C5,Assumptions!$G$3:$G$102,{"TRE"}))</f>
        <v>0</v>
      </c>
      <c r="N5" s="1" cm="1">
        <f ca="1" t="array" ref="N5">SUM(SUMIFS(Assumptions!BN$3:BN$102,Assumptions!$B$3:$B$102,'3-w'!$C5,Assumptions!$G$3:$G$102,{"TRE"}))</f>
        <v>0</v>
      </c>
      <c r="O5" s="1" cm="1">
        <f ca="1" t="array" ref="O5">SUM(SUMIFS(Assumptions!BO$3:BO$102,Assumptions!$B$3:$B$102,'3-w'!$C5,Assumptions!$G$3:$G$102,{"TRE"}))</f>
        <v>0</v>
      </c>
      <c r="P5" s="1" cm="1">
        <f ca="1" t="array" ref="P5">SUM(SUMIFS(Assumptions!BP$3:BP$102,Assumptions!$B$3:$B$102,'3-w'!$C5,Assumptions!$G$3:$G$102,{"TRE"}))</f>
        <v>0</v>
      </c>
      <c r="Q5" s="1" cm="1">
        <f ca="1" t="array" ref="Q5">SUM(SUMIFS(Assumptions!BQ$3:BQ$102,Assumptions!$B$3:$B$102,'3-w'!$C5,Assumptions!$G$3:$G$102,{"TRE"}))</f>
        <v>0</v>
      </c>
      <c r="R5" s="1" cm="1">
        <f ca="1" t="array" ref="R5">SUM(SUMIFS(Assumptions!BR$3:BR$102,Assumptions!$B$3:$B$102,'3-w'!$C5,Assumptions!$G$3:$G$102,{"TRE"}))</f>
        <v>0</v>
      </c>
      <c r="S5" s="1" cm="1">
        <f ca="1" t="array" ref="S5">SUM(SUMIFS(Assumptions!BS$3:BS$102,Assumptions!$B$3:$B$102,'3-w'!$C5,Assumptions!$G$3:$G$102,{"TRE"}))</f>
        <v>0</v>
      </c>
      <c r="T5" s="1" cm="1">
        <f ca="1" t="array" ref="T5">SUM(SUMIFS(Assumptions!BT$3:BT$102,Assumptions!$B$3:$B$102,'3-w'!$C5,Assumptions!$G$3:$G$102,{"TRE"}))</f>
        <v>0</v>
      </c>
      <c r="U5" s="1" cm="1">
        <f ca="1" t="array" ref="U5">SUM(SUMIFS(Assumptions!BU$3:BU$102,Assumptions!$B$3:$B$102,'3-w'!$C5,Assumptions!$G$3:$G$102,{"TRE"}))</f>
        <v>0</v>
      </c>
      <c r="V5" s="1" cm="1">
        <f ca="1" t="array" ref="V5">SUM(SUMIFS(Assumptions!BV$3:BV$102,Assumptions!$B$3:$B$102,'3-w'!$C5,Assumptions!$G$3:$G$102,{"TRE"}))</f>
        <v>0</v>
      </c>
      <c r="W5" s="1" cm="1">
        <f ca="1" t="array" ref="W5">SUM(SUMIFS(Assumptions!BW$3:BW$102,Assumptions!$B$3:$B$102,'3-w'!$C5,Assumptions!$G$3:$G$102,{"TRE"}))</f>
        <v>0</v>
      </c>
      <c r="X5" s="1" cm="1">
        <f ca="1" t="array" ref="X5">SUM(SUMIFS(Assumptions!BX$3:BX$102,Assumptions!$B$3:$B$102,'3-w'!$C5,Assumptions!$G$3:$G$102,{"TRE"}))</f>
        <v>0</v>
      </c>
      <c r="Y5" s="1" cm="1">
        <f ca="1" t="array" ref="Y5">SUM(SUMIFS(Assumptions!BY$3:BY$102,Assumptions!$B$3:$B$102,'3-w'!$C5,Assumptions!$G$3:$G$102,{"TRE"}))</f>
        <v>0</v>
      </c>
      <c r="Z5" s="1" cm="1">
        <f ca="1" t="array" ref="Z5">SUM(SUMIFS(Assumptions!BZ$3:BZ$102,Assumptions!$B$3:$B$102,'3-w'!$C5,Assumptions!$G$3:$G$102,{"TRE"}))</f>
        <v>0</v>
      </c>
      <c r="AA5" s="1" cm="1">
        <f ca="1" t="array" ref="AA5">SUM(SUMIFS(Assumptions!CA$3:CA$102,Assumptions!$B$3:$B$102,'3-w'!$C5,Assumptions!$G$3:$G$102,{"TRE"}))</f>
        <v>0</v>
      </c>
      <c r="AB5" s="1" cm="1">
        <f ca="1" t="array" ref="AB5">SUM(SUMIFS(Assumptions!CB$3:CB$102,Assumptions!$B$3:$B$102,'3-w'!$C5,Assumptions!$G$3:$G$102,{"TRE"}))</f>
        <v>0</v>
      </c>
      <c r="AC5" s="1" cm="1">
        <f ca="1" t="array" ref="AC5">SUM(SUMIFS(Assumptions!CC$3:CC$102,Assumptions!$B$3:$B$102,'3-w'!$C5,Assumptions!$G$3:$G$102,{"TRE"}))</f>
        <v>0</v>
      </c>
      <c r="AD5" s="1" cm="1">
        <f ca="1" t="array" ref="AD5">SUM(SUMIFS(Assumptions!CD$3:CD$102,Assumptions!$B$3:$B$102,'3-w'!$C5,Assumptions!$G$3:$G$102,{"TRE"}))</f>
        <v>0</v>
      </c>
      <c r="AE5" s="1" cm="1">
        <f ca="1" t="array" ref="AE5">SUM(SUMIFS(Assumptions!CE$3:CE$102,Assumptions!$B$3:$B$102,'3-w'!$C5,Assumptions!$G$3:$G$102,{"TRE"}))</f>
        <v>0</v>
      </c>
      <c r="AF5" s="1" cm="1">
        <f ca="1" t="array" ref="AF5">SUM(SUMIFS(Assumptions!CF$3:CF$102,Assumptions!$B$3:$B$102,'3-w'!$C5,Assumptions!$G$3:$G$102,{"TRE"}))</f>
        <v>0</v>
      </c>
      <c r="AG5" s="1" cm="1">
        <f ca="1" t="array" ref="AG5">SUM(SUMIFS(Assumptions!CG$3:CG$102,Assumptions!$B$3:$B$102,'3-w'!$C5,Assumptions!$G$3:$G$102,{"TRE"}))</f>
        <v>0</v>
      </c>
      <c r="AH5" s="1" cm="1">
        <f ca="1" t="array" ref="AH5">SUM(SUMIFS(Assumptions!CH$3:CH$102,Assumptions!$B$3:$B$102,'3-w'!$C5,Assumptions!$G$3:$G$102,{"TRE"}))</f>
        <v>0</v>
      </c>
      <c r="AI5" s="1" cm="1">
        <f ca="1" t="array" ref="AI5">SUM(SUMIFS(Assumptions!CI$3:CI$102,Assumptions!$B$3:$B$102,'3-w'!$C5,Assumptions!$G$3:$G$102,{"TRE"}))</f>
        <v>0</v>
      </c>
      <c r="AJ5" s="1" cm="1">
        <f ca="1" t="array" ref="AJ5">SUM(SUMIFS(Assumptions!CJ$3:CJ$102,Assumptions!$B$3:$B$102,'3-w'!$C5,Assumptions!$G$3:$G$102,{"TRE"}))</f>
        <v>0</v>
      </c>
      <c r="AK5" s="1" cm="1">
        <f ca="1" t="array" ref="AK5">SUM(SUMIFS(Assumptions!CK$3:CK$102,Assumptions!$B$3:$B$102,'3-w'!$C5,Assumptions!$G$3:$G$102,{"TRE"}))</f>
        <v>0</v>
      </c>
      <c r="AL5" s="1" cm="1">
        <f ca="1" t="array" ref="AL5">SUM(SUMIFS(Assumptions!CL$3:CL$102,Assumptions!$B$3:$B$102,'3-w'!$C5,Assumptions!$G$3:$G$102,{"TRE"}))</f>
        <v>0</v>
      </c>
      <c r="AM5" s="1" cm="1">
        <f ca="1" t="array" ref="AM5">SUM(SUMIFS(Assumptions!CM$3:CM$102,Assumptions!$B$3:$B$102,'3-w'!$C5,Assumptions!$G$3:$G$102,{"TRE"}))</f>
        <v>0</v>
      </c>
      <c r="AN5" s="1" cm="1">
        <f ca="1" t="array" ref="AN5">SUM(SUMIFS(Assumptions!CN$3:CN$102,Assumptions!$B$3:$B$102,'3-w'!$C5,Assumptions!$G$3:$G$102,{"TRE"}))</f>
        <v>0</v>
      </c>
      <c r="AO5" s="1" cm="1">
        <f ca="1" t="array" ref="AO5">SUM(SUMIFS(Assumptions!CO$3:CO$102,Assumptions!$B$3:$B$102,'3-w'!$C5,Assumptions!$G$3:$G$102,{"TRE"}))</f>
        <v>0</v>
      </c>
      <c r="AP5" s="1" cm="1">
        <f ca="1" t="array" ref="AP5">SUM(SUMIFS(Assumptions!CP$3:CP$102,Assumptions!$B$3:$B$102,'3-w'!$C5,Assumptions!$G$3:$G$102,{"TRE"}))</f>
        <v>0</v>
      </c>
      <c r="AQ5" s="1" cm="1">
        <f ca="1" t="array" ref="AQ5">SUM(SUMIFS(Assumptions!CQ$3:CQ$102,Assumptions!$B$3:$B$102,'3-w'!$C5,Assumptions!$G$3:$G$102,{"TRE"}))</f>
        <v>0</v>
      </c>
      <c r="AR5" s="1" cm="1">
        <f ca="1" t="array" ref="AR5">SUM(SUMIFS(Assumptions!CR$3:CR$102,Assumptions!$B$3:$B$102,'3-w'!$C5,Assumptions!$G$3:$G$102,{"TRE"}))</f>
        <v>0</v>
      </c>
      <c r="AS5" s="1" cm="1">
        <f ca="1" t="array" ref="AS5">SUM(SUMIFS(Assumptions!CS$3:CS$102,Assumptions!$B$3:$B$102,'3-w'!$C5,Assumptions!$G$3:$G$102,{"TRE"}))</f>
        <v>0</v>
      </c>
      <c r="AT5" s="1" cm="1">
        <f ca="1" t="array" ref="AT5">SUM(SUMIFS(Assumptions!CT$3:CT$102,Assumptions!$B$3:$B$102,'3-w'!$C5,Assumptions!$G$3:$G$102,{"TRE"}))</f>
        <v>0</v>
      </c>
      <c r="AU5" s="1" cm="1">
        <f ca="1" t="array" ref="AU5">SUM(SUMIFS(Assumptions!CU$3:CU$102,Assumptions!$B$3:$B$102,'3-w'!$C5,Assumptions!$G$3:$G$102,{"TRE"}))</f>
        <v>0</v>
      </c>
      <c r="AV5" s="1" cm="1">
        <f ca="1" t="array" ref="AV5">SUM(SUMIFS(Assumptions!CV$3:CV$102,Assumptions!$B$3:$B$102,'3-w'!$C5,Assumptions!$G$3:$G$102,{"TRE"}))</f>
        <v>0</v>
      </c>
      <c r="AW5" s="1" cm="1">
        <f ca="1" t="array" ref="AW5">SUM(SUMIFS(Assumptions!CW$3:CW$102,Assumptions!$B$3:$B$102,'3-w'!$C5,Assumptions!$G$3:$G$102,{"TRE"}))</f>
        <v>0</v>
      </c>
      <c r="AX5" s="105" t="str">
        <f ca="1" t="shared" ref="AX5:AX10" si="2">IF(SUM(D5:AW5)=0,"zero","")</f>
        <v>zero</v>
      </c>
      <c r="AY5" t="s">
        <v>133</v>
      </c>
      <c r="BA5" t="str">
        <f t="shared" si="0"/>
        <v/>
      </c>
      <c r="BB5" t="str">
        <f t="shared" si="1"/>
        <v/>
      </c>
      <c r="BD5" t="str">
        <f t="shared" ref="BD5:BD42" si="3">IF(AZ5="","*","DMD")</f>
        <v>*</v>
      </c>
      <c r="BE5">
        <f t="shared" ref="BE5:BE42" si="4">AZ5</f>
        <v>0</v>
      </c>
      <c r="BG5" t="s">
        <v>92</v>
      </c>
      <c r="BH5" t="s">
        <v>144</v>
      </c>
      <c r="BI5" t="s">
        <v>145</v>
      </c>
    </row>
    <row r="6" spans="1:61">
      <c r="A6" t="s">
        <v>78</v>
      </c>
      <c r="C6" s="43" t="s">
        <v>60</v>
      </c>
      <c r="D6" s="1" cm="1">
        <f ca="1" t="array" ref="D6">SUM(SUMIFS(Assumptions!BD$3:BD$102,Assumptions!$B$3:$B$102,'3-w'!$C6,Assumptions!$G$3:$G$102,{"TRE"}))</f>
        <v>0</v>
      </c>
      <c r="E6" s="1" cm="1">
        <f ca="1" t="array" ref="E6">SUM(SUMIFS(Assumptions!BE$3:BE$102,Assumptions!$B$3:$B$102,'3-w'!$C6,Assumptions!$G$3:$G$102,{"TRE"}))</f>
        <v>0</v>
      </c>
      <c r="F6" s="1" cm="1">
        <f ca="1" t="array" ref="F6">SUM(SUMIFS(Assumptions!BF$3:BF$102,Assumptions!$B$3:$B$102,'3-w'!$C6,Assumptions!$G$3:$G$102,{"TRE"}))</f>
        <v>0</v>
      </c>
      <c r="G6" s="1" cm="1">
        <f ca="1" t="array" ref="G6">SUM(SUMIFS(Assumptions!BG$3:BG$102,Assumptions!$B$3:$B$102,'3-w'!$C6,Assumptions!$G$3:$G$102,{"TRE"}))</f>
        <v>0</v>
      </c>
      <c r="H6" s="1" cm="1">
        <f ca="1" t="array" ref="H6">SUM(SUMIFS(Assumptions!BH$3:BH$102,Assumptions!$B$3:$B$102,'3-w'!$C6,Assumptions!$G$3:$G$102,{"TRE"}))</f>
        <v>0</v>
      </c>
      <c r="I6" s="1" cm="1">
        <f ca="1" t="array" ref="I6">SUM(SUMIFS(Assumptions!BI$3:BI$102,Assumptions!$B$3:$B$102,'3-w'!$C6,Assumptions!$G$3:$G$102,{"TRE"}))</f>
        <v>0</v>
      </c>
      <c r="J6" s="1" cm="1">
        <f ca="1" t="array" ref="J6">SUM(SUMIFS(Assumptions!BJ$3:BJ$102,Assumptions!$B$3:$B$102,'3-w'!$C6,Assumptions!$G$3:$G$102,{"TRE"}))</f>
        <v>1.00519413977808</v>
      </c>
      <c r="K6" s="1" cm="1">
        <f ca="1" t="array" ref="K6">SUM(SUMIFS(Assumptions!BK$3:BK$102,Assumptions!$B$3:$B$102,'3-w'!$C6,Assumptions!$G$3:$G$102,{"TRE"}))</f>
        <v>232.882296767064</v>
      </c>
      <c r="L6" s="1" cm="1">
        <f ca="1" t="array" ref="L6">SUM(SUMIFS(Assumptions!BL$3:BL$102,Assumptions!$B$3:$B$102,'3-w'!$C6,Assumptions!$G$3:$G$102,{"TRE"}))</f>
        <v>0</v>
      </c>
      <c r="M6" s="1" cm="1">
        <f ca="1" t="array" ref="M6">SUM(SUMIFS(Assumptions!BM$3:BM$102,Assumptions!$B$3:$B$102,'3-w'!$C6,Assumptions!$G$3:$G$102,{"TRE"}))</f>
        <v>0</v>
      </c>
      <c r="N6" s="1" cm="1">
        <f ca="1" t="array" ref="N6">SUM(SUMIFS(Assumptions!BN$3:BN$102,Assumptions!$B$3:$B$102,'3-w'!$C6,Assumptions!$G$3:$G$102,{"TRE"}))</f>
        <v>0</v>
      </c>
      <c r="O6" s="1" cm="1">
        <f ca="1" t="array" ref="O6">SUM(SUMIFS(Assumptions!BO$3:BO$102,Assumptions!$B$3:$B$102,'3-w'!$C6,Assumptions!$G$3:$G$102,{"TRE"}))</f>
        <v>0</v>
      </c>
      <c r="P6" s="1" cm="1">
        <f ca="1" t="array" ref="P6">SUM(SUMIFS(Assumptions!BP$3:BP$102,Assumptions!$B$3:$B$102,'3-w'!$C6,Assumptions!$G$3:$G$102,{"TRE"}))</f>
        <v>0</v>
      </c>
      <c r="Q6" s="1" cm="1">
        <f ca="1" t="array" ref="Q6">SUM(SUMIFS(Assumptions!BQ$3:BQ$102,Assumptions!$B$3:$B$102,'3-w'!$C6,Assumptions!$G$3:$G$102,{"TRE"}))</f>
        <v>0</v>
      </c>
      <c r="R6" s="1" cm="1">
        <f ca="1" t="array" ref="R6">SUM(SUMIFS(Assumptions!BR$3:BR$102,Assumptions!$B$3:$B$102,'3-w'!$C6,Assumptions!$G$3:$G$102,{"TRE"}))</f>
        <v>0</v>
      </c>
      <c r="S6" s="1" cm="1">
        <f ca="1" t="array" ref="S6">SUM(SUMIFS(Assumptions!BS$3:BS$102,Assumptions!$B$3:$B$102,'3-w'!$C6,Assumptions!$G$3:$G$102,{"TRE"}))</f>
        <v>152.103682543725</v>
      </c>
      <c r="T6" s="1" cm="1">
        <f ca="1" t="array" ref="T6">SUM(SUMIFS(Assumptions!BT$3:BT$102,Assumptions!$B$3:$B$102,'3-w'!$C6,Assumptions!$G$3:$G$102,{"TRE"}))</f>
        <v>0</v>
      </c>
      <c r="U6" s="1" cm="1">
        <f ca="1" t="array" ref="U6">SUM(SUMIFS(Assumptions!BU$3:BU$102,Assumptions!$B$3:$B$102,'3-w'!$C6,Assumptions!$G$3:$G$102,{"TRE"}))</f>
        <v>0</v>
      </c>
      <c r="V6" s="1" cm="1">
        <f ca="1" t="array" ref="V6">SUM(SUMIFS(Assumptions!BV$3:BV$102,Assumptions!$B$3:$B$102,'3-w'!$C6,Assumptions!$G$3:$G$102,{"TRE"}))</f>
        <v>0.4566354919218</v>
      </c>
      <c r="W6" s="1" cm="1">
        <f ca="1" t="array" ref="W6">SUM(SUMIFS(Assumptions!BW$3:BW$102,Assumptions!$B$3:$B$102,'3-w'!$C6,Assumptions!$G$3:$G$102,{"TRE"}))</f>
        <v>1.03205755627632</v>
      </c>
      <c r="X6" s="1" cm="1">
        <f ca="1" t="array" ref="X6">SUM(SUMIFS(Assumptions!BX$3:BX$102,Assumptions!$B$3:$B$102,'3-w'!$C6,Assumptions!$G$3:$G$102,{"TRE"}))</f>
        <v>0</v>
      </c>
      <c r="Y6" s="1" cm="1">
        <f ca="1" t="array" ref="Y6">SUM(SUMIFS(Assumptions!BY$3:BY$102,Assumptions!$B$3:$B$102,'3-w'!$C6,Assumptions!$G$3:$G$102,{"TRE"}))</f>
        <v>0</v>
      </c>
      <c r="Z6" s="1" cm="1">
        <f ca="1" t="array" ref="Z6">SUM(SUMIFS(Assumptions!BZ$3:BZ$102,Assumptions!$B$3:$B$102,'3-w'!$C6,Assumptions!$G$3:$G$102,{"TRE"}))</f>
        <v>0</v>
      </c>
      <c r="AA6" s="1" cm="1">
        <f ca="1" t="array" ref="AA6">SUM(SUMIFS(Assumptions!CA$3:CA$102,Assumptions!$B$3:$B$102,'3-w'!$C6,Assumptions!$G$3:$G$102,{"TRE"}))</f>
        <v>0</v>
      </c>
      <c r="AB6" s="1" cm="1">
        <f ca="1" t="array" ref="AB6">SUM(SUMIFS(Assumptions!CB$3:CB$102,Assumptions!$B$3:$B$102,'3-w'!$C6,Assumptions!$G$3:$G$102,{"TRE"}))</f>
        <v>0</v>
      </c>
      <c r="AC6" s="1" cm="1">
        <f ca="1" t="array" ref="AC6">SUM(SUMIFS(Assumptions!CC$3:CC$102,Assumptions!$B$3:$B$102,'3-w'!$C6,Assumptions!$G$3:$G$102,{"TRE"}))</f>
        <v>0</v>
      </c>
      <c r="AD6" s="1" cm="1">
        <f ca="1" t="array" ref="AD6">SUM(SUMIFS(Assumptions!CD$3:CD$102,Assumptions!$B$3:$B$102,'3-w'!$C6,Assumptions!$G$3:$G$102,{"TRE"}))</f>
        <v>0</v>
      </c>
      <c r="AE6" s="1" cm="1">
        <f ca="1" t="array" ref="AE6">SUM(SUMIFS(Assumptions!CE$3:CE$102,Assumptions!$B$3:$B$102,'3-w'!$C6,Assumptions!$G$3:$G$102,{"TRE"}))</f>
        <v>0</v>
      </c>
      <c r="AF6" s="1" cm="1">
        <f ca="1" t="array" ref="AF6">SUM(SUMIFS(Assumptions!CF$3:CF$102,Assumptions!$B$3:$B$102,'3-w'!$C6,Assumptions!$G$3:$G$102,{"TRE"}))</f>
        <v>0</v>
      </c>
      <c r="AG6" s="1" cm="1">
        <f ca="1" t="array" ref="AG6">SUM(SUMIFS(Assumptions!CG$3:CG$102,Assumptions!$B$3:$B$102,'3-w'!$C6,Assumptions!$G$3:$G$102,{"TRE"}))</f>
        <v>0</v>
      </c>
      <c r="AH6" s="1" cm="1">
        <f ca="1" t="array" ref="AH6">SUM(SUMIFS(Assumptions!CH$3:CH$102,Assumptions!$B$3:$B$102,'3-w'!$C6,Assumptions!$G$3:$G$102,{"TRE"}))</f>
        <v>0</v>
      </c>
      <c r="AI6" s="1" cm="1">
        <f ca="1" t="array" ref="AI6">SUM(SUMIFS(Assumptions!CI$3:CI$102,Assumptions!$B$3:$B$102,'3-w'!$C6,Assumptions!$G$3:$G$102,{"TRE"}))</f>
        <v>0</v>
      </c>
      <c r="AJ6" s="1" cm="1">
        <f ca="1" t="array" ref="AJ6">SUM(SUMIFS(Assumptions!CJ$3:CJ$102,Assumptions!$B$3:$B$102,'3-w'!$C6,Assumptions!$G$3:$G$102,{"TRE"}))</f>
        <v>0</v>
      </c>
      <c r="AK6" s="1" cm="1">
        <f ca="1" t="array" ref="AK6">SUM(SUMIFS(Assumptions!CK$3:CK$102,Assumptions!$B$3:$B$102,'3-w'!$C6,Assumptions!$G$3:$G$102,{"TRE"}))</f>
        <v>0</v>
      </c>
      <c r="AL6" s="1" cm="1">
        <f ca="1" t="array" ref="AL6">SUM(SUMIFS(Assumptions!CL$3:CL$102,Assumptions!$B$3:$B$102,'3-w'!$C6,Assumptions!$G$3:$G$102,{"TRE"}))</f>
        <v>0</v>
      </c>
      <c r="AM6" s="1" cm="1">
        <f ca="1" t="array" ref="AM6">SUM(SUMIFS(Assumptions!CM$3:CM$102,Assumptions!$B$3:$B$102,'3-w'!$C6,Assumptions!$G$3:$G$102,{"TRE"}))</f>
        <v>0</v>
      </c>
      <c r="AN6" s="1" cm="1">
        <f ca="1" t="array" ref="AN6">SUM(SUMIFS(Assumptions!CN$3:CN$102,Assumptions!$B$3:$B$102,'3-w'!$C6,Assumptions!$G$3:$G$102,{"TRE"}))</f>
        <v>0</v>
      </c>
      <c r="AO6" s="1" cm="1">
        <f ca="1" t="array" ref="AO6">SUM(SUMIFS(Assumptions!CO$3:CO$102,Assumptions!$B$3:$B$102,'3-w'!$C6,Assumptions!$G$3:$G$102,{"TRE"}))</f>
        <v>0</v>
      </c>
      <c r="AP6" s="1" cm="1">
        <f ca="1" t="array" ref="AP6">SUM(SUMIFS(Assumptions!CP$3:CP$102,Assumptions!$B$3:$B$102,'3-w'!$C6,Assumptions!$G$3:$G$102,{"TRE"}))</f>
        <v>0</v>
      </c>
      <c r="AQ6" s="1" cm="1">
        <f ca="1" t="array" ref="AQ6">SUM(SUMIFS(Assumptions!CQ$3:CQ$102,Assumptions!$B$3:$B$102,'3-w'!$C6,Assumptions!$G$3:$G$102,{"TRE"}))</f>
        <v>0</v>
      </c>
      <c r="AR6" s="1" cm="1">
        <f ca="1" t="array" ref="AR6">SUM(SUMIFS(Assumptions!CR$3:CR$102,Assumptions!$B$3:$B$102,'3-w'!$C6,Assumptions!$G$3:$G$102,{"TRE"}))</f>
        <v>0</v>
      </c>
      <c r="AS6" s="1" cm="1">
        <f ca="1" t="array" ref="AS6">SUM(SUMIFS(Assumptions!CS$3:CS$102,Assumptions!$B$3:$B$102,'3-w'!$C6,Assumptions!$G$3:$G$102,{"TRE"}))</f>
        <v>0</v>
      </c>
      <c r="AT6" s="1" cm="1">
        <f ca="1" t="array" ref="AT6">SUM(SUMIFS(Assumptions!CT$3:CT$102,Assumptions!$B$3:$B$102,'3-w'!$C6,Assumptions!$G$3:$G$102,{"TRE"}))</f>
        <v>0</v>
      </c>
      <c r="AU6" s="1" cm="1">
        <f ca="1" t="array" ref="AU6">SUM(SUMIFS(Assumptions!CU$3:CU$102,Assumptions!$B$3:$B$102,'3-w'!$C6,Assumptions!$G$3:$G$102,{"TRE"}))</f>
        <v>0</v>
      </c>
      <c r="AV6" s="1" cm="1">
        <f ca="1" t="array" ref="AV6">SUM(SUMIFS(Assumptions!CV$3:CV$102,Assumptions!$B$3:$B$102,'3-w'!$C6,Assumptions!$G$3:$G$102,{"TRE"}))</f>
        <v>0</v>
      </c>
      <c r="AW6" s="1" cm="1">
        <f ca="1" t="array" ref="AW6">SUM(SUMIFS(Assumptions!CW$3:CW$102,Assumptions!$B$3:$B$102,'3-w'!$C6,Assumptions!$G$3:$G$102,{"TRE"}))</f>
        <v>0</v>
      </c>
      <c r="AX6" s="105" t="str">
        <f ca="1" t="shared" si="2"/>
        <v/>
      </c>
      <c r="AY6" t="s">
        <v>133</v>
      </c>
      <c r="BA6" t="str">
        <f t="shared" si="0"/>
        <v/>
      </c>
      <c r="BB6" t="str">
        <f t="shared" si="1"/>
        <v/>
      </c>
      <c r="BD6" t="str">
        <f t="shared" si="3"/>
        <v>*</v>
      </c>
      <c r="BE6">
        <f t="shared" si="4"/>
        <v>0</v>
      </c>
      <c r="BG6" t="s">
        <v>92</v>
      </c>
      <c r="BH6" t="s">
        <v>144</v>
      </c>
      <c r="BI6" t="s">
        <v>145</v>
      </c>
    </row>
    <row r="7" spans="1:61">
      <c r="A7" t="s">
        <v>78</v>
      </c>
      <c r="C7" s="43" t="s">
        <v>64</v>
      </c>
      <c r="D7" s="1" cm="1">
        <f ca="1" t="array" ref="D7">SUM(SUMIFS(Assumptions!BD$3:BD$102,Assumptions!$B$3:$B$102,'3-w'!$C7,Assumptions!$G$3:$G$102,{"TRE"}))</f>
        <v>0</v>
      </c>
      <c r="E7" s="1" cm="1">
        <f ca="1" t="array" ref="E7">SUM(SUMIFS(Assumptions!BE$3:BE$102,Assumptions!$B$3:$B$102,'3-w'!$C7,Assumptions!$G$3:$G$102,{"TRE"}))</f>
        <v>0</v>
      </c>
      <c r="F7" s="1" cm="1">
        <f ca="1" t="array" ref="F7">SUM(SUMIFS(Assumptions!BF$3:BF$102,Assumptions!$B$3:$B$102,'3-w'!$C7,Assumptions!$G$3:$G$102,{"TRE"}))</f>
        <v>0</v>
      </c>
      <c r="G7" s="1" cm="1">
        <f ca="1" t="array" ref="G7">SUM(SUMIFS(Assumptions!BG$3:BG$102,Assumptions!$B$3:$B$102,'3-w'!$C7,Assumptions!$G$3:$G$102,{"TRE"}))</f>
        <v>0</v>
      </c>
      <c r="H7" s="1" cm="1">
        <f ca="1" t="array" ref="H7">SUM(SUMIFS(Assumptions!BH$3:BH$102,Assumptions!$B$3:$B$102,'3-w'!$C7,Assumptions!$G$3:$G$102,{"TRE"}))</f>
        <v>0</v>
      </c>
      <c r="I7" s="1" cm="1">
        <f ca="1" t="array" ref="I7">SUM(SUMIFS(Assumptions!BI$3:BI$102,Assumptions!$B$3:$B$102,'3-w'!$C7,Assumptions!$G$3:$G$102,{"TRE"}))</f>
        <v>0</v>
      </c>
      <c r="J7" s="1" cm="1">
        <f ca="1" t="array" ref="J7">SUM(SUMIFS(Assumptions!BJ$3:BJ$102,Assumptions!$B$3:$B$102,'3-w'!$C7,Assumptions!$G$3:$G$102,{"TRE"}))</f>
        <v>0</v>
      </c>
      <c r="K7" s="1" cm="1">
        <f ca="1" t="array" ref="K7">SUM(SUMIFS(Assumptions!BK$3:BK$102,Assumptions!$B$3:$B$102,'3-w'!$C7,Assumptions!$G$3:$G$102,{"TRE"}))</f>
        <v>0</v>
      </c>
      <c r="L7" s="1" cm="1">
        <f ca="1" t="array" ref="L7">SUM(SUMIFS(Assumptions!BL$3:BL$102,Assumptions!$B$3:$B$102,'3-w'!$C7,Assumptions!$G$3:$G$102,{"TRE"}))</f>
        <v>0</v>
      </c>
      <c r="M7" s="1" cm="1">
        <f ca="1" t="array" ref="M7">SUM(SUMIFS(Assumptions!BM$3:BM$102,Assumptions!$B$3:$B$102,'3-w'!$C7,Assumptions!$G$3:$G$102,{"TRE"}))</f>
        <v>0</v>
      </c>
      <c r="N7" s="1" cm="1">
        <f ca="1" t="array" ref="N7">SUM(SUMIFS(Assumptions!BN$3:BN$102,Assumptions!$B$3:$B$102,'3-w'!$C7,Assumptions!$G$3:$G$102,{"TRE"}))</f>
        <v>0</v>
      </c>
      <c r="O7" s="1" cm="1">
        <f ca="1" t="array" ref="O7">SUM(SUMIFS(Assumptions!BO$3:BO$102,Assumptions!$B$3:$B$102,'3-w'!$C7,Assumptions!$G$3:$G$102,{"TRE"}))</f>
        <v>0</v>
      </c>
      <c r="P7" s="1" cm="1">
        <f ca="1" t="array" ref="P7">SUM(SUMIFS(Assumptions!BP$3:BP$102,Assumptions!$B$3:$B$102,'3-w'!$C7,Assumptions!$G$3:$G$102,{"TRE"}))</f>
        <v>0</v>
      </c>
      <c r="Q7" s="1" cm="1">
        <f ca="1" t="array" ref="Q7">SUM(SUMIFS(Assumptions!BQ$3:BQ$102,Assumptions!$B$3:$B$102,'3-w'!$C7,Assumptions!$G$3:$G$102,{"TRE"}))</f>
        <v>0</v>
      </c>
      <c r="R7" s="1" cm="1">
        <f ca="1" t="array" ref="R7">SUM(SUMIFS(Assumptions!BR$3:BR$102,Assumptions!$B$3:$B$102,'3-w'!$C7,Assumptions!$G$3:$G$102,{"TRE"}))</f>
        <v>0</v>
      </c>
      <c r="S7" s="1" cm="1">
        <f ca="1" t="array" ref="S7">SUM(SUMIFS(Assumptions!BS$3:BS$102,Assumptions!$B$3:$B$102,'3-w'!$C7,Assumptions!$G$3:$G$102,{"TRE"}))</f>
        <v>0</v>
      </c>
      <c r="T7" s="1" cm="1">
        <f ca="1" t="array" ref="T7">SUM(SUMIFS(Assumptions!BT$3:BT$102,Assumptions!$B$3:$B$102,'3-w'!$C7,Assumptions!$G$3:$G$102,{"TRE"}))</f>
        <v>0</v>
      </c>
      <c r="U7" s="1" cm="1">
        <f ca="1" t="array" ref="U7">SUM(SUMIFS(Assumptions!BU$3:BU$102,Assumptions!$B$3:$B$102,'3-w'!$C7,Assumptions!$G$3:$G$102,{"TRE"}))</f>
        <v>0</v>
      </c>
      <c r="V7" s="1" cm="1">
        <f ca="1" t="array" ref="V7">SUM(SUMIFS(Assumptions!BV$3:BV$102,Assumptions!$B$3:$B$102,'3-w'!$C7,Assumptions!$G$3:$G$102,{"TRE"}))</f>
        <v>0</v>
      </c>
      <c r="W7" s="1" cm="1">
        <f ca="1" t="array" ref="W7">SUM(SUMIFS(Assumptions!BW$3:BW$102,Assumptions!$B$3:$B$102,'3-w'!$C7,Assumptions!$G$3:$G$102,{"TRE"}))</f>
        <v>0</v>
      </c>
      <c r="X7" s="1" cm="1">
        <f ca="1" t="array" ref="X7">SUM(SUMIFS(Assumptions!BX$3:BX$102,Assumptions!$B$3:$B$102,'3-w'!$C7,Assumptions!$G$3:$G$102,{"TRE"}))</f>
        <v>0</v>
      </c>
      <c r="Y7" s="1" cm="1">
        <f ca="1" t="array" ref="Y7">SUM(SUMIFS(Assumptions!BY$3:BY$102,Assumptions!$B$3:$B$102,'3-w'!$C7,Assumptions!$G$3:$G$102,{"TRE"}))</f>
        <v>0</v>
      </c>
      <c r="Z7" s="1" cm="1">
        <f ca="1" t="array" ref="Z7">SUM(SUMIFS(Assumptions!BZ$3:BZ$102,Assumptions!$B$3:$B$102,'3-w'!$C7,Assumptions!$G$3:$G$102,{"TRE"}))</f>
        <v>0</v>
      </c>
      <c r="AA7" s="1" cm="1">
        <f ca="1" t="array" ref="AA7">SUM(SUMIFS(Assumptions!CA$3:CA$102,Assumptions!$B$3:$B$102,'3-w'!$C7,Assumptions!$G$3:$G$102,{"TRE"}))</f>
        <v>0</v>
      </c>
      <c r="AB7" s="1" cm="1">
        <f ca="1" t="array" ref="AB7">SUM(SUMIFS(Assumptions!CB$3:CB$102,Assumptions!$B$3:$B$102,'3-w'!$C7,Assumptions!$G$3:$G$102,{"TRE"}))</f>
        <v>0</v>
      </c>
      <c r="AC7" s="1" cm="1">
        <f ca="1" t="array" ref="AC7">SUM(SUMIFS(Assumptions!CC$3:CC$102,Assumptions!$B$3:$B$102,'3-w'!$C7,Assumptions!$G$3:$G$102,{"TRE"}))</f>
        <v>0</v>
      </c>
      <c r="AD7" s="1" cm="1">
        <f ca="1" t="array" ref="AD7">SUM(SUMIFS(Assumptions!CD$3:CD$102,Assumptions!$B$3:$B$102,'3-w'!$C7,Assumptions!$G$3:$G$102,{"TRE"}))</f>
        <v>0</v>
      </c>
      <c r="AE7" s="1" cm="1">
        <f ca="1" t="array" ref="AE7">SUM(SUMIFS(Assumptions!CE$3:CE$102,Assumptions!$B$3:$B$102,'3-w'!$C7,Assumptions!$G$3:$G$102,{"TRE"}))</f>
        <v>0</v>
      </c>
      <c r="AF7" s="1" cm="1">
        <f ca="1" t="array" ref="AF7">SUM(SUMIFS(Assumptions!CF$3:CF$102,Assumptions!$B$3:$B$102,'3-w'!$C7,Assumptions!$G$3:$G$102,{"TRE"}))</f>
        <v>0</v>
      </c>
      <c r="AG7" s="1" cm="1">
        <f ca="1" t="array" ref="AG7">SUM(SUMIFS(Assumptions!CG$3:CG$102,Assumptions!$B$3:$B$102,'3-w'!$C7,Assumptions!$G$3:$G$102,{"TRE"}))</f>
        <v>0</v>
      </c>
      <c r="AH7" s="1" cm="1">
        <f ca="1" t="array" ref="AH7">SUM(SUMIFS(Assumptions!CH$3:CH$102,Assumptions!$B$3:$B$102,'3-w'!$C7,Assumptions!$G$3:$G$102,{"TRE"}))</f>
        <v>0</v>
      </c>
      <c r="AI7" s="1" cm="1">
        <f ca="1" t="array" ref="AI7">SUM(SUMIFS(Assumptions!CI$3:CI$102,Assumptions!$B$3:$B$102,'3-w'!$C7,Assumptions!$G$3:$G$102,{"TRE"}))</f>
        <v>0</v>
      </c>
      <c r="AJ7" s="1" cm="1">
        <f ca="1" t="array" ref="AJ7">SUM(SUMIFS(Assumptions!CJ$3:CJ$102,Assumptions!$B$3:$B$102,'3-w'!$C7,Assumptions!$G$3:$G$102,{"TRE"}))</f>
        <v>0</v>
      </c>
      <c r="AK7" s="1" cm="1">
        <f ca="1" t="array" ref="AK7">SUM(SUMIFS(Assumptions!CK$3:CK$102,Assumptions!$B$3:$B$102,'3-w'!$C7,Assumptions!$G$3:$G$102,{"TRE"}))</f>
        <v>0</v>
      </c>
      <c r="AL7" s="1" cm="1">
        <f ca="1" t="array" ref="AL7">SUM(SUMIFS(Assumptions!CL$3:CL$102,Assumptions!$B$3:$B$102,'3-w'!$C7,Assumptions!$G$3:$G$102,{"TRE"}))</f>
        <v>0</v>
      </c>
      <c r="AM7" s="1" cm="1">
        <f ca="1" t="array" ref="AM7">SUM(SUMIFS(Assumptions!CM$3:CM$102,Assumptions!$B$3:$B$102,'3-w'!$C7,Assumptions!$G$3:$G$102,{"TRE"}))</f>
        <v>0</v>
      </c>
      <c r="AN7" s="1" cm="1">
        <f ca="1" t="array" ref="AN7">SUM(SUMIFS(Assumptions!CN$3:CN$102,Assumptions!$B$3:$B$102,'3-w'!$C7,Assumptions!$G$3:$G$102,{"TRE"}))</f>
        <v>0</v>
      </c>
      <c r="AO7" s="1" cm="1">
        <f ca="1" t="array" ref="AO7">SUM(SUMIFS(Assumptions!CO$3:CO$102,Assumptions!$B$3:$B$102,'3-w'!$C7,Assumptions!$G$3:$G$102,{"TRE"}))</f>
        <v>0</v>
      </c>
      <c r="AP7" s="1" cm="1">
        <f ca="1" t="array" ref="AP7">SUM(SUMIFS(Assumptions!CP$3:CP$102,Assumptions!$B$3:$B$102,'3-w'!$C7,Assumptions!$G$3:$G$102,{"TRE"}))</f>
        <v>0</v>
      </c>
      <c r="AQ7" s="1" cm="1">
        <f ca="1" t="array" ref="AQ7">SUM(SUMIFS(Assumptions!CQ$3:CQ$102,Assumptions!$B$3:$B$102,'3-w'!$C7,Assumptions!$G$3:$G$102,{"TRE"}))</f>
        <v>0</v>
      </c>
      <c r="AR7" s="1" cm="1">
        <f ca="1" t="array" ref="AR7">SUM(SUMIFS(Assumptions!CR$3:CR$102,Assumptions!$B$3:$B$102,'3-w'!$C7,Assumptions!$G$3:$G$102,{"TRE"}))</f>
        <v>0</v>
      </c>
      <c r="AS7" s="1" cm="1">
        <f ca="1" t="array" ref="AS7">SUM(SUMIFS(Assumptions!CS$3:CS$102,Assumptions!$B$3:$B$102,'3-w'!$C7,Assumptions!$G$3:$G$102,{"TRE"}))</f>
        <v>0</v>
      </c>
      <c r="AT7" s="1" cm="1">
        <f ca="1" t="array" ref="AT7">SUM(SUMIFS(Assumptions!CT$3:CT$102,Assumptions!$B$3:$B$102,'3-w'!$C7,Assumptions!$G$3:$G$102,{"TRE"}))</f>
        <v>0</v>
      </c>
      <c r="AU7" s="1" cm="1">
        <f ca="1" t="array" ref="AU7">SUM(SUMIFS(Assumptions!CU$3:CU$102,Assumptions!$B$3:$B$102,'3-w'!$C7,Assumptions!$G$3:$G$102,{"TRE"}))</f>
        <v>0</v>
      </c>
      <c r="AV7" s="1" cm="1">
        <f ca="1" t="array" ref="AV7">SUM(SUMIFS(Assumptions!CV$3:CV$102,Assumptions!$B$3:$B$102,'3-w'!$C7,Assumptions!$G$3:$G$102,{"TRE"}))</f>
        <v>0</v>
      </c>
      <c r="AW7" s="1" cm="1">
        <f ca="1" t="array" ref="AW7">SUM(SUMIFS(Assumptions!CW$3:CW$102,Assumptions!$B$3:$B$102,'3-w'!$C7,Assumptions!$G$3:$G$102,{"TRE"}))</f>
        <v>0</v>
      </c>
      <c r="AX7" s="105" t="str">
        <f ca="1" t="shared" si="2"/>
        <v>zero</v>
      </c>
      <c r="AY7" t="s">
        <v>133</v>
      </c>
      <c r="BA7" t="str">
        <f t="shared" si="0"/>
        <v/>
      </c>
      <c r="BB7" t="str">
        <f t="shared" si="1"/>
        <v/>
      </c>
      <c r="BD7" t="str">
        <f t="shared" si="3"/>
        <v>*</v>
      </c>
      <c r="BE7">
        <f t="shared" si="4"/>
        <v>0</v>
      </c>
      <c r="BG7" t="s">
        <v>92</v>
      </c>
      <c r="BH7" t="s">
        <v>144</v>
      </c>
      <c r="BI7" t="s">
        <v>145</v>
      </c>
    </row>
    <row r="8" spans="1:61">
      <c r="A8" t="s">
        <v>78</v>
      </c>
      <c r="C8" s="43" t="s">
        <v>66</v>
      </c>
      <c r="D8" s="1" cm="1">
        <f ca="1" t="array" ref="D8">SUM(SUMIFS(Assumptions!BD$3:BD$102,Assumptions!$B$3:$B$102,'3-w'!$C8,Assumptions!$G$3:$G$102,{"TRE"}))</f>
        <v>71.56702937484</v>
      </c>
      <c r="E8" s="1" cm="1">
        <f ca="1" t="array" ref="E8">SUM(SUMIFS(Assumptions!BE$3:BE$102,Assumptions!$B$3:$B$102,'3-w'!$C8,Assumptions!$G$3:$G$102,{"TRE"}))</f>
        <v>124.27521769944</v>
      </c>
      <c r="F8" s="1" cm="1">
        <f ca="1" t="array" ref="F8">SUM(SUMIFS(Assumptions!BF$3:BF$102,Assumptions!$B$3:$B$102,'3-w'!$C8,Assumptions!$G$3:$G$102,{"TRE"}))</f>
        <v>0</v>
      </c>
      <c r="G8" s="1" cm="1">
        <f ca="1" t="array" ref="G8">SUM(SUMIFS(Assumptions!BG$3:BG$102,Assumptions!$B$3:$B$102,'3-w'!$C8,Assumptions!$G$3:$G$102,{"TRE"}))</f>
        <v>0.33583422714228</v>
      </c>
      <c r="H8" s="1" cm="1">
        <f ca="1" t="array" ref="H8">SUM(SUMIFS(Assumptions!BH$3:BH$102,Assumptions!$B$3:$B$102,'3-w'!$C8,Assumptions!$G$3:$G$102,{"TRE"}))</f>
        <v>0.1012057223562</v>
      </c>
      <c r="I8" s="1" cm="1">
        <f ca="1" t="array" ref="I8">SUM(SUMIFS(Assumptions!BI$3:BI$102,Assumptions!$B$3:$B$102,'3-w'!$C8,Assumptions!$G$3:$G$102,{"TRE"}))</f>
        <v>1.29937338565218</v>
      </c>
      <c r="J8" s="1" cm="1">
        <f ca="1" t="array" ref="J8">SUM(SUMIFS(Assumptions!BJ$3:BJ$102,Assumptions!$B$3:$B$102,'3-w'!$C8,Assumptions!$G$3:$G$102,{"TRE"}))</f>
        <v>4.0418182817082</v>
      </c>
      <c r="K8" s="1" cm="1">
        <f ca="1" t="array" ref="K8">SUM(SUMIFS(Assumptions!BK$3:BK$102,Assumptions!$B$3:$B$102,'3-w'!$C8,Assumptions!$G$3:$G$102,{"TRE"}))</f>
        <v>0</v>
      </c>
      <c r="L8" s="1" cm="1">
        <f ca="1" t="array" ref="L8">SUM(SUMIFS(Assumptions!BL$3:BL$102,Assumptions!$B$3:$B$102,'3-w'!$C8,Assumptions!$G$3:$G$102,{"TRE"}))</f>
        <v>0.1691345719998</v>
      </c>
      <c r="M8" s="1" cm="1">
        <f ca="1" t="array" ref="M8">SUM(SUMIFS(Assumptions!BM$3:BM$102,Assumptions!$B$3:$B$102,'3-w'!$C8,Assumptions!$G$3:$G$102,{"TRE"}))</f>
        <v>0.400950011502</v>
      </c>
      <c r="N8" s="1" cm="1">
        <f ca="1" t="array" ref="N8">SUM(SUMIFS(Assumptions!BN$3:BN$102,Assumptions!$B$3:$B$102,'3-w'!$C8,Assumptions!$G$3:$G$102,{"TRE"}))</f>
        <v>1.59615068474286</v>
      </c>
      <c r="O8" s="1" cm="1">
        <f ca="1" t="array" ref="O8">SUM(SUMIFS(Assumptions!BO$3:BO$102,Assumptions!$B$3:$B$102,'3-w'!$C8,Assumptions!$G$3:$G$102,{"TRE"}))</f>
        <v>3.50466819890778</v>
      </c>
      <c r="P8" s="1" cm="1">
        <f ca="1" t="array" ref="P8">SUM(SUMIFS(Assumptions!BP$3:BP$102,Assumptions!$B$3:$B$102,'3-w'!$C8,Assumptions!$G$3:$G$102,{"TRE"}))</f>
        <v>0.5481242931051</v>
      </c>
      <c r="Q8" s="1" cm="1">
        <f ca="1" t="array" ref="Q8">SUM(SUMIFS(Assumptions!BQ$3:BQ$102,Assumptions!$B$3:$B$102,'3-w'!$C8,Assumptions!$G$3:$G$102,{"TRE"}))</f>
        <v>0.6249038526828</v>
      </c>
      <c r="R8" s="1" cm="1">
        <f ca="1" t="array" ref="R8">SUM(SUMIFS(Assumptions!BR$3:BR$102,Assumptions!$B$3:$B$102,'3-w'!$C8,Assumptions!$G$3:$G$102,{"TRE"}))</f>
        <v>0.02533997458386</v>
      </c>
      <c r="S8" s="1" cm="1">
        <f ca="1" t="array" ref="S8">SUM(SUMIFS(Assumptions!BS$3:BS$102,Assumptions!$B$3:$B$102,'3-w'!$C8,Assumptions!$G$3:$G$102,{"TRE"}))</f>
        <v>134.28800014104</v>
      </c>
      <c r="T8" s="1" cm="1">
        <f ca="1" t="array" ref="T8">SUM(SUMIFS(Assumptions!BT$3:BT$102,Assumptions!$B$3:$B$102,'3-w'!$C8,Assumptions!$G$3:$G$102,{"TRE"}))</f>
        <v>0.15632851109112</v>
      </c>
      <c r="U8" s="1" cm="1">
        <f ca="1" t="array" ref="U8">SUM(SUMIFS(Assumptions!BU$3:BU$102,Assumptions!$B$3:$B$102,'3-w'!$C8,Assumptions!$G$3:$G$102,{"TRE"}))</f>
        <v>1.5834267140031</v>
      </c>
      <c r="V8" s="1" cm="1">
        <f ca="1" t="array" ref="V8">SUM(SUMIFS(Assumptions!BV$3:BV$102,Assumptions!$B$3:$B$102,'3-w'!$C8,Assumptions!$G$3:$G$102,{"TRE"}))</f>
        <v>7.1304220296324</v>
      </c>
      <c r="W8" s="1" cm="1">
        <f ca="1" t="array" ref="W8">SUM(SUMIFS(Assumptions!BW$3:BW$102,Assumptions!$B$3:$B$102,'3-w'!$C8,Assumptions!$G$3:$G$102,{"TRE"}))</f>
        <v>7.6850577733086</v>
      </c>
      <c r="X8" s="1" cm="1">
        <f ca="1" t="array" ref="X8">SUM(SUMIFS(Assumptions!BX$3:BX$102,Assumptions!$B$3:$B$102,'3-w'!$C8,Assumptions!$G$3:$G$102,{"TRE"}))</f>
        <v>16.517367267786</v>
      </c>
      <c r="Y8" s="1" cm="1">
        <f ca="1" t="array" ref="Y8">SUM(SUMIFS(Assumptions!BY$3:BY$102,Assumptions!$B$3:$B$102,'3-w'!$C8,Assumptions!$G$3:$G$102,{"TRE"}))</f>
        <v>14.6777994476813</v>
      </c>
      <c r="Z8" s="1" cm="1">
        <f ca="1" t="array" ref="Z8">SUM(SUMIFS(Assumptions!BZ$3:BZ$102,Assumptions!$B$3:$B$102,'3-w'!$C8,Assumptions!$G$3:$G$102,{"TRE"}))</f>
        <v>0.13529496782772</v>
      </c>
      <c r="AA8" s="1" cm="1">
        <f ca="1" t="array" ref="AA8">SUM(SUMIFS(Assumptions!CA$3:CA$102,Assumptions!$B$3:$B$102,'3-w'!$C8,Assumptions!$G$3:$G$102,{"TRE"}))</f>
        <v>0.8744260083552</v>
      </c>
      <c r="AB8" s="1" cm="1">
        <f ca="1" t="array" ref="AB8">SUM(SUMIFS(Assumptions!CB$3:CB$102,Assumptions!$B$3:$B$102,'3-w'!$C8,Assumptions!$G$3:$G$102,{"TRE"}))</f>
        <v>452.30065127928</v>
      </c>
      <c r="AC8" s="1" cm="1">
        <f ca="1" t="array" ref="AC8">SUM(SUMIFS(Assumptions!CC$3:CC$102,Assumptions!$B$3:$B$102,'3-w'!$C8,Assumptions!$G$3:$G$102,{"TRE"}))</f>
        <v>5.4143843656518</v>
      </c>
      <c r="AD8" s="1" cm="1">
        <f ca="1" t="array" ref="AD8">SUM(SUMIFS(Assumptions!CD$3:CD$102,Assumptions!$B$3:$B$102,'3-w'!$C8,Assumptions!$G$3:$G$102,{"TRE"}))</f>
        <v>7.1355948168456</v>
      </c>
      <c r="AE8" s="1" cm="1">
        <f ca="1" t="array" ref="AE8">SUM(SUMIFS(Assumptions!CE$3:CE$102,Assumptions!$B$3:$B$102,'3-w'!$C8,Assumptions!$G$3:$G$102,{"TRE"}))</f>
        <v>31.65744484944</v>
      </c>
      <c r="AF8" s="1" cm="1">
        <f ca="1" t="array" ref="AF8">SUM(SUMIFS(Assumptions!CF$3:CF$102,Assumptions!$B$3:$B$102,'3-w'!$C8,Assumptions!$G$3:$G$102,{"TRE"}))</f>
        <v>1.31502265617672</v>
      </c>
      <c r="AG8" s="1" cm="1">
        <f ca="1" t="array" ref="AG8">SUM(SUMIFS(Assumptions!CG$3:CG$102,Assumptions!$B$3:$B$102,'3-w'!$C8,Assumptions!$G$3:$G$102,{"TRE"}))</f>
        <v>0.9222909106266</v>
      </c>
      <c r="AH8" s="1" cm="1">
        <f ca="1" t="array" ref="AH8">SUM(SUMIFS(Assumptions!CH$3:CH$102,Assumptions!$B$3:$B$102,'3-w'!$C8,Assumptions!$G$3:$G$102,{"TRE"}))</f>
        <v>0.48438556819938</v>
      </c>
      <c r="AI8" s="1" cm="1">
        <f ca="1" t="array" ref="AI8">SUM(SUMIFS(Assumptions!CI$3:CI$102,Assumptions!$B$3:$B$102,'3-w'!$C8,Assumptions!$G$3:$G$102,{"TRE"}))</f>
        <v>0.6951559911408</v>
      </c>
      <c r="AJ8" s="1" cm="1">
        <f ca="1" t="array" ref="AJ8">SUM(SUMIFS(Assumptions!CJ$3:CJ$102,Assumptions!$B$3:$B$102,'3-w'!$C8,Assumptions!$G$3:$G$102,{"TRE"}))</f>
        <v>2.49964595385588</v>
      </c>
      <c r="AK8" s="1" cm="1">
        <f ca="1" t="array" ref="AK8">SUM(SUMIFS(Assumptions!CK$3:CK$102,Assumptions!$B$3:$B$102,'3-w'!$C8,Assumptions!$G$3:$G$102,{"TRE"}))</f>
        <v>0.2700266862888</v>
      </c>
      <c r="AL8" s="1" cm="1">
        <f ca="1" t="array" ref="AL8">SUM(SUMIFS(Assumptions!CL$3:CL$102,Assumptions!$B$3:$B$102,'3-w'!$C8,Assumptions!$G$3:$G$102,{"TRE"}))</f>
        <v>0.1760364489978</v>
      </c>
      <c r="AM8" s="1" cm="1">
        <f ca="1" t="array" ref="AM8">SUM(SUMIFS(Assumptions!CM$3:CM$102,Assumptions!$B$3:$B$102,'3-w'!$C8,Assumptions!$G$3:$G$102,{"TRE"}))</f>
        <v>0</v>
      </c>
      <c r="AN8" s="1" cm="1">
        <f ca="1" t="array" ref="AN8">SUM(SUMIFS(Assumptions!CN$3:CN$102,Assumptions!$B$3:$B$102,'3-w'!$C8,Assumptions!$G$3:$G$102,{"TRE"}))</f>
        <v>0</v>
      </c>
      <c r="AO8" s="1" cm="1">
        <f ca="1" t="array" ref="AO8">SUM(SUMIFS(Assumptions!CO$3:CO$102,Assumptions!$B$3:$B$102,'3-w'!$C8,Assumptions!$G$3:$G$102,{"TRE"}))</f>
        <v>0</v>
      </c>
      <c r="AP8" s="1" cm="1">
        <f ca="1" t="array" ref="AP8">SUM(SUMIFS(Assumptions!CP$3:CP$102,Assumptions!$B$3:$B$102,'3-w'!$C8,Assumptions!$G$3:$G$102,{"TRE"}))</f>
        <v>0</v>
      </c>
      <c r="AQ8" s="1" cm="1">
        <f ca="1" t="array" ref="AQ8">SUM(SUMIFS(Assumptions!CQ$3:CQ$102,Assumptions!$B$3:$B$102,'3-w'!$C8,Assumptions!$G$3:$G$102,{"TRE"}))</f>
        <v>0</v>
      </c>
      <c r="AR8" s="1" cm="1">
        <f ca="1" t="array" ref="AR8">SUM(SUMIFS(Assumptions!CR$3:CR$102,Assumptions!$B$3:$B$102,'3-w'!$C8,Assumptions!$G$3:$G$102,{"TRE"}))</f>
        <v>0</v>
      </c>
      <c r="AS8" s="1" cm="1">
        <f ca="1" t="array" ref="AS8">SUM(SUMIFS(Assumptions!CS$3:CS$102,Assumptions!$B$3:$B$102,'3-w'!$C8,Assumptions!$G$3:$G$102,{"TRE"}))</f>
        <v>0</v>
      </c>
      <c r="AT8" s="1" cm="1">
        <f ca="1" t="array" ref="AT8">SUM(SUMIFS(Assumptions!CT$3:CT$102,Assumptions!$B$3:$B$102,'3-w'!$C8,Assumptions!$G$3:$G$102,{"TRE"}))</f>
        <v>0</v>
      </c>
      <c r="AU8" s="1" cm="1">
        <f ca="1" t="array" ref="AU8">SUM(SUMIFS(Assumptions!CU$3:CU$102,Assumptions!$B$3:$B$102,'3-w'!$C8,Assumptions!$G$3:$G$102,{"TRE"}))</f>
        <v>0</v>
      </c>
      <c r="AV8" s="1" cm="1">
        <f ca="1" t="array" ref="AV8">SUM(SUMIFS(Assumptions!CV$3:CV$102,Assumptions!$B$3:$B$102,'3-w'!$C8,Assumptions!$G$3:$G$102,{"TRE"}))</f>
        <v>0</v>
      </c>
      <c r="AW8" s="1" cm="1">
        <f ca="1" t="array" ref="AW8">SUM(SUMIFS(Assumptions!CW$3:CW$102,Assumptions!$B$3:$B$102,'3-w'!$C8,Assumptions!$G$3:$G$102,{"TRE"}))</f>
        <v>0</v>
      </c>
      <c r="AX8" s="105" t="str">
        <f ca="1" t="shared" si="2"/>
        <v/>
      </c>
      <c r="AY8" t="s">
        <v>133</v>
      </c>
      <c r="BA8" t="str">
        <f t="shared" si="0"/>
        <v/>
      </c>
      <c r="BB8" t="str">
        <f t="shared" si="1"/>
        <v/>
      </c>
      <c r="BD8" t="str">
        <f t="shared" si="3"/>
        <v>*</v>
      </c>
      <c r="BE8">
        <f t="shared" si="4"/>
        <v>0</v>
      </c>
      <c r="BG8" t="s">
        <v>92</v>
      </c>
      <c r="BH8" t="s">
        <v>144</v>
      </c>
      <c r="BI8" t="s">
        <v>145</v>
      </c>
    </row>
    <row r="9" spans="1:61">
      <c r="A9" t="s">
        <v>78</v>
      </c>
      <c r="C9" s="43" t="s">
        <v>74</v>
      </c>
      <c r="D9" s="1" cm="1">
        <f ca="1" t="array" ref="D9">SUM(SUMIFS(Assumptions!BD$3:BD$102,Assumptions!$B$3:$B$102,'3-w'!$C9,Assumptions!$G$3:$G$102,{"TRE"}))</f>
        <v>0</v>
      </c>
      <c r="E9" s="1" cm="1">
        <f ca="1" t="array" ref="E9">SUM(SUMIFS(Assumptions!BE$3:BE$102,Assumptions!$B$3:$B$102,'3-w'!$C9,Assumptions!$G$3:$G$102,{"TRE"}))</f>
        <v>0</v>
      </c>
      <c r="F9" s="1" cm="1">
        <f ca="1" t="array" ref="F9">SUM(SUMIFS(Assumptions!BF$3:BF$102,Assumptions!$B$3:$B$102,'3-w'!$C9,Assumptions!$G$3:$G$102,{"TRE"}))</f>
        <v>0</v>
      </c>
      <c r="G9" s="1" cm="1">
        <f ca="1" t="array" ref="G9">SUM(SUMIFS(Assumptions!BG$3:BG$102,Assumptions!$B$3:$B$102,'3-w'!$C9,Assumptions!$G$3:$G$102,{"TRE"}))</f>
        <v>0</v>
      </c>
      <c r="H9" s="1" cm="1">
        <f ca="1" t="array" ref="H9">SUM(SUMIFS(Assumptions!BH$3:BH$102,Assumptions!$B$3:$B$102,'3-w'!$C9,Assumptions!$G$3:$G$102,{"TRE"}))</f>
        <v>0</v>
      </c>
      <c r="I9" s="1" cm="1">
        <f ca="1" t="array" ref="I9">SUM(SUMIFS(Assumptions!BI$3:BI$102,Assumptions!$B$3:$B$102,'3-w'!$C9,Assumptions!$G$3:$G$102,{"TRE"}))</f>
        <v>0</v>
      </c>
      <c r="J9" s="1" cm="1">
        <f ca="1" t="array" ref="J9">SUM(SUMIFS(Assumptions!BJ$3:BJ$102,Assumptions!$B$3:$B$102,'3-w'!$C9,Assumptions!$G$3:$G$102,{"TRE"}))</f>
        <v>0</v>
      </c>
      <c r="K9" s="1" cm="1">
        <f ca="1" t="array" ref="K9">SUM(SUMIFS(Assumptions!BK$3:BK$102,Assumptions!$B$3:$B$102,'3-w'!$C9,Assumptions!$G$3:$G$102,{"TRE"}))</f>
        <v>0</v>
      </c>
      <c r="L9" s="1" cm="1">
        <f ca="1" t="array" ref="L9">SUM(SUMIFS(Assumptions!BL$3:BL$102,Assumptions!$B$3:$B$102,'3-w'!$C9,Assumptions!$G$3:$G$102,{"TRE"}))</f>
        <v>0</v>
      </c>
      <c r="M9" s="1" cm="1">
        <f ca="1" t="array" ref="M9">SUM(SUMIFS(Assumptions!BM$3:BM$102,Assumptions!$B$3:$B$102,'3-w'!$C9,Assumptions!$G$3:$G$102,{"TRE"}))</f>
        <v>0</v>
      </c>
      <c r="N9" s="1" cm="1">
        <f ca="1" t="array" ref="N9">SUM(SUMIFS(Assumptions!BN$3:BN$102,Assumptions!$B$3:$B$102,'3-w'!$C9,Assumptions!$G$3:$G$102,{"TRE"}))</f>
        <v>0</v>
      </c>
      <c r="O9" s="1" cm="1">
        <f ca="1" t="array" ref="O9">SUM(SUMIFS(Assumptions!BO$3:BO$102,Assumptions!$B$3:$B$102,'3-w'!$C9,Assumptions!$G$3:$G$102,{"TRE"}))</f>
        <v>0</v>
      </c>
      <c r="P9" s="1" cm="1">
        <f ca="1" t="array" ref="P9">SUM(SUMIFS(Assumptions!BP$3:BP$102,Assumptions!$B$3:$B$102,'3-w'!$C9,Assumptions!$G$3:$G$102,{"TRE"}))</f>
        <v>0</v>
      </c>
      <c r="Q9" s="1" cm="1">
        <f ca="1" t="array" ref="Q9">SUM(SUMIFS(Assumptions!BQ$3:BQ$102,Assumptions!$B$3:$B$102,'3-w'!$C9,Assumptions!$G$3:$G$102,{"TRE"}))</f>
        <v>0</v>
      </c>
      <c r="R9" s="1" cm="1">
        <f ca="1" t="array" ref="R9">SUM(SUMIFS(Assumptions!BR$3:BR$102,Assumptions!$B$3:$B$102,'3-w'!$C9,Assumptions!$G$3:$G$102,{"TRE"}))</f>
        <v>0</v>
      </c>
      <c r="S9" s="1" cm="1">
        <f ca="1" t="array" ref="S9">SUM(SUMIFS(Assumptions!BS$3:BS$102,Assumptions!$B$3:$B$102,'3-w'!$C9,Assumptions!$G$3:$G$102,{"TRE"}))</f>
        <v>0</v>
      </c>
      <c r="T9" s="1" cm="1">
        <f ca="1" t="array" ref="T9">SUM(SUMIFS(Assumptions!BT$3:BT$102,Assumptions!$B$3:$B$102,'3-w'!$C9,Assumptions!$G$3:$G$102,{"TRE"}))</f>
        <v>0</v>
      </c>
      <c r="U9" s="1" cm="1">
        <f ca="1" t="array" ref="U9">SUM(SUMIFS(Assumptions!BU$3:BU$102,Assumptions!$B$3:$B$102,'3-w'!$C9,Assumptions!$G$3:$G$102,{"TRE"}))</f>
        <v>0</v>
      </c>
      <c r="V9" s="1" cm="1">
        <f ca="1" t="array" ref="V9">SUM(SUMIFS(Assumptions!BV$3:BV$102,Assumptions!$B$3:$B$102,'3-w'!$C9,Assumptions!$G$3:$G$102,{"TRE"}))</f>
        <v>0</v>
      </c>
      <c r="W9" s="1" cm="1">
        <f ca="1" t="array" ref="W9">SUM(SUMIFS(Assumptions!BW$3:BW$102,Assumptions!$B$3:$B$102,'3-w'!$C9,Assumptions!$G$3:$G$102,{"TRE"}))</f>
        <v>0</v>
      </c>
      <c r="X9" s="1" cm="1">
        <f ca="1" t="array" ref="X9">SUM(SUMIFS(Assumptions!BX$3:BX$102,Assumptions!$B$3:$B$102,'3-w'!$C9,Assumptions!$G$3:$G$102,{"TRE"}))</f>
        <v>0</v>
      </c>
      <c r="Y9" s="1" cm="1">
        <f ca="1" t="array" ref="Y9">SUM(SUMIFS(Assumptions!BY$3:BY$102,Assumptions!$B$3:$B$102,'3-w'!$C9,Assumptions!$G$3:$G$102,{"TRE"}))</f>
        <v>0</v>
      </c>
      <c r="Z9" s="1" cm="1">
        <f ca="1" t="array" ref="Z9">SUM(SUMIFS(Assumptions!BZ$3:BZ$102,Assumptions!$B$3:$B$102,'3-w'!$C9,Assumptions!$G$3:$G$102,{"TRE"}))</f>
        <v>0</v>
      </c>
      <c r="AA9" s="1" cm="1">
        <f ca="1" t="array" ref="AA9">SUM(SUMIFS(Assumptions!CA$3:CA$102,Assumptions!$B$3:$B$102,'3-w'!$C9,Assumptions!$G$3:$G$102,{"TRE"}))</f>
        <v>0</v>
      </c>
      <c r="AB9" s="1" cm="1">
        <f ca="1" t="array" ref="AB9">SUM(SUMIFS(Assumptions!CB$3:CB$102,Assumptions!$B$3:$B$102,'3-w'!$C9,Assumptions!$G$3:$G$102,{"TRE"}))</f>
        <v>0</v>
      </c>
      <c r="AC9" s="1" cm="1">
        <f ca="1" t="array" ref="AC9">SUM(SUMIFS(Assumptions!CC$3:CC$102,Assumptions!$B$3:$B$102,'3-w'!$C9,Assumptions!$G$3:$G$102,{"TRE"}))</f>
        <v>0</v>
      </c>
      <c r="AD9" s="1" cm="1">
        <f ca="1" t="array" ref="AD9">SUM(SUMIFS(Assumptions!CD$3:CD$102,Assumptions!$B$3:$B$102,'3-w'!$C9,Assumptions!$G$3:$G$102,{"TRE"}))</f>
        <v>0</v>
      </c>
      <c r="AE9" s="1" cm="1">
        <f ca="1" t="array" ref="AE9">SUM(SUMIFS(Assumptions!CE$3:CE$102,Assumptions!$B$3:$B$102,'3-w'!$C9,Assumptions!$G$3:$G$102,{"TRE"}))</f>
        <v>0</v>
      </c>
      <c r="AF9" s="1" cm="1">
        <f ca="1" t="array" ref="AF9">SUM(SUMIFS(Assumptions!CF$3:CF$102,Assumptions!$B$3:$B$102,'3-w'!$C9,Assumptions!$G$3:$G$102,{"TRE"}))</f>
        <v>0</v>
      </c>
      <c r="AG9" s="1" cm="1">
        <f ca="1" t="array" ref="AG9">SUM(SUMIFS(Assumptions!CG$3:CG$102,Assumptions!$B$3:$B$102,'3-w'!$C9,Assumptions!$G$3:$G$102,{"TRE"}))</f>
        <v>0</v>
      </c>
      <c r="AH9" s="1" cm="1">
        <f ca="1" t="array" ref="AH9">SUM(SUMIFS(Assumptions!CH$3:CH$102,Assumptions!$B$3:$B$102,'3-w'!$C9,Assumptions!$G$3:$G$102,{"TRE"}))</f>
        <v>0</v>
      </c>
      <c r="AI9" s="1" cm="1">
        <f ca="1" t="array" ref="AI9">SUM(SUMIFS(Assumptions!CI$3:CI$102,Assumptions!$B$3:$B$102,'3-w'!$C9,Assumptions!$G$3:$G$102,{"TRE"}))</f>
        <v>0</v>
      </c>
      <c r="AJ9" s="1" cm="1">
        <f ca="1" t="array" ref="AJ9">SUM(SUMIFS(Assumptions!CJ$3:CJ$102,Assumptions!$B$3:$B$102,'3-w'!$C9,Assumptions!$G$3:$G$102,{"TRE"}))</f>
        <v>0</v>
      </c>
      <c r="AK9" s="1" cm="1">
        <f ca="1" t="array" ref="AK9">SUM(SUMIFS(Assumptions!CK$3:CK$102,Assumptions!$B$3:$B$102,'3-w'!$C9,Assumptions!$G$3:$G$102,{"TRE"}))</f>
        <v>0</v>
      </c>
      <c r="AL9" s="1" cm="1">
        <f ca="1" t="array" ref="AL9">SUM(SUMIFS(Assumptions!CL$3:CL$102,Assumptions!$B$3:$B$102,'3-w'!$C9,Assumptions!$G$3:$G$102,{"TRE"}))</f>
        <v>0</v>
      </c>
      <c r="AM9" s="1" cm="1">
        <f ca="1" t="array" ref="AM9">SUM(SUMIFS(Assumptions!CM$3:CM$102,Assumptions!$B$3:$B$102,'3-w'!$C9,Assumptions!$G$3:$G$102,{"TRE"}))</f>
        <v>0</v>
      </c>
      <c r="AN9" s="1" cm="1">
        <f ca="1" t="array" ref="AN9">SUM(SUMIFS(Assumptions!CN$3:CN$102,Assumptions!$B$3:$B$102,'3-w'!$C9,Assumptions!$G$3:$G$102,{"TRE"}))</f>
        <v>0</v>
      </c>
      <c r="AO9" s="1" cm="1">
        <f ca="1" t="array" ref="AO9">SUM(SUMIFS(Assumptions!CO$3:CO$102,Assumptions!$B$3:$B$102,'3-w'!$C9,Assumptions!$G$3:$G$102,{"TRE"}))</f>
        <v>0</v>
      </c>
      <c r="AP9" s="1" cm="1">
        <f ca="1" t="array" ref="AP9">SUM(SUMIFS(Assumptions!CP$3:CP$102,Assumptions!$B$3:$B$102,'3-w'!$C9,Assumptions!$G$3:$G$102,{"TRE"}))</f>
        <v>0</v>
      </c>
      <c r="AQ9" s="1" cm="1">
        <f ca="1" t="array" ref="AQ9">SUM(SUMIFS(Assumptions!CQ$3:CQ$102,Assumptions!$B$3:$B$102,'3-w'!$C9,Assumptions!$G$3:$G$102,{"TRE"}))</f>
        <v>0</v>
      </c>
      <c r="AR9" s="1" cm="1">
        <f ca="1" t="array" ref="AR9">SUM(SUMIFS(Assumptions!CR$3:CR$102,Assumptions!$B$3:$B$102,'3-w'!$C9,Assumptions!$G$3:$G$102,{"TRE"}))</f>
        <v>0</v>
      </c>
      <c r="AS9" s="1" cm="1">
        <f ca="1" t="array" ref="AS9">SUM(SUMIFS(Assumptions!CS$3:CS$102,Assumptions!$B$3:$B$102,'3-w'!$C9,Assumptions!$G$3:$G$102,{"TRE"}))</f>
        <v>0</v>
      </c>
      <c r="AT9" s="1" cm="1">
        <f ca="1" t="array" ref="AT9">SUM(SUMIFS(Assumptions!CT$3:CT$102,Assumptions!$B$3:$B$102,'3-w'!$C9,Assumptions!$G$3:$G$102,{"TRE"}))</f>
        <v>0</v>
      </c>
      <c r="AU9" s="1" cm="1">
        <f ca="1" t="array" ref="AU9">SUM(SUMIFS(Assumptions!CU$3:CU$102,Assumptions!$B$3:$B$102,'3-w'!$C9,Assumptions!$G$3:$G$102,{"TRE"}))</f>
        <v>0</v>
      </c>
      <c r="AV9" s="1" cm="1">
        <f ca="1" t="array" ref="AV9">SUM(SUMIFS(Assumptions!CV$3:CV$102,Assumptions!$B$3:$B$102,'3-w'!$C9,Assumptions!$G$3:$G$102,{"TRE"}))</f>
        <v>0</v>
      </c>
      <c r="AW9" s="1" cm="1">
        <f ca="1" t="array" ref="AW9">SUM(SUMIFS(Assumptions!CW$3:CW$102,Assumptions!$B$3:$B$102,'3-w'!$C9,Assumptions!$G$3:$G$102,{"TRE"}))</f>
        <v>0</v>
      </c>
      <c r="AX9" s="105" t="str">
        <f ca="1" t="shared" si="2"/>
        <v>zero</v>
      </c>
      <c r="AY9" t="s">
        <v>133</v>
      </c>
      <c r="BA9" t="str">
        <f t="shared" si="0"/>
        <v/>
      </c>
      <c r="BB9" t="str">
        <f t="shared" si="1"/>
        <v/>
      </c>
      <c r="BD9" t="str">
        <f t="shared" si="3"/>
        <v>*</v>
      </c>
      <c r="BE9">
        <f t="shared" si="4"/>
        <v>0</v>
      </c>
      <c r="BG9" t="s">
        <v>92</v>
      </c>
      <c r="BH9" t="s">
        <v>144</v>
      </c>
      <c r="BI9" t="s">
        <v>145</v>
      </c>
    </row>
    <row r="10" spans="1:61">
      <c r="A10" t="s">
        <v>78</v>
      </c>
      <c r="C10" s="43" t="s">
        <v>52</v>
      </c>
      <c r="D10" s="1" cm="1">
        <f ca="1" t="array" ref="D10">SUM(SUMIFS(Assumptions!BD$3:BD$102,Assumptions!$B$3:$B$102,'3-w'!$C10,Assumptions!$G$3:$G$102,{"TRE"}))</f>
        <v>0</v>
      </c>
      <c r="E10" s="1" cm="1">
        <f ca="1" t="array" ref="E10">SUM(SUMIFS(Assumptions!BE$3:BE$102,Assumptions!$B$3:$B$102,'3-w'!$C10,Assumptions!$G$3:$G$102,{"TRE"}))</f>
        <v>0</v>
      </c>
      <c r="F10" s="1" cm="1">
        <f ca="1" t="array" ref="F10">SUM(SUMIFS(Assumptions!BF$3:BF$102,Assumptions!$B$3:$B$102,'3-w'!$C10,Assumptions!$G$3:$G$102,{"TRE"}))</f>
        <v>0</v>
      </c>
      <c r="G10" s="1" cm="1">
        <f ca="1" t="array" ref="G10">SUM(SUMIFS(Assumptions!BG$3:BG$102,Assumptions!$B$3:$B$102,'3-w'!$C10,Assumptions!$G$3:$G$102,{"TRE"}))</f>
        <v>0</v>
      </c>
      <c r="H10" s="1" cm="1">
        <f ca="1" t="array" ref="H10">SUM(SUMIFS(Assumptions!BH$3:BH$102,Assumptions!$B$3:$B$102,'3-w'!$C10,Assumptions!$G$3:$G$102,{"TRE"}))</f>
        <v>0</v>
      </c>
      <c r="I10" s="1" cm="1">
        <f ca="1" t="array" ref="I10">SUM(SUMIFS(Assumptions!BI$3:BI$102,Assumptions!$B$3:$B$102,'3-w'!$C10,Assumptions!$G$3:$G$102,{"TRE"}))</f>
        <v>0</v>
      </c>
      <c r="J10" s="1" cm="1">
        <f ca="1" t="array" ref="J10">SUM(SUMIFS(Assumptions!BJ$3:BJ$102,Assumptions!$B$3:$B$102,'3-w'!$C10,Assumptions!$G$3:$G$102,{"TRE"}))</f>
        <v>0</v>
      </c>
      <c r="K10" s="1" cm="1">
        <f ca="1" t="array" ref="K10">SUM(SUMIFS(Assumptions!BK$3:BK$102,Assumptions!$B$3:$B$102,'3-w'!$C10,Assumptions!$G$3:$G$102,{"TRE"}))</f>
        <v>0</v>
      </c>
      <c r="L10" s="1" cm="1">
        <f ca="1" t="array" ref="L10">SUM(SUMIFS(Assumptions!BL$3:BL$102,Assumptions!$B$3:$B$102,'3-w'!$C10,Assumptions!$G$3:$G$102,{"TRE"}))</f>
        <v>0</v>
      </c>
      <c r="M10" s="1" cm="1">
        <f ca="1" t="array" ref="M10">SUM(SUMIFS(Assumptions!BM$3:BM$102,Assumptions!$B$3:$B$102,'3-w'!$C10,Assumptions!$G$3:$G$102,{"TRE"}))</f>
        <v>0</v>
      </c>
      <c r="N10" s="1" cm="1">
        <f ca="1" t="array" ref="N10">SUM(SUMIFS(Assumptions!BN$3:BN$102,Assumptions!$B$3:$B$102,'3-w'!$C10,Assumptions!$G$3:$G$102,{"TRE"}))</f>
        <v>0</v>
      </c>
      <c r="O10" s="1" cm="1">
        <f ca="1" t="array" ref="O10">SUM(SUMIFS(Assumptions!BO$3:BO$102,Assumptions!$B$3:$B$102,'3-w'!$C10,Assumptions!$G$3:$G$102,{"TRE"}))</f>
        <v>0</v>
      </c>
      <c r="P10" s="1" cm="1">
        <f ca="1" t="array" ref="P10">SUM(SUMIFS(Assumptions!BP$3:BP$102,Assumptions!$B$3:$B$102,'3-w'!$C10,Assumptions!$G$3:$G$102,{"TRE"}))</f>
        <v>0</v>
      </c>
      <c r="Q10" s="1" cm="1">
        <f ca="1" t="array" ref="Q10">SUM(SUMIFS(Assumptions!BQ$3:BQ$102,Assumptions!$B$3:$B$102,'3-w'!$C10,Assumptions!$G$3:$G$102,{"TRE"}))</f>
        <v>0</v>
      </c>
      <c r="R10" s="1" cm="1">
        <f ca="1" t="array" ref="R10">SUM(SUMIFS(Assumptions!BR$3:BR$102,Assumptions!$B$3:$B$102,'3-w'!$C10,Assumptions!$G$3:$G$102,{"TRE"}))</f>
        <v>0</v>
      </c>
      <c r="S10" s="1" cm="1">
        <f ca="1" t="array" ref="S10">SUM(SUMIFS(Assumptions!BS$3:BS$102,Assumptions!$B$3:$B$102,'3-w'!$C10,Assumptions!$G$3:$G$102,{"TRE"}))</f>
        <v>0</v>
      </c>
      <c r="T10" s="1" cm="1">
        <f ca="1" t="array" ref="T10">SUM(SUMIFS(Assumptions!BT$3:BT$102,Assumptions!$B$3:$B$102,'3-w'!$C10,Assumptions!$G$3:$G$102,{"TRE"}))</f>
        <v>0</v>
      </c>
      <c r="U10" s="1" cm="1">
        <f ca="1" t="array" ref="U10">SUM(SUMIFS(Assumptions!BU$3:BU$102,Assumptions!$B$3:$B$102,'3-w'!$C10,Assumptions!$G$3:$G$102,{"TRE"}))</f>
        <v>0</v>
      </c>
      <c r="V10" s="1" cm="1">
        <f ca="1" t="array" ref="V10">SUM(SUMIFS(Assumptions!BV$3:BV$102,Assumptions!$B$3:$B$102,'3-w'!$C10,Assumptions!$G$3:$G$102,{"TRE"}))</f>
        <v>0</v>
      </c>
      <c r="W10" s="1" cm="1">
        <f ca="1" t="array" ref="W10">SUM(SUMIFS(Assumptions!BW$3:BW$102,Assumptions!$B$3:$B$102,'3-w'!$C10,Assumptions!$G$3:$G$102,{"TRE"}))</f>
        <v>0</v>
      </c>
      <c r="X10" s="1" cm="1">
        <f ca="1" t="array" ref="X10">SUM(SUMIFS(Assumptions!BX$3:BX$102,Assumptions!$B$3:$B$102,'3-w'!$C10,Assumptions!$G$3:$G$102,{"TRE"}))</f>
        <v>0</v>
      </c>
      <c r="Y10" s="1" cm="1">
        <f ca="1" t="array" ref="Y10">SUM(SUMIFS(Assumptions!BY$3:BY$102,Assumptions!$B$3:$B$102,'3-w'!$C10,Assumptions!$G$3:$G$102,{"TRE"}))</f>
        <v>0</v>
      </c>
      <c r="Z10" s="1" cm="1">
        <f ca="1" t="array" ref="Z10">SUM(SUMIFS(Assumptions!BZ$3:BZ$102,Assumptions!$B$3:$B$102,'3-w'!$C10,Assumptions!$G$3:$G$102,{"TRE"}))</f>
        <v>0</v>
      </c>
      <c r="AA10" s="1" cm="1">
        <f ca="1" t="array" ref="AA10">SUM(SUMIFS(Assumptions!CA$3:CA$102,Assumptions!$B$3:$B$102,'3-w'!$C10,Assumptions!$G$3:$G$102,{"TRE"}))</f>
        <v>0</v>
      </c>
      <c r="AB10" s="1" cm="1">
        <f ca="1" t="array" ref="AB10">SUM(SUMIFS(Assumptions!CB$3:CB$102,Assumptions!$B$3:$B$102,'3-w'!$C10,Assumptions!$G$3:$G$102,{"TRE"}))</f>
        <v>0</v>
      </c>
      <c r="AC10" s="1" cm="1">
        <f ca="1" t="array" ref="AC10">SUM(SUMIFS(Assumptions!CC$3:CC$102,Assumptions!$B$3:$B$102,'3-w'!$C10,Assumptions!$G$3:$G$102,{"TRE"}))</f>
        <v>0</v>
      </c>
      <c r="AD10" s="1" cm="1">
        <f ca="1" t="array" ref="AD10">SUM(SUMIFS(Assumptions!CD$3:CD$102,Assumptions!$B$3:$B$102,'3-w'!$C10,Assumptions!$G$3:$G$102,{"TRE"}))</f>
        <v>0</v>
      </c>
      <c r="AE10" s="1" cm="1">
        <f ca="1" t="array" ref="AE10">SUM(SUMIFS(Assumptions!CE$3:CE$102,Assumptions!$B$3:$B$102,'3-w'!$C10,Assumptions!$G$3:$G$102,{"TRE"}))</f>
        <v>0</v>
      </c>
      <c r="AF10" s="1" cm="1">
        <f ca="1" t="array" ref="AF10">SUM(SUMIFS(Assumptions!CF$3:CF$102,Assumptions!$B$3:$B$102,'3-w'!$C10,Assumptions!$G$3:$G$102,{"TRE"}))</f>
        <v>0</v>
      </c>
      <c r="AG10" s="1" cm="1">
        <f ca="1" t="array" ref="AG10">SUM(SUMIFS(Assumptions!CG$3:CG$102,Assumptions!$B$3:$B$102,'3-w'!$C10,Assumptions!$G$3:$G$102,{"TRE"}))</f>
        <v>0</v>
      </c>
      <c r="AH10" s="1" cm="1">
        <f ca="1" t="array" ref="AH10">SUM(SUMIFS(Assumptions!CH$3:CH$102,Assumptions!$B$3:$B$102,'3-w'!$C10,Assumptions!$G$3:$G$102,{"TRE"}))</f>
        <v>0</v>
      </c>
      <c r="AI10" s="1" cm="1">
        <f ca="1" t="array" ref="AI10">SUM(SUMIFS(Assumptions!CI$3:CI$102,Assumptions!$B$3:$B$102,'3-w'!$C10,Assumptions!$G$3:$G$102,{"TRE"}))</f>
        <v>0</v>
      </c>
      <c r="AJ10" s="1" cm="1">
        <f ca="1" t="array" ref="AJ10">SUM(SUMIFS(Assumptions!CJ$3:CJ$102,Assumptions!$B$3:$B$102,'3-w'!$C10,Assumptions!$G$3:$G$102,{"TRE"}))</f>
        <v>0</v>
      </c>
      <c r="AK10" s="1" cm="1">
        <f ca="1" t="array" ref="AK10">SUM(SUMIFS(Assumptions!CK$3:CK$102,Assumptions!$B$3:$B$102,'3-w'!$C10,Assumptions!$G$3:$G$102,{"TRE"}))</f>
        <v>0</v>
      </c>
      <c r="AL10" s="1" cm="1">
        <f ca="1" t="array" ref="AL10">SUM(SUMIFS(Assumptions!CL$3:CL$102,Assumptions!$B$3:$B$102,'3-w'!$C10,Assumptions!$G$3:$G$102,{"TRE"}))</f>
        <v>0</v>
      </c>
      <c r="AM10" s="1" cm="1">
        <f ca="1" t="array" ref="AM10">SUM(SUMIFS(Assumptions!CM$3:CM$102,Assumptions!$B$3:$B$102,'3-w'!$C10,Assumptions!$G$3:$G$102,{"TRE"}))</f>
        <v>0</v>
      </c>
      <c r="AN10" s="1" cm="1">
        <f ca="1" t="array" ref="AN10">SUM(SUMIFS(Assumptions!CN$3:CN$102,Assumptions!$B$3:$B$102,'3-w'!$C10,Assumptions!$G$3:$G$102,{"TRE"}))</f>
        <v>0</v>
      </c>
      <c r="AO10" s="1" cm="1">
        <f ca="1" t="array" ref="AO10">SUM(SUMIFS(Assumptions!CO$3:CO$102,Assumptions!$B$3:$B$102,'3-w'!$C10,Assumptions!$G$3:$G$102,{"TRE"}))</f>
        <v>0</v>
      </c>
      <c r="AP10" s="1" cm="1">
        <f ca="1" t="array" ref="AP10">SUM(SUMIFS(Assumptions!CP$3:CP$102,Assumptions!$B$3:$B$102,'3-w'!$C10,Assumptions!$G$3:$G$102,{"TRE"}))</f>
        <v>0</v>
      </c>
      <c r="AQ10" s="1" cm="1">
        <f ca="1" t="array" ref="AQ10">SUM(SUMIFS(Assumptions!CQ$3:CQ$102,Assumptions!$B$3:$B$102,'3-w'!$C10,Assumptions!$G$3:$G$102,{"TRE"}))</f>
        <v>0</v>
      </c>
      <c r="AR10" s="1" cm="1">
        <f ca="1" t="array" ref="AR10">SUM(SUMIFS(Assumptions!CR$3:CR$102,Assumptions!$B$3:$B$102,'3-w'!$C10,Assumptions!$G$3:$G$102,{"TRE"}))</f>
        <v>0</v>
      </c>
      <c r="AS10" s="1" cm="1">
        <f ca="1" t="array" ref="AS10">SUM(SUMIFS(Assumptions!CS$3:CS$102,Assumptions!$B$3:$B$102,'3-w'!$C10,Assumptions!$G$3:$G$102,{"TRE"}))</f>
        <v>0</v>
      </c>
      <c r="AT10" s="1" cm="1">
        <f ca="1" t="array" ref="AT10">SUM(SUMIFS(Assumptions!CT$3:CT$102,Assumptions!$B$3:$B$102,'3-w'!$C10,Assumptions!$G$3:$G$102,{"TRE"}))</f>
        <v>0</v>
      </c>
      <c r="AU10" s="1" cm="1">
        <f ca="1" t="array" ref="AU10">SUM(SUMIFS(Assumptions!CU$3:CU$102,Assumptions!$B$3:$B$102,'3-w'!$C10,Assumptions!$G$3:$G$102,{"TRE"}))</f>
        <v>0</v>
      </c>
      <c r="AV10" s="1" cm="1">
        <f ca="1" t="array" ref="AV10">SUM(SUMIFS(Assumptions!CV$3:CV$102,Assumptions!$B$3:$B$102,'3-w'!$C10,Assumptions!$G$3:$G$102,{"TRE"}))</f>
        <v>0</v>
      </c>
      <c r="AW10" s="1" cm="1">
        <f ca="1" t="array" ref="AW10">SUM(SUMIFS(Assumptions!CW$3:CW$102,Assumptions!$B$3:$B$102,'3-w'!$C10,Assumptions!$G$3:$G$102,{"TRE"}))</f>
        <v>0</v>
      </c>
      <c r="AX10" s="105" t="str">
        <f ca="1" t="shared" si="2"/>
        <v>zero</v>
      </c>
      <c r="AY10" t="s">
        <v>133</v>
      </c>
      <c r="BA10" t="str">
        <f t="shared" si="0"/>
        <v/>
      </c>
      <c r="BB10" t="str">
        <f t="shared" si="1"/>
        <v/>
      </c>
      <c r="BD10" t="str">
        <f t="shared" si="3"/>
        <v>*</v>
      </c>
      <c r="BE10">
        <f t="shared" si="4"/>
        <v>0</v>
      </c>
      <c r="BG10" t="s">
        <v>92</v>
      </c>
      <c r="BH10" t="s">
        <v>144</v>
      </c>
      <c r="BI10" t="s">
        <v>145</v>
      </c>
    </row>
    <row r="11" spans="1:61">
      <c r="A11" s="101" t="s">
        <v>146</v>
      </c>
      <c r="B11" s="101"/>
      <c r="D11" s="102">
        <f ca="1">SUM(D$4:D$10)/SUM($D$4:$AJ$10)</f>
        <v>0.0557233779729363</v>
      </c>
      <c r="E11" s="102">
        <f ca="1" t="shared" ref="E11:U11" si="5">SUM(E$4:E$10)/SUM($D$4:$AJ$10)</f>
        <v>0.0967629226618338</v>
      </c>
      <c r="F11" s="102">
        <f ca="1" t="shared" si="5"/>
        <v>0</v>
      </c>
      <c r="G11" s="102">
        <f ca="1" t="shared" si="5"/>
        <v>0.00026148657753115</v>
      </c>
      <c r="H11" s="102">
        <f ca="1" t="shared" si="5"/>
        <v>7.88005981125884e-5</v>
      </c>
      <c r="I11" s="102">
        <f ca="1" t="shared" si="5"/>
        <v>0.00101171551941102</v>
      </c>
      <c r="J11" s="102">
        <f ca="1" t="shared" si="5"/>
        <v>0.00428452730336018</v>
      </c>
      <c r="K11" s="102">
        <f ca="1" t="shared" si="5"/>
        <v>0.183097114654915</v>
      </c>
      <c r="L11" s="102">
        <f ca="1" t="shared" si="5"/>
        <v>0.000131691223824207</v>
      </c>
      <c r="M11" s="102">
        <f ca="1" t="shared" si="5"/>
        <v>0.00031218689995024</v>
      </c>
      <c r="N11" s="102">
        <f ca="1" t="shared" si="5"/>
        <v>0.00124279166935712</v>
      </c>
      <c r="O11" s="102">
        <f ca="1" t="shared" si="5"/>
        <v>0.00272879777773932</v>
      </c>
      <c r="P11" s="102">
        <f ca="1" t="shared" si="5"/>
        <v>0.000426779446173041</v>
      </c>
      <c r="Q11" s="102">
        <f ca="1" t="shared" si="5"/>
        <v>0.000486561394038099</v>
      </c>
      <c r="R11" s="102">
        <f ca="1" t="shared" si="5"/>
        <v>1.97301605766725e-5</v>
      </c>
      <c r="S11" s="102">
        <f ca="1" t="shared" si="5"/>
        <v>0.223069381323866</v>
      </c>
      <c r="T11" s="102">
        <f ca="1" t="shared" si="5"/>
        <v>0.000121720194167222</v>
      </c>
      <c r="U11" s="102">
        <f ca="1" t="shared" si="5"/>
        <v>0.00123288455658408</v>
      </c>
      <c r="V11" s="102">
        <f ca="1" t="shared" ref="V11:AW11" si="6">SUM(V$4:V$10)/SUM($D$4:$AJ$10)</f>
        <v>0.00590762177452132</v>
      </c>
      <c r="W11" s="102">
        <f ca="1" t="shared" si="6"/>
        <v>0.00682777903277472</v>
      </c>
      <c r="X11" s="102">
        <f ca="1" t="shared" si="6"/>
        <v>0.0128607196277483</v>
      </c>
      <c r="Y11" s="102">
        <f ca="1" t="shared" si="6"/>
        <v>0.0114283989929256</v>
      </c>
      <c r="Z11" s="102">
        <f ca="1" t="shared" si="6"/>
        <v>0.000105343098574254</v>
      </c>
      <c r="AA11" s="102">
        <f ca="1" t="shared" si="6"/>
        <v>0.000680843838267133</v>
      </c>
      <c r="AB11" s="102">
        <f ca="1" t="shared" si="6"/>
        <v>0.352169432891134</v>
      </c>
      <c r="AC11" s="102">
        <f ca="1" t="shared" si="6"/>
        <v>0.004215737178607</v>
      </c>
      <c r="AD11" s="102">
        <f ca="1" t="shared" si="6"/>
        <v>0.00555590263441336</v>
      </c>
      <c r="AE11" s="102">
        <f ca="1" t="shared" si="6"/>
        <v>0.0246490567012818</v>
      </c>
      <c r="AF11" s="102">
        <f ca="1" t="shared" si="6"/>
        <v>0.00102390032328031</v>
      </c>
      <c r="AG11" s="102">
        <f ca="1" t="shared" si="6"/>
        <v>0.000718112313208816</v>
      </c>
      <c r="AH11" s="102">
        <f ca="1" t="shared" si="6"/>
        <v>0.000377151327045281</v>
      </c>
      <c r="AI11" s="102">
        <f ca="1" t="shared" si="6"/>
        <v>0.000541260974262375</v>
      </c>
      <c r="AJ11" s="102">
        <f ca="1" t="shared" si="6"/>
        <v>0.00194626935757935</v>
      </c>
      <c r="AK11" s="102">
        <f ca="1" t="shared" si="6"/>
        <v>0.000210247641047682</v>
      </c>
      <c r="AL11" s="102">
        <f ca="1" t="shared" si="6"/>
        <v>0.000137065149555676</v>
      </c>
      <c r="AM11" s="102">
        <f ca="1" t="shared" si="6"/>
        <v>0</v>
      </c>
      <c r="AN11" s="102">
        <f ca="1" t="shared" si="6"/>
        <v>0</v>
      </c>
      <c r="AO11" s="102">
        <f ca="1" t="shared" si="6"/>
        <v>0</v>
      </c>
      <c r="AP11" s="102">
        <f ca="1" t="shared" si="6"/>
        <v>0</v>
      </c>
      <c r="AQ11" s="102">
        <f ca="1" t="shared" si="6"/>
        <v>0</v>
      </c>
      <c r="AR11" s="102">
        <f ca="1" t="shared" si="6"/>
        <v>0</v>
      </c>
      <c r="AS11" s="102">
        <f ca="1" t="shared" si="6"/>
        <v>0</v>
      </c>
      <c r="AT11" s="102">
        <f ca="1" t="shared" si="6"/>
        <v>0</v>
      </c>
      <c r="AU11" s="102">
        <f ca="1" t="shared" si="6"/>
        <v>0</v>
      </c>
      <c r="AV11" s="102">
        <f ca="1" t="shared" si="6"/>
        <v>0</v>
      </c>
      <c r="AW11" s="102">
        <f ca="1" t="shared" si="6"/>
        <v>0</v>
      </c>
      <c r="AY11" t="s">
        <v>133</v>
      </c>
      <c r="BA11" t="str">
        <f t="shared" si="0"/>
        <v/>
      </c>
      <c r="BB11" t="str">
        <f t="shared" si="1"/>
        <v/>
      </c>
      <c r="BD11" t="str">
        <f t="shared" si="3"/>
        <v>*</v>
      </c>
      <c r="BE11">
        <f t="shared" si="4"/>
        <v>0</v>
      </c>
      <c r="BG11" t="s">
        <v>92</v>
      </c>
      <c r="BH11" t="s">
        <v>144</v>
      </c>
      <c r="BI11" t="s">
        <v>145</v>
      </c>
    </row>
    <row r="12" spans="1:61">
      <c r="AY12" t="s">
        <v>133</v>
      </c>
      <c r="BA12" t="str">
        <f t="shared" si="0"/>
        <v/>
      </c>
      <c r="BB12" t="str">
        <f t="shared" si="1"/>
        <v/>
      </c>
      <c r="BD12" t="str">
        <f t="shared" si="3"/>
        <v>*</v>
      </c>
      <c r="BE12">
        <f t="shared" si="4"/>
        <v>0</v>
      </c>
      <c r="BG12" t="s">
        <v>92</v>
      </c>
      <c r="BH12" t="s">
        <v>144</v>
      </c>
      <c r="BI12" t="s">
        <v>145</v>
      </c>
    </row>
    <row r="13" spans="1:61">
      <c r="A13" s="101" t="s">
        <v>147</v>
      </c>
      <c r="B13" s="101"/>
      <c r="C13" s="80">
        <f ca="1">SUM(D13:AJ13)</f>
        <v>50.243</v>
      </c>
      <c r="D13" s="3">
        <f ca="1">SUM(D19:D25)</f>
        <v>2.801</v>
      </c>
      <c r="E13" s="3">
        <f ca="1" t="shared" ref="E13:U13" si="7">SUM(E19:E25)</f>
        <v>4.863</v>
      </c>
      <c r="F13" s="3">
        <f ca="1" t="shared" si="7"/>
        <v>0</v>
      </c>
      <c r="G13" s="3">
        <f ca="1" t="shared" si="7"/>
        <v>0.013</v>
      </c>
      <c r="H13" s="3">
        <f ca="1" t="shared" si="7"/>
        <v>0.004</v>
      </c>
      <c r="I13" s="3">
        <f ca="1" t="shared" si="7"/>
        <v>0.051</v>
      </c>
      <c r="J13" s="3">
        <f ca="1" t="shared" si="7"/>
        <v>0.215</v>
      </c>
      <c r="K13" s="3">
        <f ca="1" t="shared" si="7"/>
        <v>9.202</v>
      </c>
      <c r="L13" s="3">
        <f ca="1" t="shared" si="7"/>
        <v>0.007</v>
      </c>
      <c r="M13" s="3">
        <f ca="1" t="shared" si="7"/>
        <v>0.016</v>
      </c>
      <c r="N13" s="3">
        <f ca="1" t="shared" si="7"/>
        <v>0.062</v>
      </c>
      <c r="O13" s="3">
        <f ca="1" t="shared" si="7"/>
        <v>0.137</v>
      </c>
      <c r="P13" s="3">
        <f ca="1" t="shared" si="7"/>
        <v>0.021</v>
      </c>
      <c r="Q13" s="3">
        <f ca="1" t="shared" si="7"/>
        <v>0.024</v>
      </c>
      <c r="R13" s="3">
        <f ca="1" t="shared" si="7"/>
        <v>0.001</v>
      </c>
      <c r="S13" s="3">
        <f ca="1" t="shared" si="7"/>
        <v>11.211</v>
      </c>
      <c r="T13" s="3">
        <f ca="1" t="shared" si="7"/>
        <v>0.006</v>
      </c>
      <c r="U13" s="3">
        <f ca="1" t="shared" si="7"/>
        <v>0.062</v>
      </c>
      <c r="V13" s="3">
        <f ca="1" t="shared" ref="V13:AJ13" si="8">SUM(V19:V25)</f>
        <v>0.297</v>
      </c>
      <c r="W13" s="3">
        <f ca="1" t="shared" si="8"/>
        <v>0.343</v>
      </c>
      <c r="X13" s="3">
        <f ca="1" t="shared" si="8"/>
        <v>0.646</v>
      </c>
      <c r="Y13" s="3">
        <f ca="1" t="shared" si="8"/>
        <v>0.574</v>
      </c>
      <c r="Z13" s="3">
        <f ca="1" t="shared" si="8"/>
        <v>0.005</v>
      </c>
      <c r="AA13" s="3">
        <f ca="1" t="shared" si="8"/>
        <v>0.034</v>
      </c>
      <c r="AB13" s="3">
        <f ca="1" t="shared" si="8"/>
        <v>17.699</v>
      </c>
      <c r="AC13" s="3">
        <f ca="1" t="shared" si="8"/>
        <v>0.212</v>
      </c>
      <c r="AD13" s="3">
        <f ca="1" t="shared" si="8"/>
        <v>0.279</v>
      </c>
      <c r="AE13" s="3">
        <f ca="1" t="shared" si="8"/>
        <v>1.239</v>
      </c>
      <c r="AF13" s="3">
        <f ca="1" t="shared" si="8"/>
        <v>0.039</v>
      </c>
      <c r="AG13" s="3">
        <f ca="1" t="shared" si="8"/>
        <v>0.036</v>
      </c>
      <c r="AH13" s="3">
        <f ca="1" t="shared" si="8"/>
        <v>0.019</v>
      </c>
      <c r="AI13" s="3">
        <f ca="1" t="shared" si="8"/>
        <v>0.027</v>
      </c>
      <c r="AJ13" s="3">
        <f ca="1" t="shared" si="8"/>
        <v>0.098</v>
      </c>
      <c r="AK13" s="3">
        <f ca="1" t="shared" ref="AK13:AW13" si="9">SUM(AK19:AK25)</f>
        <v>0.011</v>
      </c>
      <c r="AL13" s="3">
        <f ca="1" t="shared" si="9"/>
        <v>0.007</v>
      </c>
      <c r="AM13" s="3">
        <f ca="1" t="shared" si="9"/>
        <v>0</v>
      </c>
      <c r="AN13" s="3">
        <f ca="1" t="shared" si="9"/>
        <v>0</v>
      </c>
      <c r="AO13" s="3">
        <f ca="1" t="shared" si="9"/>
        <v>0</v>
      </c>
      <c r="AP13" s="3">
        <f ca="1" t="shared" si="9"/>
        <v>0</v>
      </c>
      <c r="AQ13" s="3">
        <f ca="1" t="shared" si="9"/>
        <v>0</v>
      </c>
      <c r="AR13" s="3">
        <f ca="1" t="shared" si="9"/>
        <v>0</v>
      </c>
      <c r="AS13" s="3">
        <f ca="1" t="shared" si="9"/>
        <v>0</v>
      </c>
      <c r="AT13" s="3">
        <f ca="1" t="shared" si="9"/>
        <v>0</v>
      </c>
      <c r="AU13" s="3">
        <f ca="1" t="shared" si="9"/>
        <v>0</v>
      </c>
      <c r="AV13" s="3">
        <f ca="1" t="shared" si="9"/>
        <v>0</v>
      </c>
      <c r="AW13" s="3">
        <f ca="1" t="shared" si="9"/>
        <v>0</v>
      </c>
      <c r="AY13" t="s">
        <v>133</v>
      </c>
      <c r="BA13" t="str">
        <f t="shared" si="0"/>
        <v/>
      </c>
      <c r="BB13" t="str">
        <f t="shared" si="1"/>
        <v/>
      </c>
      <c r="BD13" t="str">
        <f t="shared" si="3"/>
        <v>*</v>
      </c>
      <c r="BE13">
        <f t="shared" si="4"/>
        <v>0</v>
      </c>
      <c r="BG13" t="s">
        <v>92</v>
      </c>
      <c r="BH13" t="s">
        <v>144</v>
      </c>
      <c r="BI13" t="s">
        <v>145</v>
      </c>
    </row>
    <row r="14" spans="1:61">
      <c r="A14" s="101" t="s">
        <v>148</v>
      </c>
      <c r="B14" s="101"/>
      <c r="D14" s="102">
        <f ca="1">D13/SUM($D$13:$AJ$13)</f>
        <v>0.0557490595704874</v>
      </c>
      <c r="E14" s="102">
        <f ca="1" t="shared" ref="E14:U14" si="10">E13/SUM($D$13:$AJ$13)</f>
        <v>0.0967896025316959</v>
      </c>
      <c r="F14" s="102">
        <f ca="1" t="shared" si="10"/>
        <v>0</v>
      </c>
      <c r="G14" s="102">
        <f ca="1" t="shared" si="10"/>
        <v>0.000258742511394622</v>
      </c>
      <c r="H14" s="102">
        <f ca="1" t="shared" si="10"/>
        <v>7.96130804291145e-5</v>
      </c>
      <c r="I14" s="102">
        <f ca="1" t="shared" si="10"/>
        <v>0.00101506677547121</v>
      </c>
      <c r="J14" s="102">
        <f ca="1" t="shared" si="10"/>
        <v>0.0042792030730649</v>
      </c>
      <c r="K14" s="102">
        <f ca="1" t="shared" si="10"/>
        <v>0.183149891527178</v>
      </c>
      <c r="L14" s="102">
        <f ca="1" t="shared" si="10"/>
        <v>0.00013932289075095</v>
      </c>
      <c r="M14" s="102">
        <f ca="1" t="shared" si="10"/>
        <v>0.000318452321716458</v>
      </c>
      <c r="N14" s="102">
        <f ca="1" t="shared" si="10"/>
        <v>0.00123400274665127</v>
      </c>
      <c r="O14" s="102">
        <f ca="1" t="shared" si="10"/>
        <v>0.00272674800469717</v>
      </c>
      <c r="P14" s="102">
        <f ca="1" t="shared" si="10"/>
        <v>0.000417968672252851</v>
      </c>
      <c r="Q14" s="102">
        <f ca="1" t="shared" si="10"/>
        <v>0.000477678482574687</v>
      </c>
      <c r="R14" s="102">
        <f ca="1" t="shared" si="10"/>
        <v>1.99032701072786e-5</v>
      </c>
      <c r="S14" s="102">
        <f ca="1" t="shared" si="10"/>
        <v>0.223135561172701</v>
      </c>
      <c r="T14" s="102">
        <f ca="1" t="shared" si="10"/>
        <v>0.000119419620643672</v>
      </c>
      <c r="U14" s="102">
        <f ca="1" t="shared" si="10"/>
        <v>0.00123400274665127</v>
      </c>
      <c r="V14" s="102">
        <f ca="1" t="shared" ref="V14:AJ14" si="11">V13/SUM($D$13:$AJ$13)</f>
        <v>0.00591127122186175</v>
      </c>
      <c r="W14" s="102">
        <f ca="1" t="shared" si="11"/>
        <v>0.00682682164679657</v>
      </c>
      <c r="X14" s="102">
        <f ca="1" t="shared" si="11"/>
        <v>0.012857512489302</v>
      </c>
      <c r="Y14" s="102">
        <f ca="1" t="shared" si="11"/>
        <v>0.0114244770415779</v>
      </c>
      <c r="Z14" s="102">
        <f ca="1" t="shared" si="11"/>
        <v>9.95163505363931e-5</v>
      </c>
      <c r="AA14" s="102">
        <f ca="1" t="shared" si="11"/>
        <v>0.000676711183647473</v>
      </c>
      <c r="AB14" s="102">
        <f ca="1" t="shared" si="11"/>
        <v>0.352267977628724</v>
      </c>
      <c r="AC14" s="102">
        <f ca="1" t="shared" si="11"/>
        <v>0.00421949326274307</v>
      </c>
      <c r="AD14" s="102">
        <f ca="1" t="shared" si="11"/>
        <v>0.00555301235993073</v>
      </c>
      <c r="AE14" s="102">
        <f ca="1" t="shared" si="11"/>
        <v>0.0246601516629182</v>
      </c>
      <c r="AF14" s="102">
        <f ca="1" t="shared" si="11"/>
        <v>0.000776227534183866</v>
      </c>
      <c r="AG14" s="102">
        <f ca="1" t="shared" si="11"/>
        <v>0.00071651772386203</v>
      </c>
      <c r="AH14" s="102">
        <f ca="1" t="shared" si="11"/>
        <v>0.000378162132038294</v>
      </c>
      <c r="AI14" s="102">
        <f ca="1" t="shared" si="11"/>
        <v>0.000537388292896523</v>
      </c>
      <c r="AJ14" s="102">
        <f ca="1" t="shared" si="11"/>
        <v>0.0019505204705133</v>
      </c>
      <c r="AK14" s="102">
        <f ca="1" t="shared" ref="AK14:AW14" si="12">AK13/SUM($D$13:$AJ$13)</f>
        <v>0.000218935971180065</v>
      </c>
      <c r="AL14" s="102">
        <f ca="1" t="shared" si="12"/>
        <v>0.00013932289075095</v>
      </c>
      <c r="AM14" s="102">
        <f ca="1" t="shared" si="12"/>
        <v>0</v>
      </c>
      <c r="AN14" s="102">
        <f ca="1" t="shared" si="12"/>
        <v>0</v>
      </c>
      <c r="AO14" s="102">
        <f ca="1" t="shared" si="12"/>
        <v>0</v>
      </c>
      <c r="AP14" s="102">
        <f ca="1" t="shared" si="12"/>
        <v>0</v>
      </c>
      <c r="AQ14" s="102">
        <f ca="1" t="shared" si="12"/>
        <v>0</v>
      </c>
      <c r="AR14" s="102">
        <f ca="1" t="shared" si="12"/>
        <v>0</v>
      </c>
      <c r="AS14" s="102">
        <f ca="1" t="shared" si="12"/>
        <v>0</v>
      </c>
      <c r="AT14" s="102">
        <f ca="1" t="shared" si="12"/>
        <v>0</v>
      </c>
      <c r="AU14" s="102">
        <f ca="1" t="shared" si="12"/>
        <v>0</v>
      </c>
      <c r="AV14" s="102">
        <f ca="1" t="shared" si="12"/>
        <v>0</v>
      </c>
      <c r="AW14" s="102">
        <f ca="1" t="shared" si="12"/>
        <v>0</v>
      </c>
      <c r="AY14" t="s">
        <v>133</v>
      </c>
      <c r="BA14" t="str">
        <f t="shared" si="0"/>
        <v/>
      </c>
      <c r="BB14" t="str">
        <f t="shared" si="1"/>
        <v/>
      </c>
      <c r="BD14" t="str">
        <f t="shared" si="3"/>
        <v>*</v>
      </c>
      <c r="BE14">
        <f t="shared" si="4"/>
        <v>0</v>
      </c>
      <c r="BG14" t="s">
        <v>92</v>
      </c>
      <c r="BH14" t="s">
        <v>144</v>
      </c>
      <c r="BI14" t="s">
        <v>145</v>
      </c>
    </row>
    <row r="15" spans="1:61">
      <c r="A15" s="101"/>
      <c r="B15" s="101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Y15" t="s">
        <v>133</v>
      </c>
      <c r="BA15" t="str">
        <f t="shared" si="0"/>
        <v/>
      </c>
      <c r="BB15" t="str">
        <f t="shared" si="1"/>
        <v/>
      </c>
      <c r="BD15" t="str">
        <f t="shared" si="3"/>
        <v>*</v>
      </c>
      <c r="BE15">
        <f t="shared" si="4"/>
        <v>0</v>
      </c>
      <c r="BG15" t="s">
        <v>92</v>
      </c>
      <c r="BH15" t="s">
        <v>144</v>
      </c>
      <c r="BI15" t="s">
        <v>145</v>
      </c>
    </row>
    <row r="16" spans="1:61">
      <c r="AY16" t="s">
        <v>133</v>
      </c>
      <c r="BA16" t="str">
        <f t="shared" si="0"/>
        <v/>
      </c>
      <c r="BB16" t="str">
        <f t="shared" si="1"/>
        <v/>
      </c>
      <c r="BD16" t="str">
        <f t="shared" si="3"/>
        <v>*</v>
      </c>
      <c r="BE16">
        <f t="shared" si="4"/>
        <v>0</v>
      </c>
      <c r="BG16" t="s">
        <v>92</v>
      </c>
      <c r="BH16" t="s">
        <v>144</v>
      </c>
      <c r="BI16" t="s">
        <v>145</v>
      </c>
    </row>
    <row r="17" spans="1:61">
      <c r="A17" s="101" t="s">
        <v>149</v>
      </c>
      <c r="B17" s="101"/>
      <c r="D17" s="3">
        <f ca="1">IFERROR(D11/D14,"")</f>
        <v>0.999539335770881</v>
      </c>
      <c r="E17" s="3">
        <f ca="1" t="shared" ref="E17:U17" si="13">IFERROR(E11/E14,"")</f>
        <v>0.999724351901813</v>
      </c>
      <c r="F17" s="3" t="str">
        <f ca="1" t="shared" si="13"/>
        <v/>
      </c>
      <c r="G17" s="3">
        <f ca="1" t="shared" si="13"/>
        <v>1.01060539345366</v>
      </c>
      <c r="H17" s="3">
        <f ca="1" t="shared" si="13"/>
        <v>0.989794612742695</v>
      </c>
      <c r="I17" s="3">
        <f ca="1" t="shared" si="13"/>
        <v>0.996698487093493</v>
      </c>
      <c r="J17" s="3">
        <f ca="1" t="shared" si="13"/>
        <v>1.00124421071035</v>
      </c>
      <c r="K17" s="3">
        <f ca="1" t="shared" si="13"/>
        <v>0.999711837818618</v>
      </c>
      <c r="L17" s="3">
        <f ca="1" t="shared" si="13"/>
        <v>0.945223165514234</v>
      </c>
      <c r="M17" s="3">
        <f ca="1" t="shared" si="13"/>
        <v>0.980325400887496</v>
      </c>
      <c r="N17" s="3">
        <f ca="1" t="shared" si="13"/>
        <v>1.00712228779854</v>
      </c>
      <c r="O17" s="3">
        <f ca="1" t="shared" si="13"/>
        <v>1.00075172807998</v>
      </c>
      <c r="P17" s="3">
        <f ca="1" t="shared" si="13"/>
        <v>1.02107998638439</v>
      </c>
      <c r="Q17" s="3">
        <f ca="1" t="shared" si="13"/>
        <v>1.01859600502734</v>
      </c>
      <c r="R17" s="3">
        <f ca="1" t="shared" si="13"/>
        <v>0.991302457853755</v>
      </c>
      <c r="S17" s="3">
        <f ca="1" t="shared" si="13"/>
        <v>0.999703409673979</v>
      </c>
      <c r="T17" s="3">
        <f ca="1" t="shared" si="13"/>
        <v>1.01926461925729</v>
      </c>
      <c r="U17" s="3">
        <f ca="1" t="shared" si="13"/>
        <v>0.999093851233125</v>
      </c>
      <c r="V17" s="3">
        <f ca="1" t="shared" ref="V17:AJ17" si="14">IFERROR(V11/V14,"")</f>
        <v>0.999382629014393</v>
      </c>
      <c r="W17" s="3">
        <f ca="1" t="shared" si="14"/>
        <v>1.00014023890292</v>
      </c>
      <c r="X17" s="3">
        <f ca="1" t="shared" si="14"/>
        <v>1.00024943693028</v>
      </c>
      <c r="Y17" s="3">
        <f ca="1" t="shared" si="14"/>
        <v>1.00034329373094</v>
      </c>
      <c r="Z17" s="3">
        <f ca="1" t="shared" si="14"/>
        <v>1.05855066033325</v>
      </c>
      <c r="AA17" s="3">
        <f ca="1" t="shared" si="14"/>
        <v>1.00610696958987</v>
      </c>
      <c r="AB17" s="3">
        <f ca="1" t="shared" si="14"/>
        <v>0.999720256328</v>
      </c>
      <c r="AC17" s="3">
        <f ca="1" t="shared" si="14"/>
        <v>0.999109825777129</v>
      </c>
      <c r="AD17" s="3">
        <f ca="1" t="shared" si="14"/>
        <v>1.00052048767323</v>
      </c>
      <c r="AE17" s="3">
        <f ca="1" t="shared" si="14"/>
        <v>0.999550085425747</v>
      </c>
      <c r="AF17" s="3">
        <f ca="1" t="shared" si="14"/>
        <v>1.31907240878391</v>
      </c>
      <c r="AG17" s="3">
        <f ca="1" t="shared" si="14"/>
        <v>1.00222547090418</v>
      </c>
      <c r="AH17" s="3">
        <f ca="1" t="shared" si="14"/>
        <v>0.997327059196636</v>
      </c>
      <c r="AI17" s="3">
        <f ca="1" t="shared" si="14"/>
        <v>1.00720648629128</v>
      </c>
      <c r="AJ17" s="3">
        <f ca="1" t="shared" si="14"/>
        <v>0.997820523804684</v>
      </c>
      <c r="AK17" s="3">
        <f ca="1" t="shared" ref="AK17:AW17" si="15">IFERROR(AK11/AK14,"")</f>
        <v>0.960315657196245</v>
      </c>
      <c r="AL17" s="3">
        <f ca="1" t="shared" si="15"/>
        <v>0.983794901303693</v>
      </c>
      <c r="AM17" s="3" t="str">
        <f ca="1" t="shared" si="15"/>
        <v/>
      </c>
      <c r="AN17" s="3" t="str">
        <f ca="1" t="shared" si="15"/>
        <v/>
      </c>
      <c r="AO17" s="3" t="str">
        <f ca="1" t="shared" si="15"/>
        <v/>
      </c>
      <c r="AP17" s="3" t="str">
        <f ca="1" t="shared" si="15"/>
        <v/>
      </c>
      <c r="AQ17" s="3" t="str">
        <f ca="1" t="shared" si="15"/>
        <v/>
      </c>
      <c r="AR17" s="3" t="str">
        <f ca="1" t="shared" si="15"/>
        <v/>
      </c>
      <c r="AS17" s="3" t="str">
        <f ca="1" t="shared" si="15"/>
        <v/>
      </c>
      <c r="AT17" s="3" t="str">
        <f ca="1" t="shared" si="15"/>
        <v/>
      </c>
      <c r="AU17" s="3" t="str">
        <f ca="1" t="shared" si="15"/>
        <v/>
      </c>
      <c r="AV17" s="3" t="str">
        <f ca="1" t="shared" si="15"/>
        <v/>
      </c>
      <c r="AW17" s="3" t="str">
        <f ca="1" t="shared" si="15"/>
        <v/>
      </c>
      <c r="AY17" t="s">
        <v>133</v>
      </c>
      <c r="BA17" t="str">
        <f t="shared" si="0"/>
        <v/>
      </c>
      <c r="BB17" t="str">
        <f t="shared" si="1"/>
        <v/>
      </c>
      <c r="BD17" t="str">
        <f t="shared" si="3"/>
        <v>*</v>
      </c>
      <c r="BE17">
        <f t="shared" si="4"/>
        <v>0</v>
      </c>
      <c r="BG17" t="s">
        <v>92</v>
      </c>
      <c r="BH17" t="s">
        <v>144</v>
      </c>
      <c r="BI17" t="s">
        <v>145</v>
      </c>
    </row>
    <row r="18" spans="1:61">
      <c r="AY18" t="s">
        <v>133</v>
      </c>
      <c r="BA18" t="str">
        <f t="shared" si="0"/>
        <v/>
      </c>
      <c r="BB18" t="str">
        <f t="shared" si="1"/>
        <v/>
      </c>
      <c r="BD18" t="str">
        <f t="shared" si="3"/>
        <v>*</v>
      </c>
      <c r="BE18">
        <f t="shared" si="4"/>
        <v>0</v>
      </c>
      <c r="BG18" t="s">
        <v>92</v>
      </c>
      <c r="BH18" t="s">
        <v>144</v>
      </c>
      <c r="BI18" t="s">
        <v>145</v>
      </c>
    </row>
    <row r="19" spans="1:61">
      <c r="A19" t="s">
        <v>150</v>
      </c>
      <c r="C19" t="str">
        <f t="shared" ref="C19:C25" si="16">C4</f>
        <v>TRABDS</v>
      </c>
      <c r="D19" s="78">
        <f ca="1">ROUND(D4*D28/D36,3)</f>
        <v>0</v>
      </c>
      <c r="E19" s="78">
        <f ca="1" t="shared" ref="E19:U19" si="17">ROUND(E4*E28/E36,3)</f>
        <v>0</v>
      </c>
      <c r="F19" s="78">
        <f ca="1" t="shared" si="17"/>
        <v>0</v>
      </c>
      <c r="G19" s="78">
        <f ca="1" t="shared" si="17"/>
        <v>0</v>
      </c>
      <c r="H19" s="78">
        <f ca="1" t="shared" si="17"/>
        <v>0</v>
      </c>
      <c r="I19" s="78">
        <f ca="1" t="shared" si="17"/>
        <v>0</v>
      </c>
      <c r="J19" s="78">
        <f ca="1" t="shared" si="17"/>
        <v>0.018</v>
      </c>
      <c r="K19" s="78">
        <f ca="1" t="shared" si="17"/>
        <v>0.089</v>
      </c>
      <c r="L19" s="78">
        <f ca="1" t="shared" si="17"/>
        <v>0</v>
      </c>
      <c r="M19" s="78">
        <f ca="1" t="shared" si="17"/>
        <v>0</v>
      </c>
      <c r="N19" s="78">
        <f ca="1" t="shared" si="17"/>
        <v>0</v>
      </c>
      <c r="O19" s="78">
        <f ca="1" t="shared" si="17"/>
        <v>0</v>
      </c>
      <c r="P19" s="78">
        <f ca="1" t="shared" si="17"/>
        <v>0</v>
      </c>
      <c r="Q19" s="78">
        <f ca="1" t="shared" si="17"/>
        <v>0</v>
      </c>
      <c r="R19" s="78">
        <f ca="1" t="shared" si="17"/>
        <v>0</v>
      </c>
      <c r="S19" s="78">
        <f ca="1" t="shared" si="17"/>
        <v>0.004</v>
      </c>
      <c r="T19" s="78">
        <f ca="1" t="shared" si="17"/>
        <v>0</v>
      </c>
      <c r="U19" s="78">
        <f ca="1" t="shared" si="17"/>
        <v>0</v>
      </c>
      <c r="V19" s="78">
        <f ca="1" t="shared" ref="V19:AW19" si="18">ROUND(V4*V28/V36,3)</f>
        <v>0</v>
      </c>
      <c r="W19" s="78">
        <f ca="1" t="shared" si="18"/>
        <v>0.002</v>
      </c>
      <c r="X19" s="78">
        <f ca="1" t="shared" si="18"/>
        <v>0</v>
      </c>
      <c r="Y19" s="78">
        <f ca="1" t="shared" si="18"/>
        <v>0</v>
      </c>
      <c r="Z19" s="78">
        <f ca="1" t="shared" si="18"/>
        <v>0</v>
      </c>
      <c r="AA19" s="78">
        <f ca="1" t="shared" si="18"/>
        <v>0</v>
      </c>
      <c r="AB19" s="78">
        <f ca="1" t="shared" si="18"/>
        <v>0</v>
      </c>
      <c r="AC19" s="78">
        <f ca="1" t="shared" si="18"/>
        <v>0</v>
      </c>
      <c r="AD19" s="78">
        <f ca="1" t="shared" si="18"/>
        <v>0</v>
      </c>
      <c r="AE19" s="78">
        <f ca="1" t="shared" si="18"/>
        <v>0</v>
      </c>
      <c r="AF19" s="78">
        <f ca="1" t="shared" si="18"/>
        <v>0</v>
      </c>
      <c r="AG19" s="78">
        <f ca="1" t="shared" si="18"/>
        <v>0</v>
      </c>
      <c r="AH19" s="78">
        <f ca="1" t="shared" si="18"/>
        <v>0</v>
      </c>
      <c r="AI19" s="78">
        <f ca="1" t="shared" si="18"/>
        <v>0</v>
      </c>
      <c r="AJ19" s="78">
        <f ca="1" t="shared" si="18"/>
        <v>0</v>
      </c>
      <c r="AK19" s="78">
        <f ca="1" t="shared" si="18"/>
        <v>0</v>
      </c>
      <c r="AL19" s="78">
        <f ca="1" t="shared" si="18"/>
        <v>0</v>
      </c>
      <c r="AM19" s="78">
        <f ca="1" t="shared" si="18"/>
        <v>0</v>
      </c>
      <c r="AN19" s="78">
        <f ca="1" t="shared" si="18"/>
        <v>0</v>
      </c>
      <c r="AO19" s="78">
        <f ca="1" t="shared" si="18"/>
        <v>0</v>
      </c>
      <c r="AP19" s="78">
        <f ca="1" t="shared" si="18"/>
        <v>0</v>
      </c>
      <c r="AQ19" s="78">
        <f ca="1" t="shared" si="18"/>
        <v>0</v>
      </c>
      <c r="AR19" s="78">
        <f ca="1" t="shared" si="18"/>
        <v>0</v>
      </c>
      <c r="AS19" s="78">
        <f ca="1" t="shared" si="18"/>
        <v>0</v>
      </c>
      <c r="AT19" s="78">
        <f ca="1" t="shared" si="18"/>
        <v>0</v>
      </c>
      <c r="AU19" s="78">
        <f ca="1" t="shared" si="18"/>
        <v>0</v>
      </c>
      <c r="AV19" s="78">
        <f ca="1" t="shared" si="18"/>
        <v>0</v>
      </c>
      <c r="AW19" s="78">
        <f ca="1" t="shared" si="18"/>
        <v>0</v>
      </c>
      <c r="AY19" t="s">
        <v>151</v>
      </c>
      <c r="AZ19" t="str">
        <f ca="1">IF(AX4="zero","\I:",$BA$45&amp;"_"&amp;VLOOKUP(C19,'TRA balance'!$BB$5:$BC$15,2,FALSE))</f>
        <v>Trd_3w_bdl</v>
      </c>
      <c r="BA19" t="str">
        <f ca="1" t="shared" si="0"/>
        <v>Trd_3w</v>
      </c>
      <c r="BB19">
        <f ca="1" t="shared" si="1"/>
        <v>25</v>
      </c>
      <c r="BD19" t="str">
        <f ca="1" t="shared" si="3"/>
        <v>DMD</v>
      </c>
      <c r="BE19" t="str">
        <f ca="1" t="shared" si="4"/>
        <v>Trd_3w_bdl</v>
      </c>
      <c r="BG19" t="s">
        <v>92</v>
      </c>
      <c r="BH19" t="s">
        <v>144</v>
      </c>
      <c r="BI19" t="s">
        <v>145</v>
      </c>
    </row>
    <row r="20" spans="1:61">
      <c r="C20" t="str">
        <f t="shared" si="16"/>
        <v>TRABGS</v>
      </c>
      <c r="D20" s="78">
        <f ca="1" t="shared" ref="D20:AW25" si="19">ROUND(D5*D29/D37,3)</f>
        <v>0</v>
      </c>
      <c r="E20" s="78">
        <f ca="1" t="shared" ref="E20:U20" si="20">ROUND(E5*E29/E37,3)</f>
        <v>0</v>
      </c>
      <c r="F20" s="78">
        <f ca="1" t="shared" si="20"/>
        <v>0</v>
      </c>
      <c r="G20" s="78">
        <f ca="1" t="shared" si="20"/>
        <v>0</v>
      </c>
      <c r="H20" s="78">
        <f ca="1" t="shared" si="20"/>
        <v>0</v>
      </c>
      <c r="I20" s="78">
        <f ca="1" t="shared" si="20"/>
        <v>0</v>
      </c>
      <c r="J20" s="78">
        <f ca="1" t="shared" si="20"/>
        <v>0</v>
      </c>
      <c r="K20" s="78">
        <f ca="1" t="shared" si="20"/>
        <v>0</v>
      </c>
      <c r="L20" s="78">
        <f ca="1" t="shared" si="20"/>
        <v>0</v>
      </c>
      <c r="M20" s="78">
        <f ca="1" t="shared" si="20"/>
        <v>0</v>
      </c>
      <c r="N20" s="78">
        <f ca="1" t="shared" si="20"/>
        <v>0</v>
      </c>
      <c r="O20" s="78">
        <f ca="1" t="shared" si="20"/>
        <v>0</v>
      </c>
      <c r="P20" s="78">
        <f ca="1" t="shared" si="20"/>
        <v>0</v>
      </c>
      <c r="Q20" s="78">
        <f ca="1" t="shared" si="20"/>
        <v>0</v>
      </c>
      <c r="R20" s="78">
        <f ca="1" t="shared" si="20"/>
        <v>0</v>
      </c>
      <c r="S20" s="78">
        <f ca="1" t="shared" si="20"/>
        <v>0</v>
      </c>
      <c r="T20" s="78">
        <f ca="1" t="shared" si="20"/>
        <v>0</v>
      </c>
      <c r="U20" s="78">
        <f ca="1" t="shared" si="20"/>
        <v>0</v>
      </c>
      <c r="V20" s="78">
        <f ca="1" t="shared" si="19"/>
        <v>0</v>
      </c>
      <c r="W20" s="78">
        <f ca="1" t="shared" si="19"/>
        <v>0</v>
      </c>
      <c r="X20" s="78">
        <f ca="1" t="shared" si="19"/>
        <v>0</v>
      </c>
      <c r="Y20" s="78">
        <f ca="1" t="shared" si="19"/>
        <v>0</v>
      </c>
      <c r="Z20" s="78">
        <f ca="1" t="shared" si="19"/>
        <v>0</v>
      </c>
      <c r="AA20" s="78">
        <f ca="1" t="shared" si="19"/>
        <v>0</v>
      </c>
      <c r="AB20" s="78">
        <f ca="1" t="shared" si="19"/>
        <v>0</v>
      </c>
      <c r="AC20" s="78">
        <f ca="1" t="shared" si="19"/>
        <v>0</v>
      </c>
      <c r="AD20" s="78">
        <f ca="1" t="shared" si="19"/>
        <v>0</v>
      </c>
      <c r="AE20" s="78">
        <f ca="1" t="shared" si="19"/>
        <v>0</v>
      </c>
      <c r="AF20" s="78">
        <f ca="1" t="shared" si="19"/>
        <v>0</v>
      </c>
      <c r="AG20" s="78">
        <f ca="1" t="shared" si="19"/>
        <v>0</v>
      </c>
      <c r="AH20" s="78">
        <f ca="1" t="shared" si="19"/>
        <v>0</v>
      </c>
      <c r="AI20" s="78">
        <f ca="1" t="shared" si="19"/>
        <v>0</v>
      </c>
      <c r="AJ20" s="78">
        <f ca="1" t="shared" si="19"/>
        <v>0</v>
      </c>
      <c r="AK20" s="78">
        <f ca="1" t="shared" si="19"/>
        <v>0</v>
      </c>
      <c r="AL20" s="78">
        <f ca="1" t="shared" si="19"/>
        <v>0</v>
      </c>
      <c r="AM20" s="78">
        <f ca="1" t="shared" si="19"/>
        <v>0</v>
      </c>
      <c r="AN20" s="78">
        <f ca="1" t="shared" si="19"/>
        <v>0</v>
      </c>
      <c r="AO20" s="78">
        <f ca="1" t="shared" si="19"/>
        <v>0</v>
      </c>
      <c r="AP20" s="78">
        <f ca="1" t="shared" si="19"/>
        <v>0</v>
      </c>
      <c r="AQ20" s="78">
        <f ca="1" t="shared" si="19"/>
        <v>0</v>
      </c>
      <c r="AR20" s="78">
        <f ca="1" t="shared" si="19"/>
        <v>0</v>
      </c>
      <c r="AS20" s="78">
        <f ca="1" t="shared" si="19"/>
        <v>0</v>
      </c>
      <c r="AT20" s="78">
        <f ca="1" t="shared" si="19"/>
        <v>0</v>
      </c>
      <c r="AU20" s="78">
        <f ca="1" t="shared" si="19"/>
        <v>0</v>
      </c>
      <c r="AV20" s="78">
        <f ca="1" t="shared" si="19"/>
        <v>0</v>
      </c>
      <c r="AW20" s="78">
        <f ca="1" t="shared" si="19"/>
        <v>0</v>
      </c>
      <c r="AY20" t="s">
        <v>151</v>
      </c>
      <c r="AZ20" t="str">
        <f ca="1">IF(AX5="zero","\I:",$BA$45&amp;"_"&amp;VLOOKUP(C20,'TRA balance'!$BB$5:$BC$15,2,FALSE))</f>
        <v>\I:</v>
      </c>
      <c r="BA20" t="str">
        <f ca="1" t="shared" si="0"/>
        <v>Trd_3w</v>
      </c>
      <c r="BB20">
        <f ca="1" t="shared" si="1"/>
        <v>25</v>
      </c>
      <c r="BD20" t="str">
        <f ca="1" t="shared" si="3"/>
        <v>DMD</v>
      </c>
      <c r="BE20" t="str">
        <f ca="1" t="shared" si="4"/>
        <v>\I:</v>
      </c>
      <c r="BG20" t="s">
        <v>92</v>
      </c>
      <c r="BH20" t="s">
        <v>144</v>
      </c>
      <c r="BI20" t="s">
        <v>145</v>
      </c>
    </row>
    <row r="21" spans="1:61">
      <c r="C21" t="str">
        <f t="shared" si="16"/>
        <v>TRADST</v>
      </c>
      <c r="D21" s="78">
        <f ca="1" t="shared" si="19"/>
        <v>0</v>
      </c>
      <c r="E21" s="78">
        <f ca="1" t="shared" ref="E21:U21" si="21">ROUND(E6*E30/E38,3)</f>
        <v>0</v>
      </c>
      <c r="F21" s="78">
        <f ca="1" t="shared" si="21"/>
        <v>0</v>
      </c>
      <c r="G21" s="78">
        <f ca="1" t="shared" si="21"/>
        <v>0</v>
      </c>
      <c r="H21" s="78">
        <f ca="1" t="shared" si="21"/>
        <v>0</v>
      </c>
      <c r="I21" s="78">
        <f ca="1" t="shared" si="21"/>
        <v>0</v>
      </c>
      <c r="J21" s="78">
        <f ca="1" t="shared" si="21"/>
        <v>0.039</v>
      </c>
      <c r="K21" s="78">
        <f ca="1" t="shared" si="21"/>
        <v>9.113</v>
      </c>
      <c r="L21" s="78">
        <f ca="1" t="shared" si="21"/>
        <v>0</v>
      </c>
      <c r="M21" s="78">
        <f ca="1" t="shared" si="21"/>
        <v>0</v>
      </c>
      <c r="N21" s="78">
        <f ca="1" t="shared" si="21"/>
        <v>0</v>
      </c>
      <c r="O21" s="78">
        <f ca="1" t="shared" si="21"/>
        <v>0</v>
      </c>
      <c r="P21" s="78">
        <f ca="1" t="shared" si="21"/>
        <v>0</v>
      </c>
      <c r="Q21" s="78">
        <f ca="1" t="shared" si="21"/>
        <v>0</v>
      </c>
      <c r="R21" s="78">
        <f ca="1" t="shared" si="21"/>
        <v>0</v>
      </c>
      <c r="S21" s="78">
        <f ca="1" t="shared" si="21"/>
        <v>5.952</v>
      </c>
      <c r="T21" s="78">
        <f ca="1" t="shared" si="21"/>
        <v>0</v>
      </c>
      <c r="U21" s="78">
        <f ca="1" t="shared" si="21"/>
        <v>0</v>
      </c>
      <c r="V21" s="78">
        <f ca="1" t="shared" si="19"/>
        <v>0.018</v>
      </c>
      <c r="W21" s="78">
        <f ca="1" t="shared" si="19"/>
        <v>0.04</v>
      </c>
      <c r="X21" s="78">
        <f ca="1" t="shared" si="19"/>
        <v>0</v>
      </c>
      <c r="Y21" s="78">
        <f ca="1" t="shared" si="19"/>
        <v>0</v>
      </c>
      <c r="Z21" s="78">
        <f ca="1" t="shared" si="19"/>
        <v>0</v>
      </c>
      <c r="AA21" s="78">
        <f ca="1" t="shared" si="19"/>
        <v>0</v>
      </c>
      <c r="AB21" s="78">
        <f ca="1" t="shared" si="19"/>
        <v>0</v>
      </c>
      <c r="AC21" s="78">
        <f ca="1" t="shared" si="19"/>
        <v>0</v>
      </c>
      <c r="AD21" s="78">
        <f ca="1" t="shared" si="19"/>
        <v>0</v>
      </c>
      <c r="AE21" s="78">
        <f ca="1" t="shared" si="19"/>
        <v>0</v>
      </c>
      <c r="AF21" s="78">
        <f ca="1" t="shared" si="19"/>
        <v>0</v>
      </c>
      <c r="AG21" s="78">
        <f ca="1" t="shared" si="19"/>
        <v>0</v>
      </c>
      <c r="AH21" s="78">
        <f ca="1" t="shared" si="19"/>
        <v>0</v>
      </c>
      <c r="AI21" s="78">
        <f ca="1" t="shared" si="19"/>
        <v>0</v>
      </c>
      <c r="AJ21" s="78">
        <f ca="1" t="shared" si="19"/>
        <v>0</v>
      </c>
      <c r="AK21" s="78">
        <f ca="1" t="shared" si="19"/>
        <v>0</v>
      </c>
      <c r="AL21" s="78">
        <f ca="1" t="shared" si="19"/>
        <v>0</v>
      </c>
      <c r="AM21" s="78">
        <f ca="1" t="shared" si="19"/>
        <v>0</v>
      </c>
      <c r="AN21" s="78">
        <f ca="1" t="shared" si="19"/>
        <v>0</v>
      </c>
      <c r="AO21" s="78">
        <f ca="1" t="shared" si="19"/>
        <v>0</v>
      </c>
      <c r="AP21" s="78">
        <f ca="1" t="shared" si="19"/>
        <v>0</v>
      </c>
      <c r="AQ21" s="78">
        <f ca="1" t="shared" si="19"/>
        <v>0</v>
      </c>
      <c r="AR21" s="78">
        <f ca="1" t="shared" si="19"/>
        <v>0</v>
      </c>
      <c r="AS21" s="78">
        <f ca="1" t="shared" si="19"/>
        <v>0</v>
      </c>
      <c r="AT21" s="78">
        <f ca="1" t="shared" si="19"/>
        <v>0</v>
      </c>
      <c r="AU21" s="78">
        <f ca="1" t="shared" si="19"/>
        <v>0</v>
      </c>
      <c r="AV21" s="78">
        <f ca="1" t="shared" si="19"/>
        <v>0</v>
      </c>
      <c r="AW21" s="78">
        <f ca="1" t="shared" si="19"/>
        <v>0</v>
      </c>
      <c r="AY21" t="s">
        <v>151</v>
      </c>
      <c r="AZ21" t="str">
        <f ca="1">IF(AX6="zero","\I:",$BA$45&amp;"_"&amp;VLOOKUP(C21,'TRA balance'!$BB$5:$BC$15,2,FALSE))</f>
        <v>Trd_3w_dsl</v>
      </c>
      <c r="BA21" t="str">
        <f ca="1" t="shared" si="0"/>
        <v>Trd_3w</v>
      </c>
      <c r="BB21">
        <f ca="1" t="shared" si="1"/>
        <v>25</v>
      </c>
      <c r="BD21" t="str">
        <f ca="1" t="shared" si="3"/>
        <v>DMD</v>
      </c>
      <c r="BE21" t="str">
        <f ca="1" t="shared" si="4"/>
        <v>Trd_3w_dsl</v>
      </c>
      <c r="BG21" t="s">
        <v>92</v>
      </c>
      <c r="BH21" t="s">
        <v>144</v>
      </c>
      <c r="BI21" t="s">
        <v>145</v>
      </c>
    </row>
    <row r="22" spans="1:61">
      <c r="C22" t="str">
        <f t="shared" si="16"/>
        <v>TRAELC</v>
      </c>
      <c r="D22" s="78">
        <f ca="1" t="shared" si="19"/>
        <v>0</v>
      </c>
      <c r="E22" s="78">
        <f ca="1" t="shared" ref="E22:U22" si="22">ROUND(E7*E31/E39,3)</f>
        <v>0</v>
      </c>
      <c r="F22" s="78">
        <f ca="1" t="shared" si="22"/>
        <v>0</v>
      </c>
      <c r="G22" s="78">
        <f ca="1" t="shared" si="22"/>
        <v>0</v>
      </c>
      <c r="H22" s="78">
        <f ca="1" t="shared" si="22"/>
        <v>0</v>
      </c>
      <c r="I22" s="78">
        <f ca="1" t="shared" si="22"/>
        <v>0</v>
      </c>
      <c r="J22" s="78">
        <f ca="1" t="shared" si="22"/>
        <v>0</v>
      </c>
      <c r="K22" s="78">
        <f ca="1" t="shared" si="22"/>
        <v>0</v>
      </c>
      <c r="L22" s="78">
        <f ca="1" t="shared" si="22"/>
        <v>0</v>
      </c>
      <c r="M22" s="78">
        <f ca="1" t="shared" si="22"/>
        <v>0</v>
      </c>
      <c r="N22" s="78">
        <f ca="1" t="shared" si="22"/>
        <v>0</v>
      </c>
      <c r="O22" s="78">
        <f ca="1" t="shared" si="22"/>
        <v>0</v>
      </c>
      <c r="P22" s="78">
        <f ca="1" t="shared" si="22"/>
        <v>0</v>
      </c>
      <c r="Q22" s="78">
        <f ca="1" t="shared" si="22"/>
        <v>0</v>
      </c>
      <c r="R22" s="78">
        <f ca="1" t="shared" si="22"/>
        <v>0</v>
      </c>
      <c r="S22" s="78">
        <f ca="1" t="shared" si="22"/>
        <v>0</v>
      </c>
      <c r="T22" s="78">
        <f ca="1" t="shared" si="22"/>
        <v>0</v>
      </c>
      <c r="U22" s="78">
        <f ca="1" t="shared" si="22"/>
        <v>0</v>
      </c>
      <c r="V22" s="78">
        <f ca="1" t="shared" si="19"/>
        <v>0</v>
      </c>
      <c r="W22" s="78">
        <f ca="1" t="shared" si="19"/>
        <v>0</v>
      </c>
      <c r="X22" s="78">
        <f ca="1" t="shared" si="19"/>
        <v>0</v>
      </c>
      <c r="Y22" s="78">
        <f ca="1" t="shared" si="19"/>
        <v>0</v>
      </c>
      <c r="Z22" s="78">
        <f ca="1" t="shared" si="19"/>
        <v>0</v>
      </c>
      <c r="AA22" s="78">
        <f ca="1" t="shared" si="19"/>
        <v>0</v>
      </c>
      <c r="AB22" s="78">
        <f ca="1" t="shared" si="19"/>
        <v>0</v>
      </c>
      <c r="AC22" s="78">
        <f ca="1" t="shared" si="19"/>
        <v>0</v>
      </c>
      <c r="AD22" s="78">
        <f ca="1" t="shared" si="19"/>
        <v>0</v>
      </c>
      <c r="AE22" s="78">
        <f ca="1" t="shared" si="19"/>
        <v>0</v>
      </c>
      <c r="AF22" s="78">
        <f ca="1" t="shared" si="19"/>
        <v>0</v>
      </c>
      <c r="AG22" s="78">
        <f ca="1" t="shared" si="19"/>
        <v>0</v>
      </c>
      <c r="AH22" s="78">
        <f ca="1" t="shared" si="19"/>
        <v>0</v>
      </c>
      <c r="AI22" s="78">
        <f ca="1" t="shared" si="19"/>
        <v>0</v>
      </c>
      <c r="AJ22" s="78">
        <f ca="1" t="shared" si="19"/>
        <v>0</v>
      </c>
      <c r="AK22" s="78">
        <f ca="1" t="shared" si="19"/>
        <v>0</v>
      </c>
      <c r="AL22" s="78">
        <f ca="1" t="shared" si="19"/>
        <v>0</v>
      </c>
      <c r="AM22" s="78">
        <f ca="1" t="shared" si="19"/>
        <v>0</v>
      </c>
      <c r="AN22" s="78">
        <f ca="1" t="shared" si="19"/>
        <v>0</v>
      </c>
      <c r="AO22" s="78">
        <f ca="1" t="shared" si="19"/>
        <v>0</v>
      </c>
      <c r="AP22" s="78">
        <f ca="1" t="shared" si="19"/>
        <v>0</v>
      </c>
      <c r="AQ22" s="78">
        <f ca="1" t="shared" si="19"/>
        <v>0</v>
      </c>
      <c r="AR22" s="78">
        <f ca="1" t="shared" si="19"/>
        <v>0</v>
      </c>
      <c r="AS22" s="78">
        <f ca="1" t="shared" si="19"/>
        <v>0</v>
      </c>
      <c r="AT22" s="78">
        <f ca="1" t="shared" si="19"/>
        <v>0</v>
      </c>
      <c r="AU22" s="78">
        <f ca="1" t="shared" si="19"/>
        <v>0</v>
      </c>
      <c r="AV22" s="78">
        <f ca="1" t="shared" si="19"/>
        <v>0</v>
      </c>
      <c r="AW22" s="78">
        <f ca="1" t="shared" si="19"/>
        <v>0</v>
      </c>
      <c r="AY22" t="s">
        <v>151</v>
      </c>
      <c r="AZ22" t="str">
        <f ca="1">IF(AX7="zero","\I:",$BA$45&amp;"_"&amp;VLOOKUP(C22,'TRA balance'!$BB$5:$BC$15,2,FALSE))</f>
        <v>\I:</v>
      </c>
      <c r="BA22" t="str">
        <f ca="1" t="shared" si="0"/>
        <v>Trd_3w</v>
      </c>
      <c r="BB22">
        <f ca="1" t="shared" si="1"/>
        <v>25</v>
      </c>
      <c r="BD22" t="str">
        <f ca="1" t="shared" si="3"/>
        <v>DMD</v>
      </c>
      <c r="BE22" t="str">
        <f ca="1" t="shared" si="4"/>
        <v>\I:</v>
      </c>
      <c r="BG22" t="s">
        <v>92</v>
      </c>
      <c r="BH22" t="s">
        <v>144</v>
      </c>
      <c r="BI22" t="s">
        <v>145</v>
      </c>
    </row>
    <row r="23" spans="1:61">
      <c r="C23" t="str">
        <f t="shared" si="16"/>
        <v>TRAGSL</v>
      </c>
      <c r="D23" s="78">
        <f ca="1" t="shared" si="19"/>
        <v>2.801</v>
      </c>
      <c r="E23" s="78">
        <f ca="1" t="shared" ref="E23:U23" si="23">ROUND(E8*E32/E40,3)</f>
        <v>4.863</v>
      </c>
      <c r="F23" s="78">
        <f ca="1" t="shared" si="23"/>
        <v>0</v>
      </c>
      <c r="G23" s="78">
        <f ca="1" t="shared" si="23"/>
        <v>0.013</v>
      </c>
      <c r="H23" s="78">
        <f ca="1" t="shared" si="23"/>
        <v>0.004</v>
      </c>
      <c r="I23" s="78">
        <f ca="1" t="shared" si="23"/>
        <v>0.051</v>
      </c>
      <c r="J23" s="78">
        <f ca="1" t="shared" si="23"/>
        <v>0.158</v>
      </c>
      <c r="K23" s="78">
        <f ca="1" t="shared" si="23"/>
        <v>0</v>
      </c>
      <c r="L23" s="78">
        <f ca="1" t="shared" si="23"/>
        <v>0.007</v>
      </c>
      <c r="M23" s="78">
        <f ca="1" t="shared" si="23"/>
        <v>0.016</v>
      </c>
      <c r="N23" s="78">
        <f ca="1" t="shared" si="23"/>
        <v>0.062</v>
      </c>
      <c r="O23" s="78">
        <f ca="1" t="shared" si="23"/>
        <v>0.137</v>
      </c>
      <c r="P23" s="78">
        <f ca="1" t="shared" si="23"/>
        <v>0.021</v>
      </c>
      <c r="Q23" s="78">
        <f ca="1" t="shared" si="23"/>
        <v>0.024</v>
      </c>
      <c r="R23" s="78">
        <f ca="1" t="shared" si="23"/>
        <v>0.001</v>
      </c>
      <c r="S23" s="78">
        <f ca="1" t="shared" si="23"/>
        <v>5.255</v>
      </c>
      <c r="T23" s="78">
        <f ca="1" t="shared" si="23"/>
        <v>0.006</v>
      </c>
      <c r="U23" s="78">
        <f ca="1" t="shared" si="23"/>
        <v>0.062</v>
      </c>
      <c r="V23" s="78">
        <f ca="1" t="shared" si="19"/>
        <v>0.279</v>
      </c>
      <c r="W23" s="78">
        <f ca="1" t="shared" si="19"/>
        <v>0.301</v>
      </c>
      <c r="X23" s="78">
        <f ca="1" t="shared" si="19"/>
        <v>0.646</v>
      </c>
      <c r="Y23" s="78">
        <f ca="1" t="shared" si="19"/>
        <v>0.574</v>
      </c>
      <c r="Z23" s="78">
        <f ca="1" t="shared" si="19"/>
        <v>0.005</v>
      </c>
      <c r="AA23" s="78">
        <f ca="1" t="shared" si="19"/>
        <v>0.034</v>
      </c>
      <c r="AB23" s="78">
        <f ca="1" t="shared" si="19"/>
        <v>17.699</v>
      </c>
      <c r="AC23" s="78">
        <f ca="1" t="shared" si="19"/>
        <v>0.212</v>
      </c>
      <c r="AD23" s="78">
        <f ca="1" t="shared" si="19"/>
        <v>0.279</v>
      </c>
      <c r="AE23" s="78">
        <f ca="1" t="shared" si="19"/>
        <v>1.239</v>
      </c>
      <c r="AF23" s="78">
        <f ca="1" t="shared" si="19"/>
        <v>0.039</v>
      </c>
      <c r="AG23" s="78">
        <f ca="1" t="shared" si="19"/>
        <v>0.036</v>
      </c>
      <c r="AH23" s="78">
        <f ca="1" t="shared" si="19"/>
        <v>0.019</v>
      </c>
      <c r="AI23" s="78">
        <f ca="1" t="shared" si="19"/>
        <v>0.027</v>
      </c>
      <c r="AJ23" s="78">
        <f ca="1" t="shared" si="19"/>
        <v>0.098</v>
      </c>
      <c r="AK23" s="78">
        <f ca="1" t="shared" si="19"/>
        <v>0.011</v>
      </c>
      <c r="AL23" s="78">
        <f ca="1" t="shared" si="19"/>
        <v>0.007</v>
      </c>
      <c r="AM23" s="78">
        <f ca="1" t="shared" si="19"/>
        <v>0</v>
      </c>
      <c r="AN23" s="78">
        <f ca="1" t="shared" si="19"/>
        <v>0</v>
      </c>
      <c r="AO23" s="78">
        <f ca="1" t="shared" si="19"/>
        <v>0</v>
      </c>
      <c r="AP23" s="78">
        <f ca="1" t="shared" si="19"/>
        <v>0</v>
      </c>
      <c r="AQ23" s="78">
        <f ca="1" t="shared" si="19"/>
        <v>0</v>
      </c>
      <c r="AR23" s="78">
        <f ca="1" t="shared" si="19"/>
        <v>0</v>
      </c>
      <c r="AS23" s="78">
        <f ca="1" t="shared" si="19"/>
        <v>0</v>
      </c>
      <c r="AT23" s="78">
        <f ca="1" t="shared" si="19"/>
        <v>0</v>
      </c>
      <c r="AU23" s="78">
        <f ca="1" t="shared" si="19"/>
        <v>0</v>
      </c>
      <c r="AV23" s="78">
        <f ca="1" t="shared" si="19"/>
        <v>0</v>
      </c>
      <c r="AW23" s="78">
        <f ca="1" t="shared" si="19"/>
        <v>0</v>
      </c>
      <c r="AY23" t="s">
        <v>151</v>
      </c>
      <c r="AZ23" t="str">
        <f ca="1">IF(AX8="zero","\I:",$BA$45&amp;"_"&amp;VLOOKUP(C23,'TRA balance'!$BB$5:$BC$15,2,FALSE))</f>
        <v>Trd_3w_gsl</v>
      </c>
      <c r="BA23" t="str">
        <f ca="1" t="shared" si="0"/>
        <v>Trd_3w</v>
      </c>
      <c r="BB23">
        <f ca="1" t="shared" si="1"/>
        <v>25</v>
      </c>
      <c r="BD23" t="str">
        <f ca="1" t="shared" si="3"/>
        <v>DMD</v>
      </c>
      <c r="BE23" t="str">
        <f ca="1" t="shared" si="4"/>
        <v>Trd_3w_gsl</v>
      </c>
      <c r="BG23" t="s">
        <v>92</v>
      </c>
      <c r="BH23" t="s">
        <v>144</v>
      </c>
      <c r="BI23" t="s">
        <v>145</v>
      </c>
    </row>
    <row r="24" spans="1:61">
      <c r="C24" t="str">
        <f t="shared" si="16"/>
        <v>TRALPG</v>
      </c>
      <c r="D24" s="78">
        <f ca="1" t="shared" si="19"/>
        <v>0</v>
      </c>
      <c r="E24" s="78">
        <f ca="1" t="shared" ref="E24:U24" si="24">ROUND(E9*E33/E41,3)</f>
        <v>0</v>
      </c>
      <c r="F24" s="78">
        <f ca="1" t="shared" si="24"/>
        <v>0</v>
      </c>
      <c r="G24" s="78">
        <f ca="1" t="shared" si="24"/>
        <v>0</v>
      </c>
      <c r="H24" s="78">
        <f ca="1" t="shared" si="24"/>
        <v>0</v>
      </c>
      <c r="I24" s="78">
        <f ca="1" t="shared" si="24"/>
        <v>0</v>
      </c>
      <c r="J24" s="78">
        <f ca="1" t="shared" si="24"/>
        <v>0</v>
      </c>
      <c r="K24" s="78">
        <f ca="1" t="shared" si="24"/>
        <v>0</v>
      </c>
      <c r="L24" s="78">
        <f ca="1" t="shared" si="24"/>
        <v>0</v>
      </c>
      <c r="M24" s="78">
        <f ca="1" t="shared" si="24"/>
        <v>0</v>
      </c>
      <c r="N24" s="78">
        <f ca="1" t="shared" si="24"/>
        <v>0</v>
      </c>
      <c r="O24" s="78">
        <f ca="1" t="shared" si="24"/>
        <v>0</v>
      </c>
      <c r="P24" s="78">
        <f ca="1" t="shared" si="24"/>
        <v>0</v>
      </c>
      <c r="Q24" s="78">
        <f ca="1" t="shared" si="24"/>
        <v>0</v>
      </c>
      <c r="R24" s="78">
        <f ca="1" t="shared" si="24"/>
        <v>0</v>
      </c>
      <c r="S24" s="78">
        <f ca="1" t="shared" si="24"/>
        <v>0</v>
      </c>
      <c r="T24" s="78">
        <f ca="1" t="shared" si="24"/>
        <v>0</v>
      </c>
      <c r="U24" s="78">
        <f ca="1" t="shared" si="24"/>
        <v>0</v>
      </c>
      <c r="V24" s="78">
        <f ca="1" t="shared" si="19"/>
        <v>0</v>
      </c>
      <c r="W24" s="78">
        <f ca="1" t="shared" si="19"/>
        <v>0</v>
      </c>
      <c r="X24" s="78">
        <f ca="1" t="shared" si="19"/>
        <v>0</v>
      </c>
      <c r="Y24" s="78">
        <f ca="1" t="shared" si="19"/>
        <v>0</v>
      </c>
      <c r="Z24" s="78">
        <f ca="1" t="shared" si="19"/>
        <v>0</v>
      </c>
      <c r="AA24" s="78">
        <f ca="1" t="shared" si="19"/>
        <v>0</v>
      </c>
      <c r="AB24" s="78">
        <f ca="1" t="shared" si="19"/>
        <v>0</v>
      </c>
      <c r="AC24" s="78">
        <f ca="1" t="shared" si="19"/>
        <v>0</v>
      </c>
      <c r="AD24" s="78">
        <f ca="1" t="shared" si="19"/>
        <v>0</v>
      </c>
      <c r="AE24" s="78">
        <f ca="1" t="shared" si="19"/>
        <v>0</v>
      </c>
      <c r="AF24" s="78">
        <f ca="1" t="shared" si="19"/>
        <v>0</v>
      </c>
      <c r="AG24" s="78">
        <f ca="1" t="shared" si="19"/>
        <v>0</v>
      </c>
      <c r="AH24" s="78">
        <f ca="1" t="shared" si="19"/>
        <v>0</v>
      </c>
      <c r="AI24" s="78">
        <f ca="1" t="shared" si="19"/>
        <v>0</v>
      </c>
      <c r="AJ24" s="78">
        <f ca="1" t="shared" si="19"/>
        <v>0</v>
      </c>
      <c r="AK24" s="78">
        <f ca="1" t="shared" si="19"/>
        <v>0</v>
      </c>
      <c r="AL24" s="78">
        <f ca="1" t="shared" si="19"/>
        <v>0</v>
      </c>
      <c r="AM24" s="78">
        <f ca="1" t="shared" si="19"/>
        <v>0</v>
      </c>
      <c r="AN24" s="78">
        <f ca="1" t="shared" si="19"/>
        <v>0</v>
      </c>
      <c r="AO24" s="78">
        <f ca="1" t="shared" si="19"/>
        <v>0</v>
      </c>
      <c r="AP24" s="78">
        <f ca="1" t="shared" si="19"/>
        <v>0</v>
      </c>
      <c r="AQ24" s="78">
        <f ca="1" t="shared" si="19"/>
        <v>0</v>
      </c>
      <c r="AR24" s="78">
        <f ca="1" t="shared" si="19"/>
        <v>0</v>
      </c>
      <c r="AS24" s="78">
        <f ca="1" t="shared" si="19"/>
        <v>0</v>
      </c>
      <c r="AT24" s="78">
        <f ca="1" t="shared" si="19"/>
        <v>0</v>
      </c>
      <c r="AU24" s="78">
        <f ca="1" t="shared" si="19"/>
        <v>0</v>
      </c>
      <c r="AV24" s="78">
        <f ca="1" t="shared" si="19"/>
        <v>0</v>
      </c>
      <c r="AW24" s="78">
        <f ca="1" t="shared" si="19"/>
        <v>0</v>
      </c>
      <c r="AY24" t="s">
        <v>151</v>
      </c>
      <c r="AZ24" t="str">
        <f ca="1">IF(AX9="zero","\I:",$BA$45&amp;"_"&amp;VLOOKUP(C24,'TRA balance'!$BB$5:$BC$15,2,FALSE))</f>
        <v>\I:</v>
      </c>
      <c r="BA24" t="str">
        <f ca="1" t="shared" si="0"/>
        <v>Trd_3w</v>
      </c>
      <c r="BB24">
        <f ca="1" t="shared" si="1"/>
        <v>25</v>
      </c>
      <c r="BD24" t="str">
        <f ca="1" t="shared" si="3"/>
        <v>DMD</v>
      </c>
      <c r="BE24" t="str">
        <f ca="1" t="shared" si="4"/>
        <v>\I:</v>
      </c>
      <c r="BG24" t="s">
        <v>92</v>
      </c>
      <c r="BH24" t="s">
        <v>144</v>
      </c>
      <c r="BI24" t="s">
        <v>145</v>
      </c>
    </row>
    <row r="25" spans="1:61">
      <c r="C25" t="str">
        <f t="shared" si="16"/>
        <v>TRANGA</v>
      </c>
      <c r="D25" s="78">
        <f ca="1" t="shared" si="19"/>
        <v>0</v>
      </c>
      <c r="E25" s="78">
        <f ca="1" t="shared" ref="E25:U25" si="25">ROUND(E10*E34/E42,3)</f>
        <v>0</v>
      </c>
      <c r="F25" s="78">
        <f ca="1" t="shared" si="25"/>
        <v>0</v>
      </c>
      <c r="G25" s="78">
        <f ca="1" t="shared" si="25"/>
        <v>0</v>
      </c>
      <c r="H25" s="78">
        <f ca="1" t="shared" si="25"/>
        <v>0</v>
      </c>
      <c r="I25" s="78">
        <f ca="1" t="shared" si="25"/>
        <v>0</v>
      </c>
      <c r="J25" s="78">
        <f ca="1" t="shared" si="25"/>
        <v>0</v>
      </c>
      <c r="K25" s="78">
        <f ca="1" t="shared" si="25"/>
        <v>0</v>
      </c>
      <c r="L25" s="78">
        <f ca="1" t="shared" si="25"/>
        <v>0</v>
      </c>
      <c r="M25" s="78">
        <f ca="1" t="shared" si="25"/>
        <v>0</v>
      </c>
      <c r="N25" s="78">
        <f ca="1" t="shared" si="25"/>
        <v>0</v>
      </c>
      <c r="O25" s="78">
        <f ca="1" t="shared" si="25"/>
        <v>0</v>
      </c>
      <c r="P25" s="78">
        <f ca="1" t="shared" si="25"/>
        <v>0</v>
      </c>
      <c r="Q25" s="78">
        <f ca="1" t="shared" si="25"/>
        <v>0</v>
      </c>
      <c r="R25" s="78">
        <f ca="1" t="shared" si="25"/>
        <v>0</v>
      </c>
      <c r="S25" s="78">
        <f ca="1" t="shared" si="25"/>
        <v>0</v>
      </c>
      <c r="T25" s="78">
        <f ca="1" t="shared" si="25"/>
        <v>0</v>
      </c>
      <c r="U25" s="78">
        <f ca="1" t="shared" si="25"/>
        <v>0</v>
      </c>
      <c r="V25" s="78">
        <f ca="1" t="shared" si="19"/>
        <v>0</v>
      </c>
      <c r="W25" s="78">
        <f ca="1" t="shared" si="19"/>
        <v>0</v>
      </c>
      <c r="X25" s="78">
        <f ca="1" t="shared" si="19"/>
        <v>0</v>
      </c>
      <c r="Y25" s="78">
        <f ca="1" t="shared" si="19"/>
        <v>0</v>
      </c>
      <c r="Z25" s="78">
        <f ca="1" t="shared" si="19"/>
        <v>0</v>
      </c>
      <c r="AA25" s="78">
        <f ca="1" t="shared" si="19"/>
        <v>0</v>
      </c>
      <c r="AB25" s="78">
        <f ca="1" t="shared" si="19"/>
        <v>0</v>
      </c>
      <c r="AC25" s="78">
        <f ca="1" t="shared" si="19"/>
        <v>0</v>
      </c>
      <c r="AD25" s="78">
        <f ca="1" t="shared" si="19"/>
        <v>0</v>
      </c>
      <c r="AE25" s="78">
        <f ca="1" t="shared" si="19"/>
        <v>0</v>
      </c>
      <c r="AF25" s="78">
        <f ca="1" t="shared" si="19"/>
        <v>0</v>
      </c>
      <c r="AG25" s="78">
        <f ca="1" t="shared" si="19"/>
        <v>0</v>
      </c>
      <c r="AH25" s="78">
        <f ca="1" t="shared" si="19"/>
        <v>0</v>
      </c>
      <c r="AI25" s="78">
        <f ca="1" t="shared" si="19"/>
        <v>0</v>
      </c>
      <c r="AJ25" s="78">
        <f ca="1" t="shared" si="19"/>
        <v>0</v>
      </c>
      <c r="AK25" s="78">
        <f ca="1" t="shared" si="19"/>
        <v>0</v>
      </c>
      <c r="AL25" s="78">
        <f ca="1" t="shared" si="19"/>
        <v>0</v>
      </c>
      <c r="AM25" s="78">
        <f ca="1" t="shared" si="19"/>
        <v>0</v>
      </c>
      <c r="AN25" s="78">
        <f ca="1" t="shared" si="19"/>
        <v>0</v>
      </c>
      <c r="AO25" s="78">
        <f ca="1" t="shared" si="19"/>
        <v>0</v>
      </c>
      <c r="AP25" s="78">
        <f ca="1" t="shared" si="19"/>
        <v>0</v>
      </c>
      <c r="AQ25" s="78">
        <f ca="1" t="shared" si="19"/>
        <v>0</v>
      </c>
      <c r="AR25" s="78">
        <f ca="1" t="shared" si="19"/>
        <v>0</v>
      </c>
      <c r="AS25" s="78">
        <f ca="1" t="shared" si="19"/>
        <v>0</v>
      </c>
      <c r="AT25" s="78">
        <f ca="1" t="shared" si="19"/>
        <v>0</v>
      </c>
      <c r="AU25" s="78">
        <f ca="1" t="shared" si="19"/>
        <v>0</v>
      </c>
      <c r="AV25" s="78">
        <f ca="1" t="shared" si="19"/>
        <v>0</v>
      </c>
      <c r="AW25" s="78">
        <f ca="1" t="shared" si="19"/>
        <v>0</v>
      </c>
      <c r="AY25" t="s">
        <v>151</v>
      </c>
      <c r="AZ25" t="str">
        <f ca="1">IF(AX10="zero","\I:",$BA$45&amp;"_"&amp;VLOOKUP(C25,'TRA balance'!$BB$5:$BC$15,2,FALSE))</f>
        <v>\I:</v>
      </c>
      <c r="BA25" t="str">
        <f ca="1" t="shared" si="0"/>
        <v>Trd_3w</v>
      </c>
      <c r="BB25">
        <f ca="1" t="shared" si="1"/>
        <v>25</v>
      </c>
      <c r="BD25" t="str">
        <f ca="1" t="shared" si="3"/>
        <v>DMD</v>
      </c>
      <c r="BE25" t="str">
        <f ca="1" t="shared" si="4"/>
        <v>\I:</v>
      </c>
      <c r="BG25" t="s">
        <v>92</v>
      </c>
      <c r="BH25" t="s">
        <v>144</v>
      </c>
      <c r="BI25" t="s">
        <v>145</v>
      </c>
    </row>
    <row r="26" spans="1:61"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Y26" t="s">
        <v>133</v>
      </c>
      <c r="BA26" t="str">
        <f t="shared" si="0"/>
        <v/>
      </c>
      <c r="BB26" t="str">
        <f t="shared" si="1"/>
        <v/>
      </c>
      <c r="BD26" t="str">
        <f t="shared" si="3"/>
        <v>*</v>
      </c>
      <c r="BE26">
        <f t="shared" si="4"/>
        <v>0</v>
      </c>
      <c r="BG26" t="s">
        <v>92</v>
      </c>
      <c r="BH26" t="s">
        <v>144</v>
      </c>
      <c r="BI26" t="s">
        <v>145</v>
      </c>
    </row>
    <row r="27" spans="1:61"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Y27" t="s">
        <v>133</v>
      </c>
      <c r="BA27" t="str">
        <f t="shared" si="0"/>
        <v/>
      </c>
      <c r="BB27" t="str">
        <f t="shared" si="1"/>
        <v/>
      </c>
      <c r="BD27" t="str">
        <f t="shared" si="3"/>
        <v>*</v>
      </c>
      <c r="BE27">
        <f t="shared" si="4"/>
        <v>0</v>
      </c>
      <c r="BG27" t="s">
        <v>92</v>
      </c>
      <c r="BH27" t="s">
        <v>144</v>
      </c>
      <c r="BI27" t="s">
        <v>145</v>
      </c>
    </row>
    <row r="28" spans="1:61">
      <c r="A28" t="s">
        <v>152</v>
      </c>
      <c r="C28" t="str">
        <f>C19</f>
        <v>TRABDS</v>
      </c>
      <c r="D28">
        <f t="shared" ref="D28:AC34" si="26">$AX28*D$27</f>
        <v>0.58697</v>
      </c>
      <c r="E28">
        <f t="shared" si="26"/>
        <v>0.58697</v>
      </c>
      <c r="F28">
        <f t="shared" si="26"/>
        <v>0.58697</v>
      </c>
      <c r="G28">
        <f t="shared" si="26"/>
        <v>0.58697</v>
      </c>
      <c r="H28">
        <f t="shared" si="26"/>
        <v>0.58697</v>
      </c>
      <c r="I28">
        <f t="shared" si="26"/>
        <v>0.58697</v>
      </c>
      <c r="J28">
        <f t="shared" si="26"/>
        <v>0.58697</v>
      </c>
      <c r="K28">
        <f t="shared" si="26"/>
        <v>0.58697</v>
      </c>
      <c r="L28">
        <f t="shared" si="26"/>
        <v>0.58697</v>
      </c>
      <c r="M28">
        <f t="shared" si="26"/>
        <v>0.58697</v>
      </c>
      <c r="N28">
        <f t="shared" si="26"/>
        <v>0.58697</v>
      </c>
      <c r="O28">
        <f t="shared" si="26"/>
        <v>0.58697</v>
      </c>
      <c r="P28">
        <f t="shared" si="26"/>
        <v>0.58697</v>
      </c>
      <c r="Q28">
        <f t="shared" si="26"/>
        <v>0.58697</v>
      </c>
      <c r="R28">
        <f t="shared" si="26"/>
        <v>0.58697</v>
      </c>
      <c r="S28">
        <f t="shared" si="26"/>
        <v>0.58697</v>
      </c>
      <c r="T28">
        <f t="shared" si="26"/>
        <v>0.58697</v>
      </c>
      <c r="U28">
        <f t="shared" si="26"/>
        <v>0.58697</v>
      </c>
      <c r="V28">
        <f t="shared" si="26"/>
        <v>0.58697</v>
      </c>
      <c r="W28">
        <f t="shared" si="26"/>
        <v>0.58697</v>
      </c>
      <c r="X28">
        <f t="shared" si="26"/>
        <v>0.58697</v>
      </c>
      <c r="Y28">
        <f t="shared" si="26"/>
        <v>0.58697</v>
      </c>
      <c r="Z28">
        <f t="shared" si="26"/>
        <v>0.58697</v>
      </c>
      <c r="AA28">
        <f t="shared" si="26"/>
        <v>0.58697</v>
      </c>
      <c r="AB28">
        <f t="shared" si="26"/>
        <v>0.58697</v>
      </c>
      <c r="AC28">
        <f t="shared" si="26"/>
        <v>0.58697</v>
      </c>
      <c r="AD28">
        <f t="shared" ref="AD28:AS34" si="27">$AX28*AD$27</f>
        <v>0.58697</v>
      </c>
      <c r="AE28">
        <f t="shared" si="27"/>
        <v>0.58697</v>
      </c>
      <c r="AF28">
        <f t="shared" si="27"/>
        <v>0.58697</v>
      </c>
      <c r="AG28">
        <f t="shared" si="27"/>
        <v>0.58697</v>
      </c>
      <c r="AH28">
        <f t="shared" si="27"/>
        <v>0.58697</v>
      </c>
      <c r="AI28">
        <f t="shared" si="27"/>
        <v>0.58697</v>
      </c>
      <c r="AJ28">
        <f t="shared" si="27"/>
        <v>0.58697</v>
      </c>
      <c r="AK28">
        <f t="shared" si="27"/>
        <v>0.58697</v>
      </c>
      <c r="AL28">
        <f t="shared" si="27"/>
        <v>0.58697</v>
      </c>
      <c r="AM28">
        <f t="shared" si="27"/>
        <v>0.58697</v>
      </c>
      <c r="AN28">
        <f t="shared" si="27"/>
        <v>0.58697</v>
      </c>
      <c r="AO28">
        <f t="shared" si="27"/>
        <v>0.58697</v>
      </c>
      <c r="AP28">
        <f t="shared" si="27"/>
        <v>0.58697</v>
      </c>
      <c r="AQ28">
        <f t="shared" si="27"/>
        <v>0.58697</v>
      </c>
      <c r="AR28">
        <f t="shared" si="27"/>
        <v>0.58697</v>
      </c>
      <c r="AS28">
        <f t="shared" si="27"/>
        <v>0.58697</v>
      </c>
      <c r="AT28">
        <f t="shared" ref="AK28:AW34" si="28">$AX28*AT$27</f>
        <v>0.58697</v>
      </c>
      <c r="AU28">
        <f t="shared" si="28"/>
        <v>0.58697</v>
      </c>
      <c r="AV28">
        <f t="shared" si="28"/>
        <v>0.58697</v>
      </c>
      <c r="AW28">
        <f t="shared" si="28"/>
        <v>0.58697</v>
      </c>
      <c r="AX28" s="106">
        <v>0.58697</v>
      </c>
      <c r="AY28" t="s">
        <v>153</v>
      </c>
      <c r="AZ28" s="3" t="str">
        <f ca="1">AZ19</f>
        <v>Trd_3w_bdl</v>
      </c>
      <c r="BA28" t="str">
        <f ca="1" t="shared" si="0"/>
        <v>Trd_3w</v>
      </c>
      <c r="BB28">
        <f ca="1" t="shared" si="1"/>
        <v>25</v>
      </c>
      <c r="BD28" t="str">
        <f ca="1" t="shared" si="3"/>
        <v>DMD</v>
      </c>
      <c r="BE28" t="str">
        <f ca="1" t="shared" si="4"/>
        <v>Trd_3w_bdl</v>
      </c>
      <c r="BG28" t="s">
        <v>92</v>
      </c>
      <c r="BH28" t="s">
        <v>144</v>
      </c>
      <c r="BI28" t="s">
        <v>145</v>
      </c>
    </row>
    <row r="29" spans="1:61">
      <c r="C29" t="str">
        <f t="shared" ref="C29:C34" si="29">C20</f>
        <v>TRABGS</v>
      </c>
      <c r="D29">
        <f t="shared" si="26"/>
        <v>0.58697</v>
      </c>
      <c r="E29">
        <f t="shared" si="26"/>
        <v>0.58697</v>
      </c>
      <c r="F29">
        <f t="shared" si="26"/>
        <v>0.58697</v>
      </c>
      <c r="G29">
        <f t="shared" si="26"/>
        <v>0.58697</v>
      </c>
      <c r="H29">
        <f t="shared" si="26"/>
        <v>0.58697</v>
      </c>
      <c r="I29">
        <f t="shared" si="26"/>
        <v>0.58697</v>
      </c>
      <c r="J29">
        <f t="shared" si="26"/>
        <v>0.58697</v>
      </c>
      <c r="K29">
        <f t="shared" si="26"/>
        <v>0.58697</v>
      </c>
      <c r="L29">
        <f t="shared" si="26"/>
        <v>0.58697</v>
      </c>
      <c r="M29">
        <f t="shared" si="26"/>
        <v>0.58697</v>
      </c>
      <c r="N29">
        <f t="shared" si="26"/>
        <v>0.58697</v>
      </c>
      <c r="O29">
        <f t="shared" si="26"/>
        <v>0.58697</v>
      </c>
      <c r="P29">
        <f t="shared" si="26"/>
        <v>0.58697</v>
      </c>
      <c r="Q29">
        <f t="shared" si="26"/>
        <v>0.58697</v>
      </c>
      <c r="R29">
        <f t="shared" si="26"/>
        <v>0.58697</v>
      </c>
      <c r="S29">
        <f t="shared" si="26"/>
        <v>0.58697</v>
      </c>
      <c r="T29">
        <f t="shared" si="26"/>
        <v>0.58697</v>
      </c>
      <c r="U29">
        <f t="shared" si="26"/>
        <v>0.58697</v>
      </c>
      <c r="V29">
        <f t="shared" si="26"/>
        <v>0.58697</v>
      </c>
      <c r="W29">
        <f t="shared" si="26"/>
        <v>0.58697</v>
      </c>
      <c r="X29">
        <f t="shared" si="26"/>
        <v>0.58697</v>
      </c>
      <c r="Y29">
        <f t="shared" si="26"/>
        <v>0.58697</v>
      </c>
      <c r="Z29">
        <f t="shared" si="26"/>
        <v>0.58697</v>
      </c>
      <c r="AA29">
        <f t="shared" si="26"/>
        <v>0.58697</v>
      </c>
      <c r="AB29">
        <f t="shared" si="26"/>
        <v>0.58697</v>
      </c>
      <c r="AC29">
        <f t="shared" si="26"/>
        <v>0.58697</v>
      </c>
      <c r="AD29">
        <f t="shared" si="27"/>
        <v>0.58697</v>
      </c>
      <c r="AE29">
        <f t="shared" si="27"/>
        <v>0.58697</v>
      </c>
      <c r="AF29">
        <f t="shared" si="27"/>
        <v>0.58697</v>
      </c>
      <c r="AG29">
        <f t="shared" si="27"/>
        <v>0.58697</v>
      </c>
      <c r="AH29">
        <f t="shared" si="27"/>
        <v>0.58697</v>
      </c>
      <c r="AI29">
        <f t="shared" si="27"/>
        <v>0.58697</v>
      </c>
      <c r="AJ29">
        <f t="shared" si="27"/>
        <v>0.58697</v>
      </c>
      <c r="AK29">
        <f t="shared" si="28"/>
        <v>0.58697</v>
      </c>
      <c r="AL29">
        <f t="shared" si="28"/>
        <v>0.58697</v>
      </c>
      <c r="AM29">
        <f t="shared" si="28"/>
        <v>0.58697</v>
      </c>
      <c r="AN29">
        <f t="shared" si="28"/>
        <v>0.58697</v>
      </c>
      <c r="AO29">
        <f t="shared" si="28"/>
        <v>0.58697</v>
      </c>
      <c r="AP29">
        <f t="shared" si="28"/>
        <v>0.58697</v>
      </c>
      <c r="AQ29">
        <f t="shared" si="28"/>
        <v>0.58697</v>
      </c>
      <c r="AR29">
        <f t="shared" si="28"/>
        <v>0.58697</v>
      </c>
      <c r="AS29">
        <f t="shared" si="28"/>
        <v>0.58697</v>
      </c>
      <c r="AT29">
        <f t="shared" si="28"/>
        <v>0.58697</v>
      </c>
      <c r="AU29">
        <f t="shared" si="28"/>
        <v>0.58697</v>
      </c>
      <c r="AV29">
        <f t="shared" si="28"/>
        <v>0.58697</v>
      </c>
      <c r="AW29">
        <f t="shared" si="28"/>
        <v>0.58697</v>
      </c>
      <c r="AX29" s="106">
        <v>0.58697</v>
      </c>
      <c r="AY29" t="s">
        <v>153</v>
      </c>
      <c r="AZ29" s="3" t="str">
        <f ca="1" t="shared" ref="AZ29:AZ34" si="30">AZ20</f>
        <v>\I:</v>
      </c>
      <c r="BA29" t="str">
        <f ca="1" t="shared" si="0"/>
        <v>Trd_3w</v>
      </c>
      <c r="BB29">
        <f ca="1" t="shared" si="1"/>
        <v>25</v>
      </c>
      <c r="BD29" t="str">
        <f ca="1" t="shared" si="3"/>
        <v>DMD</v>
      </c>
      <c r="BE29" t="str">
        <f ca="1" t="shared" si="4"/>
        <v>\I:</v>
      </c>
      <c r="BG29" t="s">
        <v>92</v>
      </c>
      <c r="BH29" t="s">
        <v>144</v>
      </c>
      <c r="BI29" t="s">
        <v>145</v>
      </c>
    </row>
    <row r="30" spans="1:61">
      <c r="C30" t="str">
        <f t="shared" si="29"/>
        <v>TRADST</v>
      </c>
      <c r="D30">
        <f t="shared" si="26"/>
        <v>0.58697</v>
      </c>
      <c r="E30">
        <f t="shared" si="26"/>
        <v>0.58697</v>
      </c>
      <c r="F30">
        <f t="shared" si="26"/>
        <v>0.58697</v>
      </c>
      <c r="G30">
        <f t="shared" si="26"/>
        <v>0.58697</v>
      </c>
      <c r="H30">
        <f t="shared" si="26"/>
        <v>0.58697</v>
      </c>
      <c r="I30">
        <f t="shared" si="26"/>
        <v>0.58697</v>
      </c>
      <c r="J30">
        <f t="shared" si="26"/>
        <v>0.58697</v>
      </c>
      <c r="K30">
        <f t="shared" si="26"/>
        <v>0.58697</v>
      </c>
      <c r="L30">
        <f t="shared" si="26"/>
        <v>0.58697</v>
      </c>
      <c r="M30">
        <f t="shared" si="26"/>
        <v>0.58697</v>
      </c>
      <c r="N30">
        <f t="shared" si="26"/>
        <v>0.58697</v>
      </c>
      <c r="O30">
        <f t="shared" si="26"/>
        <v>0.58697</v>
      </c>
      <c r="P30">
        <f t="shared" si="26"/>
        <v>0.58697</v>
      </c>
      <c r="Q30">
        <f t="shared" si="26"/>
        <v>0.58697</v>
      </c>
      <c r="R30">
        <f t="shared" si="26"/>
        <v>0.58697</v>
      </c>
      <c r="S30">
        <f t="shared" si="26"/>
        <v>0.58697</v>
      </c>
      <c r="T30">
        <f t="shared" si="26"/>
        <v>0.58697</v>
      </c>
      <c r="U30">
        <f t="shared" si="26"/>
        <v>0.58697</v>
      </c>
      <c r="V30">
        <f t="shared" si="26"/>
        <v>0.58697</v>
      </c>
      <c r="W30">
        <f t="shared" si="26"/>
        <v>0.58697</v>
      </c>
      <c r="X30">
        <f t="shared" si="26"/>
        <v>0.58697</v>
      </c>
      <c r="Y30">
        <f t="shared" si="26"/>
        <v>0.58697</v>
      </c>
      <c r="Z30">
        <f t="shared" si="26"/>
        <v>0.58697</v>
      </c>
      <c r="AA30">
        <f t="shared" si="26"/>
        <v>0.58697</v>
      </c>
      <c r="AB30">
        <f t="shared" si="26"/>
        <v>0.58697</v>
      </c>
      <c r="AC30">
        <f t="shared" si="26"/>
        <v>0.58697</v>
      </c>
      <c r="AD30">
        <f t="shared" si="27"/>
        <v>0.58697</v>
      </c>
      <c r="AE30">
        <f t="shared" si="27"/>
        <v>0.58697</v>
      </c>
      <c r="AF30">
        <f t="shared" si="27"/>
        <v>0.58697</v>
      </c>
      <c r="AG30">
        <f t="shared" si="27"/>
        <v>0.58697</v>
      </c>
      <c r="AH30">
        <f t="shared" si="27"/>
        <v>0.58697</v>
      </c>
      <c r="AI30">
        <f t="shared" si="27"/>
        <v>0.58697</v>
      </c>
      <c r="AJ30">
        <f t="shared" si="27"/>
        <v>0.58697</v>
      </c>
      <c r="AK30">
        <f t="shared" si="28"/>
        <v>0.58697</v>
      </c>
      <c r="AL30">
        <f t="shared" si="28"/>
        <v>0.58697</v>
      </c>
      <c r="AM30">
        <f t="shared" si="28"/>
        <v>0.58697</v>
      </c>
      <c r="AN30">
        <f t="shared" si="28"/>
        <v>0.58697</v>
      </c>
      <c r="AO30">
        <f t="shared" si="28"/>
        <v>0.58697</v>
      </c>
      <c r="AP30">
        <f t="shared" si="28"/>
        <v>0.58697</v>
      </c>
      <c r="AQ30">
        <f t="shared" si="28"/>
        <v>0.58697</v>
      </c>
      <c r="AR30">
        <f t="shared" si="28"/>
        <v>0.58697</v>
      </c>
      <c r="AS30">
        <f t="shared" si="28"/>
        <v>0.58697</v>
      </c>
      <c r="AT30">
        <f t="shared" si="28"/>
        <v>0.58697</v>
      </c>
      <c r="AU30">
        <f t="shared" si="28"/>
        <v>0.58697</v>
      </c>
      <c r="AV30">
        <f t="shared" si="28"/>
        <v>0.58697</v>
      </c>
      <c r="AW30">
        <f t="shared" si="28"/>
        <v>0.58697</v>
      </c>
      <c r="AX30" s="106">
        <v>0.58697</v>
      </c>
      <c r="AY30" t="s">
        <v>153</v>
      </c>
      <c r="AZ30" s="3" t="str">
        <f ca="1" t="shared" si="30"/>
        <v>Trd_3w_dsl</v>
      </c>
      <c r="BA30" t="str">
        <f ca="1" t="shared" si="0"/>
        <v>Trd_3w</v>
      </c>
      <c r="BB30">
        <f ca="1" t="shared" si="1"/>
        <v>25</v>
      </c>
      <c r="BD30" t="str">
        <f ca="1" t="shared" si="3"/>
        <v>DMD</v>
      </c>
      <c r="BE30" t="str">
        <f ca="1" t="shared" si="4"/>
        <v>Trd_3w_dsl</v>
      </c>
      <c r="BG30" t="s">
        <v>92</v>
      </c>
      <c r="BH30" t="s">
        <v>144</v>
      </c>
      <c r="BI30" t="s">
        <v>145</v>
      </c>
    </row>
    <row r="31" spans="1:61">
      <c r="C31" t="str">
        <f t="shared" si="29"/>
        <v>TRAELC</v>
      </c>
      <c r="D31">
        <f t="shared" si="26"/>
        <v>0.58697</v>
      </c>
      <c r="E31">
        <f t="shared" si="26"/>
        <v>0.58697</v>
      </c>
      <c r="F31">
        <f t="shared" si="26"/>
        <v>0.58697</v>
      </c>
      <c r="G31">
        <f t="shared" si="26"/>
        <v>0.58697</v>
      </c>
      <c r="H31">
        <f t="shared" si="26"/>
        <v>0.58697</v>
      </c>
      <c r="I31">
        <f t="shared" si="26"/>
        <v>0.58697</v>
      </c>
      <c r="J31">
        <f t="shared" si="26"/>
        <v>0.58697</v>
      </c>
      <c r="K31">
        <f t="shared" si="26"/>
        <v>0.58697</v>
      </c>
      <c r="L31">
        <f t="shared" si="26"/>
        <v>0.58697</v>
      </c>
      <c r="M31">
        <f t="shared" si="26"/>
        <v>0.58697</v>
      </c>
      <c r="N31">
        <f t="shared" si="26"/>
        <v>0.58697</v>
      </c>
      <c r="O31">
        <f t="shared" si="26"/>
        <v>0.58697</v>
      </c>
      <c r="P31">
        <f t="shared" si="26"/>
        <v>0.58697</v>
      </c>
      <c r="Q31">
        <f t="shared" si="26"/>
        <v>0.58697</v>
      </c>
      <c r="R31">
        <f t="shared" si="26"/>
        <v>0.58697</v>
      </c>
      <c r="S31">
        <f t="shared" si="26"/>
        <v>0.58697</v>
      </c>
      <c r="T31">
        <f t="shared" si="26"/>
        <v>0.58697</v>
      </c>
      <c r="U31">
        <f t="shared" si="26"/>
        <v>0.58697</v>
      </c>
      <c r="V31">
        <f t="shared" si="26"/>
        <v>0.58697</v>
      </c>
      <c r="W31">
        <f t="shared" si="26"/>
        <v>0.58697</v>
      </c>
      <c r="X31">
        <f t="shared" si="26"/>
        <v>0.58697</v>
      </c>
      <c r="Y31">
        <f t="shared" si="26"/>
        <v>0.58697</v>
      </c>
      <c r="Z31">
        <f t="shared" si="26"/>
        <v>0.58697</v>
      </c>
      <c r="AA31">
        <f t="shared" si="26"/>
        <v>0.58697</v>
      </c>
      <c r="AB31">
        <f t="shared" si="26"/>
        <v>0.58697</v>
      </c>
      <c r="AC31">
        <f t="shared" si="26"/>
        <v>0.58697</v>
      </c>
      <c r="AD31">
        <f t="shared" si="27"/>
        <v>0.58697</v>
      </c>
      <c r="AE31">
        <f t="shared" si="27"/>
        <v>0.58697</v>
      </c>
      <c r="AF31">
        <f t="shared" si="27"/>
        <v>0.58697</v>
      </c>
      <c r="AG31">
        <f t="shared" si="27"/>
        <v>0.58697</v>
      </c>
      <c r="AH31">
        <f t="shared" si="27"/>
        <v>0.58697</v>
      </c>
      <c r="AI31">
        <f t="shared" si="27"/>
        <v>0.58697</v>
      </c>
      <c r="AJ31">
        <f t="shared" si="27"/>
        <v>0.58697</v>
      </c>
      <c r="AK31">
        <f t="shared" si="28"/>
        <v>0.58697</v>
      </c>
      <c r="AL31">
        <f t="shared" si="28"/>
        <v>0.58697</v>
      </c>
      <c r="AM31">
        <f t="shared" si="28"/>
        <v>0.58697</v>
      </c>
      <c r="AN31">
        <f t="shared" si="28"/>
        <v>0.58697</v>
      </c>
      <c r="AO31">
        <f t="shared" si="28"/>
        <v>0.58697</v>
      </c>
      <c r="AP31">
        <f t="shared" si="28"/>
        <v>0.58697</v>
      </c>
      <c r="AQ31">
        <f t="shared" si="28"/>
        <v>0.58697</v>
      </c>
      <c r="AR31">
        <f t="shared" si="28"/>
        <v>0.58697</v>
      </c>
      <c r="AS31">
        <f t="shared" si="28"/>
        <v>0.58697</v>
      </c>
      <c r="AT31">
        <f t="shared" si="28"/>
        <v>0.58697</v>
      </c>
      <c r="AU31">
        <f t="shared" si="28"/>
        <v>0.58697</v>
      </c>
      <c r="AV31">
        <f t="shared" si="28"/>
        <v>0.58697</v>
      </c>
      <c r="AW31">
        <f t="shared" si="28"/>
        <v>0.58697</v>
      </c>
      <c r="AX31" s="106">
        <v>0.58697</v>
      </c>
      <c r="AY31" t="s">
        <v>153</v>
      </c>
      <c r="AZ31" s="3" t="str">
        <f ca="1" t="shared" si="30"/>
        <v>\I:</v>
      </c>
      <c r="BA31" t="str">
        <f ca="1" t="shared" si="0"/>
        <v>Trd_3w</v>
      </c>
      <c r="BB31">
        <f ca="1" t="shared" si="1"/>
        <v>25</v>
      </c>
      <c r="BD31" t="str">
        <f ca="1" t="shared" si="3"/>
        <v>DMD</v>
      </c>
      <c r="BE31" t="str">
        <f ca="1" t="shared" si="4"/>
        <v>\I:</v>
      </c>
      <c r="BG31" t="s">
        <v>92</v>
      </c>
      <c r="BH31" t="s">
        <v>144</v>
      </c>
      <c r="BI31" t="s">
        <v>145</v>
      </c>
    </row>
    <row r="32" spans="1:61">
      <c r="C32" t="str">
        <f t="shared" si="29"/>
        <v>TRAGSL</v>
      </c>
      <c r="D32">
        <f t="shared" si="26"/>
        <v>0.58697</v>
      </c>
      <c r="E32">
        <f t="shared" si="26"/>
        <v>0.58697</v>
      </c>
      <c r="F32">
        <f t="shared" si="26"/>
        <v>0.58697</v>
      </c>
      <c r="G32">
        <f t="shared" si="26"/>
        <v>0.58697</v>
      </c>
      <c r="H32">
        <f t="shared" si="26"/>
        <v>0.58697</v>
      </c>
      <c r="I32">
        <f t="shared" si="26"/>
        <v>0.58697</v>
      </c>
      <c r="J32">
        <f t="shared" si="26"/>
        <v>0.58697</v>
      </c>
      <c r="K32">
        <f t="shared" si="26"/>
        <v>0.58697</v>
      </c>
      <c r="L32">
        <f t="shared" si="26"/>
        <v>0.58697</v>
      </c>
      <c r="M32">
        <f t="shared" si="26"/>
        <v>0.58697</v>
      </c>
      <c r="N32">
        <f t="shared" si="26"/>
        <v>0.58697</v>
      </c>
      <c r="O32">
        <f t="shared" si="26"/>
        <v>0.58697</v>
      </c>
      <c r="P32">
        <f t="shared" si="26"/>
        <v>0.58697</v>
      </c>
      <c r="Q32">
        <f t="shared" si="26"/>
        <v>0.58697</v>
      </c>
      <c r="R32">
        <f t="shared" si="26"/>
        <v>0.58697</v>
      </c>
      <c r="S32">
        <f t="shared" si="26"/>
        <v>0.58697</v>
      </c>
      <c r="T32">
        <f t="shared" si="26"/>
        <v>0.58697</v>
      </c>
      <c r="U32">
        <f t="shared" si="26"/>
        <v>0.58697</v>
      </c>
      <c r="V32">
        <f t="shared" si="26"/>
        <v>0.58697</v>
      </c>
      <c r="W32">
        <f t="shared" si="26"/>
        <v>0.58697</v>
      </c>
      <c r="X32">
        <f t="shared" si="26"/>
        <v>0.58697</v>
      </c>
      <c r="Y32">
        <f t="shared" si="26"/>
        <v>0.58697</v>
      </c>
      <c r="Z32">
        <f t="shared" si="26"/>
        <v>0.58697</v>
      </c>
      <c r="AA32">
        <f t="shared" si="26"/>
        <v>0.58697</v>
      </c>
      <c r="AB32">
        <f t="shared" si="26"/>
        <v>0.58697</v>
      </c>
      <c r="AC32">
        <f t="shared" si="26"/>
        <v>0.58697</v>
      </c>
      <c r="AD32">
        <f t="shared" si="27"/>
        <v>0.58697</v>
      </c>
      <c r="AE32">
        <f t="shared" si="27"/>
        <v>0.58697</v>
      </c>
      <c r="AF32">
        <f t="shared" si="27"/>
        <v>0.58697</v>
      </c>
      <c r="AG32">
        <f t="shared" si="27"/>
        <v>0.58697</v>
      </c>
      <c r="AH32">
        <f t="shared" si="27"/>
        <v>0.58697</v>
      </c>
      <c r="AI32">
        <f t="shared" si="27"/>
        <v>0.58697</v>
      </c>
      <c r="AJ32">
        <f t="shared" si="27"/>
        <v>0.58697</v>
      </c>
      <c r="AK32">
        <f t="shared" si="28"/>
        <v>0.58697</v>
      </c>
      <c r="AL32">
        <f t="shared" si="28"/>
        <v>0.58697</v>
      </c>
      <c r="AM32">
        <f t="shared" si="28"/>
        <v>0.58697</v>
      </c>
      <c r="AN32">
        <f t="shared" si="28"/>
        <v>0.58697</v>
      </c>
      <c r="AO32">
        <f t="shared" si="28"/>
        <v>0.58697</v>
      </c>
      <c r="AP32">
        <f t="shared" si="28"/>
        <v>0.58697</v>
      </c>
      <c r="AQ32">
        <f t="shared" si="28"/>
        <v>0.58697</v>
      </c>
      <c r="AR32">
        <f t="shared" si="28"/>
        <v>0.58697</v>
      </c>
      <c r="AS32">
        <f t="shared" si="28"/>
        <v>0.58697</v>
      </c>
      <c r="AT32">
        <f t="shared" si="28"/>
        <v>0.58697</v>
      </c>
      <c r="AU32">
        <f t="shared" si="28"/>
        <v>0.58697</v>
      </c>
      <c r="AV32">
        <f t="shared" si="28"/>
        <v>0.58697</v>
      </c>
      <c r="AW32">
        <f t="shared" si="28"/>
        <v>0.58697</v>
      </c>
      <c r="AX32" s="106">
        <v>0.58697</v>
      </c>
      <c r="AY32" t="s">
        <v>153</v>
      </c>
      <c r="AZ32" s="107" t="str">
        <f ca="1" t="shared" si="30"/>
        <v>Trd_3w_gsl</v>
      </c>
      <c r="BA32" t="str">
        <f ca="1" t="shared" si="0"/>
        <v>Trd_3w</v>
      </c>
      <c r="BB32">
        <f ca="1" t="shared" si="1"/>
        <v>25</v>
      </c>
      <c r="BD32" t="str">
        <f ca="1" t="shared" si="3"/>
        <v>DMD</v>
      </c>
      <c r="BE32" t="str">
        <f ca="1" t="shared" si="4"/>
        <v>Trd_3w_gsl</v>
      </c>
      <c r="BG32" t="s">
        <v>92</v>
      </c>
      <c r="BH32" t="s">
        <v>144</v>
      </c>
      <c r="BI32" t="s">
        <v>145</v>
      </c>
    </row>
    <row r="33" spans="1:61">
      <c r="C33" t="str">
        <f t="shared" si="29"/>
        <v>TRALPG</v>
      </c>
      <c r="D33">
        <f t="shared" si="26"/>
        <v>0.58697</v>
      </c>
      <c r="E33">
        <f t="shared" si="26"/>
        <v>0.58697</v>
      </c>
      <c r="F33">
        <f t="shared" si="26"/>
        <v>0.58697</v>
      </c>
      <c r="G33">
        <f t="shared" si="26"/>
        <v>0.58697</v>
      </c>
      <c r="H33">
        <f t="shared" si="26"/>
        <v>0.58697</v>
      </c>
      <c r="I33">
        <f t="shared" si="26"/>
        <v>0.58697</v>
      </c>
      <c r="J33">
        <f t="shared" si="26"/>
        <v>0.58697</v>
      </c>
      <c r="K33">
        <f t="shared" si="26"/>
        <v>0.58697</v>
      </c>
      <c r="L33">
        <f t="shared" si="26"/>
        <v>0.58697</v>
      </c>
      <c r="M33">
        <f t="shared" si="26"/>
        <v>0.58697</v>
      </c>
      <c r="N33">
        <f t="shared" si="26"/>
        <v>0.58697</v>
      </c>
      <c r="O33">
        <f t="shared" si="26"/>
        <v>0.58697</v>
      </c>
      <c r="P33">
        <f t="shared" si="26"/>
        <v>0.58697</v>
      </c>
      <c r="Q33">
        <f t="shared" si="26"/>
        <v>0.58697</v>
      </c>
      <c r="R33">
        <f t="shared" si="26"/>
        <v>0.58697</v>
      </c>
      <c r="S33">
        <f t="shared" si="26"/>
        <v>0.58697</v>
      </c>
      <c r="T33">
        <f t="shared" si="26"/>
        <v>0.58697</v>
      </c>
      <c r="U33">
        <f t="shared" si="26"/>
        <v>0.58697</v>
      </c>
      <c r="V33">
        <f t="shared" si="26"/>
        <v>0.58697</v>
      </c>
      <c r="W33">
        <f t="shared" si="26"/>
        <v>0.58697</v>
      </c>
      <c r="X33">
        <f t="shared" si="26"/>
        <v>0.58697</v>
      </c>
      <c r="Y33">
        <f t="shared" si="26"/>
        <v>0.58697</v>
      </c>
      <c r="Z33">
        <f t="shared" si="26"/>
        <v>0.58697</v>
      </c>
      <c r="AA33">
        <f t="shared" si="26"/>
        <v>0.58697</v>
      </c>
      <c r="AB33">
        <f t="shared" si="26"/>
        <v>0.58697</v>
      </c>
      <c r="AC33">
        <f t="shared" si="26"/>
        <v>0.58697</v>
      </c>
      <c r="AD33">
        <f t="shared" si="27"/>
        <v>0.58697</v>
      </c>
      <c r="AE33">
        <f t="shared" si="27"/>
        <v>0.58697</v>
      </c>
      <c r="AF33">
        <f t="shared" si="27"/>
        <v>0.58697</v>
      </c>
      <c r="AG33">
        <f t="shared" si="27"/>
        <v>0.58697</v>
      </c>
      <c r="AH33">
        <f t="shared" si="27"/>
        <v>0.58697</v>
      </c>
      <c r="AI33">
        <f t="shared" si="27"/>
        <v>0.58697</v>
      </c>
      <c r="AJ33">
        <f t="shared" si="27"/>
        <v>0.58697</v>
      </c>
      <c r="AK33">
        <f t="shared" si="28"/>
        <v>0.58697</v>
      </c>
      <c r="AL33">
        <f t="shared" si="28"/>
        <v>0.58697</v>
      </c>
      <c r="AM33">
        <f t="shared" si="28"/>
        <v>0.58697</v>
      </c>
      <c r="AN33">
        <f t="shared" si="28"/>
        <v>0.58697</v>
      </c>
      <c r="AO33">
        <f t="shared" si="28"/>
        <v>0.58697</v>
      </c>
      <c r="AP33">
        <f t="shared" si="28"/>
        <v>0.58697</v>
      </c>
      <c r="AQ33">
        <f t="shared" si="28"/>
        <v>0.58697</v>
      </c>
      <c r="AR33">
        <f t="shared" si="28"/>
        <v>0.58697</v>
      </c>
      <c r="AS33">
        <f t="shared" si="28"/>
        <v>0.58697</v>
      </c>
      <c r="AT33">
        <f t="shared" si="28"/>
        <v>0.58697</v>
      </c>
      <c r="AU33">
        <f t="shared" si="28"/>
        <v>0.58697</v>
      </c>
      <c r="AV33">
        <f t="shared" si="28"/>
        <v>0.58697</v>
      </c>
      <c r="AW33">
        <f t="shared" si="28"/>
        <v>0.58697</v>
      </c>
      <c r="AX33" s="106">
        <v>0.58697</v>
      </c>
      <c r="AY33" t="s">
        <v>153</v>
      </c>
      <c r="AZ33" s="3" t="str">
        <f ca="1" t="shared" si="30"/>
        <v>\I:</v>
      </c>
      <c r="BA33" t="str">
        <f ca="1" t="shared" si="0"/>
        <v>Trd_3w</v>
      </c>
      <c r="BB33">
        <f ca="1" t="shared" si="1"/>
        <v>25</v>
      </c>
      <c r="BD33" t="str">
        <f ca="1" t="shared" si="3"/>
        <v>DMD</v>
      </c>
      <c r="BE33" t="str">
        <f ca="1" t="shared" si="4"/>
        <v>\I:</v>
      </c>
      <c r="BG33" t="s">
        <v>92</v>
      </c>
      <c r="BH33" t="s">
        <v>144</v>
      </c>
      <c r="BI33" t="s">
        <v>145</v>
      </c>
    </row>
    <row r="34" spans="1:61">
      <c r="C34" t="str">
        <f t="shared" si="29"/>
        <v>TRANGA</v>
      </c>
      <c r="D34">
        <f t="shared" si="26"/>
        <v>0.58697</v>
      </c>
      <c r="E34">
        <f t="shared" si="26"/>
        <v>0.58697</v>
      </c>
      <c r="F34">
        <f t="shared" si="26"/>
        <v>0.58697</v>
      </c>
      <c r="G34">
        <f t="shared" si="26"/>
        <v>0.58697</v>
      </c>
      <c r="H34">
        <f t="shared" si="26"/>
        <v>0.58697</v>
      </c>
      <c r="I34">
        <f t="shared" si="26"/>
        <v>0.58697</v>
      </c>
      <c r="J34">
        <f t="shared" si="26"/>
        <v>0.58697</v>
      </c>
      <c r="K34">
        <f t="shared" si="26"/>
        <v>0.58697</v>
      </c>
      <c r="L34">
        <f t="shared" si="26"/>
        <v>0.58697</v>
      </c>
      <c r="M34">
        <f t="shared" si="26"/>
        <v>0.58697</v>
      </c>
      <c r="N34">
        <f t="shared" si="26"/>
        <v>0.58697</v>
      </c>
      <c r="O34">
        <f t="shared" si="26"/>
        <v>0.58697</v>
      </c>
      <c r="P34">
        <f t="shared" si="26"/>
        <v>0.58697</v>
      </c>
      <c r="Q34">
        <f t="shared" si="26"/>
        <v>0.58697</v>
      </c>
      <c r="R34">
        <f t="shared" si="26"/>
        <v>0.58697</v>
      </c>
      <c r="S34">
        <f t="shared" si="26"/>
        <v>0.58697</v>
      </c>
      <c r="T34">
        <f t="shared" si="26"/>
        <v>0.58697</v>
      </c>
      <c r="U34">
        <f t="shared" si="26"/>
        <v>0.58697</v>
      </c>
      <c r="V34">
        <f t="shared" si="26"/>
        <v>0.58697</v>
      </c>
      <c r="W34">
        <f t="shared" si="26"/>
        <v>0.58697</v>
      </c>
      <c r="X34">
        <f t="shared" si="26"/>
        <v>0.58697</v>
      </c>
      <c r="Y34">
        <f t="shared" si="26"/>
        <v>0.58697</v>
      </c>
      <c r="Z34">
        <f t="shared" si="26"/>
        <v>0.58697</v>
      </c>
      <c r="AA34">
        <f t="shared" si="26"/>
        <v>0.58697</v>
      </c>
      <c r="AB34">
        <f t="shared" si="26"/>
        <v>0.58697</v>
      </c>
      <c r="AC34">
        <f t="shared" si="26"/>
        <v>0.58697</v>
      </c>
      <c r="AD34">
        <f t="shared" si="27"/>
        <v>0.58697</v>
      </c>
      <c r="AE34">
        <f t="shared" si="27"/>
        <v>0.58697</v>
      </c>
      <c r="AF34">
        <f t="shared" si="27"/>
        <v>0.58697</v>
      </c>
      <c r="AG34">
        <f t="shared" si="27"/>
        <v>0.58697</v>
      </c>
      <c r="AH34">
        <f t="shared" si="27"/>
        <v>0.58697</v>
      </c>
      <c r="AI34">
        <f t="shared" si="27"/>
        <v>0.58697</v>
      </c>
      <c r="AJ34">
        <f t="shared" si="27"/>
        <v>0.58697</v>
      </c>
      <c r="AK34">
        <f t="shared" si="28"/>
        <v>0.58697</v>
      </c>
      <c r="AL34">
        <f t="shared" si="28"/>
        <v>0.58697</v>
      </c>
      <c r="AM34">
        <f t="shared" si="28"/>
        <v>0.58697</v>
      </c>
      <c r="AN34">
        <f t="shared" si="28"/>
        <v>0.58697</v>
      </c>
      <c r="AO34">
        <f t="shared" si="28"/>
        <v>0.58697</v>
      </c>
      <c r="AP34">
        <f t="shared" si="28"/>
        <v>0.58697</v>
      </c>
      <c r="AQ34">
        <f t="shared" si="28"/>
        <v>0.58697</v>
      </c>
      <c r="AR34">
        <f t="shared" si="28"/>
        <v>0.58697</v>
      </c>
      <c r="AS34">
        <f t="shared" si="28"/>
        <v>0.58697</v>
      </c>
      <c r="AT34">
        <f t="shared" si="28"/>
        <v>0.58697</v>
      </c>
      <c r="AU34">
        <f t="shared" si="28"/>
        <v>0.58697</v>
      </c>
      <c r="AV34">
        <f t="shared" si="28"/>
        <v>0.58697</v>
      </c>
      <c r="AW34">
        <f t="shared" si="28"/>
        <v>0.58697</v>
      </c>
      <c r="AX34" s="106">
        <v>0.58697</v>
      </c>
      <c r="AY34" t="s">
        <v>153</v>
      </c>
      <c r="AZ34" s="3" t="str">
        <f ca="1" t="shared" si="30"/>
        <v>\I:</v>
      </c>
      <c r="BA34" t="str">
        <f ca="1" t="shared" si="0"/>
        <v>Trd_3w</v>
      </c>
      <c r="BB34">
        <f ca="1" t="shared" si="1"/>
        <v>25</v>
      </c>
      <c r="BD34" t="str">
        <f ca="1" t="shared" si="3"/>
        <v>DMD</v>
      </c>
      <c r="BE34" t="str">
        <f ca="1" t="shared" si="4"/>
        <v>\I:</v>
      </c>
      <c r="BG34" t="s">
        <v>92</v>
      </c>
      <c r="BH34" t="s">
        <v>144</v>
      </c>
      <c r="BI34" t="s">
        <v>145</v>
      </c>
    </row>
    <row r="35" spans="1:61">
      <c r="AY35" t="s">
        <v>133</v>
      </c>
      <c r="BA35" t="str">
        <f t="shared" si="0"/>
        <v/>
      </c>
      <c r="BB35" t="str">
        <f t="shared" si="1"/>
        <v/>
      </c>
      <c r="BD35" t="str">
        <f t="shared" si="3"/>
        <v>*</v>
      </c>
      <c r="BE35">
        <f t="shared" si="4"/>
        <v>0</v>
      </c>
      <c r="BG35" t="s">
        <v>92</v>
      </c>
      <c r="BH35" t="s">
        <v>144</v>
      </c>
      <c r="BI35" t="s">
        <v>145</v>
      </c>
    </row>
    <row r="36" spans="1:61">
      <c r="A36" t="s">
        <v>154</v>
      </c>
      <c r="C36" t="str">
        <f>C28</f>
        <v>TRABDS</v>
      </c>
      <c r="D36" s="78">
        <v>15</v>
      </c>
      <c r="E36" s="78">
        <v>15</v>
      </c>
      <c r="F36" s="78">
        <v>15</v>
      </c>
      <c r="G36" s="78">
        <v>15</v>
      </c>
      <c r="H36" s="78">
        <v>15</v>
      </c>
      <c r="I36" s="78">
        <v>15</v>
      </c>
      <c r="J36" s="78">
        <v>15</v>
      </c>
      <c r="K36" s="78">
        <v>15</v>
      </c>
      <c r="L36" s="78">
        <v>15</v>
      </c>
      <c r="M36" s="78">
        <v>15</v>
      </c>
      <c r="N36" s="78">
        <v>15</v>
      </c>
      <c r="O36" s="78">
        <v>15</v>
      </c>
      <c r="P36" s="78">
        <v>15</v>
      </c>
      <c r="Q36" s="78">
        <v>15</v>
      </c>
      <c r="R36" s="78">
        <v>15</v>
      </c>
      <c r="S36" s="78">
        <v>15</v>
      </c>
      <c r="T36" s="78">
        <v>15</v>
      </c>
      <c r="U36" s="78">
        <v>15</v>
      </c>
      <c r="V36" s="78">
        <v>15</v>
      </c>
      <c r="W36" s="78">
        <v>15</v>
      </c>
      <c r="X36" s="78">
        <v>15</v>
      </c>
      <c r="Y36" s="78">
        <v>15</v>
      </c>
      <c r="Z36" s="78">
        <v>15</v>
      </c>
      <c r="AA36" s="78">
        <v>15</v>
      </c>
      <c r="AB36" s="78">
        <v>15</v>
      </c>
      <c r="AC36" s="78">
        <v>15</v>
      </c>
      <c r="AD36" s="78">
        <v>15</v>
      </c>
      <c r="AE36" s="78">
        <v>15</v>
      </c>
      <c r="AF36" s="78">
        <v>20</v>
      </c>
      <c r="AG36" s="78">
        <v>15</v>
      </c>
      <c r="AH36" s="78">
        <v>15</v>
      </c>
      <c r="AI36" s="78">
        <v>15</v>
      </c>
      <c r="AJ36" s="78">
        <v>15</v>
      </c>
      <c r="AK36" s="78">
        <v>15</v>
      </c>
      <c r="AL36" s="78">
        <v>15</v>
      </c>
      <c r="AM36" s="78">
        <v>15</v>
      </c>
      <c r="AN36" s="78">
        <v>15</v>
      </c>
      <c r="AO36" s="78">
        <v>15</v>
      </c>
      <c r="AP36" s="78">
        <v>15</v>
      </c>
      <c r="AQ36" s="78">
        <v>15</v>
      </c>
      <c r="AR36" s="78">
        <v>15</v>
      </c>
      <c r="AS36" s="78">
        <v>15</v>
      </c>
      <c r="AT36" s="78">
        <v>15</v>
      </c>
      <c r="AU36" s="78">
        <v>15</v>
      </c>
      <c r="AV36" s="78">
        <v>15</v>
      </c>
      <c r="AW36" s="78">
        <v>15</v>
      </c>
      <c r="AY36" t="s">
        <v>155</v>
      </c>
      <c r="AZ36" s="3" t="str">
        <f ca="1">AZ28</f>
        <v>Trd_3w_bdl</v>
      </c>
      <c r="BA36" t="str">
        <f ca="1" t="shared" si="0"/>
        <v>Trd_3w</v>
      </c>
      <c r="BB36">
        <f ca="1" t="shared" si="1"/>
        <v>25</v>
      </c>
      <c r="BD36" t="str">
        <f ca="1" t="shared" si="3"/>
        <v>DMD</v>
      </c>
      <c r="BE36" t="str">
        <f ca="1" t="shared" si="4"/>
        <v>Trd_3w_bdl</v>
      </c>
      <c r="BG36" t="s">
        <v>92</v>
      </c>
      <c r="BH36" t="s">
        <v>144</v>
      </c>
      <c r="BI36" t="s">
        <v>145</v>
      </c>
    </row>
    <row r="37" spans="1:61">
      <c r="C37" t="str">
        <f t="shared" ref="C37:C42" si="31">C29</f>
        <v>TRABGS</v>
      </c>
      <c r="D37" s="78">
        <v>15</v>
      </c>
      <c r="E37" s="78">
        <v>15</v>
      </c>
      <c r="F37" s="78">
        <v>15</v>
      </c>
      <c r="G37" s="78">
        <v>15</v>
      </c>
      <c r="H37" s="78">
        <v>15</v>
      </c>
      <c r="I37" s="78">
        <v>15</v>
      </c>
      <c r="J37" s="78">
        <v>15</v>
      </c>
      <c r="K37" s="78">
        <v>15</v>
      </c>
      <c r="L37" s="78">
        <v>15</v>
      </c>
      <c r="M37" s="78">
        <v>15</v>
      </c>
      <c r="N37" s="78">
        <v>15</v>
      </c>
      <c r="O37" s="78">
        <v>15</v>
      </c>
      <c r="P37" s="78">
        <v>15</v>
      </c>
      <c r="Q37" s="78">
        <v>15</v>
      </c>
      <c r="R37" s="78">
        <v>15</v>
      </c>
      <c r="S37" s="78">
        <v>15</v>
      </c>
      <c r="T37" s="78">
        <v>15</v>
      </c>
      <c r="U37" s="78">
        <v>15</v>
      </c>
      <c r="V37" s="78">
        <v>15</v>
      </c>
      <c r="W37" s="78">
        <v>15</v>
      </c>
      <c r="X37" s="78">
        <v>15</v>
      </c>
      <c r="Y37" s="78">
        <v>15</v>
      </c>
      <c r="Z37" s="78">
        <v>15</v>
      </c>
      <c r="AA37" s="78">
        <v>15</v>
      </c>
      <c r="AB37" s="78">
        <v>15</v>
      </c>
      <c r="AC37" s="78">
        <v>15</v>
      </c>
      <c r="AD37" s="78">
        <v>15</v>
      </c>
      <c r="AE37" s="78">
        <v>15</v>
      </c>
      <c r="AF37" s="78">
        <v>20</v>
      </c>
      <c r="AG37" s="78">
        <v>15</v>
      </c>
      <c r="AH37" s="78">
        <v>15</v>
      </c>
      <c r="AI37" s="78">
        <v>15</v>
      </c>
      <c r="AJ37" s="78">
        <v>15</v>
      </c>
      <c r="AK37" s="78">
        <v>15</v>
      </c>
      <c r="AL37" s="78">
        <v>15</v>
      </c>
      <c r="AM37" s="78">
        <v>15</v>
      </c>
      <c r="AN37" s="78">
        <v>15</v>
      </c>
      <c r="AO37" s="78">
        <v>15</v>
      </c>
      <c r="AP37" s="78">
        <v>15</v>
      </c>
      <c r="AQ37" s="78">
        <v>15</v>
      </c>
      <c r="AR37" s="78">
        <v>15</v>
      </c>
      <c r="AS37" s="78">
        <v>15</v>
      </c>
      <c r="AT37" s="78">
        <v>15</v>
      </c>
      <c r="AU37" s="78">
        <v>15</v>
      </c>
      <c r="AV37" s="78">
        <v>15</v>
      </c>
      <c r="AW37" s="78">
        <v>15</v>
      </c>
      <c r="AY37" t="s">
        <v>155</v>
      </c>
      <c r="AZ37" s="3" t="str">
        <f ca="1" t="shared" ref="AZ37:AZ42" si="32">AZ29</f>
        <v>\I:</v>
      </c>
      <c r="BA37" t="str">
        <f ca="1" t="shared" si="0"/>
        <v>Trd_3w</v>
      </c>
      <c r="BB37">
        <f ca="1" t="shared" si="1"/>
        <v>25</v>
      </c>
      <c r="BD37" t="str">
        <f ca="1" t="shared" si="3"/>
        <v>DMD</v>
      </c>
      <c r="BE37" t="str">
        <f ca="1" t="shared" si="4"/>
        <v>\I:</v>
      </c>
      <c r="BG37" t="s">
        <v>92</v>
      </c>
      <c r="BH37" t="s">
        <v>144</v>
      </c>
      <c r="BI37" t="s">
        <v>145</v>
      </c>
    </row>
    <row r="38" spans="1:61">
      <c r="C38" t="str">
        <f t="shared" si="31"/>
        <v>TRADST</v>
      </c>
      <c r="D38" s="78">
        <v>15</v>
      </c>
      <c r="E38" s="78">
        <v>15</v>
      </c>
      <c r="F38" s="78">
        <v>15</v>
      </c>
      <c r="G38" s="78">
        <v>15</v>
      </c>
      <c r="H38" s="78">
        <v>15</v>
      </c>
      <c r="I38" s="78">
        <v>15</v>
      </c>
      <c r="J38" s="78">
        <v>15</v>
      </c>
      <c r="K38" s="78">
        <v>15</v>
      </c>
      <c r="L38" s="78">
        <v>15</v>
      </c>
      <c r="M38" s="78">
        <v>15</v>
      </c>
      <c r="N38" s="78">
        <v>15</v>
      </c>
      <c r="O38" s="78">
        <v>15</v>
      </c>
      <c r="P38" s="78">
        <v>15</v>
      </c>
      <c r="Q38" s="78">
        <v>15</v>
      </c>
      <c r="R38" s="78">
        <v>15</v>
      </c>
      <c r="S38" s="78">
        <v>15</v>
      </c>
      <c r="T38" s="78">
        <v>15</v>
      </c>
      <c r="U38" s="78">
        <v>15</v>
      </c>
      <c r="V38" s="78">
        <v>15</v>
      </c>
      <c r="W38" s="78">
        <v>15</v>
      </c>
      <c r="X38" s="78">
        <v>15</v>
      </c>
      <c r="Y38" s="78">
        <v>15</v>
      </c>
      <c r="Z38" s="78">
        <v>15</v>
      </c>
      <c r="AA38" s="78">
        <v>15</v>
      </c>
      <c r="AB38" s="78">
        <v>15</v>
      </c>
      <c r="AC38" s="78">
        <v>15</v>
      </c>
      <c r="AD38" s="78">
        <v>15</v>
      </c>
      <c r="AE38" s="78">
        <v>15</v>
      </c>
      <c r="AF38" s="78">
        <v>20</v>
      </c>
      <c r="AG38" s="78">
        <v>15</v>
      </c>
      <c r="AH38" s="78">
        <v>15</v>
      </c>
      <c r="AI38" s="78">
        <v>15</v>
      </c>
      <c r="AJ38" s="78">
        <v>15</v>
      </c>
      <c r="AK38" s="78">
        <v>15</v>
      </c>
      <c r="AL38" s="78">
        <v>15</v>
      </c>
      <c r="AM38" s="78">
        <v>15</v>
      </c>
      <c r="AN38" s="78">
        <v>15</v>
      </c>
      <c r="AO38" s="78">
        <v>15</v>
      </c>
      <c r="AP38" s="78">
        <v>15</v>
      </c>
      <c r="AQ38" s="78">
        <v>15</v>
      </c>
      <c r="AR38" s="78">
        <v>15</v>
      </c>
      <c r="AS38" s="78">
        <v>15</v>
      </c>
      <c r="AT38" s="78">
        <v>15</v>
      </c>
      <c r="AU38" s="78">
        <v>15</v>
      </c>
      <c r="AV38" s="78">
        <v>15</v>
      </c>
      <c r="AW38" s="78">
        <v>15</v>
      </c>
      <c r="AY38" t="s">
        <v>155</v>
      </c>
      <c r="AZ38" s="3" t="str">
        <f ca="1" t="shared" si="32"/>
        <v>Trd_3w_dsl</v>
      </c>
      <c r="BA38" t="str">
        <f ca="1" t="shared" si="0"/>
        <v>Trd_3w</v>
      </c>
      <c r="BB38">
        <f ca="1" t="shared" si="1"/>
        <v>25</v>
      </c>
      <c r="BD38" t="str">
        <f ca="1" t="shared" si="3"/>
        <v>DMD</v>
      </c>
      <c r="BE38" t="str">
        <f ca="1" t="shared" si="4"/>
        <v>Trd_3w_dsl</v>
      </c>
      <c r="BG38" t="s">
        <v>92</v>
      </c>
      <c r="BH38" t="s">
        <v>144</v>
      </c>
      <c r="BI38" t="s">
        <v>145</v>
      </c>
    </row>
    <row r="39" spans="1:61">
      <c r="C39" t="str">
        <f t="shared" si="31"/>
        <v>TRAELC</v>
      </c>
      <c r="D39" s="78">
        <v>15</v>
      </c>
      <c r="E39" s="78">
        <v>15</v>
      </c>
      <c r="F39" s="78">
        <v>15</v>
      </c>
      <c r="G39" s="78">
        <v>15</v>
      </c>
      <c r="H39" s="78">
        <v>15</v>
      </c>
      <c r="I39" s="78">
        <v>15</v>
      </c>
      <c r="J39" s="78">
        <v>15</v>
      </c>
      <c r="K39" s="78">
        <v>15</v>
      </c>
      <c r="L39" s="78">
        <v>15</v>
      </c>
      <c r="M39" s="78">
        <v>15</v>
      </c>
      <c r="N39" s="78">
        <v>15</v>
      </c>
      <c r="O39" s="78">
        <v>15</v>
      </c>
      <c r="P39" s="78">
        <v>15</v>
      </c>
      <c r="Q39" s="78">
        <v>15</v>
      </c>
      <c r="R39" s="78">
        <v>15</v>
      </c>
      <c r="S39" s="78">
        <v>15</v>
      </c>
      <c r="T39" s="78">
        <v>15</v>
      </c>
      <c r="U39" s="78">
        <v>15</v>
      </c>
      <c r="V39" s="78">
        <v>15</v>
      </c>
      <c r="W39" s="78">
        <v>15</v>
      </c>
      <c r="X39" s="78">
        <v>15</v>
      </c>
      <c r="Y39" s="78">
        <v>15</v>
      </c>
      <c r="Z39" s="78">
        <v>15</v>
      </c>
      <c r="AA39" s="78">
        <v>15</v>
      </c>
      <c r="AB39" s="78">
        <v>15</v>
      </c>
      <c r="AC39" s="78">
        <v>15</v>
      </c>
      <c r="AD39" s="78">
        <v>15</v>
      </c>
      <c r="AE39" s="78">
        <v>15</v>
      </c>
      <c r="AF39" s="78">
        <v>20</v>
      </c>
      <c r="AG39" s="78">
        <v>15</v>
      </c>
      <c r="AH39" s="78">
        <v>15</v>
      </c>
      <c r="AI39" s="78">
        <v>15</v>
      </c>
      <c r="AJ39" s="78">
        <v>15</v>
      </c>
      <c r="AK39" s="78">
        <v>15</v>
      </c>
      <c r="AL39" s="78">
        <v>15</v>
      </c>
      <c r="AM39" s="78">
        <v>15</v>
      </c>
      <c r="AN39" s="78">
        <v>15</v>
      </c>
      <c r="AO39" s="78">
        <v>15</v>
      </c>
      <c r="AP39" s="78">
        <v>15</v>
      </c>
      <c r="AQ39" s="78">
        <v>15</v>
      </c>
      <c r="AR39" s="78">
        <v>15</v>
      </c>
      <c r="AS39" s="78">
        <v>15</v>
      </c>
      <c r="AT39" s="78">
        <v>15</v>
      </c>
      <c r="AU39" s="78">
        <v>15</v>
      </c>
      <c r="AV39" s="78">
        <v>15</v>
      </c>
      <c r="AW39" s="78">
        <v>15</v>
      </c>
      <c r="AY39" t="s">
        <v>155</v>
      </c>
      <c r="AZ39" s="3" t="str">
        <f ca="1" t="shared" si="32"/>
        <v>\I:</v>
      </c>
      <c r="BA39" t="str">
        <f ca="1" t="shared" si="0"/>
        <v>Trd_3w</v>
      </c>
      <c r="BB39">
        <f ca="1" t="shared" si="1"/>
        <v>25</v>
      </c>
      <c r="BD39" t="str">
        <f ca="1" t="shared" si="3"/>
        <v>DMD</v>
      </c>
      <c r="BE39" t="str">
        <f ca="1" t="shared" si="4"/>
        <v>\I:</v>
      </c>
      <c r="BG39" t="s">
        <v>92</v>
      </c>
      <c r="BH39" t="s">
        <v>144</v>
      </c>
      <c r="BI39" t="s">
        <v>145</v>
      </c>
    </row>
    <row r="40" spans="1:61">
      <c r="C40" t="str">
        <f t="shared" si="31"/>
        <v>TRAGSL</v>
      </c>
      <c r="D40" s="78">
        <v>15</v>
      </c>
      <c r="E40" s="78">
        <v>15</v>
      </c>
      <c r="F40" s="78">
        <v>15</v>
      </c>
      <c r="G40" s="78">
        <v>15</v>
      </c>
      <c r="H40" s="78">
        <v>15</v>
      </c>
      <c r="I40" s="78">
        <v>15</v>
      </c>
      <c r="J40" s="78">
        <v>15</v>
      </c>
      <c r="K40" s="78">
        <v>15</v>
      </c>
      <c r="L40" s="78">
        <v>15</v>
      </c>
      <c r="M40" s="78">
        <v>15</v>
      </c>
      <c r="N40" s="78">
        <v>15</v>
      </c>
      <c r="O40" s="78">
        <v>15</v>
      </c>
      <c r="P40" s="78">
        <v>15</v>
      </c>
      <c r="Q40" s="78">
        <v>15</v>
      </c>
      <c r="R40" s="78">
        <v>15</v>
      </c>
      <c r="S40" s="78">
        <v>15</v>
      </c>
      <c r="T40" s="78">
        <v>15</v>
      </c>
      <c r="U40" s="78">
        <v>15</v>
      </c>
      <c r="V40" s="78">
        <v>15</v>
      </c>
      <c r="W40" s="78">
        <v>15</v>
      </c>
      <c r="X40" s="78">
        <v>15</v>
      </c>
      <c r="Y40" s="78">
        <v>15</v>
      </c>
      <c r="Z40" s="78">
        <v>15</v>
      </c>
      <c r="AA40" s="78">
        <v>15</v>
      </c>
      <c r="AB40" s="78">
        <v>15</v>
      </c>
      <c r="AC40" s="78">
        <v>15</v>
      </c>
      <c r="AD40" s="78">
        <v>15</v>
      </c>
      <c r="AE40" s="78">
        <v>15</v>
      </c>
      <c r="AF40" s="78">
        <v>20</v>
      </c>
      <c r="AG40" s="78">
        <v>15</v>
      </c>
      <c r="AH40" s="78">
        <v>15</v>
      </c>
      <c r="AI40" s="78">
        <v>15</v>
      </c>
      <c r="AJ40" s="78">
        <v>15</v>
      </c>
      <c r="AK40" s="78">
        <v>15</v>
      </c>
      <c r="AL40" s="78">
        <v>15</v>
      </c>
      <c r="AM40" s="78">
        <v>15</v>
      </c>
      <c r="AN40" s="78">
        <v>15</v>
      </c>
      <c r="AO40" s="78">
        <v>15</v>
      </c>
      <c r="AP40" s="78">
        <v>15</v>
      </c>
      <c r="AQ40" s="78">
        <v>15</v>
      </c>
      <c r="AR40" s="78">
        <v>15</v>
      </c>
      <c r="AS40" s="78">
        <v>15</v>
      </c>
      <c r="AT40" s="78">
        <v>15</v>
      </c>
      <c r="AU40" s="78">
        <v>15</v>
      </c>
      <c r="AV40" s="78">
        <v>15</v>
      </c>
      <c r="AW40" s="78">
        <v>15</v>
      </c>
      <c r="AY40" t="s">
        <v>155</v>
      </c>
      <c r="AZ40" s="3" t="str">
        <f ca="1" t="shared" si="32"/>
        <v>Trd_3w_gsl</v>
      </c>
      <c r="BA40" t="str">
        <f ca="1" t="shared" si="0"/>
        <v>Trd_3w</v>
      </c>
      <c r="BB40">
        <f ca="1" t="shared" si="1"/>
        <v>25</v>
      </c>
      <c r="BD40" t="str">
        <f ca="1" t="shared" si="3"/>
        <v>DMD</v>
      </c>
      <c r="BE40" t="str">
        <f ca="1" t="shared" si="4"/>
        <v>Trd_3w_gsl</v>
      </c>
      <c r="BG40" t="s">
        <v>92</v>
      </c>
      <c r="BH40" t="s">
        <v>144</v>
      </c>
      <c r="BI40" t="s">
        <v>145</v>
      </c>
    </row>
    <row r="41" spans="1:61">
      <c r="C41" t="str">
        <f t="shared" si="31"/>
        <v>TRALPG</v>
      </c>
      <c r="D41" s="78">
        <v>15</v>
      </c>
      <c r="E41" s="78">
        <v>15</v>
      </c>
      <c r="F41" s="78">
        <v>15</v>
      </c>
      <c r="G41" s="78">
        <v>15</v>
      </c>
      <c r="H41" s="78">
        <v>15</v>
      </c>
      <c r="I41" s="78">
        <v>15</v>
      </c>
      <c r="J41" s="78">
        <v>15</v>
      </c>
      <c r="K41" s="78">
        <v>15</v>
      </c>
      <c r="L41" s="78">
        <v>15</v>
      </c>
      <c r="M41" s="78">
        <v>15</v>
      </c>
      <c r="N41" s="78">
        <v>15</v>
      </c>
      <c r="O41" s="78">
        <v>15</v>
      </c>
      <c r="P41" s="78">
        <v>15</v>
      </c>
      <c r="Q41" s="78">
        <v>15</v>
      </c>
      <c r="R41" s="78">
        <v>15</v>
      </c>
      <c r="S41" s="78">
        <v>15</v>
      </c>
      <c r="T41" s="78">
        <v>15</v>
      </c>
      <c r="U41" s="78">
        <v>15</v>
      </c>
      <c r="V41" s="78">
        <v>15</v>
      </c>
      <c r="W41" s="78">
        <v>15</v>
      </c>
      <c r="X41" s="78">
        <v>15</v>
      </c>
      <c r="Y41" s="78">
        <v>15</v>
      </c>
      <c r="Z41" s="78">
        <v>15</v>
      </c>
      <c r="AA41" s="78">
        <v>15</v>
      </c>
      <c r="AB41" s="78">
        <v>15</v>
      </c>
      <c r="AC41" s="78">
        <v>15</v>
      </c>
      <c r="AD41" s="78">
        <v>15</v>
      </c>
      <c r="AE41" s="78">
        <v>15</v>
      </c>
      <c r="AF41" s="78">
        <v>20</v>
      </c>
      <c r="AG41" s="78">
        <v>15</v>
      </c>
      <c r="AH41" s="78">
        <v>15</v>
      </c>
      <c r="AI41" s="78">
        <v>15</v>
      </c>
      <c r="AJ41" s="78">
        <v>15</v>
      </c>
      <c r="AK41" s="78">
        <v>15</v>
      </c>
      <c r="AL41" s="78">
        <v>15</v>
      </c>
      <c r="AM41" s="78">
        <v>15</v>
      </c>
      <c r="AN41" s="78">
        <v>15</v>
      </c>
      <c r="AO41" s="78">
        <v>15</v>
      </c>
      <c r="AP41" s="78">
        <v>15</v>
      </c>
      <c r="AQ41" s="78">
        <v>15</v>
      </c>
      <c r="AR41" s="78">
        <v>15</v>
      </c>
      <c r="AS41" s="78">
        <v>15</v>
      </c>
      <c r="AT41" s="78">
        <v>15</v>
      </c>
      <c r="AU41" s="78">
        <v>15</v>
      </c>
      <c r="AV41" s="78">
        <v>15</v>
      </c>
      <c r="AW41" s="78">
        <v>15</v>
      </c>
      <c r="AY41" t="s">
        <v>155</v>
      </c>
      <c r="AZ41" s="3" t="str">
        <f ca="1" t="shared" si="32"/>
        <v>\I:</v>
      </c>
      <c r="BA41" t="str">
        <f ca="1" t="shared" si="0"/>
        <v>Trd_3w</v>
      </c>
      <c r="BB41">
        <f ca="1" t="shared" si="1"/>
        <v>25</v>
      </c>
      <c r="BD41" t="str">
        <f ca="1" t="shared" si="3"/>
        <v>DMD</v>
      </c>
      <c r="BE41" t="str">
        <f ca="1" t="shared" si="4"/>
        <v>\I:</v>
      </c>
      <c r="BG41" t="s">
        <v>92</v>
      </c>
      <c r="BH41" t="s">
        <v>144</v>
      </c>
      <c r="BI41" t="s">
        <v>145</v>
      </c>
    </row>
    <row r="42" spans="1:61">
      <c r="C42" t="str">
        <f t="shared" si="31"/>
        <v>TRANGA</v>
      </c>
      <c r="D42" s="78">
        <v>15</v>
      </c>
      <c r="E42" s="78">
        <v>15</v>
      </c>
      <c r="F42" s="78">
        <v>15</v>
      </c>
      <c r="G42" s="78">
        <v>15</v>
      </c>
      <c r="H42" s="78">
        <v>15</v>
      </c>
      <c r="I42" s="78">
        <v>15</v>
      </c>
      <c r="J42" s="78">
        <v>15</v>
      </c>
      <c r="K42" s="78">
        <v>15</v>
      </c>
      <c r="L42" s="78">
        <v>15</v>
      </c>
      <c r="M42" s="78">
        <v>15</v>
      </c>
      <c r="N42" s="78">
        <v>15</v>
      </c>
      <c r="O42" s="78">
        <v>15</v>
      </c>
      <c r="P42" s="78">
        <v>15</v>
      </c>
      <c r="Q42" s="78">
        <v>15</v>
      </c>
      <c r="R42" s="78">
        <v>15</v>
      </c>
      <c r="S42" s="78">
        <v>15</v>
      </c>
      <c r="T42" s="78">
        <v>15</v>
      </c>
      <c r="U42" s="78">
        <v>15</v>
      </c>
      <c r="V42" s="78">
        <v>15</v>
      </c>
      <c r="W42" s="78">
        <v>15</v>
      </c>
      <c r="X42" s="78">
        <v>15</v>
      </c>
      <c r="Y42" s="78">
        <v>15</v>
      </c>
      <c r="Z42" s="78">
        <v>15</v>
      </c>
      <c r="AA42" s="78">
        <v>15</v>
      </c>
      <c r="AB42" s="78">
        <v>15</v>
      </c>
      <c r="AC42" s="78">
        <v>15</v>
      </c>
      <c r="AD42" s="78">
        <v>15</v>
      </c>
      <c r="AE42" s="78">
        <v>15</v>
      </c>
      <c r="AF42" s="78">
        <v>20</v>
      </c>
      <c r="AG42" s="78">
        <v>15</v>
      </c>
      <c r="AH42" s="78">
        <v>15</v>
      </c>
      <c r="AI42" s="78">
        <v>15</v>
      </c>
      <c r="AJ42" s="78">
        <v>15</v>
      </c>
      <c r="AK42" s="78">
        <v>15</v>
      </c>
      <c r="AL42" s="78">
        <v>15</v>
      </c>
      <c r="AM42" s="78">
        <v>15</v>
      </c>
      <c r="AN42" s="78">
        <v>15</v>
      </c>
      <c r="AO42" s="78">
        <v>15</v>
      </c>
      <c r="AP42" s="78">
        <v>15</v>
      </c>
      <c r="AQ42" s="78">
        <v>15</v>
      </c>
      <c r="AR42" s="78">
        <v>15</v>
      </c>
      <c r="AS42" s="78">
        <v>15</v>
      </c>
      <c r="AT42" s="78">
        <v>15</v>
      </c>
      <c r="AU42" s="78">
        <v>15</v>
      </c>
      <c r="AV42" s="78">
        <v>15</v>
      </c>
      <c r="AW42" s="78">
        <v>15</v>
      </c>
      <c r="AY42" t="s">
        <v>155</v>
      </c>
      <c r="AZ42" s="3" t="str">
        <f ca="1" t="shared" si="32"/>
        <v>\I:</v>
      </c>
      <c r="BA42" t="str">
        <f ca="1" t="shared" si="0"/>
        <v>Trd_3w</v>
      </c>
      <c r="BB42">
        <f ca="1" t="shared" si="1"/>
        <v>25</v>
      </c>
      <c r="BD42" t="str">
        <f ca="1" t="shared" si="3"/>
        <v>DMD</v>
      </c>
      <c r="BE42" t="str">
        <f ca="1" t="shared" si="4"/>
        <v>\I:</v>
      </c>
      <c r="BG42" t="s">
        <v>92</v>
      </c>
      <c r="BH42" t="s">
        <v>144</v>
      </c>
      <c r="BI42" t="s">
        <v>145</v>
      </c>
    </row>
    <row r="43" spans="1:61">
      <c r="AY43" t="s">
        <v>133</v>
      </c>
      <c r="BB43" t="str">
        <f t="shared" si="1"/>
        <v/>
      </c>
    </row>
    <row r="44" spans="1:61">
      <c r="D44" t="str">
        <f>D3</f>
        <v>Africa_North</v>
      </c>
      <c r="E44" t="str">
        <f t="shared" ref="E44:U44" si="33">E3</f>
        <v>Africa_Other</v>
      </c>
      <c r="F44" t="str">
        <f t="shared" si="33"/>
        <v>Australia</v>
      </c>
      <c r="G44" t="str">
        <f t="shared" si="33"/>
        <v>Austria</v>
      </c>
      <c r="H44" t="str">
        <f t="shared" si="33"/>
        <v>Baltics</v>
      </c>
      <c r="I44" t="str">
        <f t="shared" si="33"/>
        <v>BeNeLux</v>
      </c>
      <c r="J44" t="str">
        <f t="shared" si="33"/>
        <v>Brazil</v>
      </c>
      <c r="K44" t="str">
        <f t="shared" si="33"/>
        <v>China</v>
      </c>
      <c r="L44" t="str">
        <f t="shared" si="33"/>
        <v>CroSloven</v>
      </c>
      <c r="M44" t="str">
        <f t="shared" si="33"/>
        <v>CzechSlovak</v>
      </c>
      <c r="N44" t="str">
        <f t="shared" si="33"/>
        <v>France</v>
      </c>
      <c r="O44" t="str">
        <f t="shared" si="33"/>
        <v>Germany</v>
      </c>
      <c r="P44" t="str">
        <f t="shared" si="33"/>
        <v>GreeceCyp</v>
      </c>
      <c r="Q44" t="str">
        <f t="shared" si="33"/>
        <v>HunRomBul</v>
      </c>
      <c r="R44" t="str">
        <f t="shared" si="33"/>
        <v>Iceland</v>
      </c>
      <c r="S44" t="str">
        <f t="shared" si="33"/>
        <v>India</v>
      </c>
      <c r="T44" t="str">
        <f t="shared" si="33"/>
        <v>Ireland</v>
      </c>
      <c r="U44" t="str">
        <f t="shared" si="33"/>
        <v>ItalyMal</v>
      </c>
      <c r="V44" t="str">
        <f t="shared" ref="V44:AJ44" si="34">V3</f>
        <v>Japan</v>
      </c>
      <c r="W44" t="str">
        <f t="shared" si="34"/>
        <v>LatAm</v>
      </c>
      <c r="X44" t="str">
        <f t="shared" si="34"/>
        <v>MidEast</v>
      </c>
      <c r="Y44" t="str">
        <f t="shared" si="34"/>
        <v>NorthAm</v>
      </c>
      <c r="Z44" t="str">
        <f t="shared" si="34"/>
        <v>Norway</v>
      </c>
      <c r="AA44" t="str">
        <f t="shared" si="34"/>
        <v>Poland</v>
      </c>
      <c r="AB44" t="str">
        <f t="shared" si="34"/>
        <v>ROW</v>
      </c>
      <c r="AC44" t="str">
        <f t="shared" si="34"/>
        <v>Russia</v>
      </c>
      <c r="AD44" t="str">
        <f t="shared" si="34"/>
        <v>SaudiArabia</v>
      </c>
      <c r="AE44" t="str">
        <f t="shared" si="34"/>
        <v>SouthAfrica</v>
      </c>
      <c r="AF44" t="str">
        <f t="shared" si="34"/>
        <v>SpainPor</v>
      </c>
      <c r="AG44" t="str">
        <f t="shared" si="34"/>
        <v>SweFinDen</v>
      </c>
      <c r="AH44" t="str">
        <f t="shared" si="34"/>
        <v>Switzerland</v>
      </c>
      <c r="AI44" t="str">
        <f t="shared" si="34"/>
        <v>Turkey</v>
      </c>
      <c r="AJ44" t="str">
        <f t="shared" si="34"/>
        <v>UK</v>
      </c>
      <c r="AK44" t="str">
        <f t="shared" ref="AK44:AW44" si="35">AK3</f>
        <v>Ukraine</v>
      </c>
      <c r="AL44" t="str">
        <f t="shared" si="35"/>
        <v>WestBalkans</v>
      </c>
      <c r="AM44" t="str">
        <f t="shared" si="35"/>
        <v>\I:</v>
      </c>
      <c r="AN44" t="str">
        <f t="shared" si="35"/>
        <v>\I:</v>
      </c>
      <c r="AO44" t="str">
        <f t="shared" si="35"/>
        <v>\I:</v>
      </c>
      <c r="AP44" t="str">
        <f t="shared" si="35"/>
        <v>\I:</v>
      </c>
      <c r="AQ44" t="str">
        <f t="shared" si="35"/>
        <v>\I:</v>
      </c>
      <c r="AR44" t="str">
        <f t="shared" si="35"/>
        <v>\I:</v>
      </c>
      <c r="AS44" t="str">
        <f t="shared" si="35"/>
        <v>\I:</v>
      </c>
      <c r="AT44" t="str">
        <f t="shared" si="35"/>
        <v>\I:</v>
      </c>
      <c r="AU44" t="str">
        <f t="shared" si="35"/>
        <v>\I:</v>
      </c>
      <c r="AV44" t="str">
        <f t="shared" si="35"/>
        <v>\I:</v>
      </c>
      <c r="AW44" t="str">
        <f t="shared" si="35"/>
        <v>\I:</v>
      </c>
      <c r="AY44" t="s">
        <v>133</v>
      </c>
      <c r="BB44" t="str">
        <f t="shared" si="1"/>
        <v/>
      </c>
    </row>
    <row r="45" spans="1:61">
      <c r="A45" t="s">
        <v>156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Y45" t="s">
        <v>157</v>
      </c>
      <c r="BA45" t="s">
        <v>165</v>
      </c>
      <c r="BB45" t="str">
        <f t="shared" si="1"/>
        <v/>
      </c>
    </row>
    <row r="46" spans="1:61"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Y46" t="s">
        <v>133</v>
      </c>
    </row>
    <row r="48" spans="1:61">
      <c r="AY48" t="s">
        <v>159</v>
      </c>
    </row>
    <row r="49" spans="51:54">
      <c r="AY49" t="s">
        <v>160</v>
      </c>
      <c r="AZ49" t="s">
        <v>161</v>
      </c>
      <c r="BA49" t="s">
        <v>162</v>
      </c>
      <c r="BB49" t="s">
        <v>163</v>
      </c>
    </row>
    <row r="50" spans="51:54">
      <c r="AY50" t="s">
        <v>164</v>
      </c>
      <c r="AZ50" t="str">
        <f>BA45</f>
        <v>Trd_3w</v>
      </c>
      <c r="BB50" t="s">
        <v>92</v>
      </c>
    </row>
  </sheetData>
  <conditionalFormatting sqref="D46:AJ4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6:AW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I49"/>
  <sheetViews>
    <sheetView zoomScale="50" zoomScaleNormal="50" workbookViewId="0">
      <selection activeCell="AY2" sqref="AY2:AZ20"/>
    </sheetView>
  </sheetViews>
  <sheetFormatPr defaultColWidth="9" defaultRowHeight="14.5"/>
  <cols>
    <col min="1" max="1" width="10.8636363636364" customWidth="1"/>
    <col min="2" max="2" width="2" customWidth="1"/>
    <col min="4" max="20" width="6.26363636363636" customWidth="1"/>
    <col min="21" max="22" width="8.26363636363636" customWidth="1"/>
    <col min="23" max="23" width="5.86363636363636" customWidth="1"/>
    <col min="24" max="24" width="9" customWidth="1"/>
    <col min="25" max="25" width="8" customWidth="1"/>
    <col min="26" max="26" width="7.6" customWidth="1"/>
    <col min="27" max="27" width="6.72727272727273" customWidth="1"/>
    <col min="28" max="28" width="5.72727272727273" customWidth="1"/>
    <col min="29" max="29" width="6.72727272727273" customWidth="1"/>
    <col min="30" max="30" width="7.4" customWidth="1"/>
    <col min="31" max="31" width="6.72727272727273" customWidth="1"/>
    <col min="32" max="32" width="5.72727272727273" customWidth="1"/>
    <col min="33" max="33" width="7.6" customWidth="1"/>
    <col min="34" max="34" width="8.13636363636364" customWidth="1"/>
    <col min="35" max="35" width="7.6" customWidth="1"/>
    <col min="36" max="36" width="6.72727272727273" customWidth="1"/>
    <col min="37" max="49" width="6.6" customWidth="1"/>
    <col min="50" max="50" width="5.6" customWidth="1"/>
    <col min="51" max="51" width="8.86363636363636" customWidth="1"/>
    <col min="52" max="52" width="11.2636363636364" customWidth="1"/>
    <col min="53" max="53" width="10.1363636363636" customWidth="1"/>
    <col min="54" max="54" width="4.4" customWidth="1"/>
    <col min="55" max="55" width="2" customWidth="1"/>
    <col min="57" max="57" width="11.6" customWidth="1"/>
    <col min="58" max="58" width="9.26363636363636" customWidth="1"/>
  </cols>
  <sheetData>
    <row r="2" spans="1:61">
      <c r="AY2" t="s">
        <v>130</v>
      </c>
      <c r="BD2" t="s">
        <v>131</v>
      </c>
    </row>
    <row r="3" spans="1:61">
      <c r="C3" t="s">
        <v>132</v>
      </c>
      <c r="D3" t="str">
        <f>'TRA balance'!E4</f>
        <v>Africa_North</v>
      </c>
      <c r="E3" t="str">
        <f>'TRA balance'!F4</f>
        <v>Africa_Other</v>
      </c>
      <c r="F3" t="str">
        <f>'TRA balance'!G4</f>
        <v>Australia</v>
      </c>
      <c r="G3" t="str">
        <f>'TRA balance'!H4</f>
        <v>Austria</v>
      </c>
      <c r="H3" t="str">
        <f>'TRA balance'!I4</f>
        <v>Baltics</v>
      </c>
      <c r="I3" t="str">
        <f>'TRA balance'!J4</f>
        <v>BeNeLux</v>
      </c>
      <c r="J3" t="str">
        <f>'TRA balance'!K4</f>
        <v>Brazil</v>
      </c>
      <c r="K3" t="str">
        <f>'TRA balance'!L4</f>
        <v>China</v>
      </c>
      <c r="L3" t="str">
        <f>'TRA balance'!M4</f>
        <v>CroSloven</v>
      </c>
      <c r="M3" t="str">
        <f>'TRA balance'!N4</f>
        <v>CzechSlovak</v>
      </c>
      <c r="N3" t="str">
        <f>'TRA balance'!O4</f>
        <v>France</v>
      </c>
      <c r="O3" t="str">
        <f>'TRA balance'!P4</f>
        <v>Germany</v>
      </c>
      <c r="P3" t="str">
        <f>'TRA balance'!Q4</f>
        <v>GreeceCyp</v>
      </c>
      <c r="Q3" t="str">
        <f>'TRA balance'!R4</f>
        <v>HunRomBul</v>
      </c>
      <c r="R3" t="str">
        <f>'TRA balance'!S4</f>
        <v>Iceland</v>
      </c>
      <c r="S3" t="str">
        <f>'TRA balance'!T4</f>
        <v>India</v>
      </c>
      <c r="T3" t="str">
        <f>'TRA balance'!U4</f>
        <v>Ireland</v>
      </c>
      <c r="U3" t="str">
        <f>'TRA balance'!V4</f>
        <v>ItalyMal</v>
      </c>
      <c r="V3" t="str">
        <f>'TRA balance'!W4</f>
        <v>Japan</v>
      </c>
      <c r="W3" t="str">
        <f>'TRA balance'!X4</f>
        <v>LatAm</v>
      </c>
      <c r="X3" t="str">
        <f>'TRA balance'!Y4</f>
        <v>MidEast</v>
      </c>
      <c r="Y3" t="str">
        <f>'TRA balance'!Z4</f>
        <v>NorthAm</v>
      </c>
      <c r="Z3" t="str">
        <f>'TRA balance'!AA4</f>
        <v>Norway</v>
      </c>
      <c r="AA3" t="str">
        <f>'TRA balance'!AB4</f>
        <v>Poland</v>
      </c>
      <c r="AB3" t="str">
        <f>'TRA balance'!AC4</f>
        <v>ROW</v>
      </c>
      <c r="AC3" t="str">
        <f>'TRA balance'!AD4</f>
        <v>Russia</v>
      </c>
      <c r="AD3" t="str">
        <f>'TRA balance'!AE4</f>
        <v>SaudiArabia</v>
      </c>
      <c r="AE3" t="str">
        <f>'TRA balance'!AF4</f>
        <v>SouthAfrica</v>
      </c>
      <c r="AF3" t="str">
        <f>'TRA balance'!AG4</f>
        <v>SpainPor</v>
      </c>
      <c r="AG3" t="str">
        <f>'TRA balance'!AH4</f>
        <v>SweFinDen</v>
      </c>
      <c r="AH3" t="str">
        <f>'TRA balance'!AI4</f>
        <v>Switzerland</v>
      </c>
      <c r="AI3" t="str">
        <f>'TRA balance'!AJ4</f>
        <v>Turkey</v>
      </c>
      <c r="AJ3" t="str">
        <f>'TRA balance'!AK4</f>
        <v>UK</v>
      </c>
      <c r="AK3" t="str">
        <f>'TRA balance'!AL4</f>
        <v>Ukraine</v>
      </c>
      <c r="AL3" t="str">
        <f>'TRA balance'!AM4</f>
        <v>WestBalkans</v>
      </c>
      <c r="AM3" t="str">
        <f>'TRA balance'!AN4</f>
        <v>\I:</v>
      </c>
      <c r="AN3" t="str">
        <f>'TRA balance'!AO4</f>
        <v>\I:</v>
      </c>
      <c r="AO3" t="str">
        <f>'TRA balance'!AP4</f>
        <v>\I:</v>
      </c>
      <c r="AP3" t="str">
        <f>'TRA balance'!AQ4</f>
        <v>\I:</v>
      </c>
      <c r="AQ3" t="str">
        <f>'TRA balance'!AR4</f>
        <v>\I:</v>
      </c>
      <c r="AR3" t="str">
        <f>'TRA balance'!AS4</f>
        <v>\I:</v>
      </c>
      <c r="AS3" t="str">
        <f>'TRA balance'!AT4</f>
        <v>\I:</v>
      </c>
      <c r="AT3" t="str">
        <f>'TRA balance'!AU4</f>
        <v>\I:</v>
      </c>
      <c r="AU3" t="str">
        <f>'TRA balance'!AV4</f>
        <v>\I:</v>
      </c>
      <c r="AV3" t="str">
        <f>'TRA balance'!AW4</f>
        <v>\I:</v>
      </c>
      <c r="AW3" t="str">
        <f>'TRA balance'!AX4</f>
        <v>\I:</v>
      </c>
      <c r="AX3" t="s">
        <v>133</v>
      </c>
      <c r="AY3" t="s">
        <v>134</v>
      </c>
      <c r="AZ3" t="s">
        <v>135</v>
      </c>
      <c r="BA3" t="s">
        <v>136</v>
      </c>
      <c r="BB3" t="s">
        <v>137</v>
      </c>
      <c r="BD3" t="s">
        <v>138</v>
      </c>
      <c r="BE3" t="s">
        <v>139</v>
      </c>
      <c r="BF3" t="s">
        <v>140</v>
      </c>
      <c r="BG3" t="s">
        <v>141</v>
      </c>
      <c r="BH3" t="s">
        <v>142</v>
      </c>
      <c r="BI3" t="s">
        <v>143</v>
      </c>
    </row>
    <row r="4" spans="1:61">
      <c r="A4" t="s">
        <v>78</v>
      </c>
      <c r="C4" s="43" t="s">
        <v>44</v>
      </c>
      <c r="D4" s="1" cm="1">
        <f ca="1" t="array" ref="D4">SUM(SUMIFS(Assumptions!BD$3:BD$102,Assumptions!$B$3:$B$102,Cars!$C4,Assumptions!$G$3:$G$102,{"TRL","TRT"}))</f>
        <v>0</v>
      </c>
      <c r="E4" s="1" cm="1">
        <f ca="1" t="array" ref="E4">SUM(SUMIFS(Assumptions!BE$3:BE$102,Assumptions!$B$3:$B$102,Cars!$C4,Assumptions!$G$3:$G$102,{"TRL","TRT"}))</f>
        <v>0</v>
      </c>
      <c r="F4" s="1" cm="1">
        <f ca="1" t="array" ref="F4">SUM(SUMIFS(Assumptions!BF$3:BF$102,Assumptions!$B$3:$B$102,Cars!$C4,Assumptions!$G$3:$G$102,{"TRL","TRT"}))</f>
        <v>0.00073603944</v>
      </c>
      <c r="G4" s="1" cm="1">
        <f ca="1" t="array" ref="G4">SUM(SUMIFS(Assumptions!BG$3:BG$102,Assumptions!$B$3:$B$102,Cars!$C4,Assumptions!$G$3:$G$102,{"TRL","TRT"}))</f>
        <v>3.56489607744</v>
      </c>
      <c r="H4" s="1" cm="1">
        <f ca="1" t="array" ref="H4">SUM(SUMIFS(Assumptions!BH$3:BH$102,Assumptions!$B$3:$B$102,Cars!$C4,Assumptions!$G$3:$G$102,{"TRL","TRT"}))</f>
        <v>0.22916701008</v>
      </c>
      <c r="I4" s="1" cm="1">
        <f ca="1" t="array" ref="I4">SUM(SUMIFS(Assumptions!BI$3:BI$102,Assumptions!$B$3:$B$102,Cars!$C4,Assumptions!$G$3:$G$102,{"TRL","TRT"}))</f>
        <v>7.38598160952</v>
      </c>
      <c r="J4" s="1" cm="1">
        <f ca="1" t="array" ref="J4">SUM(SUMIFS(Assumptions!BJ$3:BJ$102,Assumptions!$B$3:$B$102,Cars!$C4,Assumptions!$G$3:$G$102,{"TRL","TRT"}))</f>
        <v>45.1163737537682</v>
      </c>
      <c r="K4" s="1" cm="1">
        <f ca="1" t="array" ref="K4">SUM(SUMIFS(Assumptions!BK$3:BK$102,Assumptions!$B$3:$B$102,Cars!$C4,Assumptions!$G$3:$G$102,{"TRL","TRT"}))</f>
        <v>1.51616002248</v>
      </c>
      <c r="L4" s="1" cm="1">
        <f ca="1" t="array" ref="L4">SUM(SUMIFS(Assumptions!BL$3:BL$102,Assumptions!$B$3:$B$102,Cars!$C4,Assumptions!$G$3:$G$102,{"TRL","TRT"}))</f>
        <v>1.27665915264</v>
      </c>
      <c r="M4" s="1" cm="1">
        <f ca="1" t="array" ref="M4">SUM(SUMIFS(Assumptions!BM$3:BM$102,Assumptions!$B$3:$B$102,Cars!$C4,Assumptions!$G$3:$G$102,{"TRL","TRT"}))</f>
        <v>3.34596998016</v>
      </c>
      <c r="N4" s="1" cm="1">
        <f ca="1" t="array" ref="N4">SUM(SUMIFS(Assumptions!BN$3:BN$102,Assumptions!$B$3:$B$102,Cars!$C4,Assumptions!$G$3:$G$102,{"TRL","TRT"}))</f>
        <v>21.14065123704</v>
      </c>
      <c r="O4" s="1" cm="1">
        <f ca="1" t="array" ref="O4">SUM(SUMIFS(Assumptions!BO$3:BO$102,Assumptions!$B$3:$B$102,Cars!$C4,Assumptions!$G$3:$G$102,{"TRL","TRT"}))</f>
        <v>15.81877793736</v>
      </c>
      <c r="P4" s="1" cm="1">
        <f ca="1" t="array" ref="P4">SUM(SUMIFS(Assumptions!BP$3:BP$102,Assumptions!$B$3:$B$102,Cars!$C4,Assumptions!$G$3:$G$102,{"TRL","TRT"}))</f>
        <v>1.43314666416</v>
      </c>
      <c r="Q4" s="1" cm="1">
        <f ca="1" t="array" ref="Q4">SUM(SUMIFS(Assumptions!BQ$3:BQ$102,Assumptions!$B$3:$B$102,Cars!$C4,Assumptions!$G$3:$G$102,{"TRL","TRT"}))</f>
        <v>5.18232809304</v>
      </c>
      <c r="R4" s="1" cm="1">
        <f ca="1" t="array" ref="R4">SUM(SUMIFS(Assumptions!BR$3:BR$102,Assumptions!$B$3:$B$102,Cars!$C4,Assumptions!$G$3:$G$102,{"TRL","TRT"}))</f>
        <v>0.1297866132</v>
      </c>
      <c r="S4" s="1" cm="1">
        <f ca="1" t="array" ref="S4">SUM(SUMIFS(Assumptions!BS$3:BS$102,Assumptions!$B$3:$B$102,Cars!$C4,Assumptions!$G$3:$G$102,{"TRL","TRT"}))</f>
        <v>0.3069259344</v>
      </c>
      <c r="T4" s="1" cm="1">
        <f ca="1" t="array" ref="T4">SUM(SUMIFS(Assumptions!BT$3:BT$102,Assumptions!$B$3:$B$102,Cars!$C4,Assumptions!$G$3:$G$102,{"TRL","TRT"}))</f>
        <v>1.3563641016</v>
      </c>
      <c r="U4" s="1" cm="1">
        <f ca="1" t="array" ref="U4">SUM(SUMIFS(Assumptions!BU$3:BU$102,Assumptions!$B$3:$B$102,Cars!$C4,Assumptions!$G$3:$G$102,{"TRL","TRT"}))</f>
        <v>10.52185629096</v>
      </c>
      <c r="V4" s="1" cm="1">
        <f ca="1" t="array" ref="V4">SUM(SUMIFS(Assumptions!BV$3:BV$102,Assumptions!$B$3:$B$102,Cars!$C4,Assumptions!$G$3:$G$102,{"TRL","TRT"}))</f>
        <v>0.025702723332</v>
      </c>
      <c r="W4" s="1" cm="1">
        <f ca="1" t="array" ref="W4">SUM(SUMIFS(Assumptions!BW$3:BW$102,Assumptions!$B$3:$B$102,Cars!$C4,Assumptions!$G$3:$G$102,{"TRL","TRT"}))</f>
        <v>5.14646251016436</v>
      </c>
      <c r="X4" s="1" cm="1">
        <f ca="1" t="array" ref="X4">SUM(SUMIFS(Assumptions!BX$3:BX$102,Assumptions!$B$3:$B$102,Cars!$C4,Assumptions!$G$3:$G$102,{"TRL","TRT"}))</f>
        <v>0</v>
      </c>
      <c r="Y4" s="1" cm="1">
        <f ca="1" t="array" ref="Y4">SUM(SUMIFS(Assumptions!BY$3:BY$102,Assumptions!$B$3:$B$102,Cars!$C4,Assumptions!$G$3:$G$102,{"TRL","TRT"}))</f>
        <v>4.98475370335654</v>
      </c>
      <c r="Z4" s="1" cm="1">
        <f ca="1" t="array" ref="Z4">SUM(SUMIFS(Assumptions!BZ$3:BZ$102,Assumptions!$B$3:$B$102,Cars!$C4,Assumptions!$G$3:$G$102,{"TRL","TRT"}))</f>
        <v>3.5085049056</v>
      </c>
      <c r="AA4" s="1" cm="1">
        <f ca="1" t="array" ref="AA4">SUM(SUMIFS(Assumptions!CA$3:CA$102,Assumptions!$B$3:$B$102,Cars!$C4,Assumptions!$G$3:$G$102,{"TRL","TRT"}))</f>
        <v>7.01528150016</v>
      </c>
      <c r="AB4" s="1" cm="1">
        <f ca="1" t="array" ref="AB4">SUM(SUMIFS(Assumptions!CB$3:CB$102,Assumptions!$B$3:$B$102,Cars!$C4,Assumptions!$G$3:$G$102,{"TRL","TRT"}))</f>
        <v>22.805167335552</v>
      </c>
      <c r="AC4" s="1" cm="1">
        <f ca="1" t="array" ref="AC4">SUM(SUMIFS(Assumptions!CC$3:CC$102,Assumptions!$B$3:$B$102,Cars!$C4,Assumptions!$G$3:$G$102,{"TRL","TRT"}))</f>
        <v>0.00360001998</v>
      </c>
      <c r="AD4" s="1" cm="1">
        <f ca="1" t="array" ref="AD4">SUM(SUMIFS(Assumptions!CD$3:CD$102,Assumptions!$B$3:$B$102,Cars!$C4,Assumptions!$G$3:$G$102,{"TRL","TRT"}))</f>
        <v>0</v>
      </c>
      <c r="AE4" s="1" cm="1">
        <f ca="1" t="array" ref="AE4">SUM(SUMIFS(Assumptions!CE$3:CE$102,Assumptions!$B$3:$B$102,Cars!$C4,Assumptions!$G$3:$G$102,{"TRL","TRT"}))</f>
        <v>0</v>
      </c>
      <c r="AF4" s="1" cm="1">
        <f ca="1" t="array" ref="AF4">SUM(SUMIFS(Assumptions!CF$3:CF$102,Assumptions!$B$3:$B$102,Cars!$C4,Assumptions!$G$3:$G$102,{"TRL","TRT"}))</f>
        <v>14.71693443192</v>
      </c>
      <c r="AG4" s="1" cm="1">
        <f ca="1" t="array" ref="AG4">SUM(SUMIFS(Assumptions!CG$3:CG$102,Assumptions!$B$3:$B$102,Cars!$C4,Assumptions!$G$3:$G$102,{"TRL","TRT"}))</f>
        <v>14.33300989608</v>
      </c>
      <c r="AH4" s="1" cm="1">
        <f ca="1" t="array" ref="AH4">SUM(SUMIFS(Assumptions!CH$3:CH$102,Assumptions!$B$3:$B$102,Cars!$C4,Assumptions!$G$3:$G$102,{"TRL","TRT"}))</f>
        <v>1.2546499824</v>
      </c>
      <c r="AI4" s="1" cm="1">
        <f ca="1" t="array" ref="AI4">SUM(SUMIFS(Assumptions!CI$3:CI$102,Assumptions!$B$3:$B$102,Cars!$C4,Assumptions!$G$3:$G$102,{"TRL","TRT"}))</f>
        <v>0.47795001552</v>
      </c>
      <c r="AJ4" s="1" cm="1">
        <f ca="1" t="array" ref="AJ4">SUM(SUMIFS(Assumptions!CJ$3:CJ$102,Assumptions!$B$3:$B$102,Cars!$C4,Assumptions!$G$3:$G$102,{"TRL","TRT"}))</f>
        <v>10.57712037624</v>
      </c>
      <c r="AK4" s="1" cm="1">
        <f ca="1" t="array" ref="AK4">SUM(SUMIFS(Assumptions!CK$3:CK$102,Assumptions!$B$3:$B$102,Cars!$C4,Assumptions!$G$3:$G$102,{"TRL","TRT"}))</f>
        <v>0</v>
      </c>
      <c r="AL4" s="1" cm="1">
        <f ca="1" t="array" ref="AL4">SUM(SUMIFS(Assumptions!CL$3:CL$102,Assumptions!$B$3:$B$102,Cars!$C4,Assumptions!$G$3:$G$102,{"TRL","TRT"}))</f>
        <v>1.00705184136</v>
      </c>
      <c r="AM4" s="1" cm="1">
        <f ca="1" t="array" ref="AM4">SUM(SUMIFS(Assumptions!CM$3:CM$102,Assumptions!$B$3:$B$102,Cars!$C4,Assumptions!$G$3:$G$102,{"TRL","TRT"}))</f>
        <v>0</v>
      </c>
      <c r="AN4" s="1" cm="1">
        <f ca="1" t="array" ref="AN4">SUM(SUMIFS(Assumptions!CN$3:CN$102,Assumptions!$B$3:$B$102,Cars!$C4,Assumptions!$G$3:$G$102,{"TRL","TRT"}))</f>
        <v>0</v>
      </c>
      <c r="AO4" s="1" cm="1">
        <f ca="1" t="array" ref="AO4">SUM(SUMIFS(Assumptions!CO$3:CO$102,Assumptions!$B$3:$B$102,Cars!$C4,Assumptions!$G$3:$G$102,{"TRL","TRT"}))</f>
        <v>0</v>
      </c>
      <c r="AP4" s="1" cm="1">
        <f ca="1" t="array" ref="AP4">SUM(SUMIFS(Assumptions!CP$3:CP$102,Assumptions!$B$3:$B$102,Cars!$C4,Assumptions!$G$3:$G$102,{"TRL","TRT"}))</f>
        <v>0</v>
      </c>
      <c r="AQ4" s="1" cm="1">
        <f ca="1" t="array" ref="AQ4">SUM(SUMIFS(Assumptions!CQ$3:CQ$102,Assumptions!$B$3:$B$102,Cars!$C4,Assumptions!$G$3:$G$102,{"TRL","TRT"}))</f>
        <v>0</v>
      </c>
      <c r="AR4" s="1" cm="1">
        <f ca="1" t="array" ref="AR4">SUM(SUMIFS(Assumptions!CR$3:CR$102,Assumptions!$B$3:$B$102,Cars!$C4,Assumptions!$G$3:$G$102,{"TRL","TRT"}))</f>
        <v>0</v>
      </c>
      <c r="AS4" s="1" cm="1">
        <f ca="1" t="array" ref="AS4">SUM(SUMIFS(Assumptions!CS$3:CS$102,Assumptions!$B$3:$B$102,Cars!$C4,Assumptions!$G$3:$G$102,{"TRL","TRT"}))</f>
        <v>0</v>
      </c>
      <c r="AT4" s="1" cm="1">
        <f ca="1" t="array" ref="AT4">SUM(SUMIFS(Assumptions!CT$3:CT$102,Assumptions!$B$3:$B$102,Cars!$C4,Assumptions!$G$3:$G$102,{"TRL","TRT"}))</f>
        <v>0</v>
      </c>
      <c r="AU4" s="1" cm="1">
        <f ca="1" t="array" ref="AU4">SUM(SUMIFS(Assumptions!CU$3:CU$102,Assumptions!$B$3:$B$102,Cars!$C4,Assumptions!$G$3:$G$102,{"TRL","TRT"}))</f>
        <v>0</v>
      </c>
      <c r="AV4" s="1" cm="1">
        <f ca="1" t="array" ref="AV4">SUM(SUMIFS(Assumptions!CV$3:CV$102,Assumptions!$B$3:$B$102,Cars!$C4,Assumptions!$G$3:$G$102,{"TRL","TRT"}))</f>
        <v>0</v>
      </c>
      <c r="AW4" s="1" cm="1">
        <f ca="1" t="array" ref="AW4">SUM(SUMIFS(Assumptions!CW$3:CW$102,Assumptions!$B$3:$B$102,Cars!$C4,Assumptions!$G$3:$G$102,{"TRL","TRT"}))</f>
        <v>0</v>
      </c>
      <c r="AX4" s="1"/>
      <c r="AY4" s="1" t="s">
        <v>133</v>
      </c>
      <c r="BA4" t="str">
        <f t="shared" ref="BA4:BA42" si="0">IF($AZ4="","",$BA$45)</f>
        <v/>
      </c>
      <c r="BB4" t="str">
        <f t="shared" ref="BB4:BB45" si="1">IF($AZ4="","",25)</f>
        <v/>
      </c>
      <c r="BD4" t="str">
        <f>IF($AZ4="","*","DMD")</f>
        <v>*</v>
      </c>
      <c r="BE4">
        <f>AZ4</f>
        <v>0</v>
      </c>
      <c r="BG4" t="s">
        <v>92</v>
      </c>
      <c r="BH4" t="s">
        <v>144</v>
      </c>
      <c r="BI4" t="s">
        <v>145</v>
      </c>
    </row>
    <row r="5" spans="1:61">
      <c r="A5" t="s">
        <v>78</v>
      </c>
      <c r="C5" s="43" t="s">
        <v>48</v>
      </c>
      <c r="D5" s="1" cm="1">
        <f ca="1" t="array" ref="D5">SUM(SUMIFS(Assumptions!BD$3:BD$102,Assumptions!$B$3:$B$102,Cars!$C5,Assumptions!$G$3:$G$102,{"TRL","TRT"}))</f>
        <v>0</v>
      </c>
      <c r="E5" s="1" cm="1">
        <f ca="1" t="array" ref="E5">SUM(SUMIFS(Assumptions!BE$3:BE$102,Assumptions!$B$3:$B$102,Cars!$C5,Assumptions!$G$3:$G$102,{"TRL","TRT"}))</f>
        <v>0</v>
      </c>
      <c r="F5" s="1" cm="1">
        <f ca="1" t="array" ref="F5">SUM(SUMIFS(Assumptions!BF$3:BF$102,Assumptions!$B$3:$B$102,Cars!$C5,Assumptions!$G$3:$G$102,{"TRL","TRT"}))</f>
        <v>0</v>
      </c>
      <c r="G5" s="1" cm="1">
        <f ca="1" t="array" ref="G5">SUM(SUMIFS(Assumptions!BG$3:BG$102,Assumptions!$B$3:$B$102,Cars!$C5,Assumptions!$G$3:$G$102,{"TRL","TRT"}))</f>
        <v>0</v>
      </c>
      <c r="H5" s="1" cm="1">
        <f ca="1" t="array" ref="H5">SUM(SUMIFS(Assumptions!BH$3:BH$102,Assumptions!$B$3:$B$102,Cars!$C5,Assumptions!$G$3:$G$102,{"TRL","TRT"}))</f>
        <v>0</v>
      </c>
      <c r="I5" s="1" cm="1">
        <f ca="1" t="array" ref="I5">SUM(SUMIFS(Assumptions!BI$3:BI$102,Assumptions!$B$3:$B$102,Cars!$C5,Assumptions!$G$3:$G$102,{"TRL","TRT"}))</f>
        <v>0</v>
      </c>
      <c r="J5" s="1" cm="1">
        <f ca="1" t="array" ref="J5">SUM(SUMIFS(Assumptions!BJ$3:BJ$102,Assumptions!$B$3:$B$102,Cars!$C5,Assumptions!$G$3:$G$102,{"TRL","TRT"}))</f>
        <v>0</v>
      </c>
      <c r="K5" s="1" cm="1">
        <f ca="1" t="array" ref="K5">SUM(SUMIFS(Assumptions!BK$3:BK$102,Assumptions!$B$3:$B$102,Cars!$C5,Assumptions!$G$3:$G$102,{"TRL","TRT"}))</f>
        <v>0</v>
      </c>
      <c r="L5" s="1" cm="1">
        <f ca="1" t="array" ref="L5">SUM(SUMIFS(Assumptions!BL$3:BL$102,Assumptions!$B$3:$B$102,Cars!$C5,Assumptions!$G$3:$G$102,{"TRL","TRT"}))</f>
        <v>0</v>
      </c>
      <c r="M5" s="1" cm="1">
        <f ca="1" t="array" ref="M5">SUM(SUMIFS(Assumptions!BM$3:BM$102,Assumptions!$B$3:$B$102,Cars!$C5,Assumptions!$G$3:$G$102,{"TRL","TRT"}))</f>
        <v>0</v>
      </c>
      <c r="N5" s="1" cm="1">
        <f ca="1" t="array" ref="N5">SUM(SUMIFS(Assumptions!BN$3:BN$102,Assumptions!$B$3:$B$102,Cars!$C5,Assumptions!$G$3:$G$102,{"TRL","TRT"}))</f>
        <v>0</v>
      </c>
      <c r="O5" s="1" cm="1">
        <f ca="1" t="array" ref="O5">SUM(SUMIFS(Assumptions!BO$3:BO$102,Assumptions!$B$3:$B$102,Cars!$C5,Assumptions!$G$3:$G$102,{"TRL","TRT"}))</f>
        <v>0</v>
      </c>
      <c r="P5" s="1" cm="1">
        <f ca="1" t="array" ref="P5">SUM(SUMIFS(Assumptions!BP$3:BP$102,Assumptions!$B$3:$B$102,Cars!$C5,Assumptions!$G$3:$G$102,{"TRL","TRT"}))</f>
        <v>0</v>
      </c>
      <c r="Q5" s="1" cm="1">
        <f ca="1" t="array" ref="Q5">SUM(SUMIFS(Assumptions!BQ$3:BQ$102,Assumptions!$B$3:$B$102,Cars!$C5,Assumptions!$G$3:$G$102,{"TRL","TRT"}))</f>
        <v>0</v>
      </c>
      <c r="R5" s="1" cm="1">
        <f ca="1" t="array" ref="R5">SUM(SUMIFS(Assumptions!BR$3:BR$102,Assumptions!$B$3:$B$102,Cars!$C5,Assumptions!$G$3:$G$102,{"TRL","TRT"}))</f>
        <v>0</v>
      </c>
      <c r="S5" s="1" cm="1">
        <f ca="1" t="array" ref="S5">SUM(SUMIFS(Assumptions!BS$3:BS$102,Assumptions!$B$3:$B$102,Cars!$C5,Assumptions!$G$3:$G$102,{"TRL","TRT"}))</f>
        <v>0</v>
      </c>
      <c r="T5" s="1" cm="1">
        <f ca="1" t="array" ref="T5">SUM(SUMIFS(Assumptions!BT$3:BT$102,Assumptions!$B$3:$B$102,Cars!$C5,Assumptions!$G$3:$G$102,{"TRL","TRT"}))</f>
        <v>0</v>
      </c>
      <c r="U5" s="1" cm="1">
        <f ca="1" t="array" ref="U5">SUM(SUMIFS(Assumptions!BU$3:BU$102,Assumptions!$B$3:$B$102,Cars!$C5,Assumptions!$G$3:$G$102,{"TRL","TRT"}))</f>
        <v>0</v>
      </c>
      <c r="V5" s="1" cm="1">
        <f ca="1" t="array" ref="V5">SUM(SUMIFS(Assumptions!BV$3:BV$102,Assumptions!$B$3:$B$102,Cars!$C5,Assumptions!$G$3:$G$102,{"TRL","TRT"}))</f>
        <v>0</v>
      </c>
      <c r="W5" s="1" cm="1">
        <f ca="1" t="array" ref="W5">SUM(SUMIFS(Assumptions!BW$3:BW$102,Assumptions!$B$3:$B$102,Cars!$C5,Assumptions!$G$3:$G$102,{"TRL","TRT"}))</f>
        <v>0</v>
      </c>
      <c r="X5" s="1" cm="1">
        <f ca="1" t="array" ref="X5">SUM(SUMIFS(Assumptions!BX$3:BX$102,Assumptions!$B$3:$B$102,Cars!$C5,Assumptions!$G$3:$G$102,{"TRL","TRT"}))</f>
        <v>0</v>
      </c>
      <c r="Y5" s="1" cm="1">
        <f ca="1" t="array" ref="Y5">SUM(SUMIFS(Assumptions!BY$3:BY$102,Assumptions!$B$3:$B$102,Cars!$C5,Assumptions!$G$3:$G$102,{"TRL","TRT"}))</f>
        <v>0</v>
      </c>
      <c r="Z5" s="1" cm="1">
        <f ca="1" t="array" ref="Z5">SUM(SUMIFS(Assumptions!BZ$3:BZ$102,Assumptions!$B$3:$B$102,Cars!$C5,Assumptions!$G$3:$G$102,{"TRL","TRT"}))</f>
        <v>0</v>
      </c>
      <c r="AA5" s="1" cm="1">
        <f ca="1" t="array" ref="AA5">SUM(SUMIFS(Assumptions!CA$3:CA$102,Assumptions!$B$3:$B$102,Cars!$C5,Assumptions!$G$3:$G$102,{"TRL","TRT"}))</f>
        <v>0</v>
      </c>
      <c r="AB5" s="1" cm="1">
        <f ca="1" t="array" ref="AB5">SUM(SUMIFS(Assumptions!CB$3:CB$102,Assumptions!$B$3:$B$102,Cars!$C5,Assumptions!$G$3:$G$102,{"TRL","TRT"}))</f>
        <v>0</v>
      </c>
      <c r="AC5" s="1" cm="1">
        <f ca="1" t="array" ref="AC5">SUM(SUMIFS(Assumptions!CC$3:CC$102,Assumptions!$B$3:$B$102,Cars!$C5,Assumptions!$G$3:$G$102,{"TRL","TRT"}))</f>
        <v>0</v>
      </c>
      <c r="AD5" s="1" cm="1">
        <f ca="1" t="array" ref="AD5">SUM(SUMIFS(Assumptions!CD$3:CD$102,Assumptions!$B$3:$B$102,Cars!$C5,Assumptions!$G$3:$G$102,{"TRL","TRT"}))</f>
        <v>0</v>
      </c>
      <c r="AE5" s="1" cm="1">
        <f ca="1" t="array" ref="AE5">SUM(SUMIFS(Assumptions!CE$3:CE$102,Assumptions!$B$3:$B$102,Cars!$C5,Assumptions!$G$3:$G$102,{"TRL","TRT"}))</f>
        <v>0</v>
      </c>
      <c r="AF5" s="1" cm="1">
        <f ca="1" t="array" ref="AF5">SUM(SUMIFS(Assumptions!CF$3:CF$102,Assumptions!$B$3:$B$102,Cars!$C5,Assumptions!$G$3:$G$102,{"TRL","TRT"}))</f>
        <v>0</v>
      </c>
      <c r="AG5" s="1" cm="1">
        <f ca="1" t="array" ref="AG5">SUM(SUMIFS(Assumptions!CG$3:CG$102,Assumptions!$B$3:$B$102,Cars!$C5,Assumptions!$G$3:$G$102,{"TRL","TRT"}))</f>
        <v>0</v>
      </c>
      <c r="AH5" s="1" cm="1">
        <f ca="1" t="array" ref="AH5">SUM(SUMIFS(Assumptions!CH$3:CH$102,Assumptions!$B$3:$B$102,Cars!$C5,Assumptions!$G$3:$G$102,{"TRL","TRT"}))</f>
        <v>0</v>
      </c>
      <c r="AI5" s="1" cm="1">
        <f ca="1" t="array" ref="AI5">SUM(SUMIFS(Assumptions!CI$3:CI$102,Assumptions!$B$3:$B$102,Cars!$C5,Assumptions!$G$3:$G$102,{"TRL","TRT"}))</f>
        <v>0</v>
      </c>
      <c r="AJ5" s="1" cm="1">
        <f ca="1" t="array" ref="AJ5">SUM(SUMIFS(Assumptions!CJ$3:CJ$102,Assumptions!$B$3:$B$102,Cars!$C5,Assumptions!$G$3:$G$102,{"TRL","TRT"}))</f>
        <v>0</v>
      </c>
      <c r="AK5" s="1" cm="1">
        <f ca="1" t="array" ref="AK5">SUM(SUMIFS(Assumptions!CK$3:CK$102,Assumptions!$B$3:$B$102,Cars!$C5,Assumptions!$G$3:$G$102,{"TRL","TRT"}))</f>
        <v>0</v>
      </c>
      <c r="AL5" s="1" cm="1">
        <f ca="1" t="array" ref="AL5">SUM(SUMIFS(Assumptions!CL$3:CL$102,Assumptions!$B$3:$B$102,Cars!$C5,Assumptions!$G$3:$G$102,{"TRL","TRT"}))</f>
        <v>0</v>
      </c>
      <c r="AM5" s="1" cm="1">
        <f ca="1" t="array" ref="AM5">SUM(SUMIFS(Assumptions!CM$3:CM$102,Assumptions!$B$3:$B$102,Cars!$C5,Assumptions!$G$3:$G$102,{"TRL","TRT"}))</f>
        <v>0</v>
      </c>
      <c r="AN5" s="1" cm="1">
        <f ca="1" t="array" ref="AN5">SUM(SUMIFS(Assumptions!CN$3:CN$102,Assumptions!$B$3:$B$102,Cars!$C5,Assumptions!$G$3:$G$102,{"TRL","TRT"}))</f>
        <v>0</v>
      </c>
      <c r="AO5" s="1" cm="1">
        <f ca="1" t="array" ref="AO5">SUM(SUMIFS(Assumptions!CO$3:CO$102,Assumptions!$B$3:$B$102,Cars!$C5,Assumptions!$G$3:$G$102,{"TRL","TRT"}))</f>
        <v>0</v>
      </c>
      <c r="AP5" s="1" cm="1">
        <f ca="1" t="array" ref="AP5">SUM(SUMIFS(Assumptions!CP$3:CP$102,Assumptions!$B$3:$B$102,Cars!$C5,Assumptions!$G$3:$G$102,{"TRL","TRT"}))</f>
        <v>0</v>
      </c>
      <c r="AQ5" s="1" cm="1">
        <f ca="1" t="array" ref="AQ5">SUM(SUMIFS(Assumptions!CQ$3:CQ$102,Assumptions!$B$3:$B$102,Cars!$C5,Assumptions!$G$3:$G$102,{"TRL","TRT"}))</f>
        <v>0</v>
      </c>
      <c r="AR5" s="1" cm="1">
        <f ca="1" t="array" ref="AR5">SUM(SUMIFS(Assumptions!CR$3:CR$102,Assumptions!$B$3:$B$102,Cars!$C5,Assumptions!$G$3:$G$102,{"TRL","TRT"}))</f>
        <v>0</v>
      </c>
      <c r="AS5" s="1" cm="1">
        <f ca="1" t="array" ref="AS5">SUM(SUMIFS(Assumptions!CS$3:CS$102,Assumptions!$B$3:$B$102,Cars!$C5,Assumptions!$G$3:$G$102,{"TRL","TRT"}))</f>
        <v>0</v>
      </c>
      <c r="AT5" s="1" cm="1">
        <f ca="1" t="array" ref="AT5">SUM(SUMIFS(Assumptions!CT$3:CT$102,Assumptions!$B$3:$B$102,Cars!$C5,Assumptions!$G$3:$G$102,{"TRL","TRT"}))</f>
        <v>0</v>
      </c>
      <c r="AU5" s="1" cm="1">
        <f ca="1" t="array" ref="AU5">SUM(SUMIFS(Assumptions!CU$3:CU$102,Assumptions!$B$3:$B$102,Cars!$C5,Assumptions!$G$3:$G$102,{"TRL","TRT"}))</f>
        <v>0</v>
      </c>
      <c r="AV5" s="1" cm="1">
        <f ca="1" t="array" ref="AV5">SUM(SUMIFS(Assumptions!CV$3:CV$102,Assumptions!$B$3:$B$102,Cars!$C5,Assumptions!$G$3:$G$102,{"TRL","TRT"}))</f>
        <v>0</v>
      </c>
      <c r="AW5" s="1" cm="1">
        <f ca="1" t="array" ref="AW5">SUM(SUMIFS(Assumptions!CW$3:CW$102,Assumptions!$B$3:$B$102,Cars!$C5,Assumptions!$G$3:$G$102,{"TRL","TRT"}))</f>
        <v>0</v>
      </c>
      <c r="AY5" s="1" t="s">
        <v>133</v>
      </c>
      <c r="BA5" t="str">
        <f t="shared" si="0"/>
        <v/>
      </c>
      <c r="BB5" t="str">
        <f t="shared" si="1"/>
        <v/>
      </c>
      <c r="BD5" t="str">
        <f t="shared" ref="BD5:BD42" si="2">IF(AZ5="","*","DMD")</f>
        <v>*</v>
      </c>
      <c r="BE5">
        <f t="shared" ref="BE5:BE42" si="3">AZ5</f>
        <v>0</v>
      </c>
      <c r="BG5" t="s">
        <v>92</v>
      </c>
      <c r="BH5" t="s">
        <v>144</v>
      </c>
      <c r="BI5" t="s">
        <v>145</v>
      </c>
    </row>
    <row r="6" spans="1:61">
      <c r="A6" t="s">
        <v>78</v>
      </c>
      <c r="C6" s="43" t="s">
        <v>60</v>
      </c>
      <c r="D6" s="1" cm="1">
        <f ca="1" t="array" ref="D6">SUM(SUMIFS(Assumptions!BD$3:BD$102,Assumptions!$B$3:$B$102,Cars!$C6,Assumptions!$G$3:$G$102,{"TRL","TRT"}))</f>
        <v>111.2020548606</v>
      </c>
      <c r="E6" s="1" cm="1">
        <f ca="1" t="array" ref="E6">SUM(SUMIFS(Assumptions!BE$3:BE$102,Assumptions!$B$3:$B$102,Cars!$C6,Assumptions!$G$3:$G$102,{"TRL","TRT"}))</f>
        <v>98.82276201216</v>
      </c>
      <c r="F6" s="1" cm="1">
        <f ca="1" t="array" ref="F6">SUM(SUMIFS(Assumptions!BF$3:BF$102,Assumptions!$B$3:$B$102,Cars!$C6,Assumptions!$G$3:$G$102,{"TRL","TRT"}))</f>
        <v>11.512758221208</v>
      </c>
      <c r="G6" s="1" cm="1">
        <f ca="1" t="array" ref="G6">SUM(SUMIFS(Assumptions!BG$3:BG$102,Assumptions!$B$3:$B$102,Cars!$C6,Assumptions!$G$3:$G$102,{"TRL","TRT"}))</f>
        <v>51.73010872056</v>
      </c>
      <c r="H6" s="1" cm="1">
        <f ca="1" t="array" ref="H6">SUM(SUMIFS(Assumptions!BH$3:BH$102,Assumptions!$B$3:$B$102,Cars!$C6,Assumptions!$G$3:$G$102,{"TRL","TRT"}))</f>
        <v>6.0635027457</v>
      </c>
      <c r="I6" s="1" cm="1">
        <f ca="1" t="array" ref="I6">SUM(SUMIFS(Assumptions!BI$3:BI$102,Assumptions!$B$3:$B$102,Cars!$C6,Assumptions!$G$3:$G$102,{"TRL","TRT"}))</f>
        <v>109.64643634152</v>
      </c>
      <c r="J6" s="1" cm="1">
        <f ca="1" t="array" ref="J6">SUM(SUMIFS(Assumptions!BJ$3:BJ$102,Assumptions!$B$3:$B$102,Cars!$C6,Assumptions!$G$3:$G$102,{"TRL","TRT"}))</f>
        <v>99.5142198380299</v>
      </c>
      <c r="K6" s="1" cm="1">
        <f ca="1" t="array" ref="K6">SUM(SUMIFS(Assumptions!BK$3:BK$102,Assumptions!$B$3:$B$102,Cars!$C6,Assumptions!$G$3:$G$102,{"TRL","TRT"}))</f>
        <v>155.254864511376</v>
      </c>
      <c r="L6" s="1" cm="1">
        <f ca="1" t="array" ref="L6">SUM(SUMIFS(Assumptions!BL$3:BL$102,Assumptions!$B$3:$B$102,Cars!$C6,Assumptions!$G$3:$G$102,{"TRL","TRT"}))</f>
        <v>24.0988063068</v>
      </c>
      <c r="M6" s="1" cm="1">
        <f ca="1" t="array" ref="M6">SUM(SUMIFS(Assumptions!BM$3:BM$102,Assumptions!$B$3:$B$102,Cars!$C6,Assumptions!$G$3:$G$102,{"TRL","TRT"}))</f>
        <v>51.63971989536</v>
      </c>
      <c r="N6" s="1" cm="1">
        <f ca="1" t="array" ref="N6">SUM(SUMIFS(Assumptions!BN$3:BN$102,Assumptions!$B$3:$B$102,Cars!$C6,Assumptions!$G$3:$G$102,{"TRL","TRT"}))</f>
        <v>257.28002476776</v>
      </c>
      <c r="O6" s="1" cm="1">
        <f ca="1" t="array" ref="O6">SUM(SUMIFS(Assumptions!BO$3:BO$102,Assumptions!$B$3:$B$102,Cars!$C6,Assumptions!$G$3:$G$102,{"TRL","TRT"}))</f>
        <v>277.854239646</v>
      </c>
      <c r="P6" s="1" cm="1">
        <f ca="1" t="array" ref="P6">SUM(SUMIFS(Assumptions!BP$3:BP$102,Assumptions!$B$3:$B$102,Cars!$C6,Assumptions!$G$3:$G$102,{"TRL","TRT"}))</f>
        <v>22.46955160536</v>
      </c>
      <c r="Q6" s="1" cm="1">
        <f ca="1" t="array" ref="Q6">SUM(SUMIFS(Assumptions!BQ$3:BQ$102,Assumptions!$B$3:$B$102,Cars!$C6,Assumptions!$G$3:$G$102,{"TRL","TRT"}))</f>
        <v>80.56869501096</v>
      </c>
      <c r="R6" s="1" cm="1">
        <f ca="1" t="array" ref="R6">SUM(SUMIFS(Assumptions!BR$3:BR$102,Assumptions!$B$3:$B$102,Cars!$C6,Assumptions!$G$3:$G$102,{"TRL","TRT"}))</f>
        <v>1.54091908296</v>
      </c>
      <c r="S6" s="1" cm="1">
        <f ca="1" t="array" ref="S6">SUM(SUMIFS(Assumptions!BS$3:BS$102,Assumptions!$B$3:$B$102,Cars!$C6,Assumptions!$G$3:$G$102,{"TRL","TRT"}))</f>
        <v>456.311047631175</v>
      </c>
      <c r="T6" s="1" cm="1">
        <f ca="1" t="array" ref="T6">SUM(SUMIFS(Assumptions!BT$3:BT$102,Assumptions!$B$3:$B$102,Cars!$C6,Assumptions!$G$3:$G$102,{"TRL","TRT"}))</f>
        <v>24.6689270496</v>
      </c>
      <c r="U6" s="1" cm="1">
        <f ca="1" t="array" ref="U6">SUM(SUMIFS(Assumptions!BU$3:BU$102,Assumptions!$B$3:$B$102,Cars!$C6,Assumptions!$G$3:$G$102,{"TRL","TRT"}))</f>
        <v>180.00899662536</v>
      </c>
      <c r="V6" s="1" cm="1">
        <f ca="1" t="array" ref="V6">SUM(SUMIFS(Assumptions!BV$3:BV$102,Assumptions!$B$3:$B$102,Cars!$C6,Assumptions!$G$3:$G$102,{"TRL","TRT"}))</f>
        <v>45.2069137002582</v>
      </c>
      <c r="W6" s="1" cm="1">
        <f ca="1" t="array" ref="W6">SUM(SUMIFS(Assumptions!BW$3:BW$102,Assumptions!$B$3:$B$102,Cars!$C6,Assumptions!$G$3:$G$102,{"TRL","TRT"}))</f>
        <v>102.173698071356</v>
      </c>
      <c r="X6" s="1" cm="1">
        <f ca="1" t="array" ref="X6">SUM(SUMIFS(Assumptions!BX$3:BX$102,Assumptions!$B$3:$B$102,Cars!$C6,Assumptions!$G$3:$G$102,{"TRL","TRT"}))</f>
        <v>149.77659279528</v>
      </c>
      <c r="Y6" s="1" cm="1">
        <f ca="1" t="array" ref="Y6">SUM(SUMIFS(Assumptions!BY$3:BY$102,Assumptions!$B$3:$B$102,Cars!$C6,Assumptions!$G$3:$G$102,{"TRL","TRT"}))</f>
        <v>153.764023757461</v>
      </c>
      <c r="Z6" s="1" cm="1">
        <f ca="1" t="array" ref="Z6">SUM(SUMIFS(Assumptions!BZ$3:BZ$102,Assumptions!$B$3:$B$102,Cars!$C6,Assumptions!$G$3:$G$102,{"TRL","TRT"}))</f>
        <v>17.7200322876</v>
      </c>
      <c r="AA6" s="1" cm="1">
        <f ca="1" t="array" ref="AA6">SUM(SUMIFS(Assumptions!CA$3:CA$102,Assumptions!$B$3:$B$102,Cars!$C6,Assumptions!$G$3:$G$102,{"TRL","TRT"}))</f>
        <v>118.55964284856</v>
      </c>
      <c r="AB6" s="1" cm="1">
        <f ca="1" t="array" ref="AB6">SUM(SUMIFS(Assumptions!CB$3:CB$102,Assumptions!$B$3:$B$102,Cars!$C6,Assumptions!$G$3:$G$102,{"TRL","TRT"}))</f>
        <v>321.229710216288</v>
      </c>
      <c r="AC6" s="1" cm="1">
        <f ca="1" t="array" ref="AC6">SUM(SUMIFS(Assumptions!CC$3:CC$102,Assumptions!$B$3:$B$102,Cars!$C6,Assumptions!$G$3:$G$102,{"TRL","TRT"}))</f>
        <v>35.0664764112</v>
      </c>
      <c r="AD6" s="1" cm="1">
        <f ca="1" t="array" ref="AD6">SUM(SUMIFS(Assumptions!CD$3:CD$102,Assumptions!$B$3:$B$102,Cars!$C6,Assumptions!$G$3:$G$102,{"TRL","TRT"}))</f>
        <v>85.1798724084</v>
      </c>
      <c r="AE6" s="1" cm="1">
        <f ca="1" t="array" ref="AE6">SUM(SUMIFS(Assumptions!CE$3:CE$102,Assumptions!$B$3:$B$102,Cars!$C6,Assumptions!$G$3:$G$102,{"TRL","TRT"}))</f>
        <v>34.71281908992</v>
      </c>
      <c r="AF6" s="1" cm="1">
        <f ca="1" t="array" ref="AF6">SUM(SUMIFS(Assumptions!CF$3:CF$102,Assumptions!$B$3:$B$102,Cars!$C6,Assumptions!$G$3:$G$102,{"TRL","TRT"}))</f>
        <v>214.8364603476</v>
      </c>
      <c r="AG6" s="1" cm="1">
        <f ca="1" t="array" ref="AG6">SUM(SUMIFS(Assumptions!CG$3:CG$102,Assumptions!$B$3:$B$102,Cars!$C6,Assumptions!$G$3:$G$102,{"TRL","TRT"}))</f>
        <v>64.49258294784</v>
      </c>
      <c r="AH6" s="1" cm="1">
        <f ca="1" t="array" ref="AH6">SUM(SUMIFS(Assumptions!CH$3:CH$102,Assumptions!$B$3:$B$102,Cars!$C6,Assumptions!$G$3:$G$102,{"TRL","TRT"}))</f>
        <v>22.7630370744</v>
      </c>
      <c r="AI6" s="1" cm="1">
        <f ca="1" t="array" ref="AI6">SUM(SUMIFS(Assumptions!CI$3:CI$102,Assumptions!$B$3:$B$102,Cars!$C6,Assumptions!$G$3:$G$102,{"TRL","TRT"}))</f>
        <v>82.23504015492</v>
      </c>
      <c r="AJ6" s="1" cm="1">
        <f ca="1" t="array" ref="AJ6">SUM(SUMIFS(Assumptions!CJ$3:CJ$102,Assumptions!$B$3:$B$102,Cars!$C6,Assumptions!$G$3:$G$102,{"TRL","TRT"}))</f>
        <v>202.82788644912</v>
      </c>
      <c r="AK6" s="1" cm="1">
        <f ca="1" t="array" ref="AK6">SUM(SUMIFS(Assumptions!CK$3:CK$102,Assumptions!$B$3:$B$102,Cars!$C6,Assumptions!$G$3:$G$102,{"TRL","TRT"}))</f>
        <v>9.08972011098</v>
      </c>
      <c r="AL6" s="1" cm="1">
        <f ca="1" t="array" ref="AL6">SUM(SUMIFS(Assumptions!CL$3:CL$102,Assumptions!$B$3:$B$102,Cars!$C6,Assumptions!$G$3:$G$102,{"TRL","TRT"}))</f>
        <v>37.5441199812</v>
      </c>
      <c r="AM6" s="1" cm="1">
        <f ca="1" t="array" ref="AM6">SUM(SUMIFS(Assumptions!CM$3:CM$102,Assumptions!$B$3:$B$102,Cars!$C6,Assumptions!$G$3:$G$102,{"TRL","TRT"}))</f>
        <v>0</v>
      </c>
      <c r="AN6" s="1" cm="1">
        <f ca="1" t="array" ref="AN6">SUM(SUMIFS(Assumptions!CN$3:CN$102,Assumptions!$B$3:$B$102,Cars!$C6,Assumptions!$G$3:$G$102,{"TRL","TRT"}))</f>
        <v>0</v>
      </c>
      <c r="AO6" s="1" cm="1">
        <f ca="1" t="array" ref="AO6">SUM(SUMIFS(Assumptions!CO$3:CO$102,Assumptions!$B$3:$B$102,Cars!$C6,Assumptions!$G$3:$G$102,{"TRL","TRT"}))</f>
        <v>0</v>
      </c>
      <c r="AP6" s="1" cm="1">
        <f ca="1" t="array" ref="AP6">SUM(SUMIFS(Assumptions!CP$3:CP$102,Assumptions!$B$3:$B$102,Cars!$C6,Assumptions!$G$3:$G$102,{"TRL","TRT"}))</f>
        <v>0</v>
      </c>
      <c r="AQ6" s="1" cm="1">
        <f ca="1" t="array" ref="AQ6">SUM(SUMIFS(Assumptions!CQ$3:CQ$102,Assumptions!$B$3:$B$102,Cars!$C6,Assumptions!$G$3:$G$102,{"TRL","TRT"}))</f>
        <v>0</v>
      </c>
      <c r="AR6" s="1" cm="1">
        <f ca="1" t="array" ref="AR6">SUM(SUMIFS(Assumptions!CR$3:CR$102,Assumptions!$B$3:$B$102,Cars!$C6,Assumptions!$G$3:$G$102,{"TRL","TRT"}))</f>
        <v>0</v>
      </c>
      <c r="AS6" s="1" cm="1">
        <f ca="1" t="array" ref="AS6">SUM(SUMIFS(Assumptions!CS$3:CS$102,Assumptions!$B$3:$B$102,Cars!$C6,Assumptions!$G$3:$G$102,{"TRL","TRT"}))</f>
        <v>0</v>
      </c>
      <c r="AT6" s="1" cm="1">
        <f ca="1" t="array" ref="AT6">SUM(SUMIFS(Assumptions!CT$3:CT$102,Assumptions!$B$3:$B$102,Cars!$C6,Assumptions!$G$3:$G$102,{"TRL","TRT"}))</f>
        <v>0</v>
      </c>
      <c r="AU6" s="1" cm="1">
        <f ca="1" t="array" ref="AU6">SUM(SUMIFS(Assumptions!CU$3:CU$102,Assumptions!$B$3:$B$102,Cars!$C6,Assumptions!$G$3:$G$102,{"TRL","TRT"}))</f>
        <v>0</v>
      </c>
      <c r="AV6" s="1" cm="1">
        <f ca="1" t="array" ref="AV6">SUM(SUMIFS(Assumptions!CV$3:CV$102,Assumptions!$B$3:$B$102,Cars!$C6,Assumptions!$G$3:$G$102,{"TRL","TRT"}))</f>
        <v>0</v>
      </c>
      <c r="AW6" s="1" cm="1">
        <f ca="1" t="array" ref="AW6">SUM(SUMIFS(Assumptions!CW$3:CW$102,Assumptions!$B$3:$B$102,Cars!$C6,Assumptions!$G$3:$G$102,{"TRL","TRT"}))</f>
        <v>0</v>
      </c>
      <c r="AY6" s="1" t="s">
        <v>133</v>
      </c>
      <c r="BA6" t="str">
        <f t="shared" si="0"/>
        <v/>
      </c>
      <c r="BB6" t="str">
        <f t="shared" si="1"/>
        <v/>
      </c>
      <c r="BD6" t="str">
        <f t="shared" si="2"/>
        <v>*</v>
      </c>
      <c r="BE6">
        <f t="shared" si="3"/>
        <v>0</v>
      </c>
      <c r="BG6" t="s">
        <v>92</v>
      </c>
      <c r="BH6" t="s">
        <v>144</v>
      </c>
      <c r="BI6" t="s">
        <v>145</v>
      </c>
    </row>
    <row r="7" spans="1:61">
      <c r="A7" t="s">
        <v>78</v>
      </c>
      <c r="C7" s="43" t="s">
        <v>64</v>
      </c>
      <c r="D7" s="1" cm="1">
        <f ca="1" t="array" ref="D7">SUM(SUMIFS(Assumptions!BD$3:BD$102,Assumptions!$B$3:$B$102,Cars!$C7,Assumptions!$G$3:$G$102,{"TRL","TRT"}))</f>
        <v>0</v>
      </c>
      <c r="E7" s="1" cm="1">
        <f ca="1" t="array" ref="E7">SUM(SUMIFS(Assumptions!BE$3:BE$102,Assumptions!$B$3:$B$102,Cars!$C7,Assumptions!$G$3:$G$102,{"TRL","TRT"}))</f>
        <v>0</v>
      </c>
      <c r="F7" s="1" cm="1">
        <f ca="1" t="array" ref="F7">SUM(SUMIFS(Assumptions!BF$3:BF$102,Assumptions!$B$3:$B$102,Cars!$C7,Assumptions!$G$3:$G$102,{"TRL","TRT"}))</f>
        <v>0.0215997012</v>
      </c>
      <c r="G7" s="1" cm="1">
        <f ca="1" t="array" ref="G7">SUM(SUMIFS(Assumptions!BG$3:BG$102,Assumptions!$B$3:$B$102,Cars!$C7,Assumptions!$G$3:$G$102,{"TRL","TRT"}))</f>
        <v>0.0128388222</v>
      </c>
      <c r="H7" s="1" cm="1">
        <f ca="1" t="array" ref="H7">SUM(SUMIFS(Assumptions!BH$3:BH$102,Assumptions!$B$3:$B$102,Cars!$C7,Assumptions!$G$3:$G$102,{"TRL","TRT"}))</f>
        <v>0</v>
      </c>
      <c r="I7" s="1" cm="1">
        <f ca="1" t="array" ref="I7">SUM(SUMIFS(Assumptions!BI$3:BI$102,Assumptions!$B$3:$B$102,Cars!$C7,Assumptions!$G$3:$G$102,{"TRL","TRT"}))</f>
        <v>0.579756663</v>
      </c>
      <c r="J7" s="1" cm="1">
        <f ca="1" t="array" ref="J7">SUM(SUMIFS(Assumptions!BJ$3:BJ$102,Assumptions!$B$3:$B$102,Cars!$C7,Assumptions!$G$3:$G$102,{"TRL","TRT"}))</f>
        <v>0</v>
      </c>
      <c r="K7" s="1" cm="1">
        <f ca="1" t="array" ref="K7">SUM(SUMIFS(Assumptions!BK$3:BK$102,Assumptions!$B$3:$B$102,Cars!$C7,Assumptions!$G$3:$G$102,{"TRL","TRT"}))</f>
        <v>49.07260273464</v>
      </c>
      <c r="L7" s="1" cm="1">
        <f ca="1" t="array" ref="L7">SUM(SUMIFS(Assumptions!BL$3:BL$102,Assumptions!$B$3:$B$102,Cars!$C7,Assumptions!$G$3:$G$102,{"TRL","TRT"}))</f>
        <v>0</v>
      </c>
      <c r="M7" s="1" cm="1">
        <f ca="1" t="array" ref="M7">SUM(SUMIFS(Assumptions!BM$3:BM$102,Assumptions!$B$3:$B$102,Cars!$C7,Assumptions!$G$3:$G$102,{"TRL","TRT"}))</f>
        <v>0</v>
      </c>
      <c r="N7" s="1" cm="1">
        <f ca="1" t="array" ref="N7">SUM(SUMIFS(Assumptions!BN$3:BN$102,Assumptions!$B$3:$B$102,Cars!$C7,Assumptions!$G$3:$G$102,{"TRL","TRT"}))</f>
        <v>0.2947643271</v>
      </c>
      <c r="O7" s="1" cm="1">
        <f ca="1" t="array" ref="O7">SUM(SUMIFS(Assumptions!BO$3:BO$102,Assumptions!$B$3:$B$102,Cars!$C7,Assumptions!$G$3:$G$102,{"TRL","TRT"}))</f>
        <v>0.3024000036</v>
      </c>
      <c r="P7" s="1" cm="1">
        <f ca="1" t="array" ref="P7">SUM(SUMIFS(Assumptions!BP$3:BP$102,Assumptions!$B$3:$B$102,Cars!$C7,Assumptions!$G$3:$G$102,{"TRL","TRT"}))</f>
        <v>0.0184648347</v>
      </c>
      <c r="Q7" s="1" cm="1">
        <f ca="1" t="array" ref="Q7">SUM(SUMIFS(Assumptions!BQ$3:BQ$102,Assumptions!$B$3:$B$102,Cars!$C7,Assumptions!$G$3:$G$102,{"TRL","TRT"}))</f>
        <v>0</v>
      </c>
      <c r="R7" s="1" cm="1">
        <f ca="1" t="array" ref="R7">SUM(SUMIFS(Assumptions!BR$3:BR$102,Assumptions!$B$3:$B$102,Cars!$C7,Assumptions!$G$3:$G$102,{"TRL","TRT"}))</f>
        <v>0.0202996998</v>
      </c>
      <c r="S7" s="1" cm="1">
        <f ca="1" t="array" ref="S7">SUM(SUMIFS(Assumptions!BS$3:BS$102,Assumptions!$B$3:$B$102,Cars!$C7,Assumptions!$G$3:$G$102,{"TRL","TRT"}))</f>
        <v>0</v>
      </c>
      <c r="T7" s="1" cm="1">
        <f ca="1" t="array" ref="T7">SUM(SUMIFS(Assumptions!BT$3:BT$102,Assumptions!$B$3:$B$102,Cars!$C7,Assumptions!$G$3:$G$102,{"TRL","TRT"}))</f>
        <v>0.0243975303</v>
      </c>
      <c r="U7" s="1" cm="1">
        <f ca="1" t="array" ref="U7">SUM(SUMIFS(Assumptions!BU$3:BU$102,Assumptions!$B$3:$B$102,Cars!$C7,Assumptions!$G$3:$G$102,{"TRL","TRT"}))</f>
        <v>0.1243615671</v>
      </c>
      <c r="V7" s="1" cm="1">
        <f ca="1" t="array" ref="V7">SUM(SUMIFS(Assumptions!BV$3:BV$102,Assumptions!$B$3:$B$102,Cars!$C7,Assumptions!$G$3:$G$102,{"TRL","TRT"}))</f>
        <v>0</v>
      </c>
      <c r="W7" s="1" cm="1">
        <f ca="1" t="array" ref="W7">SUM(SUMIFS(Assumptions!BW$3:BW$102,Assumptions!$B$3:$B$102,Cars!$C7,Assumptions!$G$3:$G$102,{"TRL","TRT"}))</f>
        <v>0.3676387212</v>
      </c>
      <c r="X7" s="1" cm="1">
        <f ca="1" t="array" ref="X7">SUM(SUMIFS(Assumptions!BX$3:BX$102,Assumptions!$B$3:$B$102,Cars!$C7,Assumptions!$G$3:$G$102,{"TRL","TRT"}))</f>
        <v>0</v>
      </c>
      <c r="Y7" s="1" cm="1">
        <f ca="1" t="array" ref="Y7">SUM(SUMIFS(Assumptions!BY$3:BY$102,Assumptions!$B$3:$B$102,Cars!$C7,Assumptions!$G$3:$G$102,{"TRL","TRT"}))</f>
        <v>7.0111284039</v>
      </c>
      <c r="Z7" s="1" cm="1">
        <f ca="1" t="array" ref="Z7">SUM(SUMIFS(Assumptions!BZ$3:BZ$102,Assumptions!$B$3:$B$102,Cars!$C7,Assumptions!$G$3:$G$102,{"TRL","TRT"}))</f>
        <v>0.7730999469</v>
      </c>
      <c r="AA7" s="1" cm="1">
        <f ca="1" t="array" ref="AA7">SUM(SUMIFS(Assumptions!CA$3:CA$102,Assumptions!$B$3:$B$102,Cars!$C7,Assumptions!$G$3:$G$102,{"TRL","TRT"}))</f>
        <v>0</v>
      </c>
      <c r="AB7" s="1" cm="1">
        <f ca="1" t="array" ref="AB7">SUM(SUMIFS(Assumptions!CB$3:CB$102,Assumptions!$B$3:$B$102,Cars!$C7,Assumptions!$G$3:$G$102,{"TRL","TRT"}))</f>
        <v>0.4418162568</v>
      </c>
      <c r="AC7" s="1" cm="1">
        <f ca="1" t="array" ref="AC7">SUM(SUMIFS(Assumptions!CC$3:CC$102,Assumptions!$B$3:$B$102,Cars!$C7,Assumptions!$G$3:$G$102,{"TRL","TRT"}))</f>
        <v>0</v>
      </c>
      <c r="AD7" s="1" cm="1">
        <f ca="1" t="array" ref="AD7">SUM(SUMIFS(Assumptions!CD$3:CD$102,Assumptions!$B$3:$B$102,Cars!$C7,Assumptions!$G$3:$G$102,{"TRL","TRT"}))</f>
        <v>0</v>
      </c>
      <c r="AE7" s="1" cm="1">
        <f ca="1" t="array" ref="AE7">SUM(SUMIFS(Assumptions!CE$3:CE$102,Assumptions!$B$3:$B$102,Cars!$C7,Assumptions!$G$3:$G$102,{"TRL","TRT"}))</f>
        <v>0</v>
      </c>
      <c r="AF7" s="1" cm="1">
        <f ca="1" t="array" ref="AF7">SUM(SUMIFS(Assumptions!CF$3:CF$102,Assumptions!$B$3:$B$102,Cars!$C7,Assumptions!$G$3:$G$102,{"TRL","TRT"}))</f>
        <v>0.1501051536</v>
      </c>
      <c r="AG7" s="1" cm="1">
        <f ca="1" t="array" ref="AG7">SUM(SUMIFS(Assumptions!CG$3:CG$102,Assumptions!$B$3:$B$102,Cars!$C7,Assumptions!$G$3:$G$102,{"TRL","TRT"}))</f>
        <v>0.3396091419</v>
      </c>
      <c r="AH7" s="1" cm="1">
        <f ca="1" t="array" ref="AH7">SUM(SUMIFS(Assumptions!CH$3:CH$102,Assumptions!$B$3:$B$102,Cars!$C7,Assumptions!$G$3:$G$102,{"TRL","TRT"}))</f>
        <v>0</v>
      </c>
      <c r="AI7" s="1" cm="1">
        <f ca="1" t="array" ref="AI7">SUM(SUMIFS(Assumptions!CI$3:CI$102,Assumptions!$B$3:$B$102,Cars!$C7,Assumptions!$G$3:$G$102,{"TRL","TRT"}))</f>
        <v>0</v>
      </c>
      <c r="AJ7" s="1" cm="1">
        <f ca="1" t="array" ref="AJ7">SUM(SUMIFS(Assumptions!CJ$3:CJ$102,Assumptions!$B$3:$B$102,Cars!$C7,Assumptions!$G$3:$G$102,{"TRL","TRT"}))</f>
        <v>0.3298413375</v>
      </c>
      <c r="AK7" s="1" cm="1">
        <f ca="1" t="array" ref="AK7">SUM(SUMIFS(Assumptions!CK$3:CK$102,Assumptions!$B$3:$B$102,Cars!$C7,Assumptions!$G$3:$G$102,{"TRL","TRT"}))</f>
        <v>0</v>
      </c>
      <c r="AL7" s="1" cm="1">
        <f ca="1" t="array" ref="AL7">SUM(SUMIFS(Assumptions!CL$3:CL$102,Assumptions!$B$3:$B$102,Cars!$C7,Assumptions!$G$3:$G$102,{"TRL","TRT"}))</f>
        <v>0</v>
      </c>
      <c r="AM7" s="1" cm="1">
        <f ca="1" t="array" ref="AM7">SUM(SUMIFS(Assumptions!CM$3:CM$102,Assumptions!$B$3:$B$102,Cars!$C7,Assumptions!$G$3:$G$102,{"TRL","TRT"}))</f>
        <v>0</v>
      </c>
      <c r="AN7" s="1" cm="1">
        <f ca="1" t="array" ref="AN7">SUM(SUMIFS(Assumptions!CN$3:CN$102,Assumptions!$B$3:$B$102,Cars!$C7,Assumptions!$G$3:$G$102,{"TRL","TRT"}))</f>
        <v>0</v>
      </c>
      <c r="AO7" s="1" cm="1">
        <f ca="1" t="array" ref="AO7">SUM(SUMIFS(Assumptions!CO$3:CO$102,Assumptions!$B$3:$B$102,Cars!$C7,Assumptions!$G$3:$G$102,{"TRL","TRT"}))</f>
        <v>0</v>
      </c>
      <c r="AP7" s="1" cm="1">
        <f ca="1" t="array" ref="AP7">SUM(SUMIFS(Assumptions!CP$3:CP$102,Assumptions!$B$3:$B$102,Cars!$C7,Assumptions!$G$3:$G$102,{"TRL","TRT"}))</f>
        <v>0</v>
      </c>
      <c r="AQ7" s="1" cm="1">
        <f ca="1" t="array" ref="AQ7">SUM(SUMIFS(Assumptions!CQ$3:CQ$102,Assumptions!$B$3:$B$102,Cars!$C7,Assumptions!$G$3:$G$102,{"TRL","TRT"}))</f>
        <v>0</v>
      </c>
      <c r="AR7" s="1" cm="1">
        <f ca="1" t="array" ref="AR7">SUM(SUMIFS(Assumptions!CR$3:CR$102,Assumptions!$B$3:$B$102,Cars!$C7,Assumptions!$G$3:$G$102,{"TRL","TRT"}))</f>
        <v>0</v>
      </c>
      <c r="AS7" s="1" cm="1">
        <f ca="1" t="array" ref="AS7">SUM(SUMIFS(Assumptions!CS$3:CS$102,Assumptions!$B$3:$B$102,Cars!$C7,Assumptions!$G$3:$G$102,{"TRL","TRT"}))</f>
        <v>0</v>
      </c>
      <c r="AT7" s="1" cm="1">
        <f ca="1" t="array" ref="AT7">SUM(SUMIFS(Assumptions!CT$3:CT$102,Assumptions!$B$3:$B$102,Cars!$C7,Assumptions!$G$3:$G$102,{"TRL","TRT"}))</f>
        <v>0</v>
      </c>
      <c r="AU7" s="1" cm="1">
        <f ca="1" t="array" ref="AU7">SUM(SUMIFS(Assumptions!CU$3:CU$102,Assumptions!$B$3:$B$102,Cars!$C7,Assumptions!$G$3:$G$102,{"TRL","TRT"}))</f>
        <v>0</v>
      </c>
      <c r="AV7" s="1" cm="1">
        <f ca="1" t="array" ref="AV7">SUM(SUMIFS(Assumptions!CV$3:CV$102,Assumptions!$B$3:$B$102,Cars!$C7,Assumptions!$G$3:$G$102,{"TRL","TRT"}))</f>
        <v>0</v>
      </c>
      <c r="AW7" s="1" cm="1">
        <f ca="1" t="array" ref="AW7">SUM(SUMIFS(Assumptions!CW$3:CW$102,Assumptions!$B$3:$B$102,Cars!$C7,Assumptions!$G$3:$G$102,{"TRL","TRT"}))</f>
        <v>0</v>
      </c>
      <c r="AY7" s="1" t="s">
        <v>133</v>
      </c>
      <c r="BA7" t="str">
        <f t="shared" si="0"/>
        <v/>
      </c>
      <c r="BB7" t="str">
        <f t="shared" si="1"/>
        <v/>
      </c>
      <c r="BD7" t="str">
        <f t="shared" si="2"/>
        <v>*</v>
      </c>
      <c r="BE7">
        <f t="shared" si="3"/>
        <v>0</v>
      </c>
      <c r="BG7" t="s">
        <v>92</v>
      </c>
      <c r="BH7" t="s">
        <v>144</v>
      </c>
      <c r="BI7" t="s">
        <v>145</v>
      </c>
    </row>
    <row r="8" spans="1:61">
      <c r="A8" t="s">
        <v>78</v>
      </c>
      <c r="C8" s="43" t="s">
        <v>66</v>
      </c>
      <c r="D8" s="1" cm="1">
        <f ca="1" t="array" ref="D8">SUM(SUMIFS(Assumptions!BD$3:BD$102,Assumptions!$B$3:$B$102,Cars!$C8,Assumptions!$G$3:$G$102,{"TRL","TRT"}))</f>
        <v>393.61866156162</v>
      </c>
      <c r="E8" s="1" cm="1">
        <f ca="1" t="array" ref="E8">SUM(SUMIFS(Assumptions!BE$3:BE$102,Assumptions!$B$3:$B$102,Cars!$C8,Assumptions!$G$3:$G$102,{"TRL","TRT"}))</f>
        <v>683.51369734692</v>
      </c>
      <c r="F8" s="1" cm="1">
        <f ca="1" t="array" ref="F8">SUM(SUMIFS(Assumptions!BF$3:BF$102,Assumptions!$B$3:$B$102,Cars!$C8,Assumptions!$G$3:$G$102,{"TRL","TRT"}))</f>
        <v>501.78905923981</v>
      </c>
      <c r="G8" s="1" cm="1">
        <f ca="1" t="array" ref="G8">SUM(SUMIFS(Assumptions!BG$3:BG$102,Assumptions!$B$3:$B$102,Cars!$C8,Assumptions!$G$3:$G$102,{"TRL","TRT"}))</f>
        <v>66.4951769741714</v>
      </c>
      <c r="H8" s="1" cm="1">
        <f ca="1" t="array" ref="H8">SUM(SUMIFS(Assumptions!BH$3:BH$102,Assumptions!$B$3:$B$102,Cars!$C8,Assumptions!$G$3:$G$102,{"TRL","TRT"}))</f>
        <v>19.8363215818152</v>
      </c>
      <c r="I8" s="1" cm="1">
        <f ca="1" t="array" ref="I8">SUM(SUMIFS(Assumptions!BI$3:BI$102,Assumptions!$B$3:$B$102,Cars!$C8,Assumptions!$G$3:$G$102,{"TRL","TRT"}))</f>
        <v>257.275930359132</v>
      </c>
      <c r="J8" s="1" cm="1">
        <f ca="1" t="array" ref="J8">SUM(SUMIFS(Assumptions!BJ$3:BJ$102,Assumptions!$B$3:$B$102,Cars!$C8,Assumptions!$G$3:$G$102,{"TRL","TRT"}))</f>
        <v>792.196383214807</v>
      </c>
      <c r="K8" s="1" cm="1">
        <f ca="1" t="array" ref="K8">SUM(SUMIFS(Assumptions!BK$3:BK$102,Assumptions!$B$3:$B$102,Cars!$C8,Assumptions!$G$3:$G$102,{"TRL","TRT"}))</f>
        <v>4861.53473723244</v>
      </c>
      <c r="L8" s="1" cm="1">
        <f ca="1" t="array" ref="L8">SUM(SUMIFS(Assumptions!BL$3:BL$102,Assumptions!$B$3:$B$102,Cars!$C8,Assumptions!$G$3:$G$102,{"TRL","TRT"}))</f>
        <v>33.1503761119608</v>
      </c>
      <c r="M8" s="1" cm="1">
        <f ca="1" t="array" ref="M8">SUM(SUMIFS(Assumptions!BM$3:BM$102,Assumptions!$B$3:$B$102,Cars!$C8,Assumptions!$G$3:$G$102,{"TRL","TRT"}))</f>
        <v>78.586202254392</v>
      </c>
      <c r="N8" s="1" cm="1">
        <f ca="1" t="array" ref="N8">SUM(SUMIFS(Assumptions!BN$3:BN$102,Assumptions!$B$3:$B$102,Cars!$C8,Assumptions!$G$3:$G$102,{"TRL","TRT"}))</f>
        <v>316.037835579086</v>
      </c>
      <c r="O8" s="1" cm="1">
        <f ca="1" t="array" ref="O8">SUM(SUMIFS(Assumptions!BO$3:BO$102,Assumptions!$B$3:$B$102,Cars!$C8,Assumptions!$G$3:$G$102,{"TRL","TRT"}))</f>
        <v>693.92430338374</v>
      </c>
      <c r="P8" s="1" cm="1">
        <f ca="1" t="array" ref="P8">SUM(SUMIFS(Assumptions!BP$3:BP$102,Assumptions!$B$3:$B$102,Cars!$C8,Assumptions!$G$3:$G$102,{"TRL","TRT"}))</f>
        <v>108.52861003481</v>
      </c>
      <c r="Q8" s="1" cm="1">
        <f ca="1" t="array" ref="Q8">SUM(SUMIFS(Assumptions!BQ$3:BQ$102,Assumptions!$B$3:$B$102,Cars!$C8,Assumptions!$G$3:$G$102,{"TRL","TRT"}))</f>
        <v>122.481155125829</v>
      </c>
      <c r="R8" s="1" cm="1">
        <f ca="1" t="array" ref="R8">SUM(SUMIFS(Assumptions!BR$3:BR$102,Assumptions!$B$3:$B$102,Cars!$C8,Assumptions!$G$3:$G$102,{"TRL","TRT"}))</f>
        <v>5.01731496760428</v>
      </c>
      <c r="S8" s="1" cm="1">
        <f ca="1" t="array" ref="S8">SUM(SUMIFS(Assumptions!BS$3:BS$102,Assumptions!$B$3:$B$102,Cars!$C8,Assumptions!$G$3:$G$102,{"TRL","TRT"}))</f>
        <v>671.4400007052</v>
      </c>
      <c r="T8" s="1" cm="1">
        <f ca="1" t="array" ref="T8">SUM(SUMIFS(Assumptions!BT$3:BT$102,Assumptions!$B$3:$B$102,Cars!$C8,Assumptions!$G$3:$G$102,{"TRL","TRT"}))</f>
        <v>30.9530451960418</v>
      </c>
      <c r="U8" s="1" cm="1">
        <f ca="1" t="array" ref="U8">SUM(SUMIFS(Assumptions!BU$3:BU$102,Assumptions!$B$3:$B$102,Cars!$C8,Assumptions!$G$3:$G$102,{"TRL","TRT"}))</f>
        <v>313.518489372614</v>
      </c>
      <c r="V8" s="1" cm="1">
        <f ca="1" t="array" ref="V8">SUM(SUMIFS(Assumptions!BV$3:BV$102,Assumptions!$B$3:$B$102,Cars!$C8,Assumptions!$G$3:$G$102,{"TRL","TRT"}))</f>
        <v>1404.69313983758</v>
      </c>
      <c r="W8" s="1" cm="1">
        <f ca="1" t="array" ref="W8">SUM(SUMIFS(Assumptions!BW$3:BW$102,Assumptions!$B$3:$B$102,Cars!$C8,Assumptions!$G$3:$G$102,{"TRL","TRT"}))</f>
        <v>1506.27132356849</v>
      </c>
      <c r="X8" s="1" cm="1">
        <f ca="1" t="array" ref="X8">SUM(SUMIFS(Assumptions!BX$3:BX$102,Assumptions!$B$3:$B$102,Cars!$C8,Assumptions!$G$3:$G$102,{"TRL","TRT"}))</f>
        <v>1602.18462497524</v>
      </c>
      <c r="Y8" s="1" cm="1">
        <f ca="1" t="array" ref="Y8">SUM(SUMIFS(Assumptions!BY$3:BY$102,Assumptions!$B$3:$B$102,Cars!$C8,Assumptions!$G$3:$G$102,{"TRL","TRT"}))</f>
        <v>14648.4438487859</v>
      </c>
      <c r="Z8" s="1" cm="1">
        <f ca="1" t="array" ref="Z8">SUM(SUMIFS(Assumptions!BZ$3:BZ$102,Assumptions!$B$3:$B$102,Cars!$C8,Assumptions!$G$3:$G$102,{"TRL","TRT"}))</f>
        <v>26.7884036298886</v>
      </c>
      <c r="AA8" s="1" cm="1">
        <f ca="1" t="array" ref="AA8">SUM(SUMIFS(Assumptions!CA$3:CA$102,Assumptions!$B$3:$B$102,Cars!$C8,Assumptions!$G$3:$G$102,{"TRL","TRT"}))</f>
        <v>171.387497637619</v>
      </c>
      <c r="AB8" s="1" cm="1">
        <f ca="1" t="array" ref="AB8">SUM(SUMIFS(Assumptions!CB$3:CB$102,Assumptions!$B$3:$B$102,Cars!$C8,Assumptions!$G$3:$G$102,{"TRL","TRT"}))</f>
        <v>2487.65358203604</v>
      </c>
      <c r="AC8" s="1" cm="1">
        <f ca="1" t="array" ref="AC8">SUM(SUMIFS(Assumptions!CC$3:CC$102,Assumptions!$B$3:$B$102,Cars!$C8,Assumptions!$G$3:$G$102,{"TRL","TRT"}))</f>
        <v>1061.21933566775</v>
      </c>
      <c r="AD8" s="1" cm="1">
        <f ca="1" t="array" ref="AD8">SUM(SUMIFS(Assumptions!CD$3:CD$102,Assumptions!$B$3:$B$102,Cars!$C8,Assumptions!$G$3:$G$102,{"TRL","TRT"}))</f>
        <v>692.152697234023</v>
      </c>
      <c r="AE8" s="1" cm="1">
        <f ca="1" t="array" ref="AE8">SUM(SUMIFS(Assumptions!CE$3:CE$102,Assumptions!$B$3:$B$102,Cars!$C8,Assumptions!$G$3:$G$102,{"TRL","TRT"}))</f>
        <v>174.11594667192</v>
      </c>
      <c r="AF8" s="1" cm="1">
        <f ca="1" t="array" ref="AF8">SUM(SUMIFS(Assumptions!CF$3:CF$102,Assumptions!$B$3:$B$102,Cars!$C8,Assumptions!$G$3:$G$102,{"TRL","TRT"}))</f>
        <v>260.374485922991</v>
      </c>
      <c r="AG8" s="1" cm="1">
        <f ca="1" t="array" ref="AG8">SUM(SUMIFS(Assumptions!CG$3:CG$102,Assumptions!$B$3:$B$102,Cars!$C8,Assumptions!$G$3:$G$102,{"TRL","TRT"}))</f>
        <v>182.613600304067</v>
      </c>
      <c r="AH8" s="1" cm="1">
        <f ca="1" t="array" ref="AH8">SUM(SUMIFS(Assumptions!CH$3:CH$102,Assumptions!$B$3:$B$102,Cars!$C8,Assumptions!$G$3:$G$102,{"TRL","TRT"}))</f>
        <v>95.9083425034772</v>
      </c>
      <c r="AI8" s="1" cm="1">
        <f ca="1" t="array" ref="AI8">SUM(SUMIFS(Assumptions!CI$3:CI$102,Assumptions!$B$3:$B$102,Cars!$C8,Assumptions!$G$3:$G$102,{"TRL","TRT"}))</f>
        <v>67.4301311406576</v>
      </c>
      <c r="AJ8" s="1" cm="1">
        <f ca="1" t="array" ref="AJ8">SUM(SUMIFS(Assumptions!CJ$3:CJ$102,Assumptions!$B$3:$B$102,Cars!$C8,Assumptions!$G$3:$G$102,{"TRL","TRT"}))</f>
        <v>494.929898863464</v>
      </c>
      <c r="AK8" s="1" cm="1">
        <f ca="1" t="array" ref="AK8">SUM(SUMIFS(Assumptions!CK$3:CK$102,Assumptions!$B$3:$B$102,Cars!$C8,Assumptions!$G$3:$G$102,{"TRL","TRT"}))</f>
        <v>52.9252305126048</v>
      </c>
      <c r="AL8" s="1" cm="1">
        <f ca="1" t="array" ref="AL8">SUM(SUMIFS(Assumptions!CL$3:CL$102,Assumptions!$B$3:$B$102,Cars!$C8,Assumptions!$G$3:$G$102,{"TRL","TRT"}))</f>
        <v>34.5031440035688</v>
      </c>
      <c r="AM8" s="1" cm="1">
        <f ca="1" t="array" ref="AM8">SUM(SUMIFS(Assumptions!CM$3:CM$102,Assumptions!$B$3:$B$102,Cars!$C8,Assumptions!$G$3:$G$102,{"TRL","TRT"}))</f>
        <v>0</v>
      </c>
      <c r="AN8" s="1" cm="1">
        <f ca="1" t="array" ref="AN8">SUM(SUMIFS(Assumptions!CN$3:CN$102,Assumptions!$B$3:$B$102,Cars!$C8,Assumptions!$G$3:$G$102,{"TRL","TRT"}))</f>
        <v>0</v>
      </c>
      <c r="AO8" s="1" cm="1">
        <f ca="1" t="array" ref="AO8">SUM(SUMIFS(Assumptions!CO$3:CO$102,Assumptions!$B$3:$B$102,Cars!$C8,Assumptions!$G$3:$G$102,{"TRL","TRT"}))</f>
        <v>0</v>
      </c>
      <c r="AP8" s="1" cm="1">
        <f ca="1" t="array" ref="AP8">SUM(SUMIFS(Assumptions!CP$3:CP$102,Assumptions!$B$3:$B$102,Cars!$C8,Assumptions!$G$3:$G$102,{"TRL","TRT"}))</f>
        <v>0</v>
      </c>
      <c r="AQ8" s="1" cm="1">
        <f ca="1" t="array" ref="AQ8">SUM(SUMIFS(Assumptions!CQ$3:CQ$102,Assumptions!$B$3:$B$102,Cars!$C8,Assumptions!$G$3:$G$102,{"TRL","TRT"}))</f>
        <v>0</v>
      </c>
      <c r="AR8" s="1" cm="1">
        <f ca="1" t="array" ref="AR8">SUM(SUMIFS(Assumptions!CR$3:CR$102,Assumptions!$B$3:$B$102,Cars!$C8,Assumptions!$G$3:$G$102,{"TRL","TRT"}))</f>
        <v>0</v>
      </c>
      <c r="AS8" s="1" cm="1">
        <f ca="1" t="array" ref="AS8">SUM(SUMIFS(Assumptions!CS$3:CS$102,Assumptions!$B$3:$B$102,Cars!$C8,Assumptions!$G$3:$G$102,{"TRL","TRT"}))</f>
        <v>0</v>
      </c>
      <c r="AT8" s="1" cm="1">
        <f ca="1" t="array" ref="AT8">SUM(SUMIFS(Assumptions!CT$3:CT$102,Assumptions!$B$3:$B$102,Cars!$C8,Assumptions!$G$3:$G$102,{"TRL","TRT"}))</f>
        <v>0</v>
      </c>
      <c r="AU8" s="1" cm="1">
        <f ca="1" t="array" ref="AU8">SUM(SUMIFS(Assumptions!CU$3:CU$102,Assumptions!$B$3:$B$102,Cars!$C8,Assumptions!$G$3:$G$102,{"TRL","TRT"}))</f>
        <v>0</v>
      </c>
      <c r="AV8" s="1" cm="1">
        <f ca="1" t="array" ref="AV8">SUM(SUMIFS(Assumptions!CV$3:CV$102,Assumptions!$B$3:$B$102,Cars!$C8,Assumptions!$G$3:$G$102,{"TRL","TRT"}))</f>
        <v>0</v>
      </c>
      <c r="AW8" s="1" cm="1">
        <f ca="1" t="array" ref="AW8">SUM(SUMIFS(Assumptions!CW$3:CW$102,Assumptions!$B$3:$B$102,Cars!$C8,Assumptions!$G$3:$G$102,{"TRL","TRT"}))</f>
        <v>0</v>
      </c>
      <c r="AY8" s="1" t="s">
        <v>133</v>
      </c>
      <c r="BA8" t="str">
        <f t="shared" si="0"/>
        <v/>
      </c>
      <c r="BB8" t="str">
        <f t="shared" si="1"/>
        <v/>
      </c>
      <c r="BD8" t="str">
        <f t="shared" si="2"/>
        <v>*</v>
      </c>
      <c r="BE8">
        <f t="shared" si="3"/>
        <v>0</v>
      </c>
      <c r="BG8" t="s">
        <v>92</v>
      </c>
      <c r="BH8" t="s">
        <v>144</v>
      </c>
      <c r="BI8" t="s">
        <v>145</v>
      </c>
    </row>
    <row r="9" spans="1:61">
      <c r="A9" t="s">
        <v>78</v>
      </c>
      <c r="C9" s="43" t="s">
        <v>74</v>
      </c>
      <c r="D9" s="1" cm="1">
        <f ca="1" t="array" ref="D9">SUM(SUMIFS(Assumptions!BD$3:BD$102,Assumptions!$B$3:$B$102,Cars!$C9,Assumptions!$G$3:$G$102,{"TRL","TRT"}))</f>
        <v>25.76399547528</v>
      </c>
      <c r="E9" s="1" cm="1">
        <f ca="1" t="array" ref="E9">SUM(SUMIFS(Assumptions!BE$3:BE$102,Assumptions!$B$3:$B$102,Cars!$C9,Assumptions!$G$3:$G$102,{"TRL","TRT"}))</f>
        <v>0.01478610288</v>
      </c>
      <c r="F9" s="1" cm="1">
        <f ca="1" t="array" ref="F9">SUM(SUMIFS(Assumptions!BF$3:BF$102,Assumptions!$B$3:$B$102,Cars!$C9,Assumptions!$G$3:$G$102,{"TRL","TRT"}))</f>
        <v>3.8019399237</v>
      </c>
      <c r="G9" s="1" cm="1">
        <f ca="1" t="array" ref="G9">SUM(SUMIFS(Assumptions!BG$3:BG$102,Assumptions!$B$3:$B$102,Cars!$C9,Assumptions!$G$3:$G$102,{"TRL","TRT"}))</f>
        <v>0.1645318197</v>
      </c>
      <c r="H9" s="1" cm="1">
        <f ca="1" t="array" ref="H9">SUM(SUMIFS(Assumptions!BH$3:BH$102,Assumptions!$B$3:$B$102,Cars!$C9,Assumptions!$G$3:$G$102,{"TRL","TRT"}))</f>
        <v>3.943408169448</v>
      </c>
      <c r="I9" s="1" cm="1">
        <f ca="1" t="array" ref="I9">SUM(SUMIFS(Assumptions!BI$3:BI$102,Assumptions!$B$3:$B$102,Cars!$C9,Assumptions!$G$3:$G$102,{"TRL","TRT"}))</f>
        <v>6.1417247301</v>
      </c>
      <c r="J9" s="1" cm="1">
        <f ca="1" t="array" ref="J9">SUM(SUMIFS(Assumptions!BJ$3:BJ$102,Assumptions!$B$3:$B$102,Cars!$C9,Assumptions!$G$3:$G$102,{"TRL","TRT"}))</f>
        <v>0</v>
      </c>
      <c r="K9" s="1" cm="1">
        <f ca="1" t="array" ref="K9">SUM(SUMIFS(Assumptions!BK$3:BK$102,Assumptions!$B$3:$B$102,Cars!$C9,Assumptions!$G$3:$G$102,{"TRL","TRT"}))</f>
        <v>31.32086297328</v>
      </c>
      <c r="L9" s="1" cm="1">
        <f ca="1" t="array" ref="L9">SUM(SUMIFS(Assumptions!BL$3:BL$102,Assumptions!$B$3:$B$102,Cars!$C9,Assumptions!$G$3:$G$102,{"TRL","TRT"}))</f>
        <v>2.103263347176</v>
      </c>
      <c r="M9" s="1" cm="1">
        <f ca="1" t="array" ref="M9">SUM(SUMIFS(Assumptions!BM$3:BM$102,Assumptions!$B$3:$B$102,Cars!$C9,Assumptions!$G$3:$G$102,{"TRL","TRT"}))</f>
        <v>2.307359547648</v>
      </c>
      <c r="N9" s="1" cm="1">
        <f ca="1" t="array" ref="N9">SUM(SUMIFS(Assumptions!BN$3:BN$102,Assumptions!$B$3:$B$102,Cars!$C9,Assumptions!$G$3:$G$102,{"TRL","TRT"}))</f>
        <v>1.8154236942</v>
      </c>
      <c r="O9" s="1" cm="1">
        <f ca="1" t="array" ref="O9">SUM(SUMIFS(Assumptions!BO$3:BO$102,Assumptions!$B$3:$B$102,Cars!$C9,Assumptions!$G$3:$G$102,{"TRL","TRT"}))</f>
        <v>11.6955002763</v>
      </c>
      <c r="P9" s="1" cm="1">
        <f ca="1" t="array" ref="P9">SUM(SUMIFS(Assumptions!BP$3:BP$102,Assumptions!$B$3:$B$102,Cars!$C9,Assumptions!$G$3:$G$102,{"TRL","TRT"}))</f>
        <v>7.5634521066</v>
      </c>
      <c r="Q9" s="1" cm="1">
        <f ca="1" t="array" ref="Q9">SUM(SUMIFS(Assumptions!BQ$3:BQ$102,Assumptions!$B$3:$B$102,Cars!$C9,Assumptions!$G$3:$G$102,{"TRL","TRT"}))</f>
        <v>13.290564061692</v>
      </c>
      <c r="R9" s="1" cm="1">
        <f ca="1" t="array" ref="R9">SUM(SUMIFS(Assumptions!BR$3:BR$102,Assumptions!$B$3:$B$102,Cars!$C9,Assumptions!$G$3:$G$102,{"TRL","TRT"}))</f>
        <v>0</v>
      </c>
      <c r="S9" s="1" cm="1">
        <f ca="1" t="array" ref="S9">SUM(SUMIFS(Assumptions!BS$3:BS$102,Assumptions!$B$3:$B$102,Cars!$C9,Assumptions!$G$3:$G$102,{"TRL","TRT"}))</f>
        <v>2.0327175675</v>
      </c>
      <c r="T9" s="1" cm="1">
        <f ca="1" t="array" ref="T9">SUM(SUMIFS(Assumptions!BT$3:BT$102,Assumptions!$B$3:$B$102,Cars!$C9,Assumptions!$G$3:$G$102,{"TRL","TRT"}))</f>
        <v>0.0498867687</v>
      </c>
      <c r="U9" s="1" cm="1">
        <f ca="1" t="array" ref="U9">SUM(SUMIFS(Assumptions!BU$3:BU$102,Assumptions!$B$3:$B$102,Cars!$C9,Assumptions!$G$3:$G$102,{"TRL","TRT"}))</f>
        <v>57.0538240029</v>
      </c>
      <c r="V9" s="1" cm="1">
        <f ca="1" t="array" ref="V9">SUM(SUMIFS(Assumptions!BV$3:BV$102,Assumptions!$B$3:$B$102,Cars!$C9,Assumptions!$G$3:$G$102,{"TRL","TRT"}))</f>
        <v>17.013516737688</v>
      </c>
      <c r="W9" s="1" cm="1">
        <f ca="1" t="array" ref="W9">SUM(SUMIFS(Assumptions!BW$3:BW$102,Assumptions!$B$3:$B$102,Cars!$C9,Assumptions!$G$3:$G$102,{"TRL","TRT"}))</f>
        <v>17.298570159</v>
      </c>
      <c r="X9" s="1" cm="1">
        <f ca="1" t="array" ref="X9">SUM(SUMIFS(Assumptions!BX$3:BX$102,Assumptions!$B$3:$B$102,Cars!$C9,Assumptions!$G$3:$G$102,{"TRL","TRT"}))</f>
        <v>1.68512084856</v>
      </c>
      <c r="Y9" s="1" cm="1">
        <f ca="1" t="array" ref="Y9">SUM(SUMIFS(Assumptions!BY$3:BY$102,Assumptions!$B$3:$B$102,Cars!$C9,Assumptions!$G$3:$G$102,{"TRL","TRT"}))</f>
        <v>53.0971095698131</v>
      </c>
      <c r="Z9" s="1" cm="1">
        <f ca="1" t="array" ref="Z9">SUM(SUMIFS(Assumptions!BZ$3:BZ$102,Assumptions!$B$3:$B$102,Cars!$C9,Assumptions!$G$3:$G$102,{"TRL","TRT"}))</f>
        <v>0.1610463087</v>
      </c>
      <c r="AA9" s="1" cm="1">
        <f ca="1" t="array" ref="AA9">SUM(SUMIFS(Assumptions!CA$3:CA$102,Assumptions!$B$3:$B$102,Cars!$C9,Assumptions!$G$3:$G$102,{"TRL","TRT"}))</f>
        <v>50.735699382348</v>
      </c>
      <c r="AB9" s="1" cm="1">
        <f ca="1" t="array" ref="AB9">SUM(SUMIFS(Assumptions!CB$3:CB$102,Assumptions!$B$3:$B$102,Cars!$C9,Assumptions!$G$3:$G$102,{"TRL","TRT"}))</f>
        <v>162.56222630676</v>
      </c>
      <c r="AC9" s="1" cm="1">
        <f ca="1" t="array" ref="AC9">SUM(SUMIFS(Assumptions!CC$3:CC$102,Assumptions!$B$3:$B$102,Cars!$C9,Assumptions!$G$3:$G$102,{"TRL","TRT"}))</f>
        <v>33.928157001744</v>
      </c>
      <c r="AD9" s="1" cm="1">
        <f ca="1" t="array" ref="AD9">SUM(SUMIFS(Assumptions!CD$3:CD$102,Assumptions!$B$3:$B$102,Cars!$C9,Assumptions!$G$3:$G$102,{"TRL","TRT"}))</f>
        <v>0</v>
      </c>
      <c r="AE9" s="1" cm="1">
        <f ca="1" t="array" ref="AE9">SUM(SUMIFS(Assumptions!CE$3:CE$102,Assumptions!$B$3:$B$102,Cars!$C9,Assumptions!$G$3:$G$102,{"TRL","TRT"}))</f>
        <v>0.392449698</v>
      </c>
      <c r="AF9" s="1" cm="1">
        <f ca="1" t="array" ref="AF9">SUM(SUMIFS(Assumptions!CF$3:CF$102,Assumptions!$B$3:$B$102,Cars!$C9,Assumptions!$G$3:$G$102,{"TRL","TRT"}))</f>
        <v>4.2493968468</v>
      </c>
      <c r="AG9" s="1" cm="1">
        <f ca="1" t="array" ref="AG9">SUM(SUMIFS(Assumptions!CG$3:CG$102,Assumptions!$B$3:$B$102,Cars!$C9,Assumptions!$G$3:$G$102,{"TRL","TRT"}))</f>
        <v>0</v>
      </c>
      <c r="AH9" s="1" cm="1">
        <f ca="1" t="array" ref="AH9">SUM(SUMIFS(Assumptions!CH$3:CH$102,Assumptions!$B$3:$B$102,Cars!$C9,Assumptions!$G$3:$G$102,{"TRL","TRT"}))</f>
        <v>0.0530614098</v>
      </c>
      <c r="AI9" s="1" cm="1">
        <f ca="1" t="array" ref="AI9">SUM(SUMIFS(Assumptions!CI$3:CI$102,Assumptions!$B$3:$B$102,Cars!$C9,Assumptions!$G$3:$G$102,{"TRL","TRT"}))</f>
        <v>92.570399208</v>
      </c>
      <c r="AJ9" s="1" cm="1">
        <f ca="1" t="array" ref="AJ9">SUM(SUMIFS(Assumptions!CJ$3:CJ$102,Assumptions!$B$3:$B$102,Cars!$C9,Assumptions!$G$3:$G$102,{"TRL","TRT"}))</f>
        <v>2.1734987175</v>
      </c>
      <c r="AK9" s="1" cm="1">
        <f ca="1" t="array" ref="AK9">SUM(SUMIFS(Assumptions!CK$3:CK$102,Assumptions!$B$3:$B$102,Cars!$C9,Assumptions!$G$3:$G$102,{"TRL","TRT"}))</f>
        <v>47.50057342494</v>
      </c>
      <c r="AL9" s="1" cm="1">
        <f ca="1" t="array" ref="AL9">SUM(SUMIFS(Assumptions!CL$3:CL$102,Assumptions!$B$3:$B$102,Cars!$C9,Assumptions!$G$3:$G$102,{"TRL","TRT"}))</f>
        <v>5.9743636803</v>
      </c>
      <c r="AM9" s="1" cm="1">
        <f ca="1" t="array" ref="AM9">SUM(SUMIFS(Assumptions!CM$3:CM$102,Assumptions!$B$3:$B$102,Cars!$C9,Assumptions!$G$3:$G$102,{"TRL","TRT"}))</f>
        <v>0</v>
      </c>
      <c r="AN9" s="1" cm="1">
        <f ca="1" t="array" ref="AN9">SUM(SUMIFS(Assumptions!CN$3:CN$102,Assumptions!$B$3:$B$102,Cars!$C9,Assumptions!$G$3:$G$102,{"TRL","TRT"}))</f>
        <v>0</v>
      </c>
      <c r="AO9" s="1" cm="1">
        <f ca="1" t="array" ref="AO9">SUM(SUMIFS(Assumptions!CO$3:CO$102,Assumptions!$B$3:$B$102,Cars!$C9,Assumptions!$G$3:$G$102,{"TRL","TRT"}))</f>
        <v>0</v>
      </c>
      <c r="AP9" s="1" cm="1">
        <f ca="1" t="array" ref="AP9">SUM(SUMIFS(Assumptions!CP$3:CP$102,Assumptions!$B$3:$B$102,Cars!$C9,Assumptions!$G$3:$G$102,{"TRL","TRT"}))</f>
        <v>0</v>
      </c>
      <c r="AQ9" s="1" cm="1">
        <f ca="1" t="array" ref="AQ9">SUM(SUMIFS(Assumptions!CQ$3:CQ$102,Assumptions!$B$3:$B$102,Cars!$C9,Assumptions!$G$3:$G$102,{"TRL","TRT"}))</f>
        <v>0</v>
      </c>
      <c r="AR9" s="1" cm="1">
        <f ca="1" t="array" ref="AR9">SUM(SUMIFS(Assumptions!CR$3:CR$102,Assumptions!$B$3:$B$102,Cars!$C9,Assumptions!$G$3:$G$102,{"TRL","TRT"}))</f>
        <v>0</v>
      </c>
      <c r="AS9" s="1" cm="1">
        <f ca="1" t="array" ref="AS9">SUM(SUMIFS(Assumptions!CS$3:CS$102,Assumptions!$B$3:$B$102,Cars!$C9,Assumptions!$G$3:$G$102,{"TRL","TRT"}))</f>
        <v>0</v>
      </c>
      <c r="AT9" s="1" cm="1">
        <f ca="1" t="array" ref="AT9">SUM(SUMIFS(Assumptions!CT$3:CT$102,Assumptions!$B$3:$B$102,Cars!$C9,Assumptions!$G$3:$G$102,{"TRL","TRT"}))</f>
        <v>0</v>
      </c>
      <c r="AU9" s="1" cm="1">
        <f ca="1" t="array" ref="AU9">SUM(SUMIFS(Assumptions!CU$3:CU$102,Assumptions!$B$3:$B$102,Cars!$C9,Assumptions!$G$3:$G$102,{"TRL","TRT"}))</f>
        <v>0</v>
      </c>
      <c r="AV9" s="1" cm="1">
        <f ca="1" t="array" ref="AV9">SUM(SUMIFS(Assumptions!CV$3:CV$102,Assumptions!$B$3:$B$102,Cars!$C9,Assumptions!$G$3:$G$102,{"TRL","TRT"}))</f>
        <v>0</v>
      </c>
      <c r="AW9" s="1" cm="1">
        <f ca="1" t="array" ref="AW9">SUM(SUMIFS(Assumptions!CW$3:CW$102,Assumptions!$B$3:$B$102,Cars!$C9,Assumptions!$G$3:$G$102,{"TRL","TRT"}))</f>
        <v>0</v>
      </c>
      <c r="AY9" s="1" t="s">
        <v>133</v>
      </c>
      <c r="BA9" t="str">
        <f t="shared" si="0"/>
        <v/>
      </c>
      <c r="BB9" t="str">
        <f t="shared" si="1"/>
        <v/>
      </c>
      <c r="BD9" t="str">
        <f t="shared" si="2"/>
        <v>*</v>
      </c>
      <c r="BE9">
        <f t="shared" si="3"/>
        <v>0</v>
      </c>
      <c r="BG9" t="s">
        <v>92</v>
      </c>
      <c r="BH9" t="s">
        <v>144</v>
      </c>
      <c r="BI9" t="s">
        <v>145</v>
      </c>
    </row>
    <row r="10" spans="1:61">
      <c r="A10" t="s">
        <v>78</v>
      </c>
      <c r="C10" s="43" t="s">
        <v>52</v>
      </c>
      <c r="D10" s="1" cm="1">
        <f ca="1" t="array" ref="D10">SUM(SUMIFS(Assumptions!BD$3:BD$102,Assumptions!$B$3:$B$102,Cars!$C10,Assumptions!$G$3:$G$102,{"TRL","TRT"}))</f>
        <v>5.0870132883</v>
      </c>
      <c r="E10" s="1" cm="1">
        <f ca="1" t="array" ref="E10">SUM(SUMIFS(Assumptions!BE$3:BE$102,Assumptions!$B$3:$B$102,Cars!$C10,Assumptions!$G$3:$G$102,{"TRL","TRT"}))</f>
        <v>0.0186720813</v>
      </c>
      <c r="F10" s="1" cm="1">
        <f ca="1" t="array" ref="F10">SUM(SUMIFS(Assumptions!BF$3:BF$102,Assumptions!$B$3:$B$102,Cars!$C10,Assumptions!$G$3:$G$102,{"TRL","TRT"}))</f>
        <v>0.7808633208</v>
      </c>
      <c r="G10" s="1" cm="1">
        <f ca="1" t="array" ref="G10">SUM(SUMIFS(Assumptions!BG$3:BG$102,Assumptions!$B$3:$B$102,Cars!$C10,Assumptions!$G$3:$G$102,{"TRL","TRT"}))</f>
        <v>0.5346789113952</v>
      </c>
      <c r="H10" s="1" cm="1">
        <f ca="1" t="array" ref="H10">SUM(SUMIFS(Assumptions!BH$3:BH$102,Assumptions!$B$3:$B$102,Cars!$C10,Assumptions!$G$3:$G$102,{"TRL","TRT"}))</f>
        <v>0.56297554992</v>
      </c>
      <c r="I10" s="1" cm="1">
        <f ca="1" t="array" ref="I10">SUM(SUMIFS(Assumptions!BI$3:BI$102,Assumptions!$B$3:$B$102,Cars!$C10,Assumptions!$G$3:$G$102,{"TRL","TRT"}))</f>
        <v>2.61675774558</v>
      </c>
      <c r="J10" s="1" cm="1">
        <f ca="1" t="array" ref="J10">SUM(SUMIFS(Assumptions!BJ$3:BJ$102,Assumptions!$B$3:$B$102,Cars!$C10,Assumptions!$G$3:$G$102,{"TRL","TRT"}))</f>
        <v>42.0865342128</v>
      </c>
      <c r="K10" s="1" cm="1">
        <f ca="1" t="array" ref="K10">SUM(SUMIFS(Assumptions!BK$3:BK$102,Assumptions!$B$3:$B$102,Cars!$C10,Assumptions!$G$3:$G$102,{"TRL","TRT"}))</f>
        <v>411.33613173696</v>
      </c>
      <c r="L10" s="1" cm="1">
        <f ca="1" t="array" ref="L10">SUM(SUMIFS(Assumptions!BL$3:BL$102,Assumptions!$B$3:$B$102,Cars!$C10,Assumptions!$G$3:$G$102,{"TRL","TRT"}))</f>
        <v>0</v>
      </c>
      <c r="M10" s="1" cm="1">
        <f ca="1" t="array" ref="M10">SUM(SUMIFS(Assumptions!BM$3:BM$102,Assumptions!$B$3:$B$102,Cars!$C10,Assumptions!$G$3:$G$102,{"TRL","TRT"}))</f>
        <v>0</v>
      </c>
      <c r="N10" s="1" cm="1">
        <f ca="1" t="array" ref="N10">SUM(SUMIFS(Assumptions!BN$3:BN$102,Assumptions!$B$3:$B$102,Cars!$C10,Assumptions!$G$3:$G$102,{"TRL","TRT"}))</f>
        <v>4.645831834116</v>
      </c>
      <c r="O10" s="1" cm="1">
        <f ca="1" t="array" ref="O10">SUM(SUMIFS(Assumptions!BO$3:BO$102,Assumptions!$B$3:$B$102,Cars!$C10,Assumptions!$G$3:$G$102,{"TRL","TRT"}))</f>
        <v>5.6855277866376</v>
      </c>
      <c r="P10" s="1" cm="1">
        <f ca="1" t="array" ref="P10">SUM(SUMIFS(Assumptions!BP$3:BP$102,Assumptions!$B$3:$B$102,Cars!$C10,Assumptions!$G$3:$G$102,{"TRL","TRT"}))</f>
        <v>0.510859184616</v>
      </c>
      <c r="Q10" s="1" cm="1">
        <f ca="1" t="array" ref="Q10">SUM(SUMIFS(Assumptions!BQ$3:BQ$102,Assumptions!$B$3:$B$102,Cars!$C10,Assumptions!$G$3:$G$102,{"TRL","TRT"}))</f>
        <v>0</v>
      </c>
      <c r="R10" s="1" cm="1">
        <f ca="1" t="array" ref="R10">SUM(SUMIFS(Assumptions!BR$3:BR$102,Assumptions!$B$3:$B$102,Cars!$C10,Assumptions!$G$3:$G$102,{"TRL","TRT"}))</f>
        <v>0.050768969328</v>
      </c>
      <c r="S10" s="1" cm="1">
        <f ca="1" t="array" ref="S10">SUM(SUMIFS(Assumptions!BS$3:BS$102,Assumptions!$B$3:$B$102,Cars!$C10,Assumptions!$G$3:$G$102,{"TRL","TRT"}))</f>
        <v>30.8451855528</v>
      </c>
      <c r="T10" s="1" cm="1">
        <f ca="1" t="array" ref="T10">SUM(SUMIFS(Assumptions!BT$3:BT$102,Assumptions!$B$3:$B$102,Cars!$C10,Assumptions!$G$3:$G$102,{"TRL","TRT"}))</f>
        <v>0</v>
      </c>
      <c r="U10" s="1" cm="1">
        <f ca="1" t="array" ref="U10">SUM(SUMIFS(Assumptions!BU$3:BU$102,Assumptions!$B$3:$B$102,Cars!$C10,Assumptions!$G$3:$G$102,{"TRL","TRT"}))</f>
        <v>27.4088159371224</v>
      </c>
      <c r="V10" s="1" cm="1">
        <f ca="1" t="array" ref="V10">SUM(SUMIFS(Assumptions!BV$3:BV$102,Assumptions!$B$3:$B$102,Cars!$C10,Assumptions!$G$3:$G$102,{"TRL","TRT"}))</f>
        <v>1.32905632662</v>
      </c>
      <c r="W10" s="1" cm="1">
        <f ca="1" t="array" ref="W10">SUM(SUMIFS(Assumptions!BW$3:BW$102,Assumptions!$B$3:$B$102,Cars!$C10,Assumptions!$G$3:$G$102,{"TRL","TRT"}))</f>
        <v>80.9409802428</v>
      </c>
      <c r="X10" s="1" cm="1">
        <f ca="1" t="array" ref="X10">SUM(SUMIFS(Assumptions!BX$3:BX$102,Assumptions!$B$3:$B$102,Cars!$C10,Assumptions!$G$3:$G$102,{"TRL","TRT"}))</f>
        <v>190.580203406182</v>
      </c>
      <c r="Y10" s="1" cm="1">
        <f ca="1" t="array" ref="Y10">SUM(SUMIFS(Assumptions!BY$3:BY$102,Assumptions!$B$3:$B$102,Cars!$C10,Assumptions!$G$3:$G$102,{"TRL","TRT"}))</f>
        <v>53.2163554123514</v>
      </c>
      <c r="Z10" s="1" cm="1">
        <f ca="1" t="array" ref="Z10">SUM(SUMIFS(Assumptions!BZ$3:BZ$102,Assumptions!$B$3:$B$102,Cars!$C10,Assumptions!$G$3:$G$102,{"TRL","TRT"}))</f>
        <v>1.6162207157448</v>
      </c>
      <c r="AA10" s="1" cm="1">
        <f ca="1" t="array" ref="AA10">SUM(SUMIFS(Assumptions!CA$3:CA$102,Assumptions!$B$3:$B$102,Cars!$C10,Assumptions!$G$3:$G$102,{"TRL","TRT"}))</f>
        <v>0</v>
      </c>
      <c r="AB10" s="1" cm="1">
        <f ca="1" t="array" ref="AB10">SUM(SUMIFS(Assumptions!CB$3:CB$102,Assumptions!$B$3:$B$102,Cars!$C10,Assumptions!$G$3:$G$102,{"TRL","TRT"}))</f>
        <v>328.40553221784</v>
      </c>
      <c r="AC10" s="1" cm="1">
        <f ca="1" t="array" ref="AC10">SUM(SUMIFS(Assumptions!CC$3:CC$102,Assumptions!$B$3:$B$102,Cars!$C10,Assumptions!$G$3:$G$102,{"TRL","TRT"}))</f>
        <v>6.2339316732</v>
      </c>
      <c r="AD10" s="1" cm="1">
        <f ca="1" t="array" ref="AD10">SUM(SUMIFS(Assumptions!CD$3:CD$102,Assumptions!$B$3:$B$102,Cars!$C10,Assumptions!$G$3:$G$102,{"TRL","TRT"}))</f>
        <v>0</v>
      </c>
      <c r="AE10" s="1" cm="1">
        <f ca="1" t="array" ref="AE10">SUM(SUMIFS(Assumptions!CE$3:CE$102,Assumptions!$B$3:$B$102,Cars!$C10,Assumptions!$G$3:$G$102,{"TRL","TRT"}))</f>
        <v>0.0018327717</v>
      </c>
      <c r="AF10" s="1" cm="1">
        <f ca="1" t="array" ref="AF10">SUM(SUMIFS(Assumptions!CF$3:CF$102,Assumptions!$B$3:$B$102,Cars!$C10,Assumptions!$G$3:$G$102,{"TRL","TRT"}))</f>
        <v>6.0480890415</v>
      </c>
      <c r="AG10" s="1" cm="1">
        <f ca="1" t="array" ref="AG10">SUM(SUMIFS(Assumptions!CG$3:CG$102,Assumptions!$B$3:$B$102,Cars!$C10,Assumptions!$G$3:$G$102,{"TRL","TRT"}))</f>
        <v>3.5982749720016</v>
      </c>
      <c r="AH10" s="1" cm="1">
        <f ca="1" t="array" ref="AH10">SUM(SUMIFS(Assumptions!CH$3:CH$102,Assumptions!$B$3:$B$102,Cars!$C10,Assumptions!$G$3:$G$102,{"TRL","TRT"}))</f>
        <v>0.3983479529832</v>
      </c>
      <c r="AI10" s="1" cm="1">
        <f ca="1" t="array" ref="AI10">SUM(SUMIFS(Assumptions!CI$3:CI$102,Assumptions!$B$3:$B$102,Cars!$C10,Assumptions!$G$3:$G$102,{"TRL","TRT"}))</f>
        <v>2.2803290895528</v>
      </c>
      <c r="AJ10" s="1" cm="1">
        <f ca="1" t="array" ref="AJ10">SUM(SUMIFS(Assumptions!CJ$3:CJ$102,Assumptions!$B$3:$B$102,Cars!$C10,Assumptions!$G$3:$G$102,{"TRL","TRT"}))</f>
        <v>0.3885368068296</v>
      </c>
      <c r="AK10" s="1" cm="1">
        <f ca="1" t="array" ref="AK10">SUM(SUMIFS(Assumptions!CK$3:CK$102,Assumptions!$B$3:$B$102,Cars!$C10,Assumptions!$G$3:$G$102,{"TRL","TRT"}))</f>
        <v>0.94184954892</v>
      </c>
      <c r="AL10" s="1" cm="1">
        <f ca="1" t="array" ref="AL10">SUM(SUMIFS(Assumptions!CL$3:CL$102,Assumptions!$B$3:$B$102,Cars!$C10,Assumptions!$G$3:$G$102,{"TRL","TRT"}))</f>
        <v>0</v>
      </c>
      <c r="AM10" s="1" cm="1">
        <f ca="1" t="array" ref="AM10">SUM(SUMIFS(Assumptions!CM$3:CM$102,Assumptions!$B$3:$B$102,Cars!$C10,Assumptions!$G$3:$G$102,{"TRL","TRT"}))</f>
        <v>0</v>
      </c>
      <c r="AN10" s="1" cm="1">
        <f ca="1" t="array" ref="AN10">SUM(SUMIFS(Assumptions!CN$3:CN$102,Assumptions!$B$3:$B$102,Cars!$C10,Assumptions!$G$3:$G$102,{"TRL","TRT"}))</f>
        <v>0</v>
      </c>
      <c r="AO10" s="1" cm="1">
        <f ca="1" t="array" ref="AO10">SUM(SUMIFS(Assumptions!CO$3:CO$102,Assumptions!$B$3:$B$102,Cars!$C10,Assumptions!$G$3:$G$102,{"TRL","TRT"}))</f>
        <v>0</v>
      </c>
      <c r="AP10" s="1" cm="1">
        <f ca="1" t="array" ref="AP10">SUM(SUMIFS(Assumptions!CP$3:CP$102,Assumptions!$B$3:$B$102,Cars!$C10,Assumptions!$G$3:$G$102,{"TRL","TRT"}))</f>
        <v>0</v>
      </c>
      <c r="AQ10" s="1" cm="1">
        <f ca="1" t="array" ref="AQ10">SUM(SUMIFS(Assumptions!CQ$3:CQ$102,Assumptions!$B$3:$B$102,Cars!$C10,Assumptions!$G$3:$G$102,{"TRL","TRT"}))</f>
        <v>0</v>
      </c>
      <c r="AR10" s="1" cm="1">
        <f ca="1" t="array" ref="AR10">SUM(SUMIFS(Assumptions!CR$3:CR$102,Assumptions!$B$3:$B$102,Cars!$C10,Assumptions!$G$3:$G$102,{"TRL","TRT"}))</f>
        <v>0</v>
      </c>
      <c r="AS10" s="1" cm="1">
        <f ca="1" t="array" ref="AS10">SUM(SUMIFS(Assumptions!CS$3:CS$102,Assumptions!$B$3:$B$102,Cars!$C10,Assumptions!$G$3:$G$102,{"TRL","TRT"}))</f>
        <v>0</v>
      </c>
      <c r="AT10" s="1" cm="1">
        <f ca="1" t="array" ref="AT10">SUM(SUMIFS(Assumptions!CT$3:CT$102,Assumptions!$B$3:$B$102,Cars!$C10,Assumptions!$G$3:$G$102,{"TRL","TRT"}))</f>
        <v>0</v>
      </c>
      <c r="AU10" s="1" cm="1">
        <f ca="1" t="array" ref="AU10">SUM(SUMIFS(Assumptions!CU$3:CU$102,Assumptions!$B$3:$B$102,Cars!$C10,Assumptions!$G$3:$G$102,{"TRL","TRT"}))</f>
        <v>0</v>
      </c>
      <c r="AV10" s="1" cm="1">
        <f ca="1" t="array" ref="AV10">SUM(SUMIFS(Assumptions!CV$3:CV$102,Assumptions!$B$3:$B$102,Cars!$C10,Assumptions!$G$3:$G$102,{"TRL","TRT"}))</f>
        <v>0</v>
      </c>
      <c r="AW10" s="1" cm="1">
        <f ca="1" t="array" ref="AW10">SUM(SUMIFS(Assumptions!CW$3:CW$102,Assumptions!$B$3:$B$102,Cars!$C10,Assumptions!$G$3:$G$102,{"TRL","TRT"}))</f>
        <v>0</v>
      </c>
      <c r="AY10" s="1" t="s">
        <v>133</v>
      </c>
      <c r="BA10" t="str">
        <f t="shared" si="0"/>
        <v/>
      </c>
      <c r="BB10" t="str">
        <f t="shared" si="1"/>
        <v/>
      </c>
      <c r="BD10" t="str">
        <f t="shared" si="2"/>
        <v>*</v>
      </c>
      <c r="BE10">
        <f t="shared" si="3"/>
        <v>0</v>
      </c>
      <c r="BG10" t="s">
        <v>92</v>
      </c>
      <c r="BH10" t="s">
        <v>144</v>
      </c>
      <c r="BI10" t="s">
        <v>145</v>
      </c>
    </row>
    <row r="11" spans="1:61">
      <c r="A11" s="101" t="s">
        <v>146</v>
      </c>
      <c r="B11" s="101"/>
      <c r="D11" s="102">
        <f ca="1">SUM(D$4:D$10)/SUM($D$4:$AJ$10)</f>
        <v>0.0132029747391462</v>
      </c>
      <c r="E11" s="102">
        <f ca="1" t="shared" ref="E11:AW11" si="4">SUM(E$4:E$10)/SUM($D$4:$AJ$10)</f>
        <v>0.0192834711490674</v>
      </c>
      <c r="F11" s="102">
        <f ca="1" t="shared" si="4"/>
        <v>0.0127651174062154</v>
      </c>
      <c r="G11" s="102">
        <f ca="1" t="shared" si="4"/>
        <v>0.00301937509417392</v>
      </c>
      <c r="H11" s="102">
        <f ca="1" t="shared" si="4"/>
        <v>0.000755085743719365</v>
      </c>
      <c r="I11" s="102">
        <f ca="1" t="shared" si="4"/>
        <v>0.00945593348443008</v>
      </c>
      <c r="J11" s="102">
        <f ca="1" t="shared" si="4"/>
        <v>0.0241277815313384</v>
      </c>
      <c r="K11" s="102">
        <f ca="1" t="shared" si="4"/>
        <v>0.135808657129017</v>
      </c>
      <c r="L11" s="102">
        <f ca="1" t="shared" si="4"/>
        <v>0.00149435653042797</v>
      </c>
      <c r="M11" s="102">
        <f ca="1" t="shared" si="4"/>
        <v>0.00334908535045536</v>
      </c>
      <c r="N11" s="102">
        <f ca="1" t="shared" si="4"/>
        <v>0.0148184417772797</v>
      </c>
      <c r="O11" s="102">
        <f ca="1" t="shared" si="4"/>
        <v>0.0247776683203457</v>
      </c>
      <c r="P11" s="102">
        <f ca="1" t="shared" si="4"/>
        <v>0.00346356891682243</v>
      </c>
      <c r="Q11" s="102">
        <f ca="1" t="shared" si="4"/>
        <v>0.00545998422747977</v>
      </c>
      <c r="R11" s="102">
        <f ca="1" t="shared" si="4"/>
        <v>0.000166594728685476</v>
      </c>
      <c r="S11" s="102">
        <f ca="1" t="shared" si="4"/>
        <v>0.0286141798088118</v>
      </c>
      <c r="T11" s="102">
        <f ca="1" t="shared" si="4"/>
        <v>0.00140620509498266</v>
      </c>
      <c r="U11" s="102">
        <f ca="1" t="shared" si="4"/>
        <v>0.0145084207589771</v>
      </c>
      <c r="V11" s="102">
        <f ca="1" t="shared" si="4"/>
        <v>0.0361891597986599</v>
      </c>
      <c r="W11" s="102">
        <f ca="1" t="shared" si="4"/>
        <v>0.0422014356344497</v>
      </c>
      <c r="X11" s="102">
        <f ca="1" t="shared" si="4"/>
        <v>0.0479203450819316</v>
      </c>
      <c r="Y11" s="102">
        <f ca="1" t="shared" si="4"/>
        <v>0.36775361230328</v>
      </c>
      <c r="Z11" s="102">
        <f ca="1" t="shared" si="4"/>
        <v>0.00124635827512636</v>
      </c>
      <c r="AA11" s="102">
        <f ca="1" t="shared" si="4"/>
        <v>0.00856989327126998</v>
      </c>
      <c r="AB11" s="102">
        <f ca="1" t="shared" si="4"/>
        <v>0.0819060953576855</v>
      </c>
      <c r="AC11" s="102">
        <f ca="1" t="shared" si="4"/>
        <v>0.0280107008668003</v>
      </c>
      <c r="AD11" s="102">
        <f ca="1" t="shared" si="4"/>
        <v>0.0191593130612685</v>
      </c>
      <c r="AE11" s="102">
        <f ca="1" t="shared" si="4"/>
        <v>0.00515682738283424</v>
      </c>
      <c r="AF11" s="102">
        <f ca="1" t="shared" si="4"/>
        <v>0.0123330099441749</v>
      </c>
      <c r="AG11" s="102">
        <f ca="1" t="shared" si="4"/>
        <v>0.00654088443107925</v>
      </c>
      <c r="AH11" s="102">
        <f ca="1" t="shared" si="4"/>
        <v>0.00296700425006194</v>
      </c>
      <c r="AI11" s="102">
        <f ca="1" t="shared" si="4"/>
        <v>0.00603848860327142</v>
      </c>
      <c r="AJ11" s="102">
        <f ca="1" t="shared" si="4"/>
        <v>0.0175299699467308</v>
      </c>
      <c r="AK11" s="102">
        <f ca="1" t="shared" si="4"/>
        <v>0.00272249933082367</v>
      </c>
      <c r="AL11" s="102">
        <f ca="1" t="shared" si="4"/>
        <v>0.00194786024748562</v>
      </c>
      <c r="AM11" s="102">
        <f ca="1" t="shared" si="4"/>
        <v>0</v>
      </c>
      <c r="AN11" s="102">
        <f ca="1" t="shared" si="4"/>
        <v>0</v>
      </c>
      <c r="AO11" s="102">
        <f ca="1" t="shared" si="4"/>
        <v>0</v>
      </c>
      <c r="AP11" s="102">
        <f ca="1" t="shared" si="4"/>
        <v>0</v>
      </c>
      <c r="AQ11" s="102">
        <f ca="1" t="shared" si="4"/>
        <v>0</v>
      </c>
      <c r="AR11" s="102">
        <f ca="1" t="shared" si="4"/>
        <v>0</v>
      </c>
      <c r="AS11" s="102">
        <f ca="1" t="shared" si="4"/>
        <v>0</v>
      </c>
      <c r="AT11" s="102">
        <f ca="1" t="shared" si="4"/>
        <v>0</v>
      </c>
      <c r="AU11" s="102">
        <f ca="1" t="shared" si="4"/>
        <v>0</v>
      </c>
      <c r="AV11" s="102">
        <f ca="1" t="shared" si="4"/>
        <v>0</v>
      </c>
      <c r="AW11" s="102">
        <f ca="1" t="shared" si="4"/>
        <v>0</v>
      </c>
      <c r="AY11" s="1" t="s">
        <v>133</v>
      </c>
      <c r="BA11" t="str">
        <f t="shared" si="0"/>
        <v/>
      </c>
      <c r="BB11" t="str">
        <f t="shared" si="1"/>
        <v/>
      </c>
      <c r="BD11" t="str">
        <f t="shared" si="2"/>
        <v>*</v>
      </c>
      <c r="BE11">
        <f t="shared" si="3"/>
        <v>0</v>
      </c>
      <c r="BG11" t="s">
        <v>92</v>
      </c>
      <c r="BH11" t="s">
        <v>144</v>
      </c>
      <c r="BI11" t="s">
        <v>145</v>
      </c>
    </row>
    <row r="12" spans="1:61">
      <c r="C12" s="104">
        <f>SUM(D12:AW12)</f>
        <v>1082.923036215</v>
      </c>
      <c r="D12" s="109">
        <f>IFERROR('vehicle population data'!G45,"")</f>
        <v>16.4800992</v>
      </c>
      <c r="E12" s="109">
        <f>IFERROR('vehicle population data'!H45,"")</f>
        <v>12.6482135999998</v>
      </c>
      <c r="F12" s="109">
        <f>IFERROR('vehicle population data'!I45,"")</f>
        <v>14.6473468</v>
      </c>
      <c r="G12" s="109">
        <f>IFERROR('vehicle population data'!J45,"")</f>
        <v>4.98486559999999</v>
      </c>
      <c r="H12" s="109">
        <f>IFERROR('vehicle population data'!K45,"")</f>
        <v>2.1780474</v>
      </c>
      <c r="I12" s="109">
        <f>IFERROR('vehicle population data'!L45,"")</f>
        <v>15.0490338</v>
      </c>
      <c r="J12" s="109">
        <f>IFERROR('vehicle population data'!M45,"")</f>
        <v>42.6243614149998</v>
      </c>
      <c r="K12" s="109">
        <f>IFERROR('vehicle population data'!N45,"")</f>
        <v>194.584056600001</v>
      </c>
      <c r="L12" s="109">
        <f>IFERROR('vehicle population data'!O45,"")</f>
        <v>2.5679092</v>
      </c>
      <c r="M12" s="109">
        <f>IFERROR('vehicle population data'!P45,"")</f>
        <v>7.98474479999999</v>
      </c>
      <c r="N12" s="109">
        <f>IFERROR('vehicle population data'!Q45,"")</f>
        <v>32.38</v>
      </c>
      <c r="O12" s="109">
        <f>IFERROR('vehicle population data'!R45,"")</f>
        <v>47.0920378000002</v>
      </c>
      <c r="P12" s="109">
        <f>IFERROR('vehicle population data'!S45,"")</f>
        <v>5.483336</v>
      </c>
      <c r="Q12" s="109">
        <f>IFERROR('vehicle population data'!T45,"")</f>
        <v>12.9588342</v>
      </c>
      <c r="R12" s="109">
        <f>IFERROR('vehicle population data'!U45,"")</f>
        <v>0.243295199999999</v>
      </c>
      <c r="S12" s="109">
        <f>IFERROR('vehicle population data'!V45,"")</f>
        <v>29.8069999999998</v>
      </c>
      <c r="T12" s="109">
        <f>IFERROR('vehicle population data'!W45,"")</f>
        <v>2.0754794</v>
      </c>
      <c r="U12" s="109">
        <f>IFERROR('vehicle population data'!X45,"")</f>
        <v>37.7143818</v>
      </c>
      <c r="V12" s="109">
        <f>IFERROR('vehicle population data'!Y45,"")</f>
        <v>63.4862618</v>
      </c>
      <c r="W12" s="109">
        <f>IFERROR('vehicle population data'!Z45,"")</f>
        <v>36.8842047999997</v>
      </c>
      <c r="X12" s="109">
        <f>IFERROR('vehicle population data'!AA45,"")</f>
        <v>36.9907164000001</v>
      </c>
      <c r="Y12" s="109">
        <f>IFERROR('vehicle population data'!AB45,"")</f>
        <v>171.1145024</v>
      </c>
      <c r="Z12" s="109">
        <f>IFERROR('vehicle population data'!AC45,"")</f>
        <v>2.81525819999999</v>
      </c>
      <c r="AA12" s="109">
        <f>IFERROR('vehicle population data'!AD45,"")</f>
        <v>23.4451387999998</v>
      </c>
      <c r="AB12" s="109">
        <f>IFERROR('vehicle population data'!AE45,"")</f>
        <v>94.9020877999992</v>
      </c>
      <c r="AC12" s="109">
        <f>IFERROR('vehicle population data'!AF45,"")</f>
        <v>56.4102691999997</v>
      </c>
      <c r="AD12" s="109">
        <f>IFERROR('vehicle population data'!AG45,"")</f>
        <v>5.33590000000004</v>
      </c>
      <c r="AE12" s="109">
        <f>IFERROR('vehicle population data'!AH45,"")</f>
        <v>7.2811208</v>
      </c>
      <c r="AF12" s="109">
        <f>IFERROR('vehicle population data'!AI45,"")</f>
        <v>26.7525042</v>
      </c>
      <c r="AG12" s="109">
        <f>IFERROR('vehicle population data'!AJ45,"")</f>
        <v>10.1806072</v>
      </c>
      <c r="AH12" s="109">
        <f>IFERROR('vehicle population data'!AK45,"")</f>
        <v>4.79340359999998</v>
      </c>
      <c r="AI12" s="109">
        <f>IFERROR('vehicle population data'!AL45,"")</f>
        <v>12.9955884000001</v>
      </c>
      <c r="AJ12" s="109">
        <f>IFERROR('vehicle population data'!AM45,"")</f>
        <v>35.5147368</v>
      </c>
      <c r="AK12" s="109">
        <f>IFERROR('vehicle population data'!AN45,"")</f>
        <v>8.58574599999997</v>
      </c>
      <c r="AL12" s="109">
        <f>IFERROR('vehicle population data'!AO45,"")</f>
        <v>3.93194699999998</v>
      </c>
      <c r="AM12" s="109" t="str">
        <f>IFERROR('vehicle population data'!AP45,"")</f>
        <v/>
      </c>
      <c r="AN12" s="109" t="str">
        <f>IFERROR('vehicle population data'!AQ45,"")</f>
        <v/>
      </c>
      <c r="AO12" s="109" t="str">
        <f>IFERROR('vehicle population data'!AR45,"")</f>
        <v/>
      </c>
      <c r="AP12" s="109" t="str">
        <f>IFERROR('vehicle population data'!AS45,"")</f>
        <v/>
      </c>
      <c r="AQ12" s="109" t="str">
        <f>IFERROR('vehicle population data'!AT45,"")</f>
        <v/>
      </c>
      <c r="AR12" s="109" t="str">
        <f>IFERROR('vehicle population data'!AU45,"")</f>
        <v/>
      </c>
      <c r="AS12" s="109" t="str">
        <f>IFERROR('vehicle population data'!AV45,"")</f>
        <v/>
      </c>
      <c r="AT12" s="109" t="str">
        <f>IFERROR('vehicle population data'!AW45,"")</f>
        <v/>
      </c>
      <c r="AU12" s="109" t="str">
        <f>IFERROR('vehicle population data'!AX45,"")</f>
        <v/>
      </c>
      <c r="AV12" s="109">
        <f>IFERROR('vehicle population data'!AY45,"")</f>
        <v>0</v>
      </c>
      <c r="AW12" s="109">
        <f>IFERROR('vehicle population data'!AZ45,"")</f>
        <v>0</v>
      </c>
      <c r="AY12" s="1" t="s">
        <v>133</v>
      </c>
      <c r="BA12" t="str">
        <f t="shared" si="0"/>
        <v/>
      </c>
      <c r="BB12" t="str">
        <f t="shared" si="1"/>
        <v/>
      </c>
      <c r="BD12" t="str">
        <f t="shared" si="2"/>
        <v>*</v>
      </c>
      <c r="BE12">
        <f t="shared" si="3"/>
        <v>0</v>
      </c>
      <c r="BG12" t="s">
        <v>92</v>
      </c>
      <c r="BH12" t="s">
        <v>144</v>
      </c>
      <c r="BI12" t="s">
        <v>145</v>
      </c>
    </row>
    <row r="13" spans="1:61">
      <c r="A13" s="101" t="s">
        <v>147</v>
      </c>
      <c r="B13" s="101"/>
      <c r="C13" s="80">
        <f ca="1">SUM(D13:AW13)</f>
        <v>1360.5603</v>
      </c>
      <c r="D13" s="3">
        <f ca="1">SUM(D19:D25)</f>
        <v>21.38</v>
      </c>
      <c r="E13" s="3">
        <f ca="1" t="shared" ref="E13:U13" si="5">SUM(E19:E25)</f>
        <v>30.894</v>
      </c>
      <c r="F13" s="3">
        <f ca="1" t="shared" si="5"/>
        <v>20.188</v>
      </c>
      <c r="G13" s="3">
        <f ca="1" t="shared" si="5"/>
        <v>5.071</v>
      </c>
      <c r="H13" s="3">
        <f ca="1" t="shared" si="5"/>
        <v>1.223</v>
      </c>
      <c r="I13" s="3">
        <f ca="1" t="shared" si="5"/>
        <v>15.636</v>
      </c>
      <c r="J13" s="3">
        <f ca="1" t="shared" si="5"/>
        <v>38.641</v>
      </c>
      <c r="K13" s="3">
        <f ca="1" t="shared" si="5"/>
        <v>320.096</v>
      </c>
      <c r="L13" s="3">
        <f ca="1" t="shared" si="5"/>
        <v>2.486</v>
      </c>
      <c r="M13" s="3">
        <f ca="1" t="shared" si="5"/>
        <v>5.561</v>
      </c>
      <c r="N13" s="3">
        <f ca="1" t="shared" si="5"/>
        <v>24.906</v>
      </c>
      <c r="O13" s="3">
        <f ca="1" t="shared" si="5"/>
        <v>40.731</v>
      </c>
      <c r="P13" s="3">
        <f ca="1" t="shared" si="5"/>
        <v>5.587</v>
      </c>
      <c r="Q13" s="3">
        <f ca="1" t="shared" si="5"/>
        <v>9.055</v>
      </c>
      <c r="R13" s="3">
        <f ca="1" t="shared" si="5"/>
        <v>0.279</v>
      </c>
      <c r="S13" s="3">
        <f ca="1" t="shared" si="5"/>
        <v>47.35</v>
      </c>
      <c r="T13" s="3">
        <f ca="1" t="shared" si="5"/>
        <v>2.349</v>
      </c>
      <c r="U13" s="3">
        <f ca="1" t="shared" si="5"/>
        <v>23.822</v>
      </c>
      <c r="V13" s="3">
        <f ca="1" t="shared" ref="V13:AW13" si="6">SUM(V19:V25)</f>
        <v>57.326</v>
      </c>
      <c r="W13" s="3">
        <f ca="1" t="shared" si="6"/>
        <v>66.8013</v>
      </c>
      <c r="X13" s="3">
        <f ca="1" t="shared" si="6"/>
        <v>75.706</v>
      </c>
      <c r="Y13" s="3">
        <f ca="1" t="shared" si="6"/>
        <v>233.0335</v>
      </c>
      <c r="Z13" s="3">
        <f ca="1" t="shared" si="6"/>
        <v>2.237</v>
      </c>
      <c r="AA13" s="3">
        <f ca="1" t="shared" si="6"/>
        <v>14.198</v>
      </c>
      <c r="AB13" s="3">
        <f ca="1" t="shared" si="6"/>
        <v>129.995</v>
      </c>
      <c r="AC13" s="3">
        <f ca="1" t="shared" si="6"/>
        <v>44.324</v>
      </c>
      <c r="AD13" s="3">
        <f ca="1" t="shared" si="6"/>
        <v>30.628</v>
      </c>
      <c r="AE13" s="3">
        <f ca="1" t="shared" si="6"/>
        <v>8.3055</v>
      </c>
      <c r="AF13" s="3">
        <f ca="1" t="shared" si="6"/>
        <v>20.626</v>
      </c>
      <c r="AG13" s="3">
        <f ca="1" t="shared" si="6"/>
        <v>10.804</v>
      </c>
      <c r="AH13" s="3">
        <f ca="1" t="shared" si="6"/>
        <v>4.832</v>
      </c>
      <c r="AI13" s="3">
        <f ca="1" t="shared" si="6"/>
        <v>10.009</v>
      </c>
      <c r="AJ13" s="3">
        <f ca="1" t="shared" si="6"/>
        <v>28.837</v>
      </c>
      <c r="AK13" s="3">
        <f ca="1" t="shared" si="6"/>
        <v>4.371</v>
      </c>
      <c r="AL13" s="3">
        <f ca="1" t="shared" si="6"/>
        <v>3.272</v>
      </c>
      <c r="AM13" s="3">
        <f ca="1" t="shared" si="6"/>
        <v>0</v>
      </c>
      <c r="AN13" s="3">
        <f ca="1" t="shared" si="6"/>
        <v>0</v>
      </c>
      <c r="AO13" s="3">
        <f ca="1" t="shared" si="6"/>
        <v>0</v>
      </c>
      <c r="AP13" s="3">
        <f ca="1" t="shared" si="6"/>
        <v>0</v>
      </c>
      <c r="AQ13" s="3">
        <f ca="1" t="shared" si="6"/>
        <v>0</v>
      </c>
      <c r="AR13" s="3">
        <f ca="1" t="shared" si="6"/>
        <v>0</v>
      </c>
      <c r="AS13" s="3">
        <f ca="1" t="shared" si="6"/>
        <v>0</v>
      </c>
      <c r="AT13" s="3">
        <f ca="1" t="shared" si="6"/>
        <v>0</v>
      </c>
      <c r="AU13" s="3">
        <f ca="1" t="shared" si="6"/>
        <v>0</v>
      </c>
      <c r="AV13" s="3">
        <f ca="1" t="shared" si="6"/>
        <v>0</v>
      </c>
      <c r="AW13" s="3">
        <f ca="1" t="shared" si="6"/>
        <v>0</v>
      </c>
      <c r="AY13" s="1" t="s">
        <v>133</v>
      </c>
      <c r="BA13" t="str">
        <f t="shared" si="0"/>
        <v/>
      </c>
      <c r="BB13" t="str">
        <f t="shared" si="1"/>
        <v/>
      </c>
      <c r="BD13" t="str">
        <f t="shared" si="2"/>
        <v>*</v>
      </c>
      <c r="BE13">
        <f t="shared" si="3"/>
        <v>0</v>
      </c>
      <c r="BG13" t="s">
        <v>92</v>
      </c>
      <c r="BH13" t="s">
        <v>144</v>
      </c>
      <c r="BI13" t="s">
        <v>145</v>
      </c>
    </row>
    <row r="14" spans="1:61">
      <c r="A14" s="101" t="s">
        <v>148</v>
      </c>
      <c r="B14" s="101"/>
      <c r="D14" s="102">
        <f ca="1">D13/SUM($D$13:$AW$13)</f>
        <v>0.0157141142513125</v>
      </c>
      <c r="E14" s="102">
        <f ca="1" t="shared" ref="E14:AW14" si="7">E13/SUM($D$13:$AW$13)</f>
        <v>0.0227068215940153</v>
      </c>
      <c r="F14" s="102">
        <f ca="1" t="shared" si="7"/>
        <v>0.0148380046073665</v>
      </c>
      <c r="G14" s="102">
        <f ca="1" t="shared" si="7"/>
        <v>0.00372714094333048</v>
      </c>
      <c r="H14" s="102">
        <f ca="1" t="shared" si="7"/>
        <v>0.000898894374619045</v>
      </c>
      <c r="I14" s="102">
        <f ca="1" t="shared" si="7"/>
        <v>0.0114923241549823</v>
      </c>
      <c r="J14" s="102">
        <f ca="1" t="shared" si="7"/>
        <v>0.028400799288352</v>
      </c>
      <c r="K14" s="102">
        <f ca="1" t="shared" si="7"/>
        <v>0.235267779017218</v>
      </c>
      <c r="L14" s="102">
        <f ca="1" t="shared" si="7"/>
        <v>0.0018271884017195</v>
      </c>
      <c r="M14" s="102">
        <f ca="1" t="shared" si="7"/>
        <v>0.00408728668622772</v>
      </c>
      <c r="N14" s="102">
        <f ca="1" t="shared" si="7"/>
        <v>0.0183056936175486</v>
      </c>
      <c r="O14" s="102">
        <f ca="1" t="shared" si="7"/>
        <v>0.0299369311305056</v>
      </c>
      <c r="P14" s="102">
        <f ca="1" t="shared" si="7"/>
        <v>0.00410639646034064</v>
      </c>
      <c r="Q14" s="102">
        <f ca="1" t="shared" si="7"/>
        <v>0.0066553463304787</v>
      </c>
      <c r="R14" s="102">
        <f ca="1" t="shared" si="7"/>
        <v>0.00020506257605782</v>
      </c>
      <c r="S14" s="102">
        <f ca="1" t="shared" si="7"/>
        <v>0.0348018386248665</v>
      </c>
      <c r="T14" s="102">
        <f ca="1" t="shared" si="7"/>
        <v>0.00172649459197068</v>
      </c>
      <c r="U14" s="102">
        <f ca="1" t="shared" si="7"/>
        <v>0.0175089630353024</v>
      </c>
      <c r="V14" s="102">
        <f ca="1" t="shared" si="7"/>
        <v>0.0421341119537296</v>
      </c>
      <c r="W14" s="102">
        <f ca="1" t="shared" si="7"/>
        <v>0.0490983751326567</v>
      </c>
      <c r="X14" s="102">
        <f ca="1" t="shared" si="7"/>
        <v>0.0556432522689365</v>
      </c>
      <c r="Y14" s="102">
        <f ca="1" t="shared" si="7"/>
        <v>0.171277597913154</v>
      </c>
      <c r="Z14" s="102">
        <f ca="1" t="shared" si="7"/>
        <v>0.00164417556502273</v>
      </c>
      <c r="AA14" s="102">
        <f ca="1" t="shared" si="7"/>
        <v>0.0104354066482757</v>
      </c>
      <c r="AB14" s="102">
        <f ca="1" t="shared" si="7"/>
        <v>0.0955451956080153</v>
      </c>
      <c r="AC14" s="102">
        <f ca="1" t="shared" si="7"/>
        <v>0.032577754914648</v>
      </c>
      <c r="AD14" s="102">
        <f ca="1" t="shared" si="7"/>
        <v>0.022511313905014</v>
      </c>
      <c r="AE14" s="102">
        <f ca="1" t="shared" si="7"/>
        <v>0.00610447034210832</v>
      </c>
      <c r="AF14" s="102">
        <f ca="1" t="shared" si="7"/>
        <v>0.015159930802038</v>
      </c>
      <c r="AG14" s="102">
        <f ca="1" t="shared" si="7"/>
        <v>0.00794084613522826</v>
      </c>
      <c r="AH14" s="102">
        <f ca="1" t="shared" si="7"/>
        <v>0.00355147801975407</v>
      </c>
      <c r="AI14" s="102">
        <f ca="1" t="shared" si="7"/>
        <v>0.00735652804216028</v>
      </c>
      <c r="AJ14" s="102">
        <f ca="1" t="shared" si="7"/>
        <v>0.0211949444651589</v>
      </c>
      <c r="AK14" s="102">
        <f ca="1" t="shared" si="7"/>
        <v>0.00321264702490584</v>
      </c>
      <c r="AL14" s="102">
        <f ca="1" t="shared" si="7"/>
        <v>0.00240489157297916</v>
      </c>
      <c r="AM14" s="102">
        <f ca="1" t="shared" si="7"/>
        <v>0</v>
      </c>
      <c r="AN14" s="102">
        <f ca="1" t="shared" si="7"/>
        <v>0</v>
      </c>
      <c r="AO14" s="102">
        <f ca="1" t="shared" si="7"/>
        <v>0</v>
      </c>
      <c r="AP14" s="102">
        <f ca="1" t="shared" si="7"/>
        <v>0</v>
      </c>
      <c r="AQ14" s="102">
        <f ca="1" t="shared" si="7"/>
        <v>0</v>
      </c>
      <c r="AR14" s="102">
        <f ca="1" t="shared" si="7"/>
        <v>0</v>
      </c>
      <c r="AS14" s="102">
        <f ca="1" t="shared" si="7"/>
        <v>0</v>
      </c>
      <c r="AT14" s="102">
        <f ca="1" t="shared" si="7"/>
        <v>0</v>
      </c>
      <c r="AU14" s="102">
        <f ca="1" t="shared" si="7"/>
        <v>0</v>
      </c>
      <c r="AV14" s="102">
        <f ca="1" t="shared" si="7"/>
        <v>0</v>
      </c>
      <c r="AW14" s="102">
        <f ca="1" t="shared" si="7"/>
        <v>0</v>
      </c>
      <c r="AY14" s="1" t="s">
        <v>133</v>
      </c>
      <c r="BA14" t="str">
        <f t="shared" si="0"/>
        <v/>
      </c>
      <c r="BB14" t="str">
        <f t="shared" si="1"/>
        <v/>
      </c>
      <c r="BD14" t="str">
        <f t="shared" si="2"/>
        <v>*</v>
      </c>
      <c r="BE14">
        <f t="shared" si="3"/>
        <v>0</v>
      </c>
      <c r="BG14" t="s">
        <v>92</v>
      </c>
      <c r="BH14" t="s">
        <v>144</v>
      </c>
      <c r="BI14" t="s">
        <v>145</v>
      </c>
    </row>
    <row r="15" spans="1:61">
      <c r="A15" s="101"/>
      <c r="B15" s="101"/>
      <c r="D15" s="102">
        <f ca="1">D13/'non-road'!DB21</f>
        <v>0.107770217564277</v>
      </c>
      <c r="E15" s="102">
        <f ca="1">E13/'non-road'!DC21</f>
        <v>0.0297298690344417</v>
      </c>
      <c r="F15" s="102">
        <f ca="1">F13/'non-road'!DD21</f>
        <v>0.795877898106498</v>
      </c>
      <c r="G15" s="102">
        <f ca="1">G13/'non-road'!DE21</f>
        <v>0.571063703276606</v>
      </c>
      <c r="H15" s="102">
        <f ca="1">H13/'non-road'!DF21</f>
        <v>0.202655902539578</v>
      </c>
      <c r="I15" s="102">
        <f ca="1">I13/'non-road'!DG21</f>
        <v>0.530863466947893</v>
      </c>
      <c r="J15" s="102">
        <f ca="1">J13/'non-road'!DH21</f>
        <v>0.183089315328121</v>
      </c>
      <c r="K15" s="102">
        <f ca="1">K13/'non-road'!DI21</f>
        <v>0.229012963969894</v>
      </c>
      <c r="L15" s="102">
        <f ca="1">L13/'non-road'!DJ21</f>
        <v>0.403988533615876</v>
      </c>
      <c r="M15" s="102">
        <f ca="1">M13/'non-road'!DK21</f>
        <v>0.34484576198139</v>
      </c>
      <c r="N15" s="102">
        <f ca="1">N13/'non-road'!DL21</f>
        <v>0.370355500238666</v>
      </c>
      <c r="O15" s="102">
        <f ca="1">O13/'non-road'!DM21</f>
        <v>0.490185695545955</v>
      </c>
      <c r="P15" s="102">
        <f ca="1">P13/'non-road'!DN21</f>
        <v>0.468701369191882</v>
      </c>
      <c r="Q15" s="102">
        <f ca="1">Q13/'non-road'!DO21</f>
        <v>0.250702548555449</v>
      </c>
      <c r="R15" s="102">
        <f ca="1">R13/'non-road'!DP21</f>
        <v>0.773789878606513</v>
      </c>
      <c r="S15" s="102">
        <f ca="1">S13/'non-road'!DQ21</f>
        <v>0.0346525958343701</v>
      </c>
      <c r="T15" s="102">
        <f ca="1">T13/'non-road'!DR21</f>
        <v>0.476051508408419</v>
      </c>
      <c r="U15" s="102">
        <f ca="1">U13/'non-road'!DS21</f>
        <v>0.395496421057888</v>
      </c>
      <c r="V15" s="102">
        <f ca="1">V13/'non-road'!DT21</f>
        <v>0.45401338454837</v>
      </c>
      <c r="W15" s="102">
        <f ca="1">W13/'non-road'!DU21</f>
        <v>0.216310398815571</v>
      </c>
      <c r="X15" s="102">
        <f ca="1">X13/'non-road'!DV21</f>
        <v>0.340132065913898</v>
      </c>
      <c r="Y15" s="102">
        <f ca="1">Y13/'non-road'!DW21</f>
        <v>0.472206247869805</v>
      </c>
      <c r="Z15" s="102">
        <f ca="1">Z13/'non-road'!DX21</f>
        <v>0.418295031694684</v>
      </c>
      <c r="AA15" s="102">
        <f ca="1">AA13/'non-road'!DY21</f>
        <v>0.373971105345643</v>
      </c>
      <c r="AB15" s="102">
        <f ca="1">AB13/'non-road'!DZ21</f>
        <v>0.0963309528981275</v>
      </c>
      <c r="AC15" s="102">
        <f ca="1">AC13/'non-road'!EA21</f>
        <v>0.288147774223568</v>
      </c>
      <c r="AD15" s="102">
        <f ca="1">AD13/'non-road'!EB21</f>
        <v>0.893765411383632</v>
      </c>
      <c r="AE15" s="102">
        <f ca="1">AE13/'non-road'!EC21</f>
        <v>0.141833010862679</v>
      </c>
      <c r="AF15" s="102">
        <f ca="1">AF13/'non-road'!ED21</f>
        <v>0.359214069014521</v>
      </c>
      <c r="AG15" s="102">
        <f ca="1">AG13/'non-road'!EE21</f>
        <v>0.499839694137339</v>
      </c>
      <c r="AH15" s="102">
        <f ca="1">AH13/'non-road'!EF21</f>
        <v>0.563480142922447</v>
      </c>
      <c r="AI15" s="102">
        <f ca="1">AI13/'non-road'!EG21</f>
        <v>0.119969411336025</v>
      </c>
      <c r="AJ15" s="102">
        <f ca="1">AJ13/'non-road'!EH21</f>
        <v>0.431457157263343</v>
      </c>
      <c r="AK15" s="102">
        <f ca="1">AK13/'non-road'!EI21</f>
        <v>0.0929022549679114</v>
      </c>
      <c r="AL15" s="102">
        <f ca="1">AL13/'non-road'!EJ21</f>
        <v>0.207011201128085</v>
      </c>
      <c r="AM15" s="102">
        <f ca="1">AM13/'non-road'!EK21</f>
        <v>0</v>
      </c>
      <c r="AN15" s="102">
        <f ca="1">AN13/'non-road'!EL21</f>
        <v>0</v>
      </c>
      <c r="AO15" s="102">
        <f ca="1">AO13/'non-road'!EM21</f>
        <v>0</v>
      </c>
      <c r="AP15" s="102">
        <f ca="1">AP13/'non-road'!EN21</f>
        <v>0</v>
      </c>
      <c r="AQ15" s="102">
        <f ca="1">AQ13/'non-road'!EO21</f>
        <v>0</v>
      </c>
      <c r="AR15" s="102">
        <f ca="1">AR13/'non-road'!EP21</f>
        <v>0</v>
      </c>
      <c r="AS15" s="102">
        <f ca="1">AS13/'non-road'!EQ21</f>
        <v>0</v>
      </c>
      <c r="AT15" s="102">
        <f ca="1">AT13/'non-road'!ER21</f>
        <v>0</v>
      </c>
      <c r="AU15" s="102">
        <f ca="1">AU13/'non-road'!ES21</f>
        <v>0</v>
      </c>
      <c r="AV15" s="102">
        <f ca="1">AV13/'non-road'!ET21</f>
        <v>0</v>
      </c>
      <c r="AW15" s="102" t="e">
        <f ca="1">AW13/'non-road'!EU21</f>
        <v>#VALUE!</v>
      </c>
      <c r="AY15" s="1" t="s">
        <v>133</v>
      </c>
      <c r="BA15" t="str">
        <f t="shared" si="0"/>
        <v/>
      </c>
      <c r="BB15" t="str">
        <f t="shared" si="1"/>
        <v/>
      </c>
      <c r="BD15" t="str">
        <f t="shared" si="2"/>
        <v>*</v>
      </c>
      <c r="BE15">
        <f t="shared" si="3"/>
        <v>0</v>
      </c>
      <c r="BG15" t="s">
        <v>92</v>
      </c>
      <c r="BH15" t="s">
        <v>144</v>
      </c>
      <c r="BI15" t="s">
        <v>145</v>
      </c>
    </row>
    <row r="16" spans="1:61">
      <c r="AY16" s="1" t="s">
        <v>133</v>
      </c>
      <c r="BA16" t="str">
        <f t="shared" si="0"/>
        <v/>
      </c>
      <c r="BB16" t="str">
        <f t="shared" si="1"/>
        <v/>
      </c>
      <c r="BD16" t="str">
        <f t="shared" si="2"/>
        <v>*</v>
      </c>
      <c r="BE16">
        <f t="shared" si="3"/>
        <v>0</v>
      </c>
      <c r="BG16" t="s">
        <v>92</v>
      </c>
      <c r="BH16" t="s">
        <v>144</v>
      </c>
      <c r="BI16" t="s">
        <v>145</v>
      </c>
    </row>
    <row r="17" spans="1:61">
      <c r="A17" s="101" t="s">
        <v>149</v>
      </c>
      <c r="B17" s="101"/>
      <c r="D17" s="3">
        <f ca="1">D11/D14</f>
        <v>0.840198469222881</v>
      </c>
      <c r="E17" s="3">
        <f ca="1" t="shared" ref="E17:U17" si="8">E11/E14</f>
        <v>0.849236916282015</v>
      </c>
      <c r="F17" s="3">
        <f ca="1" t="shared" si="8"/>
        <v>0.860298789763014</v>
      </c>
      <c r="G17" s="3">
        <f ca="1" t="shared" si="8"/>
        <v>0.810104887387458</v>
      </c>
      <c r="H17" s="3">
        <f ca="1" t="shared" si="8"/>
        <v>0.840016096484499</v>
      </c>
      <c r="I17" s="3">
        <f ca="1" t="shared" si="8"/>
        <v>0.822804278482748</v>
      </c>
      <c r="J17" s="3">
        <f ca="1" t="shared" si="8"/>
        <v>0.849545862648799</v>
      </c>
      <c r="K17" s="3">
        <f ca="1" t="shared" si="8"/>
        <v>0.577251409845962</v>
      </c>
      <c r="L17" s="3">
        <f ca="1" t="shared" si="8"/>
        <v>0.817844798610633</v>
      </c>
      <c r="M17" s="3">
        <f ca="1" t="shared" si="8"/>
        <v>0.819390859403193</v>
      </c>
      <c r="N17" s="3">
        <f ca="1" t="shared" si="8"/>
        <v>0.809499060066978</v>
      </c>
      <c r="O17" s="3">
        <f ca="1" t="shared" si="8"/>
        <v>0.827662268130662</v>
      </c>
      <c r="P17" s="3">
        <f ca="1" t="shared" si="8"/>
        <v>0.843457018890747</v>
      </c>
      <c r="Q17" s="3">
        <f ca="1" t="shared" si="8"/>
        <v>0.820390698899519</v>
      </c>
      <c r="R17" s="3">
        <f ca="1" t="shared" si="8"/>
        <v>0.81240922594527</v>
      </c>
      <c r="S17" s="3">
        <f ca="1" t="shared" si="8"/>
        <v>0.822203105911952</v>
      </c>
      <c r="T17" s="3">
        <f ca="1" t="shared" si="8"/>
        <v>0.814485664491755</v>
      </c>
      <c r="U17" s="3">
        <f ca="1" t="shared" si="8"/>
        <v>0.828628213431284</v>
      </c>
      <c r="V17" s="3">
        <f ca="1" t="shared" ref="V17:AJ17" si="9">V11/V14</f>
        <v>0.858904059456662</v>
      </c>
      <c r="W17" s="3">
        <f ca="1" t="shared" si="9"/>
        <v>0.859528151805991</v>
      </c>
      <c r="X17" s="3">
        <f ca="1" t="shared" si="9"/>
        <v>0.861206761429429</v>
      </c>
      <c r="Y17" s="3">
        <f ca="1" t="shared" si="9"/>
        <v>2.14712032854261</v>
      </c>
      <c r="Z17" s="3">
        <f ca="1" t="shared" si="9"/>
        <v>0.758044518870542</v>
      </c>
      <c r="AA17" s="3">
        <f ca="1" t="shared" si="9"/>
        <v>0.821232325688623</v>
      </c>
      <c r="AB17" s="3">
        <f ca="1" t="shared" si="9"/>
        <v>0.85724975323421</v>
      </c>
      <c r="AC17" s="3">
        <f ca="1" t="shared" si="9"/>
        <v>0.859810657308548</v>
      </c>
      <c r="AD17" s="3">
        <f ca="1" t="shared" si="9"/>
        <v>0.851097059110402</v>
      </c>
      <c r="AE17" s="3">
        <f ca="1" t="shared" si="9"/>
        <v>0.844762459940662</v>
      </c>
      <c r="AF17" s="3">
        <f ca="1" t="shared" si="9"/>
        <v>0.813526796739535</v>
      </c>
      <c r="AG17" s="3">
        <f ca="1" t="shared" ref="AG17" si="10">AG11/AG14</f>
        <v>0.823701192504121</v>
      </c>
      <c r="AH17" s="3">
        <f ca="1" t="shared" si="9"/>
        <v>0.835428019984593</v>
      </c>
      <c r="AI17" s="3">
        <f ca="1" t="shared" si="9"/>
        <v>0.820834035929019</v>
      </c>
      <c r="AJ17" s="3">
        <f ca="1" t="shared" si="9"/>
        <v>0.827082608097758</v>
      </c>
      <c r="AK17" s="3">
        <f ca="1" t="shared" ref="AK17:AW17" si="11">AK11/AK14</f>
        <v>0.847431824821608</v>
      </c>
      <c r="AL17" s="3">
        <f ca="1" t="shared" si="11"/>
        <v>0.809957616955107</v>
      </c>
      <c r="AM17" s="3" t="e">
        <f ca="1" t="shared" si="11"/>
        <v>#DIV/0!</v>
      </c>
      <c r="AN17" s="3" t="e">
        <f ca="1" t="shared" si="11"/>
        <v>#DIV/0!</v>
      </c>
      <c r="AO17" s="3" t="e">
        <f ca="1" t="shared" si="11"/>
        <v>#DIV/0!</v>
      </c>
      <c r="AP17" s="3" t="e">
        <f ca="1" t="shared" si="11"/>
        <v>#DIV/0!</v>
      </c>
      <c r="AQ17" s="3" t="e">
        <f ca="1" t="shared" si="11"/>
        <v>#DIV/0!</v>
      </c>
      <c r="AR17" s="3" t="e">
        <f ca="1" t="shared" si="11"/>
        <v>#DIV/0!</v>
      </c>
      <c r="AS17" s="3" t="e">
        <f ca="1" t="shared" si="11"/>
        <v>#DIV/0!</v>
      </c>
      <c r="AT17" s="3" t="e">
        <f ca="1" t="shared" si="11"/>
        <v>#DIV/0!</v>
      </c>
      <c r="AU17" s="3" t="e">
        <f ca="1" t="shared" si="11"/>
        <v>#DIV/0!</v>
      </c>
      <c r="AV17" s="3" t="e">
        <f ca="1" t="shared" si="11"/>
        <v>#DIV/0!</v>
      </c>
      <c r="AW17" s="3" t="e">
        <f ca="1" t="shared" si="11"/>
        <v>#DIV/0!</v>
      </c>
      <c r="AY17" s="1" t="s">
        <v>133</v>
      </c>
      <c r="BA17" t="str">
        <f t="shared" si="0"/>
        <v/>
      </c>
      <c r="BB17" t="str">
        <f t="shared" si="1"/>
        <v/>
      </c>
      <c r="BD17" t="str">
        <f t="shared" si="2"/>
        <v>*</v>
      </c>
      <c r="BE17">
        <f t="shared" si="3"/>
        <v>0</v>
      </c>
      <c r="BG17" t="s">
        <v>92</v>
      </c>
      <c r="BH17" t="s">
        <v>144</v>
      </c>
      <c r="BI17" t="s">
        <v>145</v>
      </c>
    </row>
    <row r="18" spans="1:61">
      <c r="AY18" s="1" t="s">
        <v>133</v>
      </c>
      <c r="BA18" t="str">
        <f t="shared" si="0"/>
        <v/>
      </c>
      <c r="BB18" t="str">
        <f t="shared" si="1"/>
        <v/>
      </c>
      <c r="BD18" t="str">
        <f t="shared" si="2"/>
        <v>*</v>
      </c>
      <c r="BE18">
        <f t="shared" si="3"/>
        <v>0</v>
      </c>
      <c r="BG18" t="s">
        <v>92</v>
      </c>
      <c r="BH18" t="s">
        <v>144</v>
      </c>
      <c r="BI18" t="s">
        <v>145</v>
      </c>
    </row>
    <row r="19" spans="1:61">
      <c r="A19" t="s">
        <v>150</v>
      </c>
      <c r="C19" t="str">
        <f t="shared" ref="C19:C25" si="12">C4</f>
        <v>TRABDS</v>
      </c>
      <c r="D19" s="78">
        <f ca="1">ROUND(D4*D28/D36,3)</f>
        <v>0</v>
      </c>
      <c r="E19" s="78">
        <f ca="1" t="shared" ref="E19:U19" si="13">ROUND(E4*E28/E36,3)</f>
        <v>0</v>
      </c>
      <c r="F19" s="78">
        <f ca="1" t="shared" si="13"/>
        <v>0</v>
      </c>
      <c r="G19" s="78">
        <f ca="1" t="shared" si="13"/>
        <v>0.157</v>
      </c>
      <c r="H19" s="78">
        <f ca="1" t="shared" si="13"/>
        <v>0.01</v>
      </c>
      <c r="I19" s="78">
        <f ca="1" t="shared" si="13"/>
        <v>0.325</v>
      </c>
      <c r="J19" s="78">
        <f ca="1" t="shared" si="13"/>
        <v>1.984</v>
      </c>
      <c r="K19" s="78">
        <f ca="1" t="shared" si="13"/>
        <v>0.1</v>
      </c>
      <c r="L19" s="78">
        <f ca="1" t="shared" si="13"/>
        <v>0.056</v>
      </c>
      <c r="M19" s="78">
        <f ca="1" t="shared" si="13"/>
        <v>0.147</v>
      </c>
      <c r="N19" s="78">
        <f ca="1" t="shared" si="13"/>
        <v>0.93</v>
      </c>
      <c r="O19" s="78">
        <f ca="1" t="shared" si="13"/>
        <v>0.696</v>
      </c>
      <c r="P19" s="78">
        <f ca="1" t="shared" si="13"/>
        <v>0.063</v>
      </c>
      <c r="Q19" s="78">
        <f ca="1" t="shared" si="13"/>
        <v>0.228</v>
      </c>
      <c r="R19" s="78">
        <f ca="1" t="shared" si="13"/>
        <v>0.006</v>
      </c>
      <c r="S19" s="78">
        <f ca="1" t="shared" si="13"/>
        <v>0.013</v>
      </c>
      <c r="T19" s="78">
        <f ca="1" t="shared" si="13"/>
        <v>0.06</v>
      </c>
      <c r="U19" s="78">
        <f ca="1" t="shared" si="13"/>
        <v>0.463</v>
      </c>
      <c r="V19" s="78">
        <f ca="1" t="shared" ref="V19:AW19" si="14">ROUND(V4*V28/V36,3)</f>
        <v>0.001</v>
      </c>
      <c r="W19" s="78">
        <f ca="1" t="shared" si="14"/>
        <v>0.226</v>
      </c>
      <c r="X19" s="78">
        <f ca="1" t="shared" si="14"/>
        <v>0</v>
      </c>
      <c r="Y19" s="78">
        <f ca="1" t="shared" si="14"/>
        <v>0.088</v>
      </c>
      <c r="Z19" s="78">
        <f ca="1" t="shared" si="14"/>
        <v>0.154</v>
      </c>
      <c r="AA19" s="78">
        <f ca="1" t="shared" si="14"/>
        <v>0.309</v>
      </c>
      <c r="AB19" s="78">
        <f ca="1" t="shared" si="14"/>
        <v>1.003</v>
      </c>
      <c r="AC19" s="78">
        <f ca="1" t="shared" si="14"/>
        <v>0</v>
      </c>
      <c r="AD19" s="78">
        <f ca="1" t="shared" si="14"/>
        <v>0</v>
      </c>
      <c r="AE19" s="78">
        <f ca="1" t="shared" si="14"/>
        <v>0</v>
      </c>
      <c r="AF19" s="78">
        <f ca="1" t="shared" si="14"/>
        <v>0.647</v>
      </c>
      <c r="AG19" s="78">
        <f ca="1" t="shared" si="14"/>
        <v>0.63</v>
      </c>
      <c r="AH19" s="78">
        <f ca="1" t="shared" si="14"/>
        <v>0.055</v>
      </c>
      <c r="AI19" s="78">
        <f ca="1" t="shared" si="14"/>
        <v>0.021</v>
      </c>
      <c r="AJ19" s="78">
        <f ca="1" t="shared" si="14"/>
        <v>0.465</v>
      </c>
      <c r="AK19" s="78">
        <f ca="1" t="shared" si="14"/>
        <v>0</v>
      </c>
      <c r="AL19" s="78">
        <f ca="1" t="shared" si="14"/>
        <v>0.044</v>
      </c>
      <c r="AM19" s="78">
        <f ca="1" t="shared" si="14"/>
        <v>0</v>
      </c>
      <c r="AN19" s="78">
        <f ca="1" t="shared" si="14"/>
        <v>0</v>
      </c>
      <c r="AO19" s="78">
        <f ca="1" t="shared" si="14"/>
        <v>0</v>
      </c>
      <c r="AP19" s="78">
        <f ca="1" t="shared" si="14"/>
        <v>0</v>
      </c>
      <c r="AQ19" s="78">
        <f ca="1" t="shared" si="14"/>
        <v>0</v>
      </c>
      <c r="AR19" s="78">
        <f ca="1" t="shared" si="14"/>
        <v>0</v>
      </c>
      <c r="AS19" s="78">
        <f ca="1" t="shared" si="14"/>
        <v>0</v>
      </c>
      <c r="AT19" s="78">
        <f ca="1" t="shared" si="14"/>
        <v>0</v>
      </c>
      <c r="AU19" s="78">
        <f ca="1" t="shared" si="14"/>
        <v>0</v>
      </c>
      <c r="AV19" s="78">
        <f ca="1" t="shared" si="14"/>
        <v>0</v>
      </c>
      <c r="AW19" s="78">
        <f ca="1" t="shared" si="14"/>
        <v>0</v>
      </c>
      <c r="AY19" s="1" t="s">
        <v>151</v>
      </c>
      <c r="AZ19" t="str">
        <f>IF(AX4="zero","\I:",$BA$45&amp;"_"&amp;VLOOKUP(C19,'TRA balance'!$BB$5:$BC$15,2,FALSE))</f>
        <v>Trd_car_bdl</v>
      </c>
      <c r="BA19" t="str">
        <f t="shared" si="0"/>
        <v>Trd_car</v>
      </c>
      <c r="BB19">
        <f t="shared" si="1"/>
        <v>25</v>
      </c>
      <c r="BD19" t="str">
        <f t="shared" si="2"/>
        <v>DMD</v>
      </c>
      <c r="BE19" t="str">
        <f t="shared" si="3"/>
        <v>Trd_car_bdl</v>
      </c>
      <c r="BG19" t="s">
        <v>92</v>
      </c>
      <c r="BH19" t="s">
        <v>144</v>
      </c>
      <c r="BI19" t="s">
        <v>145</v>
      </c>
    </row>
    <row r="20" spans="1:61">
      <c r="C20" t="str">
        <f t="shared" si="12"/>
        <v>TRABGS</v>
      </c>
      <c r="D20" s="78">
        <f ca="1" t="shared" ref="D20:AW25" si="15">ROUND(D5*D29/D37,3)</f>
        <v>0</v>
      </c>
      <c r="E20" s="78">
        <f ca="1" t="shared" ref="E20:U20" si="16">ROUND(E5*E29/E37,3)</f>
        <v>0</v>
      </c>
      <c r="F20" s="78">
        <f ca="1" t="shared" si="16"/>
        <v>0</v>
      </c>
      <c r="G20" s="78">
        <f ca="1" t="shared" si="16"/>
        <v>0</v>
      </c>
      <c r="H20" s="78">
        <f ca="1" t="shared" si="16"/>
        <v>0</v>
      </c>
      <c r="I20" s="78">
        <f ca="1" t="shared" si="16"/>
        <v>0</v>
      </c>
      <c r="J20" s="78">
        <f ca="1" t="shared" si="16"/>
        <v>0</v>
      </c>
      <c r="K20" s="78">
        <f ca="1" t="shared" si="16"/>
        <v>0</v>
      </c>
      <c r="L20" s="78">
        <f ca="1" t="shared" si="16"/>
        <v>0</v>
      </c>
      <c r="M20" s="78">
        <f ca="1" t="shared" si="16"/>
        <v>0</v>
      </c>
      <c r="N20" s="78">
        <f ca="1" t="shared" si="16"/>
        <v>0</v>
      </c>
      <c r="O20" s="78">
        <f ca="1" t="shared" si="16"/>
        <v>0</v>
      </c>
      <c r="P20" s="78">
        <f ca="1" t="shared" si="16"/>
        <v>0</v>
      </c>
      <c r="Q20" s="78">
        <f ca="1" t="shared" si="16"/>
        <v>0</v>
      </c>
      <c r="R20" s="78">
        <f ca="1" t="shared" si="16"/>
        <v>0</v>
      </c>
      <c r="S20" s="78">
        <f ca="1" t="shared" si="16"/>
        <v>0</v>
      </c>
      <c r="T20" s="78">
        <f ca="1" t="shared" si="16"/>
        <v>0</v>
      </c>
      <c r="U20" s="78">
        <f ca="1" t="shared" si="16"/>
        <v>0</v>
      </c>
      <c r="V20" s="78">
        <f ca="1" t="shared" si="15"/>
        <v>0</v>
      </c>
      <c r="W20" s="78">
        <f ca="1" t="shared" si="15"/>
        <v>0</v>
      </c>
      <c r="X20" s="78">
        <f ca="1" t="shared" si="15"/>
        <v>0</v>
      </c>
      <c r="Y20" s="78">
        <f ca="1" t="shared" si="15"/>
        <v>0</v>
      </c>
      <c r="Z20" s="78">
        <f ca="1" t="shared" si="15"/>
        <v>0</v>
      </c>
      <c r="AA20" s="78">
        <f ca="1" t="shared" si="15"/>
        <v>0</v>
      </c>
      <c r="AB20" s="78">
        <f ca="1" t="shared" si="15"/>
        <v>0</v>
      </c>
      <c r="AC20" s="78">
        <f ca="1" t="shared" si="15"/>
        <v>0</v>
      </c>
      <c r="AD20" s="78">
        <f ca="1" t="shared" si="15"/>
        <v>0</v>
      </c>
      <c r="AE20" s="78">
        <f ca="1" t="shared" si="15"/>
        <v>0</v>
      </c>
      <c r="AF20" s="78">
        <f ca="1" t="shared" si="15"/>
        <v>0</v>
      </c>
      <c r="AG20" s="78">
        <f ca="1" t="shared" si="15"/>
        <v>0</v>
      </c>
      <c r="AH20" s="78">
        <f ca="1" t="shared" si="15"/>
        <v>0</v>
      </c>
      <c r="AI20" s="78">
        <f ca="1" t="shared" si="15"/>
        <v>0</v>
      </c>
      <c r="AJ20" s="78">
        <f ca="1" t="shared" si="15"/>
        <v>0</v>
      </c>
      <c r="AK20" s="78">
        <f ca="1" t="shared" si="15"/>
        <v>0</v>
      </c>
      <c r="AL20" s="78">
        <f ca="1" t="shared" si="15"/>
        <v>0</v>
      </c>
      <c r="AM20" s="78">
        <f ca="1" t="shared" si="15"/>
        <v>0</v>
      </c>
      <c r="AN20" s="78">
        <f ca="1" t="shared" si="15"/>
        <v>0</v>
      </c>
      <c r="AO20" s="78">
        <f ca="1" t="shared" si="15"/>
        <v>0</v>
      </c>
      <c r="AP20" s="78">
        <f ca="1" t="shared" si="15"/>
        <v>0</v>
      </c>
      <c r="AQ20" s="78">
        <f ca="1" t="shared" si="15"/>
        <v>0</v>
      </c>
      <c r="AR20" s="78">
        <f ca="1" t="shared" si="15"/>
        <v>0</v>
      </c>
      <c r="AS20" s="78">
        <f ca="1" t="shared" si="15"/>
        <v>0</v>
      </c>
      <c r="AT20" s="78">
        <f ca="1" t="shared" si="15"/>
        <v>0</v>
      </c>
      <c r="AU20" s="78">
        <f ca="1" t="shared" si="15"/>
        <v>0</v>
      </c>
      <c r="AV20" s="78">
        <f ca="1" t="shared" si="15"/>
        <v>0</v>
      </c>
      <c r="AW20" s="78">
        <f ca="1" t="shared" si="15"/>
        <v>0</v>
      </c>
      <c r="AY20" s="1" t="s">
        <v>151</v>
      </c>
      <c r="AZ20" t="str">
        <f>IF(AX5="zero","\I:",$BA$45&amp;"_"&amp;VLOOKUP(C20,'TRA balance'!$BB$5:$BC$15,2,FALSE))</f>
        <v>Trd_car_eth</v>
      </c>
      <c r="BA20" t="str">
        <f t="shared" si="0"/>
        <v>Trd_car</v>
      </c>
      <c r="BB20">
        <f t="shared" si="1"/>
        <v>25</v>
      </c>
      <c r="BD20" t="str">
        <f t="shared" si="2"/>
        <v>DMD</v>
      </c>
      <c r="BE20" t="str">
        <f t="shared" si="3"/>
        <v>Trd_car_eth</v>
      </c>
      <c r="BG20" t="s">
        <v>92</v>
      </c>
      <c r="BH20" t="s">
        <v>144</v>
      </c>
      <c r="BI20" t="s">
        <v>145</v>
      </c>
    </row>
    <row r="21" spans="1:61">
      <c r="C21" t="str">
        <f t="shared" si="12"/>
        <v>TRADST</v>
      </c>
      <c r="D21" s="78">
        <f ca="1" t="shared" si="15"/>
        <v>4.89</v>
      </c>
      <c r="E21" s="78">
        <f ca="1" t="shared" ref="E21:U21" si="17">ROUND(E6*E30/E38,3)</f>
        <v>4.346</v>
      </c>
      <c r="F21" s="78">
        <f ca="1" t="shared" si="17"/>
        <v>0.506</v>
      </c>
      <c r="G21" s="78">
        <f ca="1" t="shared" si="17"/>
        <v>2.275</v>
      </c>
      <c r="H21" s="78">
        <f ca="1" t="shared" si="17"/>
        <v>0.267</v>
      </c>
      <c r="I21" s="78">
        <f ca="1" t="shared" si="17"/>
        <v>4.822</v>
      </c>
      <c r="J21" s="78">
        <f ca="1" t="shared" si="17"/>
        <v>4.376</v>
      </c>
      <c r="K21" s="78">
        <f ca="1" t="shared" si="17"/>
        <v>10.241</v>
      </c>
      <c r="L21" s="78">
        <f ca="1" t="shared" si="17"/>
        <v>1.06</v>
      </c>
      <c r="M21" s="78">
        <f ca="1" t="shared" si="17"/>
        <v>2.271</v>
      </c>
      <c r="N21" s="78">
        <f ca="1" t="shared" si="17"/>
        <v>11.314</v>
      </c>
      <c r="O21" s="78">
        <f ca="1" t="shared" si="17"/>
        <v>12.219</v>
      </c>
      <c r="P21" s="78">
        <f ca="1" t="shared" si="17"/>
        <v>0.988</v>
      </c>
      <c r="Q21" s="78">
        <f ca="1" t="shared" si="17"/>
        <v>3.543</v>
      </c>
      <c r="R21" s="78">
        <f ca="1" t="shared" si="17"/>
        <v>0.068</v>
      </c>
      <c r="S21" s="78">
        <f ca="1" t="shared" si="17"/>
        <v>20.067</v>
      </c>
      <c r="T21" s="78">
        <f ca="1" t="shared" si="17"/>
        <v>1.085</v>
      </c>
      <c r="U21" s="78">
        <f ca="1" t="shared" si="17"/>
        <v>7.916</v>
      </c>
      <c r="V21" s="78">
        <f ca="1" t="shared" si="15"/>
        <v>1.988</v>
      </c>
      <c r="W21" s="78">
        <f ca="1" t="shared" si="15"/>
        <v>4.493</v>
      </c>
      <c r="X21" s="78">
        <f ca="1" t="shared" si="15"/>
        <v>6.587</v>
      </c>
      <c r="Y21" s="78">
        <f ca="1" t="shared" si="15"/>
        <v>2.705</v>
      </c>
      <c r="Z21" s="78">
        <f ca="1" t="shared" si="15"/>
        <v>0.779</v>
      </c>
      <c r="AA21" s="78">
        <f ca="1" t="shared" si="15"/>
        <v>5.214</v>
      </c>
      <c r="AB21" s="78">
        <f ca="1" t="shared" si="15"/>
        <v>14.127</v>
      </c>
      <c r="AC21" s="78">
        <f ca="1" t="shared" si="15"/>
        <v>1.542</v>
      </c>
      <c r="AD21" s="78">
        <f ca="1" t="shared" si="15"/>
        <v>3.746</v>
      </c>
      <c r="AE21" s="78">
        <f ca="1" t="shared" si="15"/>
        <v>1.527</v>
      </c>
      <c r="AF21" s="78">
        <f ca="1" t="shared" si="15"/>
        <v>9.448</v>
      </c>
      <c r="AG21" s="78">
        <f ca="1" t="shared" si="15"/>
        <v>2.836</v>
      </c>
      <c r="AH21" s="78">
        <f ca="1" t="shared" si="15"/>
        <v>1.001</v>
      </c>
      <c r="AI21" s="78">
        <f ca="1" t="shared" si="15"/>
        <v>3.616</v>
      </c>
      <c r="AJ21" s="78">
        <f ca="1" t="shared" si="15"/>
        <v>8.92</v>
      </c>
      <c r="AK21" s="78">
        <f ca="1" t="shared" si="15"/>
        <v>0.4</v>
      </c>
      <c r="AL21" s="78">
        <f ca="1" t="shared" si="15"/>
        <v>1.651</v>
      </c>
      <c r="AM21" s="78">
        <f ca="1" t="shared" si="15"/>
        <v>0</v>
      </c>
      <c r="AN21" s="78">
        <f ca="1" t="shared" si="15"/>
        <v>0</v>
      </c>
      <c r="AO21" s="78">
        <f ca="1" t="shared" si="15"/>
        <v>0</v>
      </c>
      <c r="AP21" s="78">
        <f ca="1" t="shared" si="15"/>
        <v>0</v>
      </c>
      <c r="AQ21" s="78">
        <f ca="1" t="shared" si="15"/>
        <v>0</v>
      </c>
      <c r="AR21" s="78">
        <f ca="1" t="shared" si="15"/>
        <v>0</v>
      </c>
      <c r="AS21" s="78">
        <f ca="1" t="shared" si="15"/>
        <v>0</v>
      </c>
      <c r="AT21" s="78">
        <f ca="1" t="shared" si="15"/>
        <v>0</v>
      </c>
      <c r="AU21" s="78">
        <f ca="1" t="shared" si="15"/>
        <v>0</v>
      </c>
      <c r="AV21" s="78">
        <f ca="1" t="shared" si="15"/>
        <v>0</v>
      </c>
      <c r="AW21" s="78">
        <f ca="1" t="shared" si="15"/>
        <v>0</v>
      </c>
      <c r="AY21" s="1" t="s">
        <v>151</v>
      </c>
      <c r="AZ21" t="str">
        <f>IF(AX6="zero","\I:",$BA$45&amp;"_"&amp;VLOOKUP(C21,'TRA balance'!$BB$5:$BC$15,2,FALSE))</f>
        <v>Trd_car_dsl</v>
      </c>
      <c r="BA21" t="str">
        <f t="shared" si="0"/>
        <v>Trd_car</v>
      </c>
      <c r="BB21">
        <f t="shared" si="1"/>
        <v>25</v>
      </c>
      <c r="BD21" t="str">
        <f t="shared" si="2"/>
        <v>DMD</v>
      </c>
      <c r="BE21" t="str">
        <f t="shared" si="3"/>
        <v>Trd_car_dsl</v>
      </c>
      <c r="BG21" t="s">
        <v>92</v>
      </c>
      <c r="BH21" t="s">
        <v>144</v>
      </c>
      <c r="BI21" t="s">
        <v>145</v>
      </c>
    </row>
    <row r="22" spans="1:61">
      <c r="A22" s="101" t="s">
        <v>166</v>
      </c>
      <c r="C22" t="str">
        <f t="shared" si="12"/>
        <v>TRAELC</v>
      </c>
      <c r="D22" s="110">
        <f>SUMIFS('EV data'!$D$2:$D$145,'EV data'!$C$2:$C$145,2018,'EV data'!$B$2:$B$145,Cars!D$3)</f>
        <v>0</v>
      </c>
      <c r="E22" s="110">
        <f>SUMIFS('EV data'!$D$2:$D$145,'EV data'!$C$2:$C$145,2018,'EV data'!$B$2:$B$145,Cars!E$3)</f>
        <v>0</v>
      </c>
      <c r="F22" s="110">
        <f>SUMIFS('EV data'!$D$2:$D$145,'EV data'!$C$2:$C$145,2018,'EV data'!$B$2:$B$145,Cars!F$3)</f>
        <v>0.015</v>
      </c>
      <c r="G22" s="110">
        <f>SUMIFS('EV data'!$D$2:$D$145,'EV data'!$C$2:$C$145,2018,'EV data'!$B$2:$B$145,Cars!G$3)</f>
        <v>0.03</v>
      </c>
      <c r="H22" s="110">
        <f>SUMIFS('EV data'!$D$2:$D$145,'EV data'!$C$2:$C$145,2018,'EV data'!$B$2:$B$145,Cars!H$3)</f>
        <v>0</v>
      </c>
      <c r="I22" s="110">
        <f>SUMIFS('EV data'!$D$2:$D$145,'EV data'!$C$2:$C$145,2018,'EV data'!$B$2:$B$145,Cars!I$3)</f>
        <v>0.16</v>
      </c>
      <c r="J22" s="110">
        <f>SUMIFS('EV data'!$D$2:$D$145,'EV data'!$C$2:$C$145,2018,'EV data'!$B$2:$B$145,Cars!J$3)</f>
        <v>0.008</v>
      </c>
      <c r="K22" s="110">
        <f>SUMIFS('EV data'!$D$2:$D$145,'EV data'!$C$2:$C$145,2018,'EV data'!$B$2:$B$145,Cars!K$3)</f>
        <v>2.6</v>
      </c>
      <c r="L22" s="110">
        <f>SUMIFS('EV data'!$D$2:$D$145,'EV data'!$C$2:$C$145,2018,'EV data'!$B$2:$B$145,Cars!L$3)</f>
        <v>0</v>
      </c>
      <c r="M22" s="110">
        <f>SUMIFS('EV data'!$D$2:$D$145,'EV data'!$C$2:$C$145,2018,'EV data'!$B$2:$B$145,Cars!M$3)</f>
        <v>0</v>
      </c>
      <c r="N22" s="110">
        <f>SUMIFS('EV data'!$D$2:$D$145,'EV data'!$C$2:$C$145,2018,'EV data'!$B$2:$B$145,Cars!N$3)</f>
        <v>0.15</v>
      </c>
      <c r="O22" s="110">
        <f>SUMIFS('EV data'!$D$2:$D$145,'EV data'!$C$2:$C$145,2018,'EV data'!$B$2:$B$145,Cars!O$3)</f>
        <v>0.2</v>
      </c>
      <c r="P22" s="110">
        <f>SUMIFS('EV data'!$D$2:$D$145,'EV data'!$C$2:$C$145,2018,'EV data'!$B$2:$B$145,Cars!P$3)</f>
        <v>0.003</v>
      </c>
      <c r="Q22" s="110">
        <f>SUMIFS('EV data'!$D$2:$D$145,'EV data'!$C$2:$C$145,2018,'EV data'!$B$2:$B$145,Cars!Q$3)</f>
        <v>0</v>
      </c>
      <c r="R22" s="110">
        <f>SUMIFS('EV data'!$D$2:$D$145,'EV data'!$C$2:$C$145,2018,'EV data'!$B$2:$B$145,Cars!R$3)</f>
        <v>0.008</v>
      </c>
      <c r="S22" s="110">
        <f>SUMIFS('EV data'!$D$2:$D$145,'EV data'!$C$2:$C$145,2018,'EV data'!$B$2:$B$145,Cars!S$3)</f>
        <v>0.008</v>
      </c>
      <c r="T22" s="110">
        <f>SUMIFS('EV data'!$D$2:$D$145,'EV data'!$C$2:$C$145,2018,'EV data'!$B$2:$B$145,Cars!T$3)</f>
        <v>0</v>
      </c>
      <c r="U22" s="110">
        <f>SUMIFS('EV data'!$D$2:$D$145,'EV data'!$C$2:$C$145,2018,'EV data'!$B$2:$B$145,Cars!U$3)</f>
        <v>0.025</v>
      </c>
      <c r="V22" s="110">
        <f>SUMIFS('EV data'!$D$2:$D$145,'EV data'!$C$2:$C$145,2018,'EV data'!$B$2:$B$145,Cars!V$3)</f>
        <v>0.06</v>
      </c>
      <c r="W22" s="110">
        <f>SUMIFS('EV data'!$D$2:$D$145,'EV data'!$C$2:$C$145,2018,'EV data'!$B$2:$B$145,Cars!W$3)</f>
        <v>0.0003</v>
      </c>
      <c r="X22" s="110">
        <f>SUMIFS('EV data'!$D$2:$D$145,'EV data'!$C$2:$C$145,2018,'EV data'!$B$2:$B$145,Cars!X$3)</f>
        <v>0.008</v>
      </c>
      <c r="Y22" s="110">
        <f>SUMIFS('EV data'!$D$2:$D$145,'EV data'!$C$2:$C$145,2018,'EV data'!$B$2:$B$145,Cars!Y$3)</f>
        <v>1.0715</v>
      </c>
      <c r="Z22" s="110">
        <f>SUMIFS('EV data'!$D$2:$D$145,'EV data'!$C$2:$C$145,2018,'EV data'!$B$2:$B$145,Cars!Z$3)</f>
        <v>0.2</v>
      </c>
      <c r="AA22" s="110">
        <f>SUMIFS('EV data'!$D$2:$D$145,'EV data'!$C$2:$C$145,2018,'EV data'!$B$2:$B$145,Cars!AA$3)</f>
        <v>0.008</v>
      </c>
      <c r="AB22" s="110">
        <f>SUMIFS('EV data'!$D$2:$D$145,'EV data'!$C$2:$C$145,2018,'EV data'!$B$2:$B$145,Cars!AB$3)</f>
        <v>0.058</v>
      </c>
      <c r="AC22" s="110">
        <f>SUMIFS('EV data'!$D$2:$D$145,'EV data'!$C$2:$C$145,2018,'EV data'!$B$2:$B$145,Cars!AC$3)</f>
        <v>0</v>
      </c>
      <c r="AD22" s="110">
        <f>SUMIFS('EV data'!$D$2:$D$145,'EV data'!$C$2:$C$145,2018,'EV data'!$B$2:$B$145,Cars!AD$3)</f>
        <v>0</v>
      </c>
      <c r="AE22" s="110">
        <f>SUMIFS('EV data'!$D$2:$D$145,'EV data'!$C$2:$C$145,2018,'EV data'!$B$2:$B$145,Cars!AE$3)</f>
        <v>0.0005</v>
      </c>
      <c r="AF22" s="110">
        <f>SUMIFS('EV data'!$D$2:$D$145,'EV data'!$C$2:$C$145,2018,'EV data'!$B$2:$B$145,Cars!AF$3)</f>
        <v>0.035</v>
      </c>
      <c r="AG22" s="110">
        <f>SUMIFS('EV data'!$D$2:$D$145,'EV data'!$C$2:$C$145,2018,'EV data'!$B$2:$B$145,Cars!AG$3)</f>
        <v>0.117</v>
      </c>
      <c r="AH22" s="110">
        <f>SUMIFS('EV data'!$D$2:$D$145,'EV data'!$C$2:$C$145,2018,'EV data'!$B$2:$B$145,Cars!AH$3)</f>
        <v>0.035</v>
      </c>
      <c r="AI22" s="110">
        <f>SUMIFS('EV data'!$D$2:$D$145,'EV data'!$C$2:$C$145,2018,'EV data'!$B$2:$B$145,Cars!AI$3)</f>
        <v>0.003</v>
      </c>
      <c r="AJ22" s="110">
        <f>SUMIFS('EV data'!$D$2:$D$145,'EV data'!$C$2:$C$145,2018,'EV data'!$B$2:$B$145,Cars!AJ$3)</f>
        <v>0.13</v>
      </c>
      <c r="AK22" s="110">
        <f>SUMIFS('EV data'!$D$2:$D$145,'EV data'!$C$2:$C$145,2018,'EV data'!$B$2:$B$145,Cars!AK$3)</f>
        <v>0</v>
      </c>
      <c r="AL22" s="110">
        <f>SUMIFS('EV data'!$D$2:$D$145,'EV data'!$C$2:$C$145,2018,'EV data'!$B$2:$B$145,Cars!AL$3)</f>
        <v>0</v>
      </c>
      <c r="AM22" s="78">
        <f ca="1" t="shared" si="15"/>
        <v>0</v>
      </c>
      <c r="AN22" s="78">
        <f ca="1" t="shared" si="15"/>
        <v>0</v>
      </c>
      <c r="AO22" s="78">
        <f ca="1" t="shared" si="15"/>
        <v>0</v>
      </c>
      <c r="AP22" s="78">
        <f ca="1" t="shared" si="15"/>
        <v>0</v>
      </c>
      <c r="AQ22" s="78">
        <f ca="1" t="shared" si="15"/>
        <v>0</v>
      </c>
      <c r="AR22" s="78">
        <f ca="1" t="shared" si="15"/>
        <v>0</v>
      </c>
      <c r="AS22" s="78">
        <f ca="1" t="shared" si="15"/>
        <v>0</v>
      </c>
      <c r="AT22" s="78">
        <f ca="1" t="shared" si="15"/>
        <v>0</v>
      </c>
      <c r="AU22" s="78">
        <f ca="1" t="shared" si="15"/>
        <v>0</v>
      </c>
      <c r="AV22" s="78">
        <f ca="1" t="shared" si="15"/>
        <v>0</v>
      </c>
      <c r="AW22" s="78">
        <f ca="1" t="shared" si="15"/>
        <v>0</v>
      </c>
      <c r="AY22" s="1" t="s">
        <v>151</v>
      </c>
      <c r="AZ22" t="str">
        <f>IF(AX7="zero","\I:",$BA$45&amp;"_"&amp;VLOOKUP(C22,'TRA balance'!$BB$5:$BC$15,2,FALSE))</f>
        <v>Trd_car_elc</v>
      </c>
      <c r="BA22" t="str">
        <f t="shared" si="0"/>
        <v>Trd_car</v>
      </c>
      <c r="BB22">
        <f t="shared" si="1"/>
        <v>25</v>
      </c>
      <c r="BD22" t="str">
        <f t="shared" si="2"/>
        <v>DMD</v>
      </c>
      <c r="BE22" t="str">
        <f t="shared" si="3"/>
        <v>Trd_car_elc</v>
      </c>
      <c r="BG22" t="s">
        <v>92</v>
      </c>
      <c r="BH22" t="s">
        <v>144</v>
      </c>
      <c r="BI22" t="s">
        <v>145</v>
      </c>
    </row>
    <row r="23" spans="1:61">
      <c r="C23" t="str">
        <f t="shared" si="12"/>
        <v>TRAGSL</v>
      </c>
      <c r="D23" s="78">
        <f ca="1" t="shared" si="15"/>
        <v>15.287</v>
      </c>
      <c r="E23" s="78">
        <f ca="1" t="shared" ref="E23:U23" si="18">ROUND(E8*E32/E40,3)</f>
        <v>26.546</v>
      </c>
      <c r="F23" s="78">
        <f ca="1" t="shared" si="18"/>
        <v>19.488</v>
      </c>
      <c r="G23" s="78">
        <f ca="1" t="shared" si="18"/>
        <v>2.583</v>
      </c>
      <c r="H23" s="78">
        <f ca="1" t="shared" si="18"/>
        <v>0.77</v>
      </c>
      <c r="I23" s="78">
        <f ca="1" t="shared" si="18"/>
        <v>9.992</v>
      </c>
      <c r="J23" s="78">
        <f ca="1" t="shared" si="18"/>
        <v>30.767</v>
      </c>
      <c r="K23" s="78">
        <f ca="1" t="shared" si="18"/>
        <v>283.217</v>
      </c>
      <c r="L23" s="78">
        <f ca="1" t="shared" si="18"/>
        <v>1.287</v>
      </c>
      <c r="M23" s="78">
        <f ca="1" t="shared" si="18"/>
        <v>3.052</v>
      </c>
      <c r="N23" s="78">
        <f ca="1" t="shared" si="18"/>
        <v>12.274</v>
      </c>
      <c r="O23" s="78">
        <f ca="1" t="shared" si="18"/>
        <v>26.95</v>
      </c>
      <c r="P23" s="78">
        <f ca="1" t="shared" si="18"/>
        <v>4.215</v>
      </c>
      <c r="Q23" s="78">
        <f ca="1" t="shared" si="18"/>
        <v>4.757</v>
      </c>
      <c r="R23" s="78">
        <f ca="1" t="shared" si="18"/>
        <v>0.195</v>
      </c>
      <c r="S23" s="78">
        <f ca="1" t="shared" si="18"/>
        <v>26.077</v>
      </c>
      <c r="T23" s="78">
        <f ca="1" t="shared" si="18"/>
        <v>1.202</v>
      </c>
      <c r="U23" s="78">
        <f ca="1" t="shared" si="18"/>
        <v>12.176</v>
      </c>
      <c r="V23" s="78">
        <f ca="1" t="shared" si="15"/>
        <v>54.555</v>
      </c>
      <c r="W23" s="78">
        <f ca="1" t="shared" si="15"/>
        <v>58.5</v>
      </c>
      <c r="X23" s="78">
        <f ca="1" t="shared" si="15"/>
        <v>62.225</v>
      </c>
      <c r="Y23" s="78">
        <f ca="1" t="shared" si="15"/>
        <v>227.565</v>
      </c>
      <c r="Z23" s="78">
        <f ca="1" t="shared" si="15"/>
        <v>1.04</v>
      </c>
      <c r="AA23" s="78">
        <f ca="1" t="shared" si="15"/>
        <v>6.656</v>
      </c>
      <c r="AB23" s="78">
        <f ca="1" t="shared" si="15"/>
        <v>96.615</v>
      </c>
      <c r="AC23" s="78">
        <f ca="1" t="shared" si="15"/>
        <v>41.215</v>
      </c>
      <c r="AD23" s="78">
        <f ca="1" t="shared" si="15"/>
        <v>26.882</v>
      </c>
      <c r="AE23" s="78">
        <f ca="1" t="shared" si="15"/>
        <v>6.762</v>
      </c>
      <c r="AF23" s="78">
        <f ca="1" t="shared" si="15"/>
        <v>10.112</v>
      </c>
      <c r="AG23" s="78">
        <f ca="1" t="shared" si="15"/>
        <v>7.092</v>
      </c>
      <c r="AH23" s="78">
        <f ca="1" t="shared" si="15"/>
        <v>3.725</v>
      </c>
      <c r="AI23" s="78">
        <f ca="1" t="shared" si="15"/>
        <v>2.619</v>
      </c>
      <c r="AJ23" s="78">
        <f ca="1" t="shared" si="15"/>
        <v>19.222</v>
      </c>
      <c r="AK23" s="78">
        <f ca="1" t="shared" si="15"/>
        <v>2.055</v>
      </c>
      <c r="AL23" s="78">
        <f ca="1" t="shared" si="15"/>
        <v>1.34</v>
      </c>
      <c r="AM23" s="78">
        <f ca="1" t="shared" si="15"/>
        <v>0</v>
      </c>
      <c r="AN23" s="78">
        <f ca="1" t="shared" si="15"/>
        <v>0</v>
      </c>
      <c r="AO23" s="78">
        <f ca="1" t="shared" si="15"/>
        <v>0</v>
      </c>
      <c r="AP23" s="78">
        <f ca="1" t="shared" si="15"/>
        <v>0</v>
      </c>
      <c r="AQ23" s="78">
        <f ca="1" t="shared" si="15"/>
        <v>0</v>
      </c>
      <c r="AR23" s="78">
        <f ca="1" t="shared" si="15"/>
        <v>0</v>
      </c>
      <c r="AS23" s="78">
        <f ca="1" t="shared" si="15"/>
        <v>0</v>
      </c>
      <c r="AT23" s="78">
        <f ca="1" t="shared" si="15"/>
        <v>0</v>
      </c>
      <c r="AU23" s="78">
        <f ca="1" t="shared" si="15"/>
        <v>0</v>
      </c>
      <c r="AV23" s="78">
        <f ca="1" t="shared" si="15"/>
        <v>0</v>
      </c>
      <c r="AW23" s="78">
        <f ca="1" t="shared" si="15"/>
        <v>0</v>
      </c>
      <c r="AY23" s="1" t="s">
        <v>151</v>
      </c>
      <c r="AZ23" t="str">
        <f>IF(AX8="zero","\I:",$BA$45&amp;"_"&amp;VLOOKUP(C23,'TRA balance'!$BB$5:$BC$15,2,FALSE))</f>
        <v>Trd_car_gsl</v>
      </c>
      <c r="BA23" t="str">
        <f t="shared" si="0"/>
        <v>Trd_car</v>
      </c>
      <c r="BB23">
        <f t="shared" si="1"/>
        <v>25</v>
      </c>
      <c r="BD23" t="str">
        <f t="shared" si="2"/>
        <v>DMD</v>
      </c>
      <c r="BE23" t="str">
        <f t="shared" si="3"/>
        <v>Trd_car_gsl</v>
      </c>
      <c r="BG23" t="s">
        <v>92</v>
      </c>
      <c r="BH23" t="s">
        <v>144</v>
      </c>
      <c r="BI23" t="s">
        <v>145</v>
      </c>
    </row>
    <row r="24" spans="1:61">
      <c r="C24" t="str">
        <f t="shared" si="12"/>
        <v>TRALPG</v>
      </c>
      <c r="D24" s="78">
        <f ca="1" t="shared" si="15"/>
        <v>1.021</v>
      </c>
      <c r="E24" s="78">
        <f ca="1" t="shared" ref="E24:U24" si="19">ROUND(E9*E33/E41,3)</f>
        <v>0.001</v>
      </c>
      <c r="F24" s="78">
        <f ca="1" t="shared" si="19"/>
        <v>0.151</v>
      </c>
      <c r="G24" s="78">
        <f ca="1" t="shared" si="19"/>
        <v>0.007</v>
      </c>
      <c r="H24" s="78">
        <f ca="1" t="shared" si="19"/>
        <v>0.156</v>
      </c>
      <c r="I24" s="78">
        <f ca="1" t="shared" si="19"/>
        <v>0.243</v>
      </c>
      <c r="J24" s="78">
        <f ca="1" t="shared" si="19"/>
        <v>0</v>
      </c>
      <c r="K24" s="78">
        <f ca="1" t="shared" si="19"/>
        <v>1.862</v>
      </c>
      <c r="L24" s="78">
        <f ca="1" t="shared" si="19"/>
        <v>0.083</v>
      </c>
      <c r="M24" s="78">
        <f ca="1" t="shared" si="19"/>
        <v>0.091</v>
      </c>
      <c r="N24" s="78">
        <f ca="1" t="shared" si="19"/>
        <v>0.072</v>
      </c>
      <c r="O24" s="78">
        <f ca="1" t="shared" si="19"/>
        <v>0.463</v>
      </c>
      <c r="P24" s="78">
        <f ca="1" t="shared" si="19"/>
        <v>0.3</v>
      </c>
      <c r="Q24" s="78">
        <f ca="1" t="shared" si="19"/>
        <v>0.527</v>
      </c>
      <c r="R24" s="78">
        <f ca="1" t="shared" si="19"/>
        <v>0</v>
      </c>
      <c r="S24" s="78">
        <f ca="1" t="shared" si="19"/>
        <v>0.081</v>
      </c>
      <c r="T24" s="78">
        <f ca="1" t="shared" si="19"/>
        <v>0.002</v>
      </c>
      <c r="U24" s="78">
        <f ca="1" t="shared" si="19"/>
        <v>2.261</v>
      </c>
      <c r="V24" s="78">
        <f ca="1" t="shared" si="15"/>
        <v>0.674</v>
      </c>
      <c r="W24" s="78">
        <f ca="1" t="shared" si="15"/>
        <v>0.686</v>
      </c>
      <c r="X24" s="78">
        <f ca="1" t="shared" si="15"/>
        <v>0.067</v>
      </c>
      <c r="Y24" s="78">
        <f ca="1" t="shared" si="15"/>
        <v>0.842</v>
      </c>
      <c r="Z24" s="78">
        <f ca="1" t="shared" si="15"/>
        <v>0.006</v>
      </c>
      <c r="AA24" s="78">
        <f ca="1" t="shared" si="15"/>
        <v>2.011</v>
      </c>
      <c r="AB24" s="78">
        <f ca="1" t="shared" si="15"/>
        <v>6.442</v>
      </c>
      <c r="AC24" s="78">
        <f ca="1" t="shared" si="15"/>
        <v>1.344</v>
      </c>
      <c r="AD24" s="78">
        <f ca="1" t="shared" si="15"/>
        <v>0</v>
      </c>
      <c r="AE24" s="78">
        <f ca="1" t="shared" si="15"/>
        <v>0.016</v>
      </c>
      <c r="AF24" s="78">
        <f ca="1" t="shared" si="15"/>
        <v>0.168</v>
      </c>
      <c r="AG24" s="78">
        <f ca="1" t="shared" si="15"/>
        <v>0</v>
      </c>
      <c r="AH24" s="78">
        <f ca="1" t="shared" si="15"/>
        <v>0.002</v>
      </c>
      <c r="AI24" s="78">
        <f ca="1" t="shared" si="15"/>
        <v>3.668</v>
      </c>
      <c r="AJ24" s="78">
        <f ca="1" t="shared" si="15"/>
        <v>0.086</v>
      </c>
      <c r="AK24" s="78">
        <f ca="1" t="shared" si="15"/>
        <v>1.882</v>
      </c>
      <c r="AL24" s="78">
        <f ca="1" t="shared" si="15"/>
        <v>0.237</v>
      </c>
      <c r="AM24" s="78">
        <f ca="1" t="shared" si="15"/>
        <v>0</v>
      </c>
      <c r="AN24" s="78">
        <f ca="1" t="shared" si="15"/>
        <v>0</v>
      </c>
      <c r="AO24" s="78">
        <f ca="1" t="shared" si="15"/>
        <v>0</v>
      </c>
      <c r="AP24" s="78">
        <f ca="1" t="shared" si="15"/>
        <v>0</v>
      </c>
      <c r="AQ24" s="78">
        <f ca="1" t="shared" si="15"/>
        <v>0</v>
      </c>
      <c r="AR24" s="78">
        <f ca="1" t="shared" si="15"/>
        <v>0</v>
      </c>
      <c r="AS24" s="78">
        <f ca="1" t="shared" si="15"/>
        <v>0</v>
      </c>
      <c r="AT24" s="78">
        <f ca="1" t="shared" si="15"/>
        <v>0</v>
      </c>
      <c r="AU24" s="78">
        <f ca="1" t="shared" si="15"/>
        <v>0</v>
      </c>
      <c r="AV24" s="78">
        <f ca="1" t="shared" si="15"/>
        <v>0</v>
      </c>
      <c r="AW24" s="78">
        <f ca="1" t="shared" si="15"/>
        <v>0</v>
      </c>
      <c r="AY24" s="1" t="s">
        <v>151</v>
      </c>
      <c r="AZ24" t="str">
        <f>IF(AX9="zero","\I:",$BA$45&amp;"_"&amp;VLOOKUP(C24,'TRA balance'!$BB$5:$BC$15,2,FALSE))</f>
        <v>Trd_car_lpg</v>
      </c>
      <c r="BA24" t="str">
        <f t="shared" si="0"/>
        <v>Trd_car</v>
      </c>
      <c r="BB24">
        <f t="shared" si="1"/>
        <v>25</v>
      </c>
      <c r="BD24" t="str">
        <f t="shared" si="2"/>
        <v>DMD</v>
      </c>
      <c r="BE24" t="str">
        <f t="shared" si="3"/>
        <v>Trd_car_lpg</v>
      </c>
      <c r="BG24" t="s">
        <v>92</v>
      </c>
      <c r="BH24" t="s">
        <v>144</v>
      </c>
      <c r="BI24" t="s">
        <v>145</v>
      </c>
    </row>
    <row r="25" spans="1:61">
      <c r="C25" t="str">
        <f t="shared" si="12"/>
        <v>TRANGA</v>
      </c>
      <c r="D25" s="78">
        <f ca="1" t="shared" si="15"/>
        <v>0.182</v>
      </c>
      <c r="E25" s="78">
        <f ca="1" t="shared" ref="E25:U25" si="20">ROUND(E10*E34/E42,3)</f>
        <v>0.001</v>
      </c>
      <c r="F25" s="78">
        <f ca="1" t="shared" si="20"/>
        <v>0.028</v>
      </c>
      <c r="G25" s="78">
        <f ca="1" t="shared" si="20"/>
        <v>0.019</v>
      </c>
      <c r="H25" s="78">
        <f ca="1" t="shared" si="20"/>
        <v>0.02</v>
      </c>
      <c r="I25" s="78">
        <f ca="1" t="shared" si="20"/>
        <v>0.094</v>
      </c>
      <c r="J25" s="78">
        <f ca="1" t="shared" si="20"/>
        <v>1.506</v>
      </c>
      <c r="K25" s="78">
        <f ca="1" t="shared" si="20"/>
        <v>22.076</v>
      </c>
      <c r="L25" s="78">
        <f ca="1" t="shared" si="20"/>
        <v>0</v>
      </c>
      <c r="M25" s="78">
        <f ca="1" t="shared" si="20"/>
        <v>0</v>
      </c>
      <c r="N25" s="78">
        <f ca="1" t="shared" si="20"/>
        <v>0.166</v>
      </c>
      <c r="O25" s="78">
        <f ca="1" t="shared" si="20"/>
        <v>0.203</v>
      </c>
      <c r="P25" s="78">
        <f ca="1" t="shared" si="20"/>
        <v>0.018</v>
      </c>
      <c r="Q25" s="78">
        <f ca="1" t="shared" si="20"/>
        <v>0</v>
      </c>
      <c r="R25" s="78">
        <f ca="1" t="shared" si="20"/>
        <v>0.002</v>
      </c>
      <c r="S25" s="78">
        <f ca="1" t="shared" si="20"/>
        <v>1.104</v>
      </c>
      <c r="T25" s="78">
        <f ca="1" t="shared" si="20"/>
        <v>0</v>
      </c>
      <c r="U25" s="78">
        <f ca="1" t="shared" si="20"/>
        <v>0.981</v>
      </c>
      <c r="V25" s="78">
        <f ca="1" t="shared" si="15"/>
        <v>0.048</v>
      </c>
      <c r="W25" s="78">
        <f ca="1" t="shared" si="15"/>
        <v>2.896</v>
      </c>
      <c r="X25" s="78">
        <f ca="1" t="shared" si="15"/>
        <v>6.819</v>
      </c>
      <c r="Y25" s="78">
        <f ca="1" t="shared" si="15"/>
        <v>0.762</v>
      </c>
      <c r="Z25" s="78">
        <f ca="1" t="shared" si="15"/>
        <v>0.058</v>
      </c>
      <c r="AA25" s="78">
        <f ca="1" t="shared" si="15"/>
        <v>0</v>
      </c>
      <c r="AB25" s="78">
        <f ca="1" t="shared" si="15"/>
        <v>11.75</v>
      </c>
      <c r="AC25" s="78">
        <f ca="1" t="shared" si="15"/>
        <v>0.223</v>
      </c>
      <c r="AD25" s="78">
        <f ca="1" t="shared" si="15"/>
        <v>0</v>
      </c>
      <c r="AE25" s="78">
        <f ca="1" t="shared" si="15"/>
        <v>0</v>
      </c>
      <c r="AF25" s="78">
        <f ca="1" t="shared" si="15"/>
        <v>0.216</v>
      </c>
      <c r="AG25" s="78">
        <f ca="1" t="shared" si="15"/>
        <v>0.129</v>
      </c>
      <c r="AH25" s="78">
        <f ca="1" t="shared" si="15"/>
        <v>0.014</v>
      </c>
      <c r="AI25" s="78">
        <f ca="1" t="shared" si="15"/>
        <v>0.082</v>
      </c>
      <c r="AJ25" s="78">
        <f ca="1" t="shared" si="15"/>
        <v>0.014</v>
      </c>
      <c r="AK25" s="78">
        <f ca="1" t="shared" si="15"/>
        <v>0.034</v>
      </c>
      <c r="AL25" s="78">
        <f ca="1" t="shared" si="15"/>
        <v>0</v>
      </c>
      <c r="AM25" s="78">
        <f ca="1" t="shared" si="15"/>
        <v>0</v>
      </c>
      <c r="AN25" s="78">
        <f ca="1" t="shared" si="15"/>
        <v>0</v>
      </c>
      <c r="AO25" s="78">
        <f ca="1" t="shared" si="15"/>
        <v>0</v>
      </c>
      <c r="AP25" s="78">
        <f ca="1" t="shared" si="15"/>
        <v>0</v>
      </c>
      <c r="AQ25" s="78">
        <f ca="1" t="shared" si="15"/>
        <v>0</v>
      </c>
      <c r="AR25" s="78">
        <f ca="1" t="shared" si="15"/>
        <v>0</v>
      </c>
      <c r="AS25" s="78">
        <f ca="1" t="shared" si="15"/>
        <v>0</v>
      </c>
      <c r="AT25" s="78">
        <f ca="1" t="shared" si="15"/>
        <v>0</v>
      </c>
      <c r="AU25" s="78">
        <f ca="1" t="shared" si="15"/>
        <v>0</v>
      </c>
      <c r="AV25" s="78">
        <f ca="1" t="shared" si="15"/>
        <v>0</v>
      </c>
      <c r="AW25" s="78">
        <f ca="1" t="shared" si="15"/>
        <v>0</v>
      </c>
      <c r="AY25" s="1" t="s">
        <v>151</v>
      </c>
      <c r="AZ25" t="str">
        <f>IF(AX10="zero","\I:",$BA$45&amp;"_"&amp;VLOOKUP(C25,'TRA balance'!$BB$5:$BC$15,2,FALSE))</f>
        <v>Trd_car_nga</v>
      </c>
      <c r="BA25" t="str">
        <f t="shared" si="0"/>
        <v>Trd_car</v>
      </c>
      <c r="BB25">
        <f t="shared" si="1"/>
        <v>25</v>
      </c>
      <c r="BD25" t="str">
        <f t="shared" si="2"/>
        <v>DMD</v>
      </c>
      <c r="BE25" t="str">
        <f t="shared" si="3"/>
        <v>Trd_car_nga</v>
      </c>
      <c r="BG25" t="s">
        <v>92</v>
      </c>
      <c r="BH25" t="s">
        <v>144</v>
      </c>
      <c r="BI25" t="s">
        <v>145</v>
      </c>
    </row>
    <row r="26" spans="1:61"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Y26" s="1" t="s">
        <v>133</v>
      </c>
      <c r="BA26" t="str">
        <f t="shared" si="0"/>
        <v/>
      </c>
      <c r="BB26" t="str">
        <f t="shared" si="1"/>
        <v/>
      </c>
      <c r="BD26" t="str">
        <f t="shared" si="2"/>
        <v>*</v>
      </c>
      <c r="BE26">
        <f t="shared" si="3"/>
        <v>0</v>
      </c>
      <c r="BG26" t="s">
        <v>92</v>
      </c>
      <c r="BH26" t="s">
        <v>144</v>
      </c>
      <c r="BI26" t="s">
        <v>145</v>
      </c>
    </row>
    <row r="27" spans="1:61"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0.6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Y27" s="1" t="s">
        <v>133</v>
      </c>
      <c r="BA27" t="str">
        <f t="shared" si="0"/>
        <v/>
      </c>
      <c r="BB27" t="str">
        <f t="shared" si="1"/>
        <v/>
      </c>
      <c r="BD27" t="str">
        <f t="shared" si="2"/>
        <v>*</v>
      </c>
      <c r="BE27">
        <f t="shared" si="3"/>
        <v>0</v>
      </c>
      <c r="BG27" t="s">
        <v>92</v>
      </c>
      <c r="BH27" t="s">
        <v>144</v>
      </c>
      <c r="BI27" t="s">
        <v>145</v>
      </c>
    </row>
    <row r="28" spans="1:61">
      <c r="A28" t="s">
        <v>152</v>
      </c>
      <c r="C28" t="str">
        <f>C19</f>
        <v>TRABDS</v>
      </c>
      <c r="D28" s="3">
        <f t="shared" ref="D28:AC34" si="21">$AX28*D$27</f>
        <v>0.527722806887128</v>
      </c>
      <c r="E28" s="3">
        <f t="shared" si="21"/>
        <v>0.527722806887128</v>
      </c>
      <c r="F28" s="3">
        <f t="shared" si="21"/>
        <v>0.527722806887128</v>
      </c>
      <c r="G28" s="3">
        <f t="shared" si="21"/>
        <v>0.527722806887128</v>
      </c>
      <c r="H28" s="3">
        <f t="shared" si="21"/>
        <v>0.527722806887128</v>
      </c>
      <c r="I28" s="3">
        <f t="shared" si="21"/>
        <v>0.527722806887128</v>
      </c>
      <c r="J28" s="3">
        <f t="shared" si="21"/>
        <v>0.527722806887128</v>
      </c>
      <c r="K28" s="3">
        <f t="shared" si="21"/>
        <v>0.527722806887128</v>
      </c>
      <c r="L28" s="3">
        <f t="shared" si="21"/>
        <v>0.527722806887128</v>
      </c>
      <c r="M28" s="3">
        <f t="shared" si="21"/>
        <v>0.527722806887128</v>
      </c>
      <c r="N28" s="3">
        <f t="shared" si="21"/>
        <v>0.527722806887128</v>
      </c>
      <c r="O28" s="3">
        <f t="shared" si="21"/>
        <v>0.527722806887128</v>
      </c>
      <c r="P28" s="3">
        <f t="shared" si="21"/>
        <v>0.527722806887128</v>
      </c>
      <c r="Q28" s="3">
        <f t="shared" si="21"/>
        <v>0.527722806887128</v>
      </c>
      <c r="R28" s="3">
        <f t="shared" si="21"/>
        <v>0.527722806887128</v>
      </c>
      <c r="S28" s="3">
        <f t="shared" si="21"/>
        <v>0.527722806887128</v>
      </c>
      <c r="T28" s="3">
        <f t="shared" si="21"/>
        <v>0.527722806887128</v>
      </c>
      <c r="U28" s="3">
        <f t="shared" si="21"/>
        <v>0.527722806887128</v>
      </c>
      <c r="V28" s="3">
        <f t="shared" si="21"/>
        <v>0.527722806887128</v>
      </c>
      <c r="W28" s="3">
        <f t="shared" si="21"/>
        <v>0.527722806887128</v>
      </c>
      <c r="X28" s="3">
        <f t="shared" si="21"/>
        <v>0.527722806887128</v>
      </c>
      <c r="Y28" s="3">
        <f t="shared" si="21"/>
        <v>0.316633684132277</v>
      </c>
      <c r="Z28" s="3">
        <f t="shared" si="21"/>
        <v>0.527722806887128</v>
      </c>
      <c r="AA28" s="3">
        <f t="shared" si="21"/>
        <v>0.527722806887128</v>
      </c>
      <c r="AB28" s="3">
        <f t="shared" si="21"/>
        <v>0.527722806887128</v>
      </c>
      <c r="AC28" s="3">
        <f t="shared" si="21"/>
        <v>0.527722806887128</v>
      </c>
      <c r="AD28" s="3">
        <f t="shared" ref="AD28:AS34" si="22">$AX28*AD$27</f>
        <v>0.527722806887128</v>
      </c>
      <c r="AE28" s="3">
        <f t="shared" si="22"/>
        <v>0.527722806887128</v>
      </c>
      <c r="AF28" s="3">
        <f t="shared" si="22"/>
        <v>0.527722806887128</v>
      </c>
      <c r="AG28" s="3">
        <f t="shared" si="22"/>
        <v>0.527722806887128</v>
      </c>
      <c r="AH28" s="3">
        <f t="shared" si="22"/>
        <v>0.527722806887128</v>
      </c>
      <c r="AI28" s="3">
        <f t="shared" si="22"/>
        <v>0.527722806887128</v>
      </c>
      <c r="AJ28" s="3">
        <f t="shared" si="22"/>
        <v>0.527722806887128</v>
      </c>
      <c r="AK28" s="3">
        <f t="shared" si="22"/>
        <v>0.527722806887128</v>
      </c>
      <c r="AL28" s="3">
        <f t="shared" si="22"/>
        <v>0.527722806887128</v>
      </c>
      <c r="AM28" s="3">
        <f t="shared" si="22"/>
        <v>0.527722806887128</v>
      </c>
      <c r="AN28" s="3">
        <f t="shared" si="22"/>
        <v>0.527722806887128</v>
      </c>
      <c r="AO28" s="3">
        <f t="shared" si="22"/>
        <v>0.527722806887128</v>
      </c>
      <c r="AP28" s="3">
        <f t="shared" si="22"/>
        <v>0.527722806887128</v>
      </c>
      <c r="AQ28" s="3">
        <f t="shared" si="22"/>
        <v>0.527722806887128</v>
      </c>
      <c r="AR28" s="3">
        <f t="shared" si="22"/>
        <v>0.527722806887128</v>
      </c>
      <c r="AS28" s="3">
        <f t="shared" si="22"/>
        <v>0.527722806887128</v>
      </c>
      <c r="AT28" s="3">
        <f t="shared" ref="AK28:AW34" si="23">$AX28*AT$27</f>
        <v>0.527722806887128</v>
      </c>
      <c r="AU28" s="3">
        <f t="shared" si="23"/>
        <v>0.527722806887128</v>
      </c>
      <c r="AV28" s="3">
        <f t="shared" si="23"/>
        <v>0.527722806887128</v>
      </c>
      <c r="AW28" s="3">
        <f t="shared" si="23"/>
        <v>0.527722806887128</v>
      </c>
      <c r="AX28" s="80">
        <f>AX30</f>
        <v>0.527722806887128</v>
      </c>
      <c r="AY28" s="1" t="s">
        <v>153</v>
      </c>
      <c r="AZ28" s="3" t="str">
        <f>AZ19</f>
        <v>Trd_car_bdl</v>
      </c>
      <c r="BA28" t="str">
        <f t="shared" si="0"/>
        <v>Trd_car</v>
      </c>
      <c r="BB28">
        <f t="shared" si="1"/>
        <v>25</v>
      </c>
      <c r="BD28" t="str">
        <f t="shared" si="2"/>
        <v>DMD</v>
      </c>
      <c r="BE28" t="str">
        <f t="shared" si="3"/>
        <v>Trd_car_bdl</v>
      </c>
      <c r="BG28" t="s">
        <v>92</v>
      </c>
      <c r="BH28" t="s">
        <v>144</v>
      </c>
      <c r="BI28" t="s">
        <v>145</v>
      </c>
    </row>
    <row r="29" spans="1:61">
      <c r="C29" t="str">
        <f t="shared" ref="C29:C34" si="24">C20</f>
        <v>TRABGS</v>
      </c>
      <c r="D29" s="3">
        <f t="shared" si="21"/>
        <v>0.466052868011556</v>
      </c>
      <c r="E29" s="3">
        <f t="shared" si="21"/>
        <v>0.466052868011556</v>
      </c>
      <c r="F29" s="3">
        <f t="shared" si="21"/>
        <v>0.466052868011556</v>
      </c>
      <c r="G29" s="3">
        <f t="shared" si="21"/>
        <v>0.466052868011556</v>
      </c>
      <c r="H29" s="3">
        <f t="shared" si="21"/>
        <v>0.466052868011556</v>
      </c>
      <c r="I29" s="3">
        <f t="shared" si="21"/>
        <v>0.466052868011556</v>
      </c>
      <c r="J29" s="3">
        <f t="shared" si="21"/>
        <v>0.466052868011556</v>
      </c>
      <c r="K29" s="3">
        <f t="shared" si="21"/>
        <v>0.466052868011556</v>
      </c>
      <c r="L29" s="3">
        <f t="shared" si="21"/>
        <v>0.466052868011556</v>
      </c>
      <c r="M29" s="3">
        <f t="shared" si="21"/>
        <v>0.466052868011556</v>
      </c>
      <c r="N29" s="3">
        <f t="shared" si="21"/>
        <v>0.466052868011556</v>
      </c>
      <c r="O29" s="3">
        <f t="shared" si="21"/>
        <v>0.466052868011556</v>
      </c>
      <c r="P29" s="3">
        <f t="shared" si="21"/>
        <v>0.466052868011556</v>
      </c>
      <c r="Q29" s="3">
        <f t="shared" si="21"/>
        <v>0.466052868011556</v>
      </c>
      <c r="R29" s="3">
        <f t="shared" si="21"/>
        <v>0.466052868011556</v>
      </c>
      <c r="S29" s="3">
        <f t="shared" si="21"/>
        <v>0.466052868011556</v>
      </c>
      <c r="T29" s="3">
        <f t="shared" si="21"/>
        <v>0.466052868011556</v>
      </c>
      <c r="U29" s="3">
        <f t="shared" si="21"/>
        <v>0.466052868011556</v>
      </c>
      <c r="V29" s="3">
        <f t="shared" si="21"/>
        <v>0.466052868011556</v>
      </c>
      <c r="W29" s="3">
        <f t="shared" si="21"/>
        <v>0.466052868011556</v>
      </c>
      <c r="X29" s="3">
        <f t="shared" si="21"/>
        <v>0.466052868011556</v>
      </c>
      <c r="Y29" s="3">
        <f t="shared" si="21"/>
        <v>0.279631720806933</v>
      </c>
      <c r="Z29" s="3">
        <f t="shared" si="21"/>
        <v>0.466052868011556</v>
      </c>
      <c r="AA29" s="3">
        <f t="shared" si="21"/>
        <v>0.466052868011556</v>
      </c>
      <c r="AB29" s="3">
        <f t="shared" si="21"/>
        <v>0.466052868011556</v>
      </c>
      <c r="AC29" s="3">
        <f t="shared" si="21"/>
        <v>0.466052868011556</v>
      </c>
      <c r="AD29" s="3">
        <f t="shared" si="22"/>
        <v>0.466052868011556</v>
      </c>
      <c r="AE29" s="3">
        <f t="shared" si="22"/>
        <v>0.466052868011556</v>
      </c>
      <c r="AF29" s="3">
        <f t="shared" si="22"/>
        <v>0.466052868011556</v>
      </c>
      <c r="AG29" s="3">
        <f t="shared" si="22"/>
        <v>0.466052868011556</v>
      </c>
      <c r="AH29" s="3">
        <f t="shared" si="22"/>
        <v>0.466052868011556</v>
      </c>
      <c r="AI29" s="3">
        <f t="shared" si="22"/>
        <v>0.466052868011556</v>
      </c>
      <c r="AJ29" s="3">
        <f t="shared" si="22"/>
        <v>0.466052868011556</v>
      </c>
      <c r="AK29" s="3">
        <f t="shared" si="23"/>
        <v>0.466052868011556</v>
      </c>
      <c r="AL29" s="3">
        <f t="shared" si="22"/>
        <v>0.466052868011556</v>
      </c>
      <c r="AM29" s="3">
        <f t="shared" si="23"/>
        <v>0.466052868011556</v>
      </c>
      <c r="AN29" s="3">
        <f t="shared" si="23"/>
        <v>0.466052868011556</v>
      </c>
      <c r="AO29" s="3">
        <f t="shared" si="23"/>
        <v>0.466052868011556</v>
      </c>
      <c r="AP29" s="3">
        <f t="shared" si="23"/>
        <v>0.466052868011556</v>
      </c>
      <c r="AQ29" s="3">
        <f t="shared" si="23"/>
        <v>0.466052868011556</v>
      </c>
      <c r="AR29" s="3">
        <f t="shared" si="23"/>
        <v>0.466052868011556</v>
      </c>
      <c r="AS29" s="3">
        <f t="shared" si="23"/>
        <v>0.466052868011556</v>
      </c>
      <c r="AT29" s="3">
        <f t="shared" si="23"/>
        <v>0.466052868011556</v>
      </c>
      <c r="AU29" s="3">
        <f t="shared" si="23"/>
        <v>0.466052868011556</v>
      </c>
      <c r="AV29" s="3">
        <f t="shared" si="23"/>
        <v>0.466052868011556</v>
      </c>
      <c r="AW29" s="3">
        <f t="shared" si="23"/>
        <v>0.466052868011556</v>
      </c>
      <c r="AX29" s="80">
        <f>AX32</f>
        <v>0.466052868011556</v>
      </c>
      <c r="AY29" s="1" t="s">
        <v>153</v>
      </c>
      <c r="AZ29" s="3" t="str">
        <f t="shared" ref="AZ29:AZ34" si="25">AZ20</f>
        <v>Trd_car_eth</v>
      </c>
      <c r="BA29" t="str">
        <f t="shared" si="0"/>
        <v>Trd_car</v>
      </c>
      <c r="BB29">
        <f t="shared" si="1"/>
        <v>25</v>
      </c>
      <c r="BD29" t="str">
        <f t="shared" si="2"/>
        <v>DMD</v>
      </c>
      <c r="BE29" t="str">
        <f t="shared" si="3"/>
        <v>Trd_car_eth</v>
      </c>
      <c r="BG29" t="s">
        <v>92</v>
      </c>
      <c r="BH29" t="s">
        <v>144</v>
      </c>
      <c r="BI29" t="s">
        <v>145</v>
      </c>
    </row>
    <row r="30" spans="1:61">
      <c r="C30" t="str">
        <f t="shared" si="24"/>
        <v>TRADST</v>
      </c>
      <c r="D30" s="3">
        <f t="shared" si="21"/>
        <v>0.527722806887128</v>
      </c>
      <c r="E30" s="3">
        <f t="shared" si="21"/>
        <v>0.527722806887128</v>
      </c>
      <c r="F30" s="3">
        <f t="shared" si="21"/>
        <v>0.527722806887128</v>
      </c>
      <c r="G30" s="3">
        <f t="shared" si="21"/>
        <v>0.527722806887128</v>
      </c>
      <c r="H30" s="3">
        <f t="shared" si="21"/>
        <v>0.527722806887128</v>
      </c>
      <c r="I30" s="3">
        <f t="shared" si="21"/>
        <v>0.527722806887128</v>
      </c>
      <c r="J30" s="3">
        <f t="shared" si="21"/>
        <v>0.527722806887128</v>
      </c>
      <c r="K30" s="3">
        <f t="shared" si="21"/>
        <v>0.527722806887128</v>
      </c>
      <c r="L30" s="3">
        <f t="shared" si="21"/>
        <v>0.527722806887128</v>
      </c>
      <c r="M30" s="3">
        <f t="shared" si="21"/>
        <v>0.527722806887128</v>
      </c>
      <c r="N30" s="3">
        <f t="shared" si="21"/>
        <v>0.527722806887128</v>
      </c>
      <c r="O30" s="3">
        <f t="shared" si="21"/>
        <v>0.527722806887128</v>
      </c>
      <c r="P30" s="3">
        <f t="shared" si="21"/>
        <v>0.527722806887128</v>
      </c>
      <c r="Q30" s="3">
        <f t="shared" si="21"/>
        <v>0.527722806887128</v>
      </c>
      <c r="R30" s="3">
        <f t="shared" si="21"/>
        <v>0.527722806887128</v>
      </c>
      <c r="S30" s="3">
        <f t="shared" si="21"/>
        <v>0.527722806887128</v>
      </c>
      <c r="T30" s="3">
        <f t="shared" si="21"/>
        <v>0.527722806887128</v>
      </c>
      <c r="U30" s="3">
        <f t="shared" si="21"/>
        <v>0.527722806887128</v>
      </c>
      <c r="V30" s="3">
        <f t="shared" si="21"/>
        <v>0.527722806887128</v>
      </c>
      <c r="W30" s="3">
        <f t="shared" si="21"/>
        <v>0.527722806887128</v>
      </c>
      <c r="X30" s="3">
        <f t="shared" si="21"/>
        <v>0.527722806887128</v>
      </c>
      <c r="Y30" s="3">
        <f t="shared" si="21"/>
        <v>0.316633684132277</v>
      </c>
      <c r="Z30" s="3">
        <f t="shared" si="21"/>
        <v>0.527722806887128</v>
      </c>
      <c r="AA30" s="3">
        <f t="shared" si="21"/>
        <v>0.527722806887128</v>
      </c>
      <c r="AB30" s="3">
        <f t="shared" si="21"/>
        <v>0.527722806887128</v>
      </c>
      <c r="AC30" s="3">
        <f t="shared" si="21"/>
        <v>0.527722806887128</v>
      </c>
      <c r="AD30" s="3">
        <f t="shared" si="22"/>
        <v>0.527722806887128</v>
      </c>
      <c r="AE30" s="3">
        <f t="shared" si="22"/>
        <v>0.527722806887128</v>
      </c>
      <c r="AF30" s="3">
        <f t="shared" si="22"/>
        <v>0.527722806887128</v>
      </c>
      <c r="AG30" s="3">
        <f t="shared" si="22"/>
        <v>0.527722806887128</v>
      </c>
      <c r="AH30" s="3">
        <f t="shared" si="22"/>
        <v>0.527722806887128</v>
      </c>
      <c r="AI30" s="3">
        <f t="shared" si="22"/>
        <v>0.527722806887128</v>
      </c>
      <c r="AJ30" s="3">
        <f t="shared" si="22"/>
        <v>0.527722806887128</v>
      </c>
      <c r="AK30" s="3">
        <f t="shared" si="23"/>
        <v>0.527722806887128</v>
      </c>
      <c r="AL30" s="3">
        <f t="shared" si="22"/>
        <v>0.527722806887128</v>
      </c>
      <c r="AM30" s="3">
        <f t="shared" si="23"/>
        <v>0.527722806887128</v>
      </c>
      <c r="AN30" s="3">
        <f t="shared" si="23"/>
        <v>0.527722806887128</v>
      </c>
      <c r="AO30" s="3">
        <f t="shared" si="23"/>
        <v>0.527722806887128</v>
      </c>
      <c r="AP30" s="3">
        <f t="shared" si="23"/>
        <v>0.527722806887128</v>
      </c>
      <c r="AQ30" s="3">
        <f t="shared" si="23"/>
        <v>0.527722806887128</v>
      </c>
      <c r="AR30" s="3">
        <f t="shared" si="23"/>
        <v>0.527722806887128</v>
      </c>
      <c r="AS30" s="3">
        <f t="shared" si="23"/>
        <v>0.527722806887128</v>
      </c>
      <c r="AT30" s="3">
        <f t="shared" si="23"/>
        <v>0.527722806887128</v>
      </c>
      <c r="AU30" s="3">
        <f t="shared" si="23"/>
        <v>0.527722806887128</v>
      </c>
      <c r="AV30" s="3">
        <f t="shared" si="23"/>
        <v>0.527722806887128</v>
      </c>
      <c r="AW30" s="3">
        <f t="shared" si="23"/>
        <v>0.527722806887128</v>
      </c>
      <c r="AX30" s="80">
        <v>0.527722806887128</v>
      </c>
      <c r="AY30" s="1" t="s">
        <v>153</v>
      </c>
      <c r="AZ30" s="3" t="str">
        <f t="shared" si="25"/>
        <v>Trd_car_dsl</v>
      </c>
      <c r="BA30" t="str">
        <f t="shared" si="0"/>
        <v>Trd_car</v>
      </c>
      <c r="BB30">
        <f t="shared" si="1"/>
        <v>25</v>
      </c>
      <c r="BD30" t="str">
        <f t="shared" si="2"/>
        <v>DMD</v>
      </c>
      <c r="BE30" t="str">
        <f t="shared" si="3"/>
        <v>Trd_car_dsl</v>
      </c>
      <c r="BG30" t="s">
        <v>92</v>
      </c>
      <c r="BH30" t="s">
        <v>144</v>
      </c>
      <c r="BI30" t="s">
        <v>145</v>
      </c>
    </row>
    <row r="31" spans="1:61">
      <c r="C31" t="str">
        <f t="shared" si="24"/>
        <v>TRAELC</v>
      </c>
      <c r="D31" s="3">
        <f t="shared" si="21"/>
        <v>0.932105736023111</v>
      </c>
      <c r="E31" s="3">
        <f t="shared" si="21"/>
        <v>0.932105736023111</v>
      </c>
      <c r="F31" s="3">
        <f t="shared" si="21"/>
        <v>0.932105736023111</v>
      </c>
      <c r="G31" s="3">
        <f t="shared" si="21"/>
        <v>0.932105736023111</v>
      </c>
      <c r="H31" s="3">
        <f t="shared" si="21"/>
        <v>0.932105736023111</v>
      </c>
      <c r="I31" s="3">
        <f t="shared" si="21"/>
        <v>0.932105736023111</v>
      </c>
      <c r="J31" s="3">
        <f t="shared" si="21"/>
        <v>0.932105736023111</v>
      </c>
      <c r="K31" s="3">
        <f t="shared" si="21"/>
        <v>0.932105736023111</v>
      </c>
      <c r="L31" s="3">
        <f t="shared" si="21"/>
        <v>0.932105736023111</v>
      </c>
      <c r="M31" s="3">
        <f t="shared" si="21"/>
        <v>0.932105736023111</v>
      </c>
      <c r="N31" s="3">
        <f t="shared" si="21"/>
        <v>0.932105736023111</v>
      </c>
      <c r="O31" s="3">
        <f t="shared" si="21"/>
        <v>0.932105736023111</v>
      </c>
      <c r="P31" s="3">
        <f t="shared" si="21"/>
        <v>0.932105736023111</v>
      </c>
      <c r="Q31" s="3">
        <f t="shared" si="21"/>
        <v>0.932105736023111</v>
      </c>
      <c r="R31" s="3">
        <f t="shared" si="21"/>
        <v>0.932105736023111</v>
      </c>
      <c r="S31" s="3">
        <f t="shared" si="21"/>
        <v>0.932105736023111</v>
      </c>
      <c r="T31" s="3">
        <f t="shared" si="21"/>
        <v>0.932105736023111</v>
      </c>
      <c r="U31" s="3">
        <f t="shared" si="21"/>
        <v>0.932105736023111</v>
      </c>
      <c r="V31" s="3">
        <f t="shared" si="21"/>
        <v>0.932105736023111</v>
      </c>
      <c r="W31" s="3">
        <f t="shared" si="21"/>
        <v>0.932105736023111</v>
      </c>
      <c r="X31" s="3">
        <f t="shared" si="21"/>
        <v>0.932105736023111</v>
      </c>
      <c r="Y31" s="3">
        <f t="shared" si="21"/>
        <v>0.559263441613867</v>
      </c>
      <c r="Z31" s="3">
        <f t="shared" si="21"/>
        <v>0.932105736023111</v>
      </c>
      <c r="AA31" s="3">
        <f t="shared" si="21"/>
        <v>0.932105736023111</v>
      </c>
      <c r="AB31" s="3">
        <f t="shared" si="21"/>
        <v>0.932105736023111</v>
      </c>
      <c r="AC31" s="3">
        <f t="shared" si="21"/>
        <v>0.932105736023111</v>
      </c>
      <c r="AD31" s="3">
        <f t="shared" si="22"/>
        <v>0.932105736023111</v>
      </c>
      <c r="AE31" s="3">
        <f t="shared" si="22"/>
        <v>0.932105736023111</v>
      </c>
      <c r="AF31" s="3">
        <f t="shared" si="22"/>
        <v>0.932105736023111</v>
      </c>
      <c r="AG31" s="3">
        <f t="shared" si="22"/>
        <v>0.932105736023111</v>
      </c>
      <c r="AH31" s="3">
        <f t="shared" si="22"/>
        <v>0.932105736023111</v>
      </c>
      <c r="AI31" s="3">
        <f t="shared" si="22"/>
        <v>0.932105736023111</v>
      </c>
      <c r="AJ31" s="3">
        <f t="shared" si="22"/>
        <v>0.932105736023111</v>
      </c>
      <c r="AK31" s="3">
        <f t="shared" si="23"/>
        <v>0.932105736023111</v>
      </c>
      <c r="AL31" s="3">
        <f t="shared" si="22"/>
        <v>0.932105736023111</v>
      </c>
      <c r="AM31" s="3">
        <f t="shared" si="23"/>
        <v>0.932105736023111</v>
      </c>
      <c r="AN31" s="3">
        <f t="shared" si="23"/>
        <v>0.932105736023111</v>
      </c>
      <c r="AO31" s="3">
        <f t="shared" si="23"/>
        <v>0.932105736023111</v>
      </c>
      <c r="AP31" s="3">
        <f t="shared" si="23"/>
        <v>0.932105736023111</v>
      </c>
      <c r="AQ31" s="3">
        <f t="shared" si="23"/>
        <v>0.932105736023111</v>
      </c>
      <c r="AR31" s="3">
        <f t="shared" si="23"/>
        <v>0.932105736023111</v>
      </c>
      <c r="AS31" s="3">
        <f t="shared" si="23"/>
        <v>0.932105736023111</v>
      </c>
      <c r="AT31" s="3">
        <f t="shared" si="23"/>
        <v>0.932105736023111</v>
      </c>
      <c r="AU31" s="3">
        <f t="shared" si="23"/>
        <v>0.932105736023111</v>
      </c>
      <c r="AV31" s="3">
        <f t="shared" si="23"/>
        <v>0.932105736023111</v>
      </c>
      <c r="AW31" s="3">
        <f t="shared" si="23"/>
        <v>0.932105736023111</v>
      </c>
      <c r="AX31" s="80">
        <f>AX32*2</f>
        <v>0.932105736023111</v>
      </c>
      <c r="AY31" s="1" t="s">
        <v>153</v>
      </c>
      <c r="AZ31" s="3" t="str">
        <f t="shared" si="25"/>
        <v>Trd_car_elc</v>
      </c>
      <c r="BA31" t="str">
        <f t="shared" si="0"/>
        <v>Trd_car</v>
      </c>
      <c r="BB31">
        <f t="shared" si="1"/>
        <v>25</v>
      </c>
      <c r="BD31" t="str">
        <f t="shared" si="2"/>
        <v>DMD</v>
      </c>
      <c r="BE31" t="str">
        <f t="shared" si="3"/>
        <v>Trd_car_elc</v>
      </c>
      <c r="BG31" t="s">
        <v>92</v>
      </c>
      <c r="BH31" t="s">
        <v>144</v>
      </c>
      <c r="BI31" t="s">
        <v>145</v>
      </c>
    </row>
    <row r="32" spans="1:61">
      <c r="C32" t="str">
        <f t="shared" si="24"/>
        <v>TRAGSL</v>
      </c>
      <c r="D32" s="3">
        <f t="shared" si="21"/>
        <v>0.466052868011556</v>
      </c>
      <c r="E32" s="3">
        <f t="shared" si="21"/>
        <v>0.466052868011556</v>
      </c>
      <c r="F32" s="3">
        <f t="shared" si="21"/>
        <v>0.466052868011556</v>
      </c>
      <c r="G32" s="3">
        <f t="shared" si="21"/>
        <v>0.466052868011556</v>
      </c>
      <c r="H32" s="3">
        <f t="shared" si="21"/>
        <v>0.466052868011556</v>
      </c>
      <c r="I32" s="3">
        <f t="shared" si="21"/>
        <v>0.466052868011556</v>
      </c>
      <c r="J32" s="3">
        <f t="shared" si="21"/>
        <v>0.466052868011556</v>
      </c>
      <c r="K32" s="3">
        <f t="shared" si="21"/>
        <v>0.466052868011556</v>
      </c>
      <c r="L32" s="3">
        <f t="shared" si="21"/>
        <v>0.466052868011556</v>
      </c>
      <c r="M32" s="3">
        <f t="shared" si="21"/>
        <v>0.466052868011556</v>
      </c>
      <c r="N32" s="3">
        <f t="shared" si="21"/>
        <v>0.466052868011556</v>
      </c>
      <c r="O32" s="3">
        <f t="shared" si="21"/>
        <v>0.466052868011556</v>
      </c>
      <c r="P32" s="3">
        <f t="shared" si="21"/>
        <v>0.466052868011556</v>
      </c>
      <c r="Q32" s="3">
        <f t="shared" si="21"/>
        <v>0.466052868011556</v>
      </c>
      <c r="R32" s="3">
        <f t="shared" si="21"/>
        <v>0.466052868011556</v>
      </c>
      <c r="S32" s="3">
        <f t="shared" si="21"/>
        <v>0.466052868011556</v>
      </c>
      <c r="T32" s="3">
        <f t="shared" si="21"/>
        <v>0.466052868011556</v>
      </c>
      <c r="U32" s="3">
        <f t="shared" si="21"/>
        <v>0.466052868011556</v>
      </c>
      <c r="V32" s="3">
        <f t="shared" si="21"/>
        <v>0.466052868011556</v>
      </c>
      <c r="W32" s="3">
        <f t="shared" si="21"/>
        <v>0.466052868011556</v>
      </c>
      <c r="X32" s="3">
        <f t="shared" si="21"/>
        <v>0.466052868011556</v>
      </c>
      <c r="Y32" s="3">
        <f t="shared" si="21"/>
        <v>0.279631720806933</v>
      </c>
      <c r="Z32" s="3">
        <f t="shared" si="21"/>
        <v>0.466052868011556</v>
      </c>
      <c r="AA32" s="3">
        <f t="shared" si="21"/>
        <v>0.466052868011556</v>
      </c>
      <c r="AB32" s="3">
        <f t="shared" si="21"/>
        <v>0.466052868011556</v>
      </c>
      <c r="AC32" s="3">
        <f t="shared" si="21"/>
        <v>0.466052868011556</v>
      </c>
      <c r="AD32" s="3">
        <f t="shared" si="22"/>
        <v>0.466052868011556</v>
      </c>
      <c r="AE32" s="3">
        <f t="shared" si="22"/>
        <v>0.466052868011556</v>
      </c>
      <c r="AF32" s="3">
        <f t="shared" si="22"/>
        <v>0.466052868011556</v>
      </c>
      <c r="AG32" s="3">
        <f t="shared" si="22"/>
        <v>0.466052868011556</v>
      </c>
      <c r="AH32" s="3">
        <f t="shared" si="22"/>
        <v>0.466052868011556</v>
      </c>
      <c r="AI32" s="3">
        <f t="shared" si="22"/>
        <v>0.466052868011556</v>
      </c>
      <c r="AJ32" s="3">
        <f t="shared" si="22"/>
        <v>0.466052868011556</v>
      </c>
      <c r="AK32" s="3">
        <f t="shared" si="23"/>
        <v>0.466052868011556</v>
      </c>
      <c r="AL32" s="3">
        <f t="shared" si="22"/>
        <v>0.466052868011556</v>
      </c>
      <c r="AM32" s="3">
        <f t="shared" si="23"/>
        <v>0.466052868011556</v>
      </c>
      <c r="AN32" s="3">
        <f t="shared" si="23"/>
        <v>0.466052868011556</v>
      </c>
      <c r="AO32" s="3">
        <f t="shared" si="23"/>
        <v>0.466052868011556</v>
      </c>
      <c r="AP32" s="3">
        <f t="shared" si="23"/>
        <v>0.466052868011556</v>
      </c>
      <c r="AQ32" s="3">
        <f t="shared" si="23"/>
        <v>0.466052868011556</v>
      </c>
      <c r="AR32" s="3">
        <f t="shared" si="23"/>
        <v>0.466052868011556</v>
      </c>
      <c r="AS32" s="3">
        <f t="shared" si="23"/>
        <v>0.466052868011556</v>
      </c>
      <c r="AT32" s="3">
        <f t="shared" si="23"/>
        <v>0.466052868011556</v>
      </c>
      <c r="AU32" s="3">
        <f t="shared" si="23"/>
        <v>0.466052868011556</v>
      </c>
      <c r="AV32" s="3">
        <f t="shared" si="23"/>
        <v>0.466052868011556</v>
      </c>
      <c r="AW32" s="3">
        <f t="shared" si="23"/>
        <v>0.466052868011556</v>
      </c>
      <c r="AX32" s="80">
        <v>0.466052868011556</v>
      </c>
      <c r="AY32" s="1" t="s">
        <v>153</v>
      </c>
      <c r="AZ32" s="107" t="str">
        <f t="shared" si="25"/>
        <v>Trd_car_gsl</v>
      </c>
      <c r="BA32" t="str">
        <f t="shared" si="0"/>
        <v>Trd_car</v>
      </c>
      <c r="BB32">
        <f t="shared" si="1"/>
        <v>25</v>
      </c>
      <c r="BD32" t="str">
        <f t="shared" si="2"/>
        <v>DMD</v>
      </c>
      <c r="BE32" t="str">
        <f t="shared" si="3"/>
        <v>Trd_car_gsl</v>
      </c>
      <c r="BG32" t="s">
        <v>92</v>
      </c>
      <c r="BH32" t="s">
        <v>144</v>
      </c>
      <c r="BI32" t="s">
        <v>145</v>
      </c>
    </row>
    <row r="33" spans="1:61">
      <c r="C33" t="str">
        <f t="shared" si="24"/>
        <v>TRALPG</v>
      </c>
      <c r="D33" s="3">
        <f t="shared" si="21"/>
        <v>0.475531491178995</v>
      </c>
      <c r="E33" s="3">
        <f t="shared" si="21"/>
        <v>0.475531491178995</v>
      </c>
      <c r="F33" s="3">
        <f t="shared" si="21"/>
        <v>0.475531491178995</v>
      </c>
      <c r="G33" s="3">
        <f t="shared" si="21"/>
        <v>0.475531491178995</v>
      </c>
      <c r="H33" s="3">
        <f t="shared" si="21"/>
        <v>0.475531491178995</v>
      </c>
      <c r="I33" s="3">
        <f t="shared" si="21"/>
        <v>0.475531491178995</v>
      </c>
      <c r="J33" s="3">
        <f t="shared" si="21"/>
        <v>0.475531491178995</v>
      </c>
      <c r="K33" s="3">
        <f t="shared" si="21"/>
        <v>0.475531491178995</v>
      </c>
      <c r="L33" s="3">
        <f t="shared" si="21"/>
        <v>0.475531491178995</v>
      </c>
      <c r="M33" s="3">
        <f t="shared" si="21"/>
        <v>0.475531491178995</v>
      </c>
      <c r="N33" s="3">
        <f t="shared" si="21"/>
        <v>0.475531491178995</v>
      </c>
      <c r="O33" s="3">
        <f t="shared" si="21"/>
        <v>0.475531491178995</v>
      </c>
      <c r="P33" s="3">
        <f t="shared" si="21"/>
        <v>0.475531491178995</v>
      </c>
      <c r="Q33" s="3">
        <f t="shared" si="21"/>
        <v>0.475531491178995</v>
      </c>
      <c r="R33" s="3">
        <f t="shared" si="21"/>
        <v>0.475531491178995</v>
      </c>
      <c r="S33" s="3">
        <f t="shared" si="21"/>
        <v>0.475531491178995</v>
      </c>
      <c r="T33" s="3">
        <f t="shared" si="21"/>
        <v>0.475531491178995</v>
      </c>
      <c r="U33" s="3">
        <f t="shared" si="21"/>
        <v>0.475531491178995</v>
      </c>
      <c r="V33" s="3">
        <f t="shared" si="21"/>
        <v>0.475531491178995</v>
      </c>
      <c r="W33" s="3">
        <f t="shared" si="21"/>
        <v>0.475531491178995</v>
      </c>
      <c r="X33" s="3">
        <f t="shared" si="21"/>
        <v>0.475531491178995</v>
      </c>
      <c r="Y33" s="3">
        <f t="shared" si="21"/>
        <v>0.285318894707397</v>
      </c>
      <c r="Z33" s="3">
        <f t="shared" si="21"/>
        <v>0.475531491178995</v>
      </c>
      <c r="AA33" s="3">
        <f t="shared" si="21"/>
        <v>0.475531491178995</v>
      </c>
      <c r="AB33" s="3">
        <f t="shared" si="21"/>
        <v>0.475531491178995</v>
      </c>
      <c r="AC33" s="3">
        <f t="shared" si="21"/>
        <v>0.475531491178995</v>
      </c>
      <c r="AD33" s="3">
        <f t="shared" si="22"/>
        <v>0.475531491178995</v>
      </c>
      <c r="AE33" s="3">
        <f t="shared" si="22"/>
        <v>0.475531491178995</v>
      </c>
      <c r="AF33" s="3">
        <f t="shared" si="22"/>
        <v>0.475531491178995</v>
      </c>
      <c r="AG33" s="3">
        <f t="shared" si="22"/>
        <v>0.475531491178995</v>
      </c>
      <c r="AH33" s="3">
        <f t="shared" si="22"/>
        <v>0.475531491178995</v>
      </c>
      <c r="AI33" s="3">
        <f t="shared" si="22"/>
        <v>0.475531491178995</v>
      </c>
      <c r="AJ33" s="3">
        <f t="shared" si="22"/>
        <v>0.475531491178995</v>
      </c>
      <c r="AK33" s="3">
        <f t="shared" si="23"/>
        <v>0.475531491178995</v>
      </c>
      <c r="AL33" s="3">
        <f t="shared" si="22"/>
        <v>0.475531491178995</v>
      </c>
      <c r="AM33" s="3">
        <f t="shared" si="23"/>
        <v>0.475531491178995</v>
      </c>
      <c r="AN33" s="3">
        <f t="shared" si="23"/>
        <v>0.475531491178995</v>
      </c>
      <c r="AO33" s="3">
        <f t="shared" si="23"/>
        <v>0.475531491178995</v>
      </c>
      <c r="AP33" s="3">
        <f t="shared" si="23"/>
        <v>0.475531491178995</v>
      </c>
      <c r="AQ33" s="3">
        <f t="shared" si="23"/>
        <v>0.475531491178995</v>
      </c>
      <c r="AR33" s="3">
        <f t="shared" si="23"/>
        <v>0.475531491178995</v>
      </c>
      <c r="AS33" s="3">
        <f t="shared" si="23"/>
        <v>0.475531491178995</v>
      </c>
      <c r="AT33" s="3">
        <f t="shared" si="23"/>
        <v>0.475531491178995</v>
      </c>
      <c r="AU33" s="3">
        <f t="shared" si="23"/>
        <v>0.475531491178995</v>
      </c>
      <c r="AV33" s="3">
        <f t="shared" si="23"/>
        <v>0.475531491178995</v>
      </c>
      <c r="AW33" s="3">
        <f t="shared" si="23"/>
        <v>0.475531491178995</v>
      </c>
      <c r="AX33" s="80">
        <v>0.475531491178995</v>
      </c>
      <c r="AY33" s="1" t="s">
        <v>153</v>
      </c>
      <c r="AZ33" s="3" t="str">
        <f t="shared" si="25"/>
        <v>Trd_car_lpg</v>
      </c>
      <c r="BA33" t="str">
        <f t="shared" si="0"/>
        <v>Trd_car</v>
      </c>
      <c r="BB33">
        <f t="shared" si="1"/>
        <v>25</v>
      </c>
      <c r="BD33" t="str">
        <f t="shared" si="2"/>
        <v>DMD</v>
      </c>
      <c r="BE33" t="str">
        <f t="shared" si="3"/>
        <v>Trd_car_lpg</v>
      </c>
      <c r="BG33" t="s">
        <v>92</v>
      </c>
      <c r="BH33" t="s">
        <v>144</v>
      </c>
      <c r="BI33" t="s">
        <v>145</v>
      </c>
    </row>
    <row r="34" spans="1:61">
      <c r="C34" t="str">
        <f t="shared" si="24"/>
        <v>TRANGA</v>
      </c>
      <c r="D34" s="3">
        <f t="shared" si="21"/>
        <v>0.429345439465179</v>
      </c>
      <c r="E34" s="3">
        <f t="shared" si="21"/>
        <v>0.429345439465179</v>
      </c>
      <c r="F34" s="3">
        <f t="shared" si="21"/>
        <v>0.429345439465179</v>
      </c>
      <c r="G34" s="3">
        <f t="shared" si="21"/>
        <v>0.429345439465179</v>
      </c>
      <c r="H34" s="3">
        <f t="shared" si="21"/>
        <v>0.429345439465179</v>
      </c>
      <c r="I34" s="3">
        <f t="shared" si="21"/>
        <v>0.429345439465179</v>
      </c>
      <c r="J34" s="3">
        <f t="shared" si="21"/>
        <v>0.429345439465179</v>
      </c>
      <c r="K34" s="3">
        <f t="shared" si="21"/>
        <v>0.429345439465179</v>
      </c>
      <c r="L34" s="3">
        <f t="shared" si="21"/>
        <v>0.429345439465179</v>
      </c>
      <c r="M34" s="3">
        <f t="shared" si="21"/>
        <v>0.429345439465179</v>
      </c>
      <c r="N34" s="3">
        <f t="shared" si="21"/>
        <v>0.429345439465179</v>
      </c>
      <c r="O34" s="3">
        <f t="shared" si="21"/>
        <v>0.429345439465179</v>
      </c>
      <c r="P34" s="3">
        <f t="shared" si="21"/>
        <v>0.429345439465179</v>
      </c>
      <c r="Q34" s="3">
        <f t="shared" si="21"/>
        <v>0.429345439465179</v>
      </c>
      <c r="R34" s="3">
        <f t="shared" si="21"/>
        <v>0.429345439465179</v>
      </c>
      <c r="S34" s="3">
        <f t="shared" si="21"/>
        <v>0.429345439465179</v>
      </c>
      <c r="T34" s="3">
        <f t="shared" si="21"/>
        <v>0.429345439465179</v>
      </c>
      <c r="U34" s="3">
        <f t="shared" si="21"/>
        <v>0.429345439465179</v>
      </c>
      <c r="V34" s="3">
        <f t="shared" si="21"/>
        <v>0.429345439465179</v>
      </c>
      <c r="W34" s="3">
        <f t="shared" si="21"/>
        <v>0.429345439465179</v>
      </c>
      <c r="X34" s="3">
        <f t="shared" si="21"/>
        <v>0.429345439465179</v>
      </c>
      <c r="Y34" s="3">
        <f t="shared" si="21"/>
        <v>0.257607263679107</v>
      </c>
      <c r="Z34" s="3">
        <f t="shared" si="21"/>
        <v>0.429345439465179</v>
      </c>
      <c r="AA34" s="3">
        <f t="shared" si="21"/>
        <v>0.429345439465179</v>
      </c>
      <c r="AB34" s="3">
        <f t="shared" si="21"/>
        <v>0.429345439465179</v>
      </c>
      <c r="AC34" s="3">
        <f t="shared" si="21"/>
        <v>0.429345439465179</v>
      </c>
      <c r="AD34" s="3">
        <f t="shared" si="22"/>
        <v>0.429345439465179</v>
      </c>
      <c r="AE34" s="3">
        <f t="shared" si="22"/>
        <v>0.429345439465179</v>
      </c>
      <c r="AF34" s="3">
        <f t="shared" si="22"/>
        <v>0.429345439465179</v>
      </c>
      <c r="AG34" s="3">
        <f t="shared" si="22"/>
        <v>0.429345439465179</v>
      </c>
      <c r="AH34" s="3">
        <f t="shared" si="22"/>
        <v>0.429345439465179</v>
      </c>
      <c r="AI34" s="3">
        <f t="shared" si="22"/>
        <v>0.429345439465179</v>
      </c>
      <c r="AJ34" s="3">
        <f t="shared" si="22"/>
        <v>0.429345439465179</v>
      </c>
      <c r="AK34" s="3">
        <f t="shared" si="23"/>
        <v>0.429345439465179</v>
      </c>
      <c r="AL34" s="3">
        <f t="shared" si="22"/>
        <v>0.429345439465179</v>
      </c>
      <c r="AM34" s="3">
        <f t="shared" si="23"/>
        <v>0.429345439465179</v>
      </c>
      <c r="AN34" s="3">
        <f t="shared" si="23"/>
        <v>0.429345439465179</v>
      </c>
      <c r="AO34" s="3">
        <f t="shared" si="23"/>
        <v>0.429345439465179</v>
      </c>
      <c r="AP34" s="3">
        <f t="shared" si="23"/>
        <v>0.429345439465179</v>
      </c>
      <c r="AQ34" s="3">
        <f t="shared" si="23"/>
        <v>0.429345439465179</v>
      </c>
      <c r="AR34" s="3">
        <f t="shared" si="23"/>
        <v>0.429345439465179</v>
      </c>
      <c r="AS34" s="3">
        <f t="shared" si="23"/>
        <v>0.429345439465179</v>
      </c>
      <c r="AT34" s="3">
        <f t="shared" si="23"/>
        <v>0.429345439465179</v>
      </c>
      <c r="AU34" s="3">
        <f t="shared" si="23"/>
        <v>0.429345439465179</v>
      </c>
      <c r="AV34" s="3">
        <f t="shared" si="23"/>
        <v>0.429345439465179</v>
      </c>
      <c r="AW34" s="3">
        <f t="shared" si="23"/>
        <v>0.429345439465179</v>
      </c>
      <c r="AX34" s="80">
        <v>0.429345439465179</v>
      </c>
      <c r="AY34" s="1" t="s">
        <v>153</v>
      </c>
      <c r="AZ34" s="3" t="str">
        <f t="shared" si="25"/>
        <v>Trd_car_nga</v>
      </c>
      <c r="BA34" t="str">
        <f t="shared" si="0"/>
        <v>Trd_car</v>
      </c>
      <c r="BB34">
        <f t="shared" si="1"/>
        <v>25</v>
      </c>
      <c r="BD34" t="str">
        <f t="shared" si="2"/>
        <v>DMD</v>
      </c>
      <c r="BE34" t="str">
        <f t="shared" si="3"/>
        <v>Trd_car_nga</v>
      </c>
      <c r="BG34" t="s">
        <v>92</v>
      </c>
      <c r="BH34" t="s">
        <v>144</v>
      </c>
      <c r="BI34" t="s">
        <v>145</v>
      </c>
    </row>
    <row r="35" spans="1:61">
      <c r="AY35" s="1" t="s">
        <v>133</v>
      </c>
      <c r="BA35" t="str">
        <f t="shared" si="0"/>
        <v/>
      </c>
      <c r="BB35" t="str">
        <f t="shared" si="1"/>
        <v/>
      </c>
      <c r="BD35" t="str">
        <f t="shared" si="2"/>
        <v>*</v>
      </c>
      <c r="BE35">
        <f t="shared" si="3"/>
        <v>0</v>
      </c>
      <c r="BG35" t="s">
        <v>92</v>
      </c>
      <c r="BH35" t="s">
        <v>144</v>
      </c>
      <c r="BI35" t="s">
        <v>145</v>
      </c>
    </row>
    <row r="36" spans="1:61">
      <c r="A36" t="s">
        <v>154</v>
      </c>
      <c r="C36" t="str">
        <f>C28</f>
        <v>TRABDS</v>
      </c>
      <c r="D36" s="78">
        <v>12</v>
      </c>
      <c r="E36" s="78">
        <v>12</v>
      </c>
      <c r="F36" s="78">
        <v>12</v>
      </c>
      <c r="G36" s="78">
        <v>12</v>
      </c>
      <c r="H36" s="78">
        <v>12</v>
      </c>
      <c r="I36" s="78">
        <v>12</v>
      </c>
      <c r="J36" s="78">
        <v>12</v>
      </c>
      <c r="K36" s="78">
        <v>8</v>
      </c>
      <c r="L36" s="78">
        <v>12</v>
      </c>
      <c r="M36" s="78">
        <v>12</v>
      </c>
      <c r="N36" s="78">
        <v>12</v>
      </c>
      <c r="O36" s="78">
        <v>12</v>
      </c>
      <c r="P36" s="78">
        <v>12</v>
      </c>
      <c r="Q36" s="78">
        <v>12</v>
      </c>
      <c r="R36" s="78">
        <v>12</v>
      </c>
      <c r="S36" s="78">
        <v>12</v>
      </c>
      <c r="T36" s="78">
        <v>12</v>
      </c>
      <c r="U36" s="78">
        <v>12</v>
      </c>
      <c r="V36" s="78">
        <v>12</v>
      </c>
      <c r="W36" s="78">
        <v>12</v>
      </c>
      <c r="X36" s="78">
        <v>12</v>
      </c>
      <c r="Y36" s="78">
        <v>18</v>
      </c>
      <c r="Z36" s="78">
        <v>12</v>
      </c>
      <c r="AA36" s="78">
        <v>12</v>
      </c>
      <c r="AB36" s="78">
        <v>12</v>
      </c>
      <c r="AC36" s="78">
        <v>12</v>
      </c>
      <c r="AD36" s="78">
        <v>12</v>
      </c>
      <c r="AE36" s="78">
        <v>12</v>
      </c>
      <c r="AF36" s="78">
        <v>12</v>
      </c>
      <c r="AG36" s="78">
        <v>12</v>
      </c>
      <c r="AH36" s="78">
        <v>12</v>
      </c>
      <c r="AI36" s="78">
        <v>12</v>
      </c>
      <c r="AJ36" s="78">
        <v>12</v>
      </c>
      <c r="AK36" s="78">
        <v>12</v>
      </c>
      <c r="AL36" s="78">
        <v>12</v>
      </c>
      <c r="AM36" s="78">
        <v>12</v>
      </c>
      <c r="AN36" s="78">
        <v>12</v>
      </c>
      <c r="AO36" s="78">
        <v>12</v>
      </c>
      <c r="AP36" s="78">
        <v>12</v>
      </c>
      <c r="AQ36" s="78">
        <v>12</v>
      </c>
      <c r="AR36" s="78">
        <v>12</v>
      </c>
      <c r="AS36" s="78">
        <v>12</v>
      </c>
      <c r="AT36" s="78">
        <v>12</v>
      </c>
      <c r="AU36" s="78">
        <v>12</v>
      </c>
      <c r="AV36" s="78">
        <v>12</v>
      </c>
      <c r="AW36" s="78">
        <v>12</v>
      </c>
      <c r="AY36" s="1" t="s">
        <v>155</v>
      </c>
      <c r="AZ36" s="3" t="str">
        <f>AZ28</f>
        <v>Trd_car_bdl</v>
      </c>
      <c r="BA36" t="str">
        <f t="shared" si="0"/>
        <v>Trd_car</v>
      </c>
      <c r="BB36">
        <f t="shared" si="1"/>
        <v>25</v>
      </c>
      <c r="BD36" t="str">
        <f t="shared" si="2"/>
        <v>DMD</v>
      </c>
      <c r="BE36" t="str">
        <f t="shared" si="3"/>
        <v>Trd_car_bdl</v>
      </c>
      <c r="BG36" t="s">
        <v>92</v>
      </c>
      <c r="BH36" t="s">
        <v>144</v>
      </c>
      <c r="BI36" t="s">
        <v>145</v>
      </c>
    </row>
    <row r="37" spans="1:61">
      <c r="C37" t="str">
        <f t="shared" ref="C37:C42" si="26">C29</f>
        <v>TRABGS</v>
      </c>
      <c r="D37" s="78">
        <f>D$36</f>
        <v>12</v>
      </c>
      <c r="E37" s="78">
        <f t="shared" ref="E37:U42" si="27">E$36</f>
        <v>12</v>
      </c>
      <c r="F37" s="78">
        <f t="shared" si="27"/>
        <v>12</v>
      </c>
      <c r="G37" s="78">
        <f t="shared" si="27"/>
        <v>12</v>
      </c>
      <c r="H37" s="78">
        <f t="shared" si="27"/>
        <v>12</v>
      </c>
      <c r="I37" s="78">
        <f t="shared" si="27"/>
        <v>12</v>
      </c>
      <c r="J37" s="78">
        <f t="shared" si="27"/>
        <v>12</v>
      </c>
      <c r="K37" s="78">
        <f t="shared" si="27"/>
        <v>8</v>
      </c>
      <c r="L37" s="78">
        <f t="shared" si="27"/>
        <v>12</v>
      </c>
      <c r="M37" s="78">
        <f t="shared" si="27"/>
        <v>12</v>
      </c>
      <c r="N37" s="78">
        <f t="shared" si="27"/>
        <v>12</v>
      </c>
      <c r="O37" s="78">
        <f t="shared" si="27"/>
        <v>12</v>
      </c>
      <c r="P37" s="78">
        <f t="shared" si="27"/>
        <v>12</v>
      </c>
      <c r="Q37" s="78">
        <f t="shared" si="27"/>
        <v>12</v>
      </c>
      <c r="R37" s="78">
        <f t="shared" si="27"/>
        <v>12</v>
      </c>
      <c r="S37" s="78">
        <f t="shared" si="27"/>
        <v>12</v>
      </c>
      <c r="T37" s="78">
        <f t="shared" si="27"/>
        <v>12</v>
      </c>
      <c r="U37" s="78">
        <f t="shared" si="27"/>
        <v>12</v>
      </c>
      <c r="V37" s="78">
        <f t="shared" ref="V37:AJ42" si="28">V$36</f>
        <v>12</v>
      </c>
      <c r="W37" s="78">
        <f t="shared" si="28"/>
        <v>12</v>
      </c>
      <c r="X37" s="78">
        <f t="shared" si="28"/>
        <v>12</v>
      </c>
      <c r="Y37" s="78">
        <f t="shared" si="28"/>
        <v>18</v>
      </c>
      <c r="Z37" s="78">
        <f t="shared" si="28"/>
        <v>12</v>
      </c>
      <c r="AA37" s="78">
        <f t="shared" si="28"/>
        <v>12</v>
      </c>
      <c r="AB37" s="78">
        <f t="shared" si="28"/>
        <v>12</v>
      </c>
      <c r="AC37" s="78">
        <f t="shared" si="28"/>
        <v>12</v>
      </c>
      <c r="AD37" s="78">
        <f t="shared" si="28"/>
        <v>12</v>
      </c>
      <c r="AE37" s="78">
        <f t="shared" si="28"/>
        <v>12</v>
      </c>
      <c r="AF37" s="78">
        <f t="shared" si="28"/>
        <v>12</v>
      </c>
      <c r="AG37" s="78">
        <f t="shared" si="28"/>
        <v>12</v>
      </c>
      <c r="AH37" s="78">
        <f t="shared" si="28"/>
        <v>12</v>
      </c>
      <c r="AI37" s="78">
        <f t="shared" si="28"/>
        <v>12</v>
      </c>
      <c r="AJ37" s="78">
        <f t="shared" si="28"/>
        <v>12</v>
      </c>
      <c r="AK37" s="78">
        <f t="shared" ref="AK37:AW42" si="29">AK$36</f>
        <v>12</v>
      </c>
      <c r="AL37" s="78">
        <f t="shared" si="29"/>
        <v>12</v>
      </c>
      <c r="AM37" s="78">
        <f t="shared" si="29"/>
        <v>12</v>
      </c>
      <c r="AN37" s="78">
        <f t="shared" si="29"/>
        <v>12</v>
      </c>
      <c r="AO37" s="78">
        <f t="shared" si="29"/>
        <v>12</v>
      </c>
      <c r="AP37" s="78">
        <f t="shared" si="29"/>
        <v>12</v>
      </c>
      <c r="AQ37" s="78">
        <f t="shared" si="29"/>
        <v>12</v>
      </c>
      <c r="AR37" s="78">
        <f t="shared" si="29"/>
        <v>12</v>
      </c>
      <c r="AS37" s="78">
        <f t="shared" si="29"/>
        <v>12</v>
      </c>
      <c r="AT37" s="78">
        <f t="shared" si="29"/>
        <v>12</v>
      </c>
      <c r="AU37" s="78">
        <f t="shared" si="29"/>
        <v>12</v>
      </c>
      <c r="AV37" s="78">
        <f t="shared" si="29"/>
        <v>12</v>
      </c>
      <c r="AW37" s="78">
        <f t="shared" si="29"/>
        <v>12</v>
      </c>
      <c r="AY37" s="1" t="s">
        <v>155</v>
      </c>
      <c r="AZ37" s="3" t="str">
        <f t="shared" ref="AZ37:AZ42" si="30">AZ29</f>
        <v>Trd_car_eth</v>
      </c>
      <c r="BA37" t="str">
        <f t="shared" si="0"/>
        <v>Trd_car</v>
      </c>
      <c r="BB37">
        <f t="shared" si="1"/>
        <v>25</v>
      </c>
      <c r="BD37" t="str">
        <f t="shared" si="2"/>
        <v>DMD</v>
      </c>
      <c r="BE37" t="str">
        <f t="shared" si="3"/>
        <v>Trd_car_eth</v>
      </c>
      <c r="BG37" t="s">
        <v>92</v>
      </c>
      <c r="BH37" t="s">
        <v>144</v>
      </c>
      <c r="BI37" t="s">
        <v>145</v>
      </c>
    </row>
    <row r="38" spans="1:61">
      <c r="C38" t="str">
        <f t="shared" si="26"/>
        <v>TRADST</v>
      </c>
      <c r="D38" s="78">
        <f t="shared" ref="D38:S42" si="31">D$36</f>
        <v>12</v>
      </c>
      <c r="E38" s="78">
        <f t="shared" si="31"/>
        <v>12</v>
      </c>
      <c r="F38" s="78">
        <f t="shared" si="31"/>
        <v>12</v>
      </c>
      <c r="G38" s="78">
        <f t="shared" si="31"/>
        <v>12</v>
      </c>
      <c r="H38" s="78">
        <f t="shared" si="31"/>
        <v>12</v>
      </c>
      <c r="I38" s="78">
        <f t="shared" si="31"/>
        <v>12</v>
      </c>
      <c r="J38" s="78">
        <f t="shared" si="31"/>
        <v>12</v>
      </c>
      <c r="K38" s="78">
        <f t="shared" si="31"/>
        <v>8</v>
      </c>
      <c r="L38" s="78">
        <f t="shared" si="31"/>
        <v>12</v>
      </c>
      <c r="M38" s="78">
        <f t="shared" si="31"/>
        <v>12</v>
      </c>
      <c r="N38" s="78">
        <f t="shared" si="31"/>
        <v>12</v>
      </c>
      <c r="O38" s="78">
        <f t="shared" si="31"/>
        <v>12</v>
      </c>
      <c r="P38" s="78">
        <f t="shared" si="31"/>
        <v>12</v>
      </c>
      <c r="Q38" s="78">
        <f t="shared" si="31"/>
        <v>12</v>
      </c>
      <c r="R38" s="78">
        <f t="shared" si="31"/>
        <v>12</v>
      </c>
      <c r="S38" s="78">
        <f t="shared" si="31"/>
        <v>12</v>
      </c>
      <c r="T38" s="78">
        <f t="shared" si="27"/>
        <v>12</v>
      </c>
      <c r="U38" s="78">
        <f t="shared" si="27"/>
        <v>12</v>
      </c>
      <c r="V38" s="78">
        <f t="shared" si="28"/>
        <v>12</v>
      </c>
      <c r="W38" s="78">
        <f t="shared" si="28"/>
        <v>12</v>
      </c>
      <c r="X38" s="78">
        <f t="shared" si="28"/>
        <v>12</v>
      </c>
      <c r="Y38" s="78">
        <f t="shared" si="28"/>
        <v>18</v>
      </c>
      <c r="Z38" s="78">
        <f t="shared" si="28"/>
        <v>12</v>
      </c>
      <c r="AA38" s="78">
        <f t="shared" si="28"/>
        <v>12</v>
      </c>
      <c r="AB38" s="78">
        <f t="shared" si="28"/>
        <v>12</v>
      </c>
      <c r="AC38" s="78">
        <f t="shared" si="28"/>
        <v>12</v>
      </c>
      <c r="AD38" s="78">
        <f t="shared" si="28"/>
        <v>12</v>
      </c>
      <c r="AE38" s="78">
        <f t="shared" si="28"/>
        <v>12</v>
      </c>
      <c r="AF38" s="78">
        <f t="shared" si="28"/>
        <v>12</v>
      </c>
      <c r="AG38" s="78">
        <f t="shared" si="28"/>
        <v>12</v>
      </c>
      <c r="AH38" s="78">
        <f t="shared" si="28"/>
        <v>12</v>
      </c>
      <c r="AI38" s="78">
        <f t="shared" si="28"/>
        <v>12</v>
      </c>
      <c r="AJ38" s="78">
        <f t="shared" si="28"/>
        <v>12</v>
      </c>
      <c r="AK38" s="78">
        <f t="shared" si="29"/>
        <v>12</v>
      </c>
      <c r="AL38" s="78">
        <f t="shared" si="29"/>
        <v>12</v>
      </c>
      <c r="AM38" s="78">
        <f t="shared" si="29"/>
        <v>12</v>
      </c>
      <c r="AN38" s="78">
        <f t="shared" si="29"/>
        <v>12</v>
      </c>
      <c r="AO38" s="78">
        <f t="shared" si="29"/>
        <v>12</v>
      </c>
      <c r="AP38" s="78">
        <f t="shared" si="29"/>
        <v>12</v>
      </c>
      <c r="AQ38" s="78">
        <f t="shared" si="29"/>
        <v>12</v>
      </c>
      <c r="AR38" s="78">
        <f t="shared" si="29"/>
        <v>12</v>
      </c>
      <c r="AS38" s="78">
        <f t="shared" si="29"/>
        <v>12</v>
      </c>
      <c r="AT38" s="78">
        <f t="shared" si="29"/>
        <v>12</v>
      </c>
      <c r="AU38" s="78">
        <f t="shared" si="29"/>
        <v>12</v>
      </c>
      <c r="AV38" s="78">
        <f t="shared" si="29"/>
        <v>12</v>
      </c>
      <c r="AW38" s="78">
        <f t="shared" si="29"/>
        <v>12</v>
      </c>
      <c r="AY38" s="1" t="s">
        <v>155</v>
      </c>
      <c r="AZ38" s="3" t="str">
        <f t="shared" si="30"/>
        <v>Trd_car_dsl</v>
      </c>
      <c r="BA38" t="str">
        <f t="shared" si="0"/>
        <v>Trd_car</v>
      </c>
      <c r="BB38">
        <f t="shared" si="1"/>
        <v>25</v>
      </c>
      <c r="BD38" t="str">
        <f t="shared" si="2"/>
        <v>DMD</v>
      </c>
      <c r="BE38" t="str">
        <f t="shared" si="3"/>
        <v>Trd_car_dsl</v>
      </c>
      <c r="BG38" t="s">
        <v>92</v>
      </c>
      <c r="BH38" t="s">
        <v>144</v>
      </c>
      <c r="BI38" t="s">
        <v>145</v>
      </c>
    </row>
    <row r="39" spans="1:61">
      <c r="C39" t="str">
        <f t="shared" si="26"/>
        <v>TRAELC</v>
      </c>
      <c r="D39" s="78">
        <f t="shared" si="31"/>
        <v>12</v>
      </c>
      <c r="E39" s="78">
        <f t="shared" si="27"/>
        <v>12</v>
      </c>
      <c r="F39" s="78">
        <f t="shared" si="27"/>
        <v>12</v>
      </c>
      <c r="G39" s="78">
        <f t="shared" si="27"/>
        <v>12</v>
      </c>
      <c r="H39" s="78">
        <f t="shared" si="27"/>
        <v>12</v>
      </c>
      <c r="I39" s="78">
        <f t="shared" si="27"/>
        <v>12</v>
      </c>
      <c r="J39" s="78">
        <f t="shared" si="27"/>
        <v>12</v>
      </c>
      <c r="K39" s="78">
        <f t="shared" si="27"/>
        <v>8</v>
      </c>
      <c r="L39" s="78">
        <f t="shared" si="27"/>
        <v>12</v>
      </c>
      <c r="M39" s="78">
        <f t="shared" si="27"/>
        <v>12</v>
      </c>
      <c r="N39" s="78">
        <f t="shared" si="27"/>
        <v>12</v>
      </c>
      <c r="O39" s="78">
        <f t="shared" si="27"/>
        <v>12</v>
      </c>
      <c r="P39" s="78">
        <f t="shared" si="27"/>
        <v>12</v>
      </c>
      <c r="Q39" s="78">
        <f t="shared" si="27"/>
        <v>12</v>
      </c>
      <c r="R39" s="78">
        <f t="shared" si="27"/>
        <v>12</v>
      </c>
      <c r="S39" s="78">
        <f t="shared" si="27"/>
        <v>12</v>
      </c>
      <c r="T39" s="78">
        <f t="shared" si="27"/>
        <v>12</v>
      </c>
      <c r="U39" s="78">
        <f t="shared" si="27"/>
        <v>12</v>
      </c>
      <c r="V39" s="78">
        <f t="shared" si="28"/>
        <v>12</v>
      </c>
      <c r="W39" s="78">
        <f t="shared" si="28"/>
        <v>12</v>
      </c>
      <c r="X39" s="78">
        <f t="shared" si="28"/>
        <v>12</v>
      </c>
      <c r="Y39" s="78">
        <f t="shared" si="28"/>
        <v>18</v>
      </c>
      <c r="Z39" s="78">
        <f t="shared" si="28"/>
        <v>12</v>
      </c>
      <c r="AA39" s="78">
        <f t="shared" si="28"/>
        <v>12</v>
      </c>
      <c r="AB39" s="78">
        <f t="shared" si="28"/>
        <v>12</v>
      </c>
      <c r="AC39" s="78">
        <f t="shared" si="28"/>
        <v>12</v>
      </c>
      <c r="AD39" s="78">
        <f t="shared" si="28"/>
        <v>12</v>
      </c>
      <c r="AE39" s="78">
        <f t="shared" si="28"/>
        <v>12</v>
      </c>
      <c r="AF39" s="78">
        <f t="shared" si="28"/>
        <v>12</v>
      </c>
      <c r="AG39" s="78">
        <f t="shared" si="28"/>
        <v>12</v>
      </c>
      <c r="AH39" s="78">
        <f t="shared" si="28"/>
        <v>12</v>
      </c>
      <c r="AI39" s="78">
        <f t="shared" si="28"/>
        <v>12</v>
      </c>
      <c r="AJ39" s="78">
        <f t="shared" si="28"/>
        <v>12</v>
      </c>
      <c r="AK39" s="78">
        <f t="shared" si="29"/>
        <v>12</v>
      </c>
      <c r="AL39" s="78">
        <f t="shared" si="29"/>
        <v>12</v>
      </c>
      <c r="AM39" s="78">
        <f t="shared" si="29"/>
        <v>12</v>
      </c>
      <c r="AN39" s="78">
        <f t="shared" si="29"/>
        <v>12</v>
      </c>
      <c r="AO39" s="78">
        <f t="shared" si="29"/>
        <v>12</v>
      </c>
      <c r="AP39" s="78">
        <f t="shared" si="29"/>
        <v>12</v>
      </c>
      <c r="AQ39" s="78">
        <f t="shared" si="29"/>
        <v>12</v>
      </c>
      <c r="AR39" s="78">
        <f t="shared" si="29"/>
        <v>12</v>
      </c>
      <c r="AS39" s="78">
        <f t="shared" si="29"/>
        <v>12</v>
      </c>
      <c r="AT39" s="78">
        <f t="shared" si="29"/>
        <v>12</v>
      </c>
      <c r="AU39" s="78">
        <f t="shared" si="29"/>
        <v>12</v>
      </c>
      <c r="AV39" s="78">
        <f t="shared" si="29"/>
        <v>12</v>
      </c>
      <c r="AW39" s="78">
        <f t="shared" si="29"/>
        <v>12</v>
      </c>
      <c r="AY39" s="1" t="s">
        <v>155</v>
      </c>
      <c r="AZ39" s="3" t="str">
        <f t="shared" si="30"/>
        <v>Trd_car_elc</v>
      </c>
      <c r="BA39" t="str">
        <f t="shared" si="0"/>
        <v>Trd_car</v>
      </c>
      <c r="BB39">
        <f t="shared" si="1"/>
        <v>25</v>
      </c>
      <c r="BD39" t="str">
        <f t="shared" si="2"/>
        <v>DMD</v>
      </c>
      <c r="BE39" t="str">
        <f t="shared" si="3"/>
        <v>Trd_car_elc</v>
      </c>
      <c r="BG39" t="s">
        <v>92</v>
      </c>
      <c r="BH39" t="s">
        <v>144</v>
      </c>
      <c r="BI39" t="s">
        <v>145</v>
      </c>
    </row>
    <row r="40" spans="1:61">
      <c r="C40" t="str">
        <f t="shared" si="26"/>
        <v>TRAGSL</v>
      </c>
      <c r="D40" s="78">
        <f t="shared" si="31"/>
        <v>12</v>
      </c>
      <c r="E40" s="78">
        <f t="shared" si="27"/>
        <v>12</v>
      </c>
      <c r="F40" s="78">
        <f t="shared" si="27"/>
        <v>12</v>
      </c>
      <c r="G40" s="78">
        <f t="shared" si="27"/>
        <v>12</v>
      </c>
      <c r="H40" s="78">
        <f t="shared" si="27"/>
        <v>12</v>
      </c>
      <c r="I40" s="78">
        <f t="shared" si="27"/>
        <v>12</v>
      </c>
      <c r="J40" s="78">
        <f t="shared" si="27"/>
        <v>12</v>
      </c>
      <c r="K40" s="78">
        <f t="shared" si="27"/>
        <v>8</v>
      </c>
      <c r="L40" s="78">
        <f t="shared" si="27"/>
        <v>12</v>
      </c>
      <c r="M40" s="78">
        <f t="shared" si="27"/>
        <v>12</v>
      </c>
      <c r="N40" s="78">
        <f t="shared" si="27"/>
        <v>12</v>
      </c>
      <c r="O40" s="78">
        <f t="shared" si="27"/>
        <v>12</v>
      </c>
      <c r="P40" s="78">
        <f t="shared" si="27"/>
        <v>12</v>
      </c>
      <c r="Q40" s="78">
        <f t="shared" si="27"/>
        <v>12</v>
      </c>
      <c r="R40" s="78">
        <f t="shared" si="27"/>
        <v>12</v>
      </c>
      <c r="S40" s="78">
        <f t="shared" si="27"/>
        <v>12</v>
      </c>
      <c r="T40" s="78">
        <f t="shared" si="27"/>
        <v>12</v>
      </c>
      <c r="U40" s="78">
        <f t="shared" si="27"/>
        <v>12</v>
      </c>
      <c r="V40" s="78">
        <f t="shared" si="28"/>
        <v>12</v>
      </c>
      <c r="W40" s="78">
        <f t="shared" si="28"/>
        <v>12</v>
      </c>
      <c r="X40" s="78">
        <f t="shared" si="28"/>
        <v>12</v>
      </c>
      <c r="Y40" s="78">
        <f t="shared" si="28"/>
        <v>18</v>
      </c>
      <c r="Z40" s="78">
        <f t="shared" si="28"/>
        <v>12</v>
      </c>
      <c r="AA40" s="78">
        <f t="shared" si="28"/>
        <v>12</v>
      </c>
      <c r="AB40" s="78">
        <f t="shared" si="28"/>
        <v>12</v>
      </c>
      <c r="AC40" s="78">
        <f t="shared" si="28"/>
        <v>12</v>
      </c>
      <c r="AD40" s="78">
        <f t="shared" si="28"/>
        <v>12</v>
      </c>
      <c r="AE40" s="78">
        <f t="shared" si="28"/>
        <v>12</v>
      </c>
      <c r="AF40" s="78">
        <f t="shared" si="28"/>
        <v>12</v>
      </c>
      <c r="AG40" s="78">
        <f t="shared" si="28"/>
        <v>12</v>
      </c>
      <c r="AH40" s="78">
        <f t="shared" si="28"/>
        <v>12</v>
      </c>
      <c r="AI40" s="78">
        <f t="shared" si="28"/>
        <v>12</v>
      </c>
      <c r="AJ40" s="78">
        <f t="shared" si="28"/>
        <v>12</v>
      </c>
      <c r="AK40" s="78">
        <f t="shared" si="29"/>
        <v>12</v>
      </c>
      <c r="AL40" s="78">
        <f t="shared" si="29"/>
        <v>12</v>
      </c>
      <c r="AM40" s="78">
        <f t="shared" si="29"/>
        <v>12</v>
      </c>
      <c r="AN40" s="78">
        <f t="shared" si="29"/>
        <v>12</v>
      </c>
      <c r="AO40" s="78">
        <f t="shared" si="29"/>
        <v>12</v>
      </c>
      <c r="AP40" s="78">
        <f t="shared" si="29"/>
        <v>12</v>
      </c>
      <c r="AQ40" s="78">
        <f t="shared" si="29"/>
        <v>12</v>
      </c>
      <c r="AR40" s="78">
        <f t="shared" si="29"/>
        <v>12</v>
      </c>
      <c r="AS40" s="78">
        <f t="shared" si="29"/>
        <v>12</v>
      </c>
      <c r="AT40" s="78">
        <f t="shared" si="29"/>
        <v>12</v>
      </c>
      <c r="AU40" s="78">
        <f t="shared" si="29"/>
        <v>12</v>
      </c>
      <c r="AV40" s="78">
        <f t="shared" si="29"/>
        <v>12</v>
      </c>
      <c r="AW40" s="78">
        <f t="shared" si="29"/>
        <v>12</v>
      </c>
      <c r="AY40" s="1" t="s">
        <v>155</v>
      </c>
      <c r="AZ40" s="3" t="str">
        <f t="shared" si="30"/>
        <v>Trd_car_gsl</v>
      </c>
      <c r="BA40" t="str">
        <f t="shared" si="0"/>
        <v>Trd_car</v>
      </c>
      <c r="BB40">
        <f t="shared" si="1"/>
        <v>25</v>
      </c>
      <c r="BD40" t="str">
        <f t="shared" si="2"/>
        <v>DMD</v>
      </c>
      <c r="BE40" t="str">
        <f t="shared" si="3"/>
        <v>Trd_car_gsl</v>
      </c>
      <c r="BG40" t="s">
        <v>92</v>
      </c>
      <c r="BH40" t="s">
        <v>144</v>
      </c>
      <c r="BI40" t="s">
        <v>145</v>
      </c>
    </row>
    <row r="41" spans="1:61">
      <c r="C41" t="str">
        <f t="shared" si="26"/>
        <v>TRALPG</v>
      </c>
      <c r="D41" s="78">
        <f t="shared" si="31"/>
        <v>12</v>
      </c>
      <c r="E41" s="78">
        <f t="shared" si="27"/>
        <v>12</v>
      </c>
      <c r="F41" s="78">
        <f t="shared" si="27"/>
        <v>12</v>
      </c>
      <c r="G41" s="78">
        <f t="shared" si="27"/>
        <v>12</v>
      </c>
      <c r="H41" s="78">
        <f t="shared" si="27"/>
        <v>12</v>
      </c>
      <c r="I41" s="78">
        <f t="shared" si="27"/>
        <v>12</v>
      </c>
      <c r="J41" s="78">
        <f t="shared" si="27"/>
        <v>12</v>
      </c>
      <c r="K41" s="78">
        <f t="shared" si="27"/>
        <v>8</v>
      </c>
      <c r="L41" s="78">
        <f t="shared" si="27"/>
        <v>12</v>
      </c>
      <c r="M41" s="78">
        <f t="shared" si="27"/>
        <v>12</v>
      </c>
      <c r="N41" s="78">
        <f t="shared" si="27"/>
        <v>12</v>
      </c>
      <c r="O41" s="78">
        <f t="shared" si="27"/>
        <v>12</v>
      </c>
      <c r="P41" s="78">
        <f t="shared" si="27"/>
        <v>12</v>
      </c>
      <c r="Q41" s="78">
        <f t="shared" si="27"/>
        <v>12</v>
      </c>
      <c r="R41" s="78">
        <f t="shared" si="27"/>
        <v>12</v>
      </c>
      <c r="S41" s="78">
        <f t="shared" si="27"/>
        <v>12</v>
      </c>
      <c r="T41" s="78">
        <f t="shared" si="27"/>
        <v>12</v>
      </c>
      <c r="U41" s="78">
        <f t="shared" si="27"/>
        <v>12</v>
      </c>
      <c r="V41" s="78">
        <f t="shared" si="28"/>
        <v>12</v>
      </c>
      <c r="W41" s="78">
        <f t="shared" si="28"/>
        <v>12</v>
      </c>
      <c r="X41" s="78">
        <f t="shared" si="28"/>
        <v>12</v>
      </c>
      <c r="Y41" s="78">
        <f t="shared" si="28"/>
        <v>18</v>
      </c>
      <c r="Z41" s="78">
        <f t="shared" si="28"/>
        <v>12</v>
      </c>
      <c r="AA41" s="78">
        <f t="shared" si="28"/>
        <v>12</v>
      </c>
      <c r="AB41" s="78">
        <f t="shared" si="28"/>
        <v>12</v>
      </c>
      <c r="AC41" s="78">
        <f t="shared" si="28"/>
        <v>12</v>
      </c>
      <c r="AD41" s="78">
        <f t="shared" si="28"/>
        <v>12</v>
      </c>
      <c r="AE41" s="78">
        <f t="shared" si="28"/>
        <v>12</v>
      </c>
      <c r="AF41" s="78">
        <f t="shared" si="28"/>
        <v>12</v>
      </c>
      <c r="AG41" s="78">
        <f t="shared" si="28"/>
        <v>12</v>
      </c>
      <c r="AH41" s="78">
        <f t="shared" si="28"/>
        <v>12</v>
      </c>
      <c r="AI41" s="78">
        <f t="shared" si="28"/>
        <v>12</v>
      </c>
      <c r="AJ41" s="78">
        <f t="shared" si="28"/>
        <v>12</v>
      </c>
      <c r="AK41" s="78">
        <f t="shared" si="29"/>
        <v>12</v>
      </c>
      <c r="AL41" s="78">
        <f t="shared" si="29"/>
        <v>12</v>
      </c>
      <c r="AM41" s="78">
        <f t="shared" si="29"/>
        <v>12</v>
      </c>
      <c r="AN41" s="78">
        <f t="shared" si="29"/>
        <v>12</v>
      </c>
      <c r="AO41" s="78">
        <f t="shared" si="29"/>
        <v>12</v>
      </c>
      <c r="AP41" s="78">
        <f t="shared" si="29"/>
        <v>12</v>
      </c>
      <c r="AQ41" s="78">
        <f t="shared" si="29"/>
        <v>12</v>
      </c>
      <c r="AR41" s="78">
        <f t="shared" si="29"/>
        <v>12</v>
      </c>
      <c r="AS41" s="78">
        <f t="shared" si="29"/>
        <v>12</v>
      </c>
      <c r="AT41" s="78">
        <f t="shared" si="29"/>
        <v>12</v>
      </c>
      <c r="AU41" s="78">
        <f t="shared" si="29"/>
        <v>12</v>
      </c>
      <c r="AV41" s="78">
        <f t="shared" si="29"/>
        <v>12</v>
      </c>
      <c r="AW41" s="78">
        <f t="shared" si="29"/>
        <v>12</v>
      </c>
      <c r="AY41" s="1" t="s">
        <v>155</v>
      </c>
      <c r="AZ41" s="3" t="str">
        <f t="shared" si="30"/>
        <v>Trd_car_lpg</v>
      </c>
      <c r="BA41" t="str">
        <f t="shared" si="0"/>
        <v>Trd_car</v>
      </c>
      <c r="BB41">
        <f t="shared" si="1"/>
        <v>25</v>
      </c>
      <c r="BD41" t="str">
        <f t="shared" si="2"/>
        <v>DMD</v>
      </c>
      <c r="BE41" t="str">
        <f t="shared" si="3"/>
        <v>Trd_car_lpg</v>
      </c>
      <c r="BG41" t="s">
        <v>92</v>
      </c>
      <c r="BH41" t="s">
        <v>144</v>
      </c>
      <c r="BI41" t="s">
        <v>145</v>
      </c>
    </row>
    <row r="42" spans="1:61">
      <c r="C42" t="str">
        <f t="shared" si="26"/>
        <v>TRANGA</v>
      </c>
      <c r="D42" s="78">
        <f t="shared" si="31"/>
        <v>12</v>
      </c>
      <c r="E42" s="78">
        <f t="shared" si="27"/>
        <v>12</v>
      </c>
      <c r="F42" s="78">
        <f t="shared" si="27"/>
        <v>12</v>
      </c>
      <c r="G42" s="78">
        <f t="shared" si="27"/>
        <v>12</v>
      </c>
      <c r="H42" s="78">
        <f t="shared" si="27"/>
        <v>12</v>
      </c>
      <c r="I42" s="78">
        <f t="shared" si="27"/>
        <v>12</v>
      </c>
      <c r="J42" s="78">
        <f t="shared" si="27"/>
        <v>12</v>
      </c>
      <c r="K42" s="78">
        <f t="shared" si="27"/>
        <v>8</v>
      </c>
      <c r="L42" s="78">
        <f t="shared" si="27"/>
        <v>12</v>
      </c>
      <c r="M42" s="78">
        <f t="shared" si="27"/>
        <v>12</v>
      </c>
      <c r="N42" s="78">
        <f t="shared" si="27"/>
        <v>12</v>
      </c>
      <c r="O42" s="78">
        <f t="shared" si="27"/>
        <v>12</v>
      </c>
      <c r="P42" s="78">
        <f t="shared" si="27"/>
        <v>12</v>
      </c>
      <c r="Q42" s="78">
        <f t="shared" si="27"/>
        <v>12</v>
      </c>
      <c r="R42" s="78">
        <f t="shared" si="27"/>
        <v>12</v>
      </c>
      <c r="S42" s="78">
        <f t="shared" si="27"/>
        <v>12</v>
      </c>
      <c r="T42" s="78">
        <f t="shared" si="27"/>
        <v>12</v>
      </c>
      <c r="U42" s="78">
        <f t="shared" si="27"/>
        <v>12</v>
      </c>
      <c r="V42" s="78">
        <f t="shared" si="28"/>
        <v>12</v>
      </c>
      <c r="W42" s="78">
        <f t="shared" si="28"/>
        <v>12</v>
      </c>
      <c r="X42" s="78">
        <f t="shared" si="28"/>
        <v>12</v>
      </c>
      <c r="Y42" s="78">
        <f t="shared" si="28"/>
        <v>18</v>
      </c>
      <c r="Z42" s="78">
        <f t="shared" si="28"/>
        <v>12</v>
      </c>
      <c r="AA42" s="78">
        <f t="shared" si="28"/>
        <v>12</v>
      </c>
      <c r="AB42" s="78">
        <f t="shared" si="28"/>
        <v>12</v>
      </c>
      <c r="AC42" s="78">
        <f t="shared" si="28"/>
        <v>12</v>
      </c>
      <c r="AD42" s="78">
        <f t="shared" si="28"/>
        <v>12</v>
      </c>
      <c r="AE42" s="78">
        <f t="shared" si="28"/>
        <v>12</v>
      </c>
      <c r="AF42" s="78">
        <f t="shared" si="28"/>
        <v>12</v>
      </c>
      <c r="AG42" s="78">
        <f t="shared" si="28"/>
        <v>12</v>
      </c>
      <c r="AH42" s="78">
        <f t="shared" si="28"/>
        <v>12</v>
      </c>
      <c r="AI42" s="78">
        <f t="shared" si="28"/>
        <v>12</v>
      </c>
      <c r="AJ42" s="78">
        <f t="shared" si="28"/>
        <v>12</v>
      </c>
      <c r="AK42" s="78">
        <f t="shared" si="29"/>
        <v>12</v>
      </c>
      <c r="AL42" s="78">
        <f t="shared" si="29"/>
        <v>12</v>
      </c>
      <c r="AM42" s="78">
        <f t="shared" si="29"/>
        <v>12</v>
      </c>
      <c r="AN42" s="78">
        <f t="shared" si="29"/>
        <v>12</v>
      </c>
      <c r="AO42" s="78">
        <f t="shared" si="29"/>
        <v>12</v>
      </c>
      <c r="AP42" s="78">
        <f t="shared" si="29"/>
        <v>12</v>
      </c>
      <c r="AQ42" s="78">
        <f t="shared" si="29"/>
        <v>12</v>
      </c>
      <c r="AR42" s="78">
        <f t="shared" si="29"/>
        <v>12</v>
      </c>
      <c r="AS42" s="78">
        <f t="shared" si="29"/>
        <v>12</v>
      </c>
      <c r="AT42" s="78">
        <f t="shared" si="29"/>
        <v>12</v>
      </c>
      <c r="AU42" s="78">
        <f t="shared" si="29"/>
        <v>12</v>
      </c>
      <c r="AV42" s="78">
        <f t="shared" si="29"/>
        <v>12</v>
      </c>
      <c r="AW42" s="78">
        <f t="shared" si="29"/>
        <v>12</v>
      </c>
      <c r="AY42" s="1" t="s">
        <v>155</v>
      </c>
      <c r="AZ42" s="3" t="str">
        <f t="shared" si="30"/>
        <v>Trd_car_nga</v>
      </c>
      <c r="BA42" t="str">
        <f t="shared" si="0"/>
        <v>Trd_car</v>
      </c>
      <c r="BB42">
        <f t="shared" si="1"/>
        <v>25</v>
      </c>
      <c r="BD42" t="str">
        <f t="shared" si="2"/>
        <v>DMD</v>
      </c>
      <c r="BE42" t="str">
        <f t="shared" si="3"/>
        <v>Trd_car_nga</v>
      </c>
      <c r="BG42" t="s">
        <v>92</v>
      </c>
      <c r="BH42" t="s">
        <v>144</v>
      </c>
      <c r="BI42" t="s">
        <v>145</v>
      </c>
    </row>
    <row r="43" spans="1:61">
      <c r="AY43" s="1" t="s">
        <v>133</v>
      </c>
      <c r="BB43" t="str">
        <f t="shared" si="1"/>
        <v/>
      </c>
    </row>
    <row r="44" spans="1:61">
      <c r="D44" s="78" t="str">
        <f>D3</f>
        <v>Africa_North</v>
      </c>
      <c r="E44" s="78" t="str">
        <f t="shared" ref="E44:U44" si="32">E3</f>
        <v>Africa_Other</v>
      </c>
      <c r="F44" s="78" t="str">
        <f t="shared" si="32"/>
        <v>Australia</v>
      </c>
      <c r="G44" s="78" t="str">
        <f t="shared" si="32"/>
        <v>Austria</v>
      </c>
      <c r="H44" s="78" t="str">
        <f t="shared" si="32"/>
        <v>Baltics</v>
      </c>
      <c r="I44" s="78" t="str">
        <f t="shared" si="32"/>
        <v>BeNeLux</v>
      </c>
      <c r="J44" s="78" t="str">
        <f t="shared" si="32"/>
        <v>Brazil</v>
      </c>
      <c r="K44" s="78" t="str">
        <f t="shared" si="32"/>
        <v>China</v>
      </c>
      <c r="L44" s="78" t="str">
        <f t="shared" si="32"/>
        <v>CroSloven</v>
      </c>
      <c r="M44" s="78" t="str">
        <f t="shared" si="32"/>
        <v>CzechSlovak</v>
      </c>
      <c r="N44" s="78" t="str">
        <f t="shared" si="32"/>
        <v>France</v>
      </c>
      <c r="O44" s="78" t="str">
        <f t="shared" si="32"/>
        <v>Germany</v>
      </c>
      <c r="P44" s="78" t="str">
        <f t="shared" si="32"/>
        <v>GreeceCyp</v>
      </c>
      <c r="Q44" s="78" t="str">
        <f t="shared" si="32"/>
        <v>HunRomBul</v>
      </c>
      <c r="R44" s="78" t="str">
        <f t="shared" si="32"/>
        <v>Iceland</v>
      </c>
      <c r="S44" s="78" t="str">
        <f t="shared" si="32"/>
        <v>India</v>
      </c>
      <c r="T44" s="78" t="str">
        <f t="shared" si="32"/>
        <v>Ireland</v>
      </c>
      <c r="U44" s="78" t="str">
        <f t="shared" si="32"/>
        <v>ItalyMal</v>
      </c>
      <c r="V44" s="78" t="str">
        <f t="shared" ref="V44:AJ44" si="33">V3</f>
        <v>Japan</v>
      </c>
      <c r="W44" s="78" t="str">
        <f t="shared" si="33"/>
        <v>LatAm</v>
      </c>
      <c r="X44" s="78" t="str">
        <f t="shared" si="33"/>
        <v>MidEast</v>
      </c>
      <c r="Y44" s="78" t="str">
        <f t="shared" si="33"/>
        <v>NorthAm</v>
      </c>
      <c r="Z44" s="78" t="str">
        <f t="shared" si="33"/>
        <v>Norway</v>
      </c>
      <c r="AA44" s="78" t="str">
        <f t="shared" si="33"/>
        <v>Poland</v>
      </c>
      <c r="AB44" s="78" t="str">
        <f t="shared" si="33"/>
        <v>ROW</v>
      </c>
      <c r="AC44" s="78" t="str">
        <f t="shared" si="33"/>
        <v>Russia</v>
      </c>
      <c r="AD44" s="78" t="str">
        <f t="shared" si="33"/>
        <v>SaudiArabia</v>
      </c>
      <c r="AE44" s="78" t="str">
        <f t="shared" si="33"/>
        <v>SouthAfrica</v>
      </c>
      <c r="AF44" s="78" t="str">
        <f t="shared" si="33"/>
        <v>SpainPor</v>
      </c>
      <c r="AG44" s="78" t="str">
        <f t="shared" ref="AG44" si="34">AG3</f>
        <v>SweFinDen</v>
      </c>
      <c r="AH44" s="78" t="str">
        <f t="shared" si="33"/>
        <v>Switzerland</v>
      </c>
      <c r="AI44" s="78" t="str">
        <f t="shared" si="33"/>
        <v>Turkey</v>
      </c>
      <c r="AJ44" s="78" t="str">
        <f t="shared" si="33"/>
        <v>UK</v>
      </c>
      <c r="AK44" s="78" t="str">
        <f t="shared" ref="AK44:AW44" si="35">AK3</f>
        <v>Ukraine</v>
      </c>
      <c r="AL44" s="78" t="str">
        <f t="shared" si="35"/>
        <v>WestBalkans</v>
      </c>
      <c r="AM44" s="78" t="str">
        <f t="shared" si="35"/>
        <v>\I:</v>
      </c>
      <c r="AN44" s="78" t="str">
        <f t="shared" si="35"/>
        <v>\I:</v>
      </c>
      <c r="AO44" s="78" t="str">
        <f t="shared" si="35"/>
        <v>\I:</v>
      </c>
      <c r="AP44" s="78" t="str">
        <f t="shared" si="35"/>
        <v>\I:</v>
      </c>
      <c r="AQ44" s="78" t="str">
        <f t="shared" si="35"/>
        <v>\I:</v>
      </c>
      <c r="AR44" s="78" t="str">
        <f t="shared" si="35"/>
        <v>\I:</v>
      </c>
      <c r="AS44" s="78" t="str">
        <f t="shared" si="35"/>
        <v>\I:</v>
      </c>
      <c r="AT44" s="78" t="str">
        <f t="shared" si="35"/>
        <v>\I:</v>
      </c>
      <c r="AU44" s="78" t="str">
        <f t="shared" si="35"/>
        <v>\I:</v>
      </c>
      <c r="AV44" s="78" t="str">
        <f t="shared" si="35"/>
        <v>\I:</v>
      </c>
      <c r="AW44" s="78" t="str">
        <f t="shared" si="35"/>
        <v>\I:</v>
      </c>
      <c r="AY44" s="1" t="s">
        <v>133</v>
      </c>
      <c r="BB44" t="str">
        <f t="shared" si="1"/>
        <v/>
      </c>
    </row>
    <row r="45" spans="1:61">
      <c r="A45" t="s">
        <v>156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Y45" s="1" t="s">
        <v>157</v>
      </c>
      <c r="BA45" t="s">
        <v>167</v>
      </c>
      <c r="BB45" t="str">
        <f t="shared" si="1"/>
        <v/>
      </c>
    </row>
    <row r="47" spans="1:61">
      <c r="AY47" t="s">
        <v>159</v>
      </c>
    </row>
    <row r="48" spans="1:61">
      <c r="AY48" t="s">
        <v>160</v>
      </c>
      <c r="AZ48" t="s">
        <v>161</v>
      </c>
      <c r="BA48" t="s">
        <v>162</v>
      </c>
      <c r="BB48" t="s">
        <v>163</v>
      </c>
    </row>
    <row r="49" spans="33:54">
      <c r="AG49">
        <f ca="1">AG36*AG23/AG32*1000/41.868</f>
        <v>4361.46681669651</v>
      </c>
      <c r="AY49" t="s">
        <v>164</v>
      </c>
      <c r="AZ49" t="str">
        <f>BA45</f>
        <v>Trd_car</v>
      </c>
      <c r="BB49" t="s">
        <v>92</v>
      </c>
    </row>
  </sheetData>
  <conditionalFormatting sqref="AG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:AJ17 D17:AF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:AW17 AK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I49"/>
  <sheetViews>
    <sheetView zoomScale="68" zoomScaleNormal="68" topLeftCell="S1" workbookViewId="0">
      <selection activeCell="D45" sqref="D45:AW47"/>
    </sheetView>
  </sheetViews>
  <sheetFormatPr defaultColWidth="9" defaultRowHeight="14.5"/>
  <cols>
    <col min="1" max="1" width="10.8636363636364" customWidth="1"/>
    <col min="2" max="2" width="2" customWidth="1"/>
    <col min="4" max="20" width="6.13636363636364" customWidth="1"/>
    <col min="21" max="22" width="8.13636363636364" customWidth="1"/>
    <col min="23" max="23" width="7.4" customWidth="1"/>
    <col min="24" max="24" width="8.86363636363636" customWidth="1"/>
    <col min="25" max="25" width="5.86363636363636" customWidth="1"/>
    <col min="26" max="26" width="7.4" customWidth="1"/>
    <col min="27" max="27" width="6.6" customWidth="1"/>
    <col min="28" max="28" width="5.6" customWidth="1"/>
    <col min="29" max="29" width="6.6" customWidth="1"/>
    <col min="30" max="30" width="7.26363636363636" customWidth="1"/>
    <col min="31" max="31" width="6.6" customWidth="1"/>
    <col min="32" max="32" width="5.6" customWidth="1"/>
    <col min="33" max="33" width="7.4" customWidth="1"/>
    <col min="34" max="34" width="8" customWidth="1"/>
    <col min="35" max="49" width="6.6" customWidth="1"/>
    <col min="50" max="50" width="6" customWidth="1"/>
    <col min="51" max="51" width="8.86363636363636" customWidth="1"/>
    <col min="52" max="52" width="12.1363636363636" customWidth="1"/>
  </cols>
  <sheetData>
    <row r="2" spans="1:61">
      <c r="AY2" t="s">
        <v>130</v>
      </c>
      <c r="BD2" t="s">
        <v>131</v>
      </c>
    </row>
    <row r="3" spans="1:61">
      <c r="C3" t="s">
        <v>132</v>
      </c>
      <c r="D3" t="str">
        <f>'TRA balance'!E4</f>
        <v>Africa_North</v>
      </c>
      <c r="E3" t="str">
        <f>'TRA balance'!F4</f>
        <v>Africa_Other</v>
      </c>
      <c r="F3" t="str">
        <f>'TRA balance'!G4</f>
        <v>Australia</v>
      </c>
      <c r="G3" t="str">
        <f>'TRA balance'!H4</f>
        <v>Austria</v>
      </c>
      <c r="H3" t="str">
        <f>'TRA balance'!I4</f>
        <v>Baltics</v>
      </c>
      <c r="I3" t="str">
        <f>'TRA balance'!J4</f>
        <v>BeNeLux</v>
      </c>
      <c r="J3" t="str">
        <f>'TRA balance'!K4</f>
        <v>Brazil</v>
      </c>
      <c r="K3" t="str">
        <f>'TRA balance'!L4</f>
        <v>China</v>
      </c>
      <c r="L3" t="str">
        <f>'TRA balance'!M4</f>
        <v>CroSloven</v>
      </c>
      <c r="M3" t="str">
        <f>'TRA balance'!N4</f>
        <v>CzechSlovak</v>
      </c>
      <c r="N3" t="str">
        <f>'TRA balance'!O4</f>
        <v>France</v>
      </c>
      <c r="O3" t="str">
        <f>'TRA balance'!P4</f>
        <v>Germany</v>
      </c>
      <c r="P3" t="str">
        <f>'TRA balance'!Q4</f>
        <v>GreeceCyp</v>
      </c>
      <c r="Q3" t="str">
        <f>'TRA balance'!R4</f>
        <v>HunRomBul</v>
      </c>
      <c r="R3" t="str">
        <f>'TRA balance'!S4</f>
        <v>Iceland</v>
      </c>
      <c r="S3" t="str">
        <f>'TRA balance'!T4</f>
        <v>India</v>
      </c>
      <c r="T3" t="str">
        <f>'TRA balance'!U4</f>
        <v>Ireland</v>
      </c>
      <c r="U3" t="str">
        <f>'TRA balance'!V4</f>
        <v>ItalyMal</v>
      </c>
      <c r="V3" t="str">
        <f>'TRA balance'!W4</f>
        <v>Japan</v>
      </c>
      <c r="W3" t="str">
        <f>'TRA balance'!X4</f>
        <v>LatAm</v>
      </c>
      <c r="X3" t="str">
        <f>'TRA balance'!Y4</f>
        <v>MidEast</v>
      </c>
      <c r="Y3" t="str">
        <f>'TRA balance'!Z4</f>
        <v>NorthAm</v>
      </c>
      <c r="Z3" t="str">
        <f>'TRA balance'!AA4</f>
        <v>Norway</v>
      </c>
      <c r="AA3" t="str">
        <f>'TRA balance'!AB4</f>
        <v>Poland</v>
      </c>
      <c r="AB3" t="str">
        <f>'TRA balance'!AC4</f>
        <v>ROW</v>
      </c>
      <c r="AC3" t="str">
        <f>'TRA balance'!AD4</f>
        <v>Russia</v>
      </c>
      <c r="AD3" t="str">
        <f>'TRA balance'!AE4</f>
        <v>SaudiArabia</v>
      </c>
      <c r="AE3" t="str">
        <f>'TRA balance'!AF4</f>
        <v>SouthAfrica</v>
      </c>
      <c r="AF3" t="str">
        <f>'TRA balance'!AG4</f>
        <v>SpainPor</v>
      </c>
      <c r="AG3" t="str">
        <f>'TRA balance'!AH4</f>
        <v>SweFinDen</v>
      </c>
      <c r="AH3" t="str">
        <f>'TRA balance'!AI4</f>
        <v>Switzerland</v>
      </c>
      <c r="AI3" t="str">
        <f>'TRA balance'!AJ4</f>
        <v>Turkey</v>
      </c>
      <c r="AJ3" t="str">
        <f>'TRA balance'!AK4</f>
        <v>UK</v>
      </c>
      <c r="AK3" t="str">
        <f>'TRA balance'!AL4</f>
        <v>Ukraine</v>
      </c>
      <c r="AL3" t="str">
        <f>'TRA balance'!AM4</f>
        <v>WestBalkans</v>
      </c>
      <c r="AM3" t="str">
        <f>'TRA balance'!AN4</f>
        <v>\I:</v>
      </c>
      <c r="AN3" t="str">
        <f>'TRA balance'!AO4</f>
        <v>\I:</v>
      </c>
      <c r="AO3" t="str">
        <f>'TRA balance'!AP4</f>
        <v>\I:</v>
      </c>
      <c r="AP3" t="str">
        <f>'TRA balance'!AQ4</f>
        <v>\I:</v>
      </c>
      <c r="AQ3" t="str">
        <f>'TRA balance'!AR4</f>
        <v>\I:</v>
      </c>
      <c r="AR3" t="str">
        <f>'TRA balance'!AS4</f>
        <v>\I:</v>
      </c>
      <c r="AS3" t="str">
        <f>'TRA balance'!AT4</f>
        <v>\I:</v>
      </c>
      <c r="AT3" t="str">
        <f>'TRA balance'!AU4</f>
        <v>\I:</v>
      </c>
      <c r="AU3" t="str">
        <f>'TRA balance'!AV4</f>
        <v>\I:</v>
      </c>
      <c r="AV3" t="str">
        <f>'TRA balance'!AW4</f>
        <v>\I:</v>
      </c>
      <c r="AW3" t="str">
        <f>'TRA balance'!AX4</f>
        <v>\I:</v>
      </c>
      <c r="AX3" t="s">
        <v>133</v>
      </c>
      <c r="AY3" t="s">
        <v>134</v>
      </c>
      <c r="AZ3" t="s">
        <v>135</v>
      </c>
      <c r="BA3" t="s">
        <v>136</v>
      </c>
      <c r="BB3" t="s">
        <v>137</v>
      </c>
      <c r="BD3" t="s">
        <v>138</v>
      </c>
      <c r="BE3" t="s">
        <v>139</v>
      </c>
      <c r="BF3" t="s">
        <v>140</v>
      </c>
      <c r="BG3" t="s">
        <v>141</v>
      </c>
      <c r="BH3" t="s">
        <v>142</v>
      </c>
      <c r="BI3" t="s">
        <v>143</v>
      </c>
    </row>
    <row r="4" spans="1:61">
      <c r="A4" t="s">
        <v>78</v>
      </c>
      <c r="C4" s="43" t="s">
        <v>44</v>
      </c>
      <c r="D4" s="1" cm="1">
        <f ca="1" t="array" ref="D4">SUM(SUMIFS(Assumptions!BD$3:BD$102,Assumptions!$B$3:$B$102,Bus!$C4,Assumptions!$G$3:$G$102,{"TRB"}))</f>
        <v>0</v>
      </c>
      <c r="E4" s="1" cm="1">
        <f ca="1" t="array" ref="E4">SUM(SUMIFS(Assumptions!BE$3:BE$102,Assumptions!$B$3:$B$102,Bus!$C4,Assumptions!$G$3:$G$102,{"TRB"}))</f>
        <v>0</v>
      </c>
      <c r="F4" s="1" cm="1">
        <f ca="1" t="array" ref="F4">SUM(SUMIFS(Assumptions!BF$3:BF$102,Assumptions!$B$3:$B$102,Bus!$C4,Assumptions!$G$3:$G$102,{"TRB"}))</f>
        <v>0.005409889884</v>
      </c>
      <c r="G4" s="1" cm="1">
        <f ca="1" t="array" ref="G4">SUM(SUMIFS(Assumptions!BG$3:BG$102,Assumptions!$B$3:$B$102,Bus!$C4,Assumptions!$G$3:$G$102,{"TRB"}))</f>
        <v>0.712979215488</v>
      </c>
      <c r="H4" s="1" cm="1">
        <f ca="1" t="array" ref="H4">SUM(SUMIFS(Assumptions!BH$3:BH$102,Assumptions!$B$3:$B$102,Bus!$C4,Assumptions!$G$3:$G$102,{"TRB"}))</f>
        <v>0.435417319152</v>
      </c>
      <c r="I4" s="1" cm="1">
        <f ca="1" t="array" ref="I4">SUM(SUMIFS(Assumptions!BI$3:BI$102,Assumptions!$B$3:$B$102,Bus!$C4,Assumptions!$G$3:$G$102,{"TRB"}))</f>
        <v>1.477196321904</v>
      </c>
      <c r="J4" s="1" cm="1">
        <f ca="1" t="array" ref="J4">SUM(SUMIFS(Assumptions!BJ$3:BJ$102,Assumptions!$B$3:$B$102,Bus!$C4,Assumptions!$G$3:$G$102,{"TRB"}))</f>
        <v>60.5457829596024</v>
      </c>
      <c r="K4" s="1" cm="1">
        <f ca="1" t="array" ref="K4">SUM(SUMIFS(Assumptions!BK$3:BK$102,Assumptions!$B$3:$B$102,Bus!$C4,Assumptions!$G$3:$G$102,{"TRB"}))</f>
        <v>11.93976017703</v>
      </c>
      <c r="L4" s="1" cm="1">
        <f ca="1" t="array" ref="L4">SUM(SUMIFS(Assumptions!BL$3:BL$102,Assumptions!$B$3:$B$102,Bus!$C4,Assumptions!$G$3:$G$102,{"TRB"}))</f>
        <v>0.510663661056</v>
      </c>
      <c r="M4" s="1" cm="1">
        <f ca="1" t="array" ref="M4">SUM(SUMIFS(Assumptions!BM$3:BM$102,Assumptions!$B$3:$B$102,Bus!$C4,Assumptions!$G$3:$G$102,{"TRB"}))</f>
        <v>1.338387992064</v>
      </c>
      <c r="N4" s="1" cm="1">
        <f ca="1" t="array" ref="N4">SUM(SUMIFS(Assumptions!BN$3:BN$102,Assumptions!$B$3:$B$102,Bus!$C4,Assumptions!$G$3:$G$102,{"TRB"}))</f>
        <v>4.228130247408</v>
      </c>
      <c r="O4" s="1" cm="1">
        <f ca="1" t="array" ref="O4">SUM(SUMIFS(Assumptions!BO$3:BO$102,Assumptions!$B$3:$B$102,Bus!$C4,Assumptions!$G$3:$G$102,{"TRB"}))</f>
        <v>3.163755587472</v>
      </c>
      <c r="P4" s="1" cm="1">
        <f ca="1" t="array" ref="P4">SUM(SUMIFS(Assumptions!BP$3:BP$102,Assumptions!$B$3:$B$102,Bus!$C4,Assumptions!$G$3:$G$102,{"TRB"}))</f>
        <v>0.286629332832</v>
      </c>
      <c r="Q4" s="1" cm="1">
        <f ca="1" t="array" ref="Q4">SUM(SUMIFS(Assumptions!BQ$3:BQ$102,Assumptions!$B$3:$B$102,Bus!$C4,Assumptions!$G$3:$G$102,{"TRB"}))</f>
        <v>2.072931237216</v>
      </c>
      <c r="R4" s="1" cm="1">
        <f ca="1" t="array" ref="R4">SUM(SUMIFS(Assumptions!BR$3:BR$102,Assumptions!$B$3:$B$102,Bus!$C4,Assumptions!$G$3:$G$102,{"TRB"}))</f>
        <v>0.02595732264</v>
      </c>
      <c r="S4" s="1" cm="1">
        <f ca="1" t="array" ref="S4">SUM(SUMIFS(Assumptions!BS$3:BS$102,Assumptions!$B$3:$B$102,Bus!$C4,Assumptions!$G$3:$G$102,{"TRB"}))</f>
        <v>0.3069259344</v>
      </c>
      <c r="T4" s="1" cm="1">
        <f ca="1" t="array" ref="T4">SUM(SUMIFS(Assumptions!BT$3:BT$102,Assumptions!$B$3:$B$102,Bus!$C4,Assumptions!$G$3:$G$102,{"TRB"}))</f>
        <v>0.27127282032</v>
      </c>
      <c r="U4" s="1" cm="1">
        <f ca="1" t="array" ref="U4">SUM(SUMIFS(Assumptions!BU$3:BU$102,Assumptions!$B$3:$B$102,Bus!$C4,Assumptions!$G$3:$G$102,{"TRB"}))</f>
        <v>2.104371258192</v>
      </c>
      <c r="V4" s="1" cm="1">
        <f ca="1" t="array" ref="V4">SUM(SUMIFS(Assumptions!BV$3:BV$102,Assumptions!$B$3:$B$102,Bus!$C4,Assumptions!$G$3:$G$102,{"TRB"}))</f>
        <v>0.02466422946</v>
      </c>
      <c r="W4" s="1" cm="1">
        <f ca="1" t="array" ref="W4">SUM(SUMIFS(Assumptions!BW$3:BW$102,Assumptions!$B$3:$B$102,Bus!$C4,Assumptions!$G$3:$G$102,{"TRB"}))</f>
        <v>6.9065081305236</v>
      </c>
      <c r="X4" s="1" cm="1">
        <f ca="1" t="array" ref="X4">SUM(SUMIFS(Assumptions!BX$3:BX$102,Assumptions!$B$3:$B$102,Bus!$C4,Assumptions!$G$3:$G$102,{"TRB"}))</f>
        <v>0</v>
      </c>
      <c r="Y4" s="1" cm="1">
        <f ca="1" t="array" ref="Y4">SUM(SUMIFS(Assumptions!BY$3:BY$102,Assumptions!$B$3:$B$102,Bus!$C4,Assumptions!$G$3:$G$102,{"TRB"}))</f>
        <v>7.97018708786574</v>
      </c>
      <c r="Z4" s="1" cm="1">
        <f ca="1" t="array" ref="Z4">SUM(SUMIFS(Assumptions!BZ$3:BZ$102,Assumptions!$B$3:$B$102,Bus!$C4,Assumptions!$G$3:$G$102,{"TRB"}))</f>
        <v>0.70170098112</v>
      </c>
      <c r="AA4" s="1" cm="1">
        <f ca="1" t="array" ref="AA4">SUM(SUMIFS(Assumptions!CA$3:CA$102,Assumptions!$B$3:$B$102,Bus!$C4,Assumptions!$G$3:$G$102,{"TRB"}))</f>
        <v>2.806112600064</v>
      </c>
      <c r="AB4" s="1" cm="1">
        <f ca="1" t="array" ref="AB4">SUM(SUMIFS(Assumptions!CB$3:CB$102,Assumptions!$B$3:$B$102,Bus!$C4,Assumptions!$G$3:$G$102,{"TRB"}))</f>
        <v>39.3389136538272</v>
      </c>
      <c r="AC4" s="1" cm="1">
        <f ca="1" t="array" ref="AC4">SUM(SUMIFS(Assumptions!CC$3:CC$102,Assumptions!$B$3:$B$102,Bus!$C4,Assumptions!$G$3:$G$102,{"TRB"}))</f>
        <v>0.006840037962</v>
      </c>
      <c r="AD4" s="1" cm="1">
        <f ca="1" t="array" ref="AD4">SUM(SUMIFS(Assumptions!CD$3:CD$102,Assumptions!$B$3:$B$102,Bus!$C4,Assumptions!$G$3:$G$102,{"TRB"}))</f>
        <v>0</v>
      </c>
      <c r="AE4" s="1" cm="1">
        <f ca="1" t="array" ref="AE4">SUM(SUMIFS(Assumptions!CE$3:CE$102,Assumptions!$B$3:$B$102,Bus!$C4,Assumptions!$G$3:$G$102,{"TRB"}))</f>
        <v>0</v>
      </c>
      <c r="AF4" s="1" cm="1">
        <f ca="1" t="array" ref="AF4">SUM(SUMIFS(Assumptions!CF$3:CF$102,Assumptions!$B$3:$B$102,Bus!$C4,Assumptions!$G$3:$G$102,{"TRB"}))</f>
        <v>2.943386886384</v>
      </c>
      <c r="AG4" s="1" cm="1">
        <f ca="1" t="array" ref="AG4">SUM(SUMIFS(Assumptions!CG$3:CG$102,Assumptions!$B$3:$B$102,Bus!$C4,Assumptions!$G$3:$G$102,{"TRB"}))</f>
        <v>2.866601979216</v>
      </c>
      <c r="AH4" s="1" cm="1">
        <f ca="1" t="array" ref="AH4">SUM(SUMIFS(Assumptions!CH$3:CH$102,Assumptions!$B$3:$B$102,Bus!$C4,Assumptions!$G$3:$G$102,{"TRB"}))</f>
        <v>0.25092999648</v>
      </c>
      <c r="AI4" s="1" cm="1">
        <f ca="1" t="array" ref="AI4">SUM(SUMIFS(Assumptions!CI$3:CI$102,Assumptions!$B$3:$B$102,Bus!$C4,Assumptions!$G$3:$G$102,{"TRB"}))</f>
        <v>0.430155013968</v>
      </c>
      <c r="AJ4" s="1" cm="1">
        <f ca="1" t="array" ref="AJ4">SUM(SUMIFS(Assumptions!CJ$3:CJ$102,Assumptions!$B$3:$B$102,Bus!$C4,Assumptions!$G$3:$G$102,{"TRB"}))</f>
        <v>2.115424075248</v>
      </c>
      <c r="AK4" s="1" cm="1">
        <f ca="1" t="array" ref="AK4">SUM(SUMIFS(Assumptions!CK$3:CK$102,Assumptions!$B$3:$B$102,Bus!$C4,Assumptions!$G$3:$G$102,{"TRB"}))</f>
        <v>0</v>
      </c>
      <c r="AL4" s="1" cm="1">
        <f ca="1" t="array" ref="AL4">SUM(SUMIFS(Assumptions!CL$3:CL$102,Assumptions!$B$3:$B$102,Bus!$C4,Assumptions!$G$3:$G$102,{"TRB"}))</f>
        <v>0.402820736544</v>
      </c>
      <c r="AM4" s="1" cm="1">
        <f ca="1" t="array" ref="AM4">SUM(SUMIFS(Assumptions!CM$3:CM$102,Assumptions!$B$3:$B$102,Bus!$C4,Assumptions!$G$3:$G$102,{"TRB"}))</f>
        <v>0</v>
      </c>
      <c r="AN4" s="1" cm="1">
        <f ca="1" t="array" ref="AN4">SUM(SUMIFS(Assumptions!CN$3:CN$102,Assumptions!$B$3:$B$102,Bus!$C4,Assumptions!$G$3:$G$102,{"TRB"}))</f>
        <v>0</v>
      </c>
      <c r="AO4" s="1" cm="1">
        <f ca="1" t="array" ref="AO4">SUM(SUMIFS(Assumptions!CO$3:CO$102,Assumptions!$B$3:$B$102,Bus!$C4,Assumptions!$G$3:$G$102,{"TRB"}))</f>
        <v>0</v>
      </c>
      <c r="AP4" s="1" cm="1">
        <f ca="1" t="array" ref="AP4">SUM(SUMIFS(Assumptions!CP$3:CP$102,Assumptions!$B$3:$B$102,Bus!$C4,Assumptions!$G$3:$G$102,{"TRB"}))</f>
        <v>0</v>
      </c>
      <c r="AQ4" s="1" cm="1">
        <f ca="1" t="array" ref="AQ4">SUM(SUMIFS(Assumptions!CQ$3:CQ$102,Assumptions!$B$3:$B$102,Bus!$C4,Assumptions!$G$3:$G$102,{"TRB"}))</f>
        <v>0</v>
      </c>
      <c r="AR4" s="1" cm="1">
        <f ca="1" t="array" ref="AR4">SUM(SUMIFS(Assumptions!CR$3:CR$102,Assumptions!$B$3:$B$102,Bus!$C4,Assumptions!$G$3:$G$102,{"TRB"}))</f>
        <v>0</v>
      </c>
      <c r="AS4" s="1" cm="1">
        <f ca="1" t="array" ref="AS4">SUM(SUMIFS(Assumptions!CS$3:CS$102,Assumptions!$B$3:$B$102,Bus!$C4,Assumptions!$G$3:$G$102,{"TRB"}))</f>
        <v>0</v>
      </c>
      <c r="AT4" s="1" cm="1">
        <f ca="1" t="array" ref="AT4">SUM(SUMIFS(Assumptions!CT$3:CT$102,Assumptions!$B$3:$B$102,Bus!$C4,Assumptions!$G$3:$G$102,{"TRB"}))</f>
        <v>0</v>
      </c>
      <c r="AU4" s="1" cm="1">
        <f ca="1" t="array" ref="AU4">SUM(SUMIFS(Assumptions!CU$3:CU$102,Assumptions!$B$3:$B$102,Bus!$C4,Assumptions!$G$3:$G$102,{"TRB"}))</f>
        <v>0</v>
      </c>
      <c r="AV4" s="1" cm="1">
        <f ca="1" t="array" ref="AV4">SUM(SUMIFS(Assumptions!CV$3:CV$102,Assumptions!$B$3:$B$102,Bus!$C4,Assumptions!$G$3:$G$102,{"TRB"}))</f>
        <v>0</v>
      </c>
      <c r="AW4" s="1" cm="1">
        <f ca="1" t="array" ref="AW4">SUM(SUMIFS(Assumptions!CW$3:CW$102,Assumptions!$B$3:$B$102,Bus!$C4,Assumptions!$G$3:$G$102,{"TRB"}))</f>
        <v>0</v>
      </c>
      <c r="AX4" s="1"/>
      <c r="AY4" t="s">
        <v>133</v>
      </c>
      <c r="BA4" t="str">
        <f t="shared" ref="BA4:BA42" si="0">IF($AZ4="","",$BA$45)</f>
        <v/>
      </c>
      <c r="BB4" t="str">
        <f t="shared" ref="BB4:BB45" si="1">IF($AZ4="","",25)</f>
        <v/>
      </c>
      <c r="BD4" t="str">
        <f>IF($AZ4="","*","DMD")</f>
        <v>*</v>
      </c>
      <c r="BE4">
        <f>AZ4</f>
        <v>0</v>
      </c>
      <c r="BG4" t="s">
        <v>92</v>
      </c>
      <c r="BH4" t="s">
        <v>144</v>
      </c>
      <c r="BI4" t="s">
        <v>145</v>
      </c>
    </row>
    <row r="5" spans="1:61">
      <c r="A5" t="s">
        <v>78</v>
      </c>
      <c r="C5" s="43" t="s">
        <v>48</v>
      </c>
      <c r="D5" s="1" cm="1">
        <f ca="1" t="array" ref="D5">SUM(SUMIFS(Assumptions!BD$3:BD$102,Assumptions!$B$3:$B$102,Bus!$C5,Assumptions!$G$3:$G$102,{"TRB"}))</f>
        <v>0</v>
      </c>
      <c r="E5" s="1" cm="1">
        <f ca="1" t="array" ref="E5">SUM(SUMIFS(Assumptions!BE$3:BE$102,Assumptions!$B$3:$B$102,Bus!$C5,Assumptions!$G$3:$G$102,{"TRB"}))</f>
        <v>0</v>
      </c>
      <c r="F5" s="1" cm="1">
        <f ca="1" t="array" ref="F5">SUM(SUMIFS(Assumptions!BF$3:BF$102,Assumptions!$B$3:$B$102,Bus!$C5,Assumptions!$G$3:$G$102,{"TRB"}))</f>
        <v>0</v>
      </c>
      <c r="G5" s="1" cm="1">
        <f ca="1" t="array" ref="G5">SUM(SUMIFS(Assumptions!BG$3:BG$102,Assumptions!$B$3:$B$102,Bus!$C5,Assumptions!$G$3:$G$102,{"TRB"}))</f>
        <v>0</v>
      </c>
      <c r="H5" s="1" cm="1">
        <f ca="1" t="array" ref="H5">SUM(SUMIFS(Assumptions!BH$3:BH$102,Assumptions!$B$3:$B$102,Bus!$C5,Assumptions!$G$3:$G$102,{"TRB"}))</f>
        <v>0</v>
      </c>
      <c r="I5" s="1" cm="1">
        <f ca="1" t="array" ref="I5">SUM(SUMIFS(Assumptions!BI$3:BI$102,Assumptions!$B$3:$B$102,Bus!$C5,Assumptions!$G$3:$G$102,{"TRB"}))</f>
        <v>0</v>
      </c>
      <c r="J5" s="1" cm="1">
        <f ca="1" t="array" ref="J5">SUM(SUMIFS(Assumptions!BJ$3:BJ$102,Assumptions!$B$3:$B$102,Bus!$C5,Assumptions!$G$3:$G$102,{"TRB"}))</f>
        <v>0</v>
      </c>
      <c r="K5" s="1" cm="1">
        <f ca="1" t="array" ref="K5">SUM(SUMIFS(Assumptions!BK$3:BK$102,Assumptions!$B$3:$B$102,Bus!$C5,Assumptions!$G$3:$G$102,{"TRB"}))</f>
        <v>0</v>
      </c>
      <c r="L5" s="1" cm="1">
        <f ca="1" t="array" ref="L5">SUM(SUMIFS(Assumptions!BL$3:BL$102,Assumptions!$B$3:$B$102,Bus!$C5,Assumptions!$G$3:$G$102,{"TRB"}))</f>
        <v>0</v>
      </c>
      <c r="M5" s="1" cm="1">
        <f ca="1" t="array" ref="M5">SUM(SUMIFS(Assumptions!BM$3:BM$102,Assumptions!$B$3:$B$102,Bus!$C5,Assumptions!$G$3:$G$102,{"TRB"}))</f>
        <v>0</v>
      </c>
      <c r="N5" s="1" cm="1">
        <f ca="1" t="array" ref="N5">SUM(SUMIFS(Assumptions!BN$3:BN$102,Assumptions!$B$3:$B$102,Bus!$C5,Assumptions!$G$3:$G$102,{"TRB"}))</f>
        <v>0</v>
      </c>
      <c r="O5" s="1" cm="1">
        <f ca="1" t="array" ref="O5">SUM(SUMIFS(Assumptions!BO$3:BO$102,Assumptions!$B$3:$B$102,Bus!$C5,Assumptions!$G$3:$G$102,{"TRB"}))</f>
        <v>0</v>
      </c>
      <c r="P5" s="1" cm="1">
        <f ca="1" t="array" ref="P5">SUM(SUMIFS(Assumptions!BP$3:BP$102,Assumptions!$B$3:$B$102,Bus!$C5,Assumptions!$G$3:$G$102,{"TRB"}))</f>
        <v>0</v>
      </c>
      <c r="Q5" s="1" cm="1">
        <f ca="1" t="array" ref="Q5">SUM(SUMIFS(Assumptions!BQ$3:BQ$102,Assumptions!$B$3:$B$102,Bus!$C5,Assumptions!$G$3:$G$102,{"TRB"}))</f>
        <v>0</v>
      </c>
      <c r="R5" s="1" cm="1">
        <f ca="1" t="array" ref="R5">SUM(SUMIFS(Assumptions!BR$3:BR$102,Assumptions!$B$3:$B$102,Bus!$C5,Assumptions!$G$3:$G$102,{"TRB"}))</f>
        <v>0</v>
      </c>
      <c r="S5" s="1" cm="1">
        <f ca="1" t="array" ref="S5">SUM(SUMIFS(Assumptions!BS$3:BS$102,Assumptions!$B$3:$B$102,Bus!$C5,Assumptions!$G$3:$G$102,{"TRB"}))</f>
        <v>0</v>
      </c>
      <c r="T5" s="1" cm="1">
        <f ca="1" t="array" ref="T5">SUM(SUMIFS(Assumptions!BT$3:BT$102,Assumptions!$B$3:$B$102,Bus!$C5,Assumptions!$G$3:$G$102,{"TRB"}))</f>
        <v>0</v>
      </c>
      <c r="U5" s="1" cm="1">
        <f ca="1" t="array" ref="U5">SUM(SUMIFS(Assumptions!BU$3:BU$102,Assumptions!$B$3:$B$102,Bus!$C5,Assumptions!$G$3:$G$102,{"TRB"}))</f>
        <v>0</v>
      </c>
      <c r="V5" s="1" cm="1">
        <f ca="1" t="array" ref="V5">SUM(SUMIFS(Assumptions!BV$3:BV$102,Assumptions!$B$3:$B$102,Bus!$C5,Assumptions!$G$3:$G$102,{"TRB"}))</f>
        <v>0</v>
      </c>
      <c r="W5" s="1" cm="1">
        <f ca="1" t="array" ref="W5">SUM(SUMIFS(Assumptions!BW$3:BW$102,Assumptions!$B$3:$B$102,Bus!$C5,Assumptions!$G$3:$G$102,{"TRB"}))</f>
        <v>0</v>
      </c>
      <c r="X5" s="1" cm="1">
        <f ca="1" t="array" ref="X5">SUM(SUMIFS(Assumptions!BX$3:BX$102,Assumptions!$B$3:$B$102,Bus!$C5,Assumptions!$G$3:$G$102,{"TRB"}))</f>
        <v>0</v>
      </c>
      <c r="Y5" s="1" cm="1">
        <f ca="1" t="array" ref="Y5">SUM(SUMIFS(Assumptions!BY$3:BY$102,Assumptions!$B$3:$B$102,Bus!$C5,Assumptions!$G$3:$G$102,{"TRB"}))</f>
        <v>0</v>
      </c>
      <c r="Z5" s="1" cm="1">
        <f ca="1" t="array" ref="Z5">SUM(SUMIFS(Assumptions!BZ$3:BZ$102,Assumptions!$B$3:$B$102,Bus!$C5,Assumptions!$G$3:$G$102,{"TRB"}))</f>
        <v>0</v>
      </c>
      <c r="AA5" s="1" cm="1">
        <f ca="1" t="array" ref="AA5">SUM(SUMIFS(Assumptions!CA$3:CA$102,Assumptions!$B$3:$B$102,Bus!$C5,Assumptions!$G$3:$G$102,{"TRB"}))</f>
        <v>0</v>
      </c>
      <c r="AB5" s="1" cm="1">
        <f ca="1" t="array" ref="AB5">SUM(SUMIFS(Assumptions!CB$3:CB$102,Assumptions!$B$3:$B$102,Bus!$C5,Assumptions!$G$3:$G$102,{"TRB"}))</f>
        <v>0</v>
      </c>
      <c r="AC5" s="1" cm="1">
        <f ca="1" t="array" ref="AC5">SUM(SUMIFS(Assumptions!CC$3:CC$102,Assumptions!$B$3:$B$102,Bus!$C5,Assumptions!$G$3:$G$102,{"TRB"}))</f>
        <v>0</v>
      </c>
      <c r="AD5" s="1" cm="1">
        <f ca="1" t="array" ref="AD5">SUM(SUMIFS(Assumptions!CD$3:CD$102,Assumptions!$B$3:$B$102,Bus!$C5,Assumptions!$G$3:$G$102,{"TRB"}))</f>
        <v>0</v>
      </c>
      <c r="AE5" s="1" cm="1">
        <f ca="1" t="array" ref="AE5">SUM(SUMIFS(Assumptions!CE$3:CE$102,Assumptions!$B$3:$B$102,Bus!$C5,Assumptions!$G$3:$G$102,{"TRB"}))</f>
        <v>0</v>
      </c>
      <c r="AF5" s="1" cm="1">
        <f ca="1" t="array" ref="AF5">SUM(SUMIFS(Assumptions!CF$3:CF$102,Assumptions!$B$3:$B$102,Bus!$C5,Assumptions!$G$3:$G$102,{"TRB"}))</f>
        <v>0</v>
      </c>
      <c r="AG5" s="1" cm="1">
        <f ca="1" t="array" ref="AG5">SUM(SUMIFS(Assumptions!CG$3:CG$102,Assumptions!$B$3:$B$102,Bus!$C5,Assumptions!$G$3:$G$102,{"TRB"}))</f>
        <v>0</v>
      </c>
      <c r="AH5" s="1" cm="1">
        <f ca="1" t="array" ref="AH5">SUM(SUMIFS(Assumptions!CH$3:CH$102,Assumptions!$B$3:$B$102,Bus!$C5,Assumptions!$G$3:$G$102,{"TRB"}))</f>
        <v>0</v>
      </c>
      <c r="AI5" s="1" cm="1">
        <f ca="1" t="array" ref="AI5">SUM(SUMIFS(Assumptions!CI$3:CI$102,Assumptions!$B$3:$B$102,Bus!$C5,Assumptions!$G$3:$G$102,{"TRB"}))</f>
        <v>0</v>
      </c>
      <c r="AJ5" s="1" cm="1">
        <f ca="1" t="array" ref="AJ5">SUM(SUMIFS(Assumptions!CJ$3:CJ$102,Assumptions!$B$3:$B$102,Bus!$C5,Assumptions!$G$3:$G$102,{"TRB"}))</f>
        <v>0</v>
      </c>
      <c r="AK5" s="1" cm="1">
        <f ca="1" t="array" ref="AK5">SUM(SUMIFS(Assumptions!CK$3:CK$102,Assumptions!$B$3:$B$102,Bus!$C5,Assumptions!$G$3:$G$102,{"TRB"}))</f>
        <v>0</v>
      </c>
      <c r="AL5" s="1" cm="1">
        <f ca="1" t="array" ref="AL5">SUM(SUMIFS(Assumptions!CL$3:CL$102,Assumptions!$B$3:$B$102,Bus!$C5,Assumptions!$G$3:$G$102,{"TRB"}))</f>
        <v>0</v>
      </c>
      <c r="AM5" s="1" cm="1">
        <f ca="1" t="array" ref="AM5">SUM(SUMIFS(Assumptions!CM$3:CM$102,Assumptions!$B$3:$B$102,Bus!$C5,Assumptions!$G$3:$G$102,{"TRB"}))</f>
        <v>0</v>
      </c>
      <c r="AN5" s="1" cm="1">
        <f ca="1" t="array" ref="AN5">SUM(SUMIFS(Assumptions!CN$3:CN$102,Assumptions!$B$3:$B$102,Bus!$C5,Assumptions!$G$3:$G$102,{"TRB"}))</f>
        <v>0</v>
      </c>
      <c r="AO5" s="1" cm="1">
        <f ca="1" t="array" ref="AO5">SUM(SUMIFS(Assumptions!CO$3:CO$102,Assumptions!$B$3:$B$102,Bus!$C5,Assumptions!$G$3:$G$102,{"TRB"}))</f>
        <v>0</v>
      </c>
      <c r="AP5" s="1" cm="1">
        <f ca="1" t="array" ref="AP5">SUM(SUMIFS(Assumptions!CP$3:CP$102,Assumptions!$B$3:$B$102,Bus!$C5,Assumptions!$G$3:$G$102,{"TRB"}))</f>
        <v>0</v>
      </c>
      <c r="AQ5" s="1" cm="1">
        <f ca="1" t="array" ref="AQ5">SUM(SUMIFS(Assumptions!CQ$3:CQ$102,Assumptions!$B$3:$B$102,Bus!$C5,Assumptions!$G$3:$G$102,{"TRB"}))</f>
        <v>0</v>
      </c>
      <c r="AR5" s="1" cm="1">
        <f ca="1" t="array" ref="AR5">SUM(SUMIFS(Assumptions!CR$3:CR$102,Assumptions!$B$3:$B$102,Bus!$C5,Assumptions!$G$3:$G$102,{"TRB"}))</f>
        <v>0</v>
      </c>
      <c r="AS5" s="1" cm="1">
        <f ca="1" t="array" ref="AS5">SUM(SUMIFS(Assumptions!CS$3:CS$102,Assumptions!$B$3:$B$102,Bus!$C5,Assumptions!$G$3:$G$102,{"TRB"}))</f>
        <v>0</v>
      </c>
      <c r="AT5" s="1" cm="1">
        <f ca="1" t="array" ref="AT5">SUM(SUMIFS(Assumptions!CT$3:CT$102,Assumptions!$B$3:$B$102,Bus!$C5,Assumptions!$G$3:$G$102,{"TRB"}))</f>
        <v>0</v>
      </c>
      <c r="AU5" s="1" cm="1">
        <f ca="1" t="array" ref="AU5">SUM(SUMIFS(Assumptions!CU$3:CU$102,Assumptions!$B$3:$B$102,Bus!$C5,Assumptions!$G$3:$G$102,{"TRB"}))</f>
        <v>0</v>
      </c>
      <c r="AV5" s="1" cm="1">
        <f ca="1" t="array" ref="AV5">SUM(SUMIFS(Assumptions!CV$3:CV$102,Assumptions!$B$3:$B$102,Bus!$C5,Assumptions!$G$3:$G$102,{"TRB"}))</f>
        <v>0</v>
      </c>
      <c r="AW5" s="1" cm="1">
        <f ca="1" t="array" ref="AW5">SUM(SUMIFS(Assumptions!CW$3:CW$102,Assumptions!$B$3:$B$102,Bus!$C5,Assumptions!$G$3:$G$102,{"TRB"}))</f>
        <v>0</v>
      </c>
      <c r="AY5" t="s">
        <v>133</v>
      </c>
      <c r="BA5" t="str">
        <f t="shared" si="0"/>
        <v/>
      </c>
      <c r="BB5" t="str">
        <f t="shared" si="1"/>
        <v/>
      </c>
      <c r="BD5" t="str">
        <f t="shared" ref="BD5:BD42" si="2">IF(AZ5="","*","DMD")</f>
        <v>*</v>
      </c>
      <c r="BE5">
        <f t="shared" ref="BE5:BE42" si="3">AZ5</f>
        <v>0</v>
      </c>
      <c r="BG5" t="s">
        <v>92</v>
      </c>
      <c r="BH5" t="s">
        <v>144</v>
      </c>
      <c r="BI5" t="s">
        <v>145</v>
      </c>
    </row>
    <row r="6" spans="1:61">
      <c r="A6" t="s">
        <v>78</v>
      </c>
      <c r="C6" s="43" t="s">
        <v>60</v>
      </c>
      <c r="D6" s="1" cm="1">
        <f ca="1" t="array" ref="D6">SUM(SUMIFS(Assumptions!BD$3:BD$102,Assumptions!$B$3:$B$102,Bus!$C6,Assumptions!$G$3:$G$102,{"TRB"}))</f>
        <v>350.28647281089</v>
      </c>
      <c r="E6" s="1" cm="1">
        <f ca="1" t="array" ref="E6">SUM(SUMIFS(Assumptions!BE$3:BE$102,Assumptions!$B$3:$B$102,Bus!$C6,Assumptions!$G$3:$G$102,{"TRB"}))</f>
        <v>311.291700338304</v>
      </c>
      <c r="F6" s="1" cm="1">
        <f ca="1" t="array" ref="F6">SUM(SUMIFS(Assumptions!BF$3:BF$102,Assumptions!$B$3:$B$102,Bus!$C6,Assumptions!$G$3:$G$102,{"TRB"}))</f>
        <v>84.6187729258788</v>
      </c>
      <c r="G6" s="1" cm="1">
        <f ca="1" t="array" ref="G6">SUM(SUMIFS(Assumptions!BG$3:BG$102,Assumptions!$B$3:$B$102,Bus!$C6,Assumptions!$G$3:$G$102,{"TRB"}))</f>
        <v>10.346021744112</v>
      </c>
      <c r="H6" s="1" cm="1">
        <f ca="1" t="array" ref="H6">SUM(SUMIFS(Assumptions!BH$3:BH$102,Assumptions!$B$3:$B$102,Bus!$C6,Assumptions!$G$3:$G$102,{"TRB"}))</f>
        <v>11.52065521683</v>
      </c>
      <c r="I6" s="1" cm="1">
        <f ca="1" t="array" ref="I6">SUM(SUMIFS(Assumptions!BI$3:BI$102,Assumptions!$B$3:$B$102,Bus!$C6,Assumptions!$G$3:$G$102,{"TRB"}))</f>
        <v>21.929287268304</v>
      </c>
      <c r="J6" s="1" cm="1">
        <f ca="1" t="array" ref="J6">SUM(SUMIFS(Assumptions!BJ$3:BJ$102,Assumptions!$B$3:$B$102,Bus!$C6,Assumptions!$G$3:$G$102,{"TRB"}))</f>
        <v>133.547221427659</v>
      </c>
      <c r="K6" s="1" cm="1">
        <f ca="1" t="array" ref="K6">SUM(SUMIFS(Assumptions!BK$3:BK$102,Assumptions!$B$3:$B$102,Bus!$C6,Assumptions!$G$3:$G$102,{"TRB"}))</f>
        <v>1222.63205802709</v>
      </c>
      <c r="L6" s="1" cm="1">
        <f ca="1" t="array" ref="L6">SUM(SUMIFS(Assumptions!BL$3:BL$102,Assumptions!$B$3:$B$102,Bus!$C6,Assumptions!$G$3:$G$102,{"TRB"}))</f>
        <v>9.63952252272</v>
      </c>
      <c r="M6" s="1" cm="1">
        <f ca="1" t="array" ref="M6">SUM(SUMIFS(Assumptions!BM$3:BM$102,Assumptions!$B$3:$B$102,Bus!$C6,Assumptions!$G$3:$G$102,{"TRB"}))</f>
        <v>20.655887958144</v>
      </c>
      <c r="N6" s="1" cm="1">
        <f ca="1" t="array" ref="N6">SUM(SUMIFS(Assumptions!BN$3:BN$102,Assumptions!$B$3:$B$102,Bus!$C6,Assumptions!$G$3:$G$102,{"TRB"}))</f>
        <v>51.456004953552</v>
      </c>
      <c r="O6" s="1" cm="1">
        <f ca="1" t="array" ref="O6">SUM(SUMIFS(Assumptions!BO$3:BO$102,Assumptions!$B$3:$B$102,Bus!$C6,Assumptions!$G$3:$G$102,{"TRB"}))</f>
        <v>55.5708479292</v>
      </c>
      <c r="P6" s="1" cm="1">
        <f ca="1" t="array" ref="P6">SUM(SUMIFS(Assumptions!BP$3:BP$102,Assumptions!$B$3:$B$102,Bus!$C6,Assumptions!$G$3:$G$102,{"TRB"}))</f>
        <v>4.493910321072</v>
      </c>
      <c r="Q6" s="1" cm="1">
        <f ca="1" t="array" ref="Q6">SUM(SUMIFS(Assumptions!BQ$3:BQ$102,Assumptions!$B$3:$B$102,Bus!$C6,Assumptions!$G$3:$G$102,{"TRB"}))</f>
        <v>32.227478004384</v>
      </c>
      <c r="R6" s="1" cm="1">
        <f ca="1" t="array" ref="R6">SUM(SUMIFS(Assumptions!BR$3:BR$102,Assumptions!$B$3:$B$102,Bus!$C6,Assumptions!$G$3:$G$102,{"TRB"}))</f>
        <v>0.308183816592</v>
      </c>
      <c r="S6" s="1" cm="1">
        <f ca="1" t="array" ref="S6">SUM(SUMIFS(Assumptions!BS$3:BS$102,Assumptions!$B$3:$B$102,Bus!$C6,Assumptions!$G$3:$G$102,{"TRB"}))</f>
        <v>456.311047631175</v>
      </c>
      <c r="T6" s="1" cm="1">
        <f ca="1" t="array" ref="T6">SUM(SUMIFS(Assumptions!BT$3:BT$102,Assumptions!$B$3:$B$102,Bus!$C6,Assumptions!$G$3:$G$102,{"TRB"}))</f>
        <v>4.93378540992</v>
      </c>
      <c r="U6" s="1" cm="1">
        <f ca="1" t="array" ref="U6">SUM(SUMIFS(Assumptions!BU$3:BU$102,Assumptions!$B$3:$B$102,Bus!$C6,Assumptions!$G$3:$G$102,{"TRB"}))</f>
        <v>36.001799325072</v>
      </c>
      <c r="V6" s="1" cm="1">
        <f ca="1" t="array" ref="V6">SUM(SUMIFS(Assumptions!BV$3:BV$102,Assumptions!$B$3:$B$102,Bus!$C6,Assumptions!$G$3:$G$102,{"TRB"}))</f>
        <v>43.380371732571</v>
      </c>
      <c r="W6" s="1" cm="1">
        <f ca="1" t="array" ref="W6">SUM(SUMIFS(Assumptions!BW$3:BW$102,Assumptions!$B$3:$B$102,Bus!$C6,Assumptions!$G$3:$G$102,{"TRB"}))</f>
        <v>137.116218190997</v>
      </c>
      <c r="X6" s="1" cm="1">
        <f ca="1" t="array" ref="X6">SUM(SUMIFS(Assumptions!BX$3:BX$102,Assumptions!$B$3:$B$102,Bus!$C6,Assumptions!$G$3:$G$102,{"TRB"}))</f>
        <v>134.798933515752</v>
      </c>
      <c r="Y6" s="1" cm="1">
        <f ca="1" t="array" ref="Y6">SUM(SUMIFS(Assumptions!BY$3:BY$102,Assumptions!$B$3:$B$102,Bus!$C6,Assumptions!$G$3:$G$102,{"TRB"}))</f>
        <v>245.85528386383</v>
      </c>
      <c r="Z6" s="1" cm="1">
        <f ca="1" t="array" ref="Z6">SUM(SUMIFS(Assumptions!BZ$3:BZ$102,Assumptions!$B$3:$B$102,Bus!$C6,Assumptions!$G$3:$G$102,{"TRB"}))</f>
        <v>3.54400645752</v>
      </c>
      <c r="AA6" s="1" cm="1">
        <f ca="1" t="array" ref="AA6">SUM(SUMIFS(Assumptions!CA$3:CA$102,Assumptions!$B$3:$B$102,Bus!$C6,Assumptions!$G$3:$G$102,{"TRB"}))</f>
        <v>47.423857139424</v>
      </c>
      <c r="AB6" s="1" cm="1">
        <f ca="1" t="array" ref="AB6">SUM(SUMIFS(Assumptions!CB$3:CB$102,Assumptions!$B$3:$B$102,Bus!$C6,Assumptions!$G$3:$G$102,{"TRB"}))</f>
        <v>554.121250123097</v>
      </c>
      <c r="AC6" s="1" cm="1">
        <f ca="1" t="array" ref="AC6">SUM(SUMIFS(Assumptions!CC$3:CC$102,Assumptions!$B$3:$B$102,Bus!$C6,Assumptions!$G$3:$G$102,{"TRB"}))</f>
        <v>66.62630518128</v>
      </c>
      <c r="AD6" s="1" cm="1">
        <f ca="1" t="array" ref="AD6">SUM(SUMIFS(Assumptions!CD$3:CD$102,Assumptions!$B$3:$B$102,Bus!$C6,Assumptions!$G$3:$G$102,{"TRB"}))</f>
        <v>76.66188516756</v>
      </c>
      <c r="AE6" s="1" cm="1">
        <f ca="1" t="array" ref="AE6">SUM(SUMIFS(Assumptions!CE$3:CE$102,Assumptions!$B$3:$B$102,Bus!$C6,Assumptions!$G$3:$G$102,{"TRB"}))</f>
        <v>109.345380133248</v>
      </c>
      <c r="AF6" s="1" cm="1">
        <f ca="1" t="array" ref="AF6">SUM(SUMIFS(Assumptions!CF$3:CF$102,Assumptions!$B$3:$B$102,Bus!$C6,Assumptions!$G$3:$G$102,{"TRB"}))</f>
        <v>42.96729206952</v>
      </c>
      <c r="AG6" s="1" cm="1">
        <f ca="1" t="array" ref="AG6">SUM(SUMIFS(Assumptions!CG$3:CG$102,Assumptions!$B$3:$B$102,Bus!$C6,Assumptions!$G$3:$G$102,{"TRB"}))</f>
        <v>12.898516589568</v>
      </c>
      <c r="AH6" s="1" cm="1">
        <f ca="1" t="array" ref="AH6">SUM(SUMIFS(Assumptions!CH$3:CH$102,Assumptions!$B$3:$B$102,Bus!$C6,Assumptions!$G$3:$G$102,{"TRB"}))</f>
        <v>4.55260741488</v>
      </c>
      <c r="AI6" s="1" cm="1">
        <f ca="1" t="array" ref="AI6">SUM(SUMIFS(Assumptions!CI$3:CI$102,Assumptions!$B$3:$B$102,Bus!$C6,Assumptions!$G$3:$G$102,{"TRB"}))</f>
        <v>74.011536139428</v>
      </c>
      <c r="AJ6" s="1" cm="1">
        <f ca="1" t="array" ref="AJ6">SUM(SUMIFS(Assumptions!CJ$3:CJ$102,Assumptions!$B$3:$B$102,Bus!$C6,Assumptions!$G$3:$G$102,{"TRB"}))</f>
        <v>40.565577289824</v>
      </c>
      <c r="AK6" s="1" cm="1">
        <f ca="1" t="array" ref="AK6">SUM(SUMIFS(Assumptions!CK$3:CK$102,Assumptions!$B$3:$B$102,Bus!$C6,Assumptions!$G$3:$G$102,{"TRB"}))</f>
        <v>17.270468210862</v>
      </c>
      <c r="AL6" s="1" cm="1">
        <f ca="1" t="array" ref="AL6">SUM(SUMIFS(Assumptions!CL$3:CL$102,Assumptions!$B$3:$B$102,Bus!$C6,Assumptions!$G$3:$G$102,{"TRB"}))</f>
        <v>15.01764799248</v>
      </c>
      <c r="AM6" s="1" cm="1">
        <f ca="1" t="array" ref="AM6">SUM(SUMIFS(Assumptions!CM$3:CM$102,Assumptions!$B$3:$B$102,Bus!$C6,Assumptions!$G$3:$G$102,{"TRB"}))</f>
        <v>0</v>
      </c>
      <c r="AN6" s="1" cm="1">
        <f ca="1" t="array" ref="AN6">SUM(SUMIFS(Assumptions!CN$3:CN$102,Assumptions!$B$3:$B$102,Bus!$C6,Assumptions!$G$3:$G$102,{"TRB"}))</f>
        <v>0</v>
      </c>
      <c r="AO6" s="1" cm="1">
        <f ca="1" t="array" ref="AO6">SUM(SUMIFS(Assumptions!CO$3:CO$102,Assumptions!$B$3:$B$102,Bus!$C6,Assumptions!$G$3:$G$102,{"TRB"}))</f>
        <v>0</v>
      </c>
      <c r="AP6" s="1" cm="1">
        <f ca="1" t="array" ref="AP6">SUM(SUMIFS(Assumptions!CP$3:CP$102,Assumptions!$B$3:$B$102,Bus!$C6,Assumptions!$G$3:$G$102,{"TRB"}))</f>
        <v>0</v>
      </c>
      <c r="AQ6" s="1" cm="1">
        <f ca="1" t="array" ref="AQ6">SUM(SUMIFS(Assumptions!CQ$3:CQ$102,Assumptions!$B$3:$B$102,Bus!$C6,Assumptions!$G$3:$G$102,{"TRB"}))</f>
        <v>0</v>
      </c>
      <c r="AR6" s="1" cm="1">
        <f ca="1" t="array" ref="AR6">SUM(SUMIFS(Assumptions!CR$3:CR$102,Assumptions!$B$3:$B$102,Bus!$C6,Assumptions!$G$3:$G$102,{"TRB"}))</f>
        <v>0</v>
      </c>
      <c r="AS6" s="1" cm="1">
        <f ca="1" t="array" ref="AS6">SUM(SUMIFS(Assumptions!CS$3:CS$102,Assumptions!$B$3:$B$102,Bus!$C6,Assumptions!$G$3:$G$102,{"TRB"}))</f>
        <v>0</v>
      </c>
      <c r="AT6" s="1" cm="1">
        <f ca="1" t="array" ref="AT6">SUM(SUMIFS(Assumptions!CT$3:CT$102,Assumptions!$B$3:$B$102,Bus!$C6,Assumptions!$G$3:$G$102,{"TRB"}))</f>
        <v>0</v>
      </c>
      <c r="AU6" s="1" cm="1">
        <f ca="1" t="array" ref="AU6">SUM(SUMIFS(Assumptions!CU$3:CU$102,Assumptions!$B$3:$B$102,Bus!$C6,Assumptions!$G$3:$G$102,{"TRB"}))</f>
        <v>0</v>
      </c>
      <c r="AV6" s="1" cm="1">
        <f ca="1" t="array" ref="AV6">SUM(SUMIFS(Assumptions!CV$3:CV$102,Assumptions!$B$3:$B$102,Bus!$C6,Assumptions!$G$3:$G$102,{"TRB"}))</f>
        <v>0</v>
      </c>
      <c r="AW6" s="1" cm="1">
        <f ca="1" t="array" ref="AW6">SUM(SUMIFS(Assumptions!CW$3:CW$102,Assumptions!$B$3:$B$102,Bus!$C6,Assumptions!$G$3:$G$102,{"TRB"}))</f>
        <v>0</v>
      </c>
      <c r="AY6" t="s">
        <v>133</v>
      </c>
      <c r="BA6" t="str">
        <f t="shared" si="0"/>
        <v/>
      </c>
      <c r="BB6" t="str">
        <f t="shared" si="1"/>
        <v/>
      </c>
      <c r="BD6" t="str">
        <f t="shared" si="2"/>
        <v>*</v>
      </c>
      <c r="BE6">
        <f t="shared" si="3"/>
        <v>0</v>
      </c>
      <c r="BG6" t="s">
        <v>92</v>
      </c>
      <c r="BH6" t="s">
        <v>144</v>
      </c>
      <c r="BI6" t="s">
        <v>145</v>
      </c>
    </row>
    <row r="7" spans="1:61">
      <c r="A7" t="s">
        <v>78</v>
      </c>
      <c r="C7" s="43" t="s">
        <v>64</v>
      </c>
      <c r="D7" s="1" cm="1">
        <f ca="1" t="array" ref="D7">SUM(SUMIFS(Assumptions!BD$3:BD$102,Assumptions!$B$3:$B$102,Bus!$C7,Assumptions!$G$3:$G$102,{"TRB"}))</f>
        <v>0</v>
      </c>
      <c r="E7" s="1" cm="1">
        <f ca="1" t="array" ref="E7">SUM(SUMIFS(Assumptions!BE$3:BE$102,Assumptions!$B$3:$B$102,Bus!$C7,Assumptions!$G$3:$G$102,{"TRB"}))</f>
        <v>0</v>
      </c>
      <c r="F7" s="1" cm="1">
        <f ca="1" t="array" ref="F7">SUM(SUMIFS(Assumptions!BF$3:BF$102,Assumptions!$B$3:$B$102,Bus!$C7,Assumptions!$G$3:$G$102,{"TRB"}))</f>
        <v>0</v>
      </c>
      <c r="G7" s="1" cm="1">
        <f ca="1" t="array" ref="G7">SUM(SUMIFS(Assumptions!BG$3:BG$102,Assumptions!$B$3:$B$102,Bus!$C7,Assumptions!$G$3:$G$102,{"TRB"}))</f>
        <v>0</v>
      </c>
      <c r="H7" s="1" cm="1">
        <f ca="1" t="array" ref="H7">SUM(SUMIFS(Assumptions!BH$3:BH$102,Assumptions!$B$3:$B$102,Bus!$C7,Assumptions!$G$3:$G$102,{"TRB"}))</f>
        <v>0.2918660148</v>
      </c>
      <c r="I7" s="1" cm="1">
        <f ca="1" t="array" ref="I7">SUM(SUMIFS(Assumptions!BI$3:BI$102,Assumptions!$B$3:$B$102,Bus!$C7,Assumptions!$G$3:$G$102,{"TRB"}))</f>
        <v>0</v>
      </c>
      <c r="J7" s="1" cm="1">
        <f ca="1" t="array" ref="J7">SUM(SUMIFS(Assumptions!BJ$3:BJ$102,Assumptions!$B$3:$B$102,Bus!$C7,Assumptions!$G$3:$G$102,{"TRB"}))</f>
        <v>0</v>
      </c>
      <c r="K7" s="1" cm="1">
        <f ca="1" t="array" ref="K7">SUM(SUMIFS(Assumptions!BK$3:BK$102,Assumptions!$B$3:$B$102,Bus!$C7,Assumptions!$G$3:$G$102,{"TRB"}))</f>
        <v>24.53630136732</v>
      </c>
      <c r="L7" s="1" cm="1">
        <f ca="1" t="array" ref="L7">SUM(SUMIFS(Assumptions!BL$3:BL$102,Assumptions!$B$3:$B$102,Bus!$C7,Assumptions!$G$3:$G$102,{"TRB"}))</f>
        <v>0.0128869704</v>
      </c>
      <c r="M7" s="1" cm="1">
        <f ca="1" t="array" ref="M7">SUM(SUMIFS(Assumptions!BM$3:BM$102,Assumptions!$B$3:$B$102,Bus!$C7,Assumptions!$G$3:$G$102,{"TRB"}))</f>
        <v>0.3348853848</v>
      </c>
      <c r="N7" s="1" cm="1">
        <f ca="1" t="array" ref="N7">SUM(SUMIFS(Assumptions!BN$3:BN$102,Assumptions!$B$3:$B$102,Bus!$C7,Assumptions!$G$3:$G$102,{"TRB"}))</f>
        <v>0</v>
      </c>
      <c r="O7" s="1" cm="1">
        <f ca="1" t="array" ref="O7">SUM(SUMIFS(Assumptions!BO$3:BO$102,Assumptions!$B$3:$B$102,Bus!$C7,Assumptions!$G$3:$G$102,{"TRB"}))</f>
        <v>0</v>
      </c>
      <c r="P7" s="1" cm="1">
        <f ca="1" t="array" ref="P7">SUM(SUMIFS(Assumptions!BP$3:BP$102,Assumptions!$B$3:$B$102,Bus!$C7,Assumptions!$G$3:$G$102,{"TRB"}))</f>
        <v>0</v>
      </c>
      <c r="Q7" s="1" cm="1">
        <f ca="1" t="array" ref="Q7">SUM(SUMIFS(Assumptions!BQ$3:BQ$102,Assumptions!$B$3:$B$102,Bus!$C7,Assumptions!$G$3:$G$102,{"TRB"}))</f>
        <v>0.423348282</v>
      </c>
      <c r="R7" s="1" cm="1">
        <f ca="1" t="array" ref="R7">SUM(SUMIFS(Assumptions!BR$3:BR$102,Assumptions!$B$3:$B$102,Bus!$C7,Assumptions!$G$3:$G$102,{"TRB"}))</f>
        <v>0</v>
      </c>
      <c r="S7" s="1" cm="1">
        <f ca="1" t="array" ref="S7">SUM(SUMIFS(Assumptions!BS$3:BS$102,Assumptions!$B$3:$B$102,Bus!$C7,Assumptions!$G$3:$G$102,{"TRB"}))</f>
        <v>0</v>
      </c>
      <c r="T7" s="1" cm="1">
        <f ca="1" t="array" ref="T7">SUM(SUMIFS(Assumptions!BT$3:BT$102,Assumptions!$B$3:$B$102,Bus!$C7,Assumptions!$G$3:$G$102,{"TRB"}))</f>
        <v>0</v>
      </c>
      <c r="U7" s="1" cm="1">
        <f ca="1" t="array" ref="U7">SUM(SUMIFS(Assumptions!BU$3:BU$102,Assumptions!$B$3:$B$102,Bus!$C7,Assumptions!$G$3:$G$102,{"TRB"}))</f>
        <v>0</v>
      </c>
      <c r="V7" s="1" cm="1">
        <f ca="1" t="array" ref="V7">SUM(SUMIFS(Assumptions!BV$3:BV$102,Assumptions!$B$3:$B$102,Bus!$C7,Assumptions!$G$3:$G$102,{"TRB"}))</f>
        <v>0</v>
      </c>
      <c r="W7" s="1" cm="1">
        <f ca="1" t="array" ref="W7">SUM(SUMIFS(Assumptions!BW$3:BW$102,Assumptions!$B$3:$B$102,Bus!$C7,Assumptions!$G$3:$G$102,{"TRB"}))</f>
        <v>1.4705548848</v>
      </c>
      <c r="X7" s="1" cm="1">
        <f ca="1" t="array" ref="X7">SUM(SUMIFS(Assumptions!BX$3:BX$102,Assumptions!$B$3:$B$102,Bus!$C7,Assumptions!$G$3:$G$102,{"TRB"}))</f>
        <v>0</v>
      </c>
      <c r="Y7" s="1" cm="1">
        <f ca="1" t="array" ref="Y7">SUM(SUMIFS(Assumptions!BY$3:BY$102,Assumptions!$B$3:$B$102,Bus!$C7,Assumptions!$G$3:$G$102,{"TRB"}))</f>
        <v>0</v>
      </c>
      <c r="Z7" s="1" cm="1">
        <f ca="1" t="array" ref="Z7">SUM(SUMIFS(Assumptions!BZ$3:BZ$102,Assumptions!$B$3:$B$102,Bus!$C7,Assumptions!$G$3:$G$102,{"TRB"}))</f>
        <v>0</v>
      </c>
      <c r="AA7" s="1" cm="1">
        <f ca="1" t="array" ref="AA7">SUM(SUMIFS(Assumptions!CA$3:CA$102,Assumptions!$B$3:$B$102,Bus!$C7,Assumptions!$G$3:$G$102,{"TRB"}))</f>
        <v>0.1181054412</v>
      </c>
      <c r="AB7" s="1" cm="1">
        <f ca="1" t="array" ref="AB7">SUM(SUMIFS(Assumptions!CB$3:CB$102,Assumptions!$B$3:$B$102,Bus!$C7,Assumptions!$G$3:$G$102,{"TRB"}))</f>
        <v>0</v>
      </c>
      <c r="AC7" s="1" cm="1">
        <f ca="1" t="array" ref="AC7">SUM(SUMIFS(Assumptions!CC$3:CC$102,Assumptions!$B$3:$B$102,Bus!$C7,Assumptions!$G$3:$G$102,{"TRB"}))</f>
        <v>0.5507986608</v>
      </c>
      <c r="AD7" s="1" cm="1">
        <f ca="1" t="array" ref="AD7">SUM(SUMIFS(Assumptions!CD$3:CD$102,Assumptions!$B$3:$B$102,Bus!$C7,Assumptions!$G$3:$G$102,{"TRB"}))</f>
        <v>0</v>
      </c>
      <c r="AE7" s="1" cm="1">
        <f ca="1" t="array" ref="AE7">SUM(SUMIFS(Assumptions!CE$3:CE$102,Assumptions!$B$3:$B$102,Bus!$C7,Assumptions!$G$3:$G$102,{"TRB"}))</f>
        <v>0.1933506108</v>
      </c>
      <c r="AF7" s="1" cm="1">
        <f ca="1" t="array" ref="AF7">SUM(SUMIFS(Assumptions!CF$3:CF$102,Assumptions!$B$3:$B$102,Bus!$C7,Assumptions!$G$3:$G$102,{"TRB"}))</f>
        <v>0</v>
      </c>
      <c r="AG7" s="1" cm="1">
        <f ca="1" t="array" ref="AG7">SUM(SUMIFS(Assumptions!CG$3:CG$102,Assumptions!$B$3:$B$102,Bus!$C7,Assumptions!$G$3:$G$102,{"TRB"}))</f>
        <v>0</v>
      </c>
      <c r="AH7" s="1" cm="1">
        <f ca="1" t="array" ref="AH7">SUM(SUMIFS(Assumptions!CH$3:CH$102,Assumptions!$B$3:$B$102,Bus!$C7,Assumptions!$G$3:$G$102,{"TRB"}))</f>
        <v>0</v>
      </c>
      <c r="AI7" s="1" cm="1">
        <f ca="1" t="array" ref="AI7">SUM(SUMIFS(Assumptions!CI$3:CI$102,Assumptions!$B$3:$B$102,Bus!$C7,Assumptions!$G$3:$G$102,{"TRB"}))</f>
        <v>0</v>
      </c>
      <c r="AJ7" s="1" cm="1">
        <f ca="1" t="array" ref="AJ7">SUM(SUMIFS(Assumptions!CJ$3:CJ$102,Assumptions!$B$3:$B$102,Bus!$C7,Assumptions!$G$3:$G$102,{"TRB"}))</f>
        <v>0</v>
      </c>
      <c r="AK7" s="1" cm="1">
        <f ca="1" t="array" ref="AK7">SUM(SUMIFS(Assumptions!CK$3:CK$102,Assumptions!$B$3:$B$102,Bus!$C7,Assumptions!$G$3:$G$102,{"TRB"}))</f>
        <v>0</v>
      </c>
      <c r="AL7" s="1" cm="1">
        <f ca="1" t="array" ref="AL7">SUM(SUMIFS(Assumptions!CL$3:CL$102,Assumptions!$B$3:$B$102,Bus!$C7,Assumptions!$G$3:$G$102,{"TRB"}))</f>
        <v>0.0131381784</v>
      </c>
      <c r="AM7" s="1" cm="1">
        <f ca="1" t="array" ref="AM7">SUM(SUMIFS(Assumptions!CM$3:CM$102,Assumptions!$B$3:$B$102,Bus!$C7,Assumptions!$G$3:$G$102,{"TRB"}))</f>
        <v>0</v>
      </c>
      <c r="AN7" s="1" cm="1">
        <f ca="1" t="array" ref="AN7">SUM(SUMIFS(Assumptions!CN$3:CN$102,Assumptions!$B$3:$B$102,Bus!$C7,Assumptions!$G$3:$G$102,{"TRB"}))</f>
        <v>0</v>
      </c>
      <c r="AO7" s="1" cm="1">
        <f ca="1" t="array" ref="AO7">SUM(SUMIFS(Assumptions!CO$3:CO$102,Assumptions!$B$3:$B$102,Bus!$C7,Assumptions!$G$3:$G$102,{"TRB"}))</f>
        <v>0</v>
      </c>
      <c r="AP7" s="1" cm="1">
        <f ca="1" t="array" ref="AP7">SUM(SUMIFS(Assumptions!CP$3:CP$102,Assumptions!$B$3:$B$102,Bus!$C7,Assumptions!$G$3:$G$102,{"TRB"}))</f>
        <v>0</v>
      </c>
      <c r="AQ7" s="1" cm="1">
        <f ca="1" t="array" ref="AQ7">SUM(SUMIFS(Assumptions!CQ$3:CQ$102,Assumptions!$B$3:$B$102,Bus!$C7,Assumptions!$G$3:$G$102,{"TRB"}))</f>
        <v>0</v>
      </c>
      <c r="AR7" s="1" cm="1">
        <f ca="1" t="array" ref="AR7">SUM(SUMIFS(Assumptions!CR$3:CR$102,Assumptions!$B$3:$B$102,Bus!$C7,Assumptions!$G$3:$G$102,{"TRB"}))</f>
        <v>0</v>
      </c>
      <c r="AS7" s="1" cm="1">
        <f ca="1" t="array" ref="AS7">SUM(SUMIFS(Assumptions!CS$3:CS$102,Assumptions!$B$3:$B$102,Bus!$C7,Assumptions!$G$3:$G$102,{"TRB"}))</f>
        <v>0</v>
      </c>
      <c r="AT7" s="1" cm="1">
        <f ca="1" t="array" ref="AT7">SUM(SUMIFS(Assumptions!CT$3:CT$102,Assumptions!$B$3:$B$102,Bus!$C7,Assumptions!$G$3:$G$102,{"TRB"}))</f>
        <v>0</v>
      </c>
      <c r="AU7" s="1" cm="1">
        <f ca="1" t="array" ref="AU7">SUM(SUMIFS(Assumptions!CU$3:CU$102,Assumptions!$B$3:$B$102,Bus!$C7,Assumptions!$G$3:$G$102,{"TRB"}))</f>
        <v>0</v>
      </c>
      <c r="AV7" s="1" cm="1">
        <f ca="1" t="array" ref="AV7">SUM(SUMIFS(Assumptions!CV$3:CV$102,Assumptions!$B$3:$B$102,Bus!$C7,Assumptions!$G$3:$G$102,{"TRB"}))</f>
        <v>0</v>
      </c>
      <c r="AW7" s="1" cm="1">
        <f ca="1" t="array" ref="AW7">SUM(SUMIFS(Assumptions!CW$3:CW$102,Assumptions!$B$3:$B$102,Bus!$C7,Assumptions!$G$3:$G$102,{"TRB"}))</f>
        <v>0</v>
      </c>
      <c r="AY7" t="s">
        <v>133</v>
      </c>
      <c r="BA7" t="str">
        <f t="shared" si="0"/>
        <v/>
      </c>
      <c r="BB7" t="str">
        <f t="shared" si="1"/>
        <v/>
      </c>
      <c r="BD7" t="str">
        <f t="shared" si="2"/>
        <v>*</v>
      </c>
      <c r="BE7">
        <f t="shared" si="3"/>
        <v>0</v>
      </c>
      <c r="BG7" t="s">
        <v>92</v>
      </c>
      <c r="BH7" t="s">
        <v>144</v>
      </c>
      <c r="BI7" t="s">
        <v>145</v>
      </c>
    </row>
    <row r="8" spans="1:61">
      <c r="A8" t="s">
        <v>78</v>
      </c>
      <c r="C8" s="43" t="s">
        <v>66</v>
      </c>
      <c r="D8" s="1" cm="1">
        <f ca="1" t="array" ref="D8">SUM(SUMIFS(Assumptions!BD$3:BD$102,Assumptions!$B$3:$B$102,Bus!$C8,Assumptions!$G$3:$G$102,{"TRB"}))</f>
        <v>0</v>
      </c>
      <c r="E8" s="1" cm="1">
        <f ca="1" t="array" ref="E8">SUM(SUMIFS(Assumptions!BE$3:BE$102,Assumptions!$B$3:$B$102,Bus!$C8,Assumptions!$G$3:$G$102,{"TRB"}))</f>
        <v>0</v>
      </c>
      <c r="F8" s="1" cm="1">
        <f ca="1" t="array" ref="F8">SUM(SUMIFS(Assumptions!BF$3:BF$102,Assumptions!$B$3:$B$102,Bus!$C8,Assumptions!$G$3:$G$102,{"TRB"}))</f>
        <v>2.844609179364</v>
      </c>
      <c r="G8" s="1" cm="1">
        <f ca="1" t="array" ref="G8">SUM(SUMIFS(Assumptions!BG$3:BG$102,Assumptions!$B$3:$B$102,Bus!$C8,Assumptions!$G$3:$G$102,{"TRB"}))</f>
        <v>0.1038662558172</v>
      </c>
      <c r="H8" s="1" cm="1">
        <f ca="1" t="array" ref="H8">SUM(SUMIFS(Assumptions!BH$3:BH$102,Assumptions!$B$3:$B$102,Bus!$C8,Assumptions!$G$3:$G$102,{"TRB"}))</f>
        <v>0.433738810098</v>
      </c>
      <c r="I8" s="1" cm="1">
        <f ca="1" t="array" ref="I8">SUM(SUMIFS(Assumptions!BI$3:BI$102,Assumptions!$B$3:$B$102,Bus!$C8,Assumptions!$G$3:$G$102,{"TRB"}))</f>
        <v>0.4018680574182</v>
      </c>
      <c r="J8" s="1" cm="1">
        <f ca="1" t="array" ref="J8">SUM(SUMIFS(Assumptions!BJ$3:BJ$102,Assumptions!$B$3:$B$102,Bus!$C8,Assumptions!$G$3:$G$102,{"TRB"}))</f>
        <v>10.7781820845552</v>
      </c>
      <c r="K8" s="1" cm="1">
        <f ca="1" t="array" ref="K8">SUM(SUMIFS(Assumptions!BK$3:BK$102,Assumptions!$B$3:$B$102,Bus!$C8,Assumptions!$G$3:$G$102,{"TRB"}))</f>
        <v>60.01894737324</v>
      </c>
      <c r="L8" s="1" cm="1">
        <f ca="1" t="array" ref="L8">SUM(SUMIFS(Assumptions!BL$3:BL$102,Assumptions!$B$3:$B$102,Bus!$C8,Assumptions!$G$3:$G$102,{"TRB"}))</f>
        <v>0.375854604444</v>
      </c>
      <c r="M8" s="1" cm="1">
        <f ca="1" t="array" ref="M8">SUM(SUMIFS(Assumptions!BM$3:BM$102,Assumptions!$B$3:$B$102,Bus!$C8,Assumptions!$G$3:$G$102,{"TRB"}))</f>
        <v>0.89100002556</v>
      </c>
      <c r="N8" s="1" cm="1">
        <f ca="1" t="array" ref="N8">SUM(SUMIFS(Assumptions!BN$3:BN$102,Assumptions!$B$3:$B$102,Bus!$C8,Assumptions!$G$3:$G$102,{"TRB"}))</f>
        <v>0.4936548509514</v>
      </c>
      <c r="O8" s="1" cm="1">
        <f ca="1" t="array" ref="O8">SUM(SUMIFS(Assumptions!BO$3:BO$102,Assumptions!$B$3:$B$102,Bus!$C8,Assumptions!$G$3:$G$102,{"TRB"}))</f>
        <v>1.0839179996622</v>
      </c>
      <c r="P8" s="1" cm="1">
        <f ca="1" t="array" ref="P8">SUM(SUMIFS(Assumptions!BP$3:BP$102,Assumptions!$B$3:$B$102,Bus!$C8,Assumptions!$G$3:$G$102,{"TRB"}))</f>
        <v>0.169522977249</v>
      </c>
      <c r="Q8" s="1" cm="1">
        <f ca="1" t="array" ref="Q8">SUM(SUMIFS(Assumptions!BQ$3:BQ$102,Assumptions!$B$3:$B$102,Bus!$C8,Assumptions!$G$3:$G$102,{"TRB"}))</f>
        <v>1.388675228184</v>
      </c>
      <c r="R8" s="1" cm="1">
        <f ca="1" t="array" ref="R8">SUM(SUMIFS(Assumptions!BR$3:BR$102,Assumptions!$B$3:$B$102,Bus!$C8,Assumptions!$G$3:$G$102,{"TRB"}))</f>
        <v>0.00783710554140001</v>
      </c>
      <c r="S8" s="1" cm="1">
        <f ca="1" t="array" ref="S8">SUM(SUMIFS(Assumptions!BS$3:BS$102,Assumptions!$B$3:$B$102,Bus!$C8,Assumptions!$G$3:$G$102,{"TRB"}))</f>
        <v>0</v>
      </c>
      <c r="T8" s="1" cm="1">
        <f ca="1" t="array" ref="T8">SUM(SUMIFS(Assumptions!BT$3:BT$102,Assumptions!$B$3:$B$102,Bus!$C8,Assumptions!$G$3:$G$102,{"TRB"}))</f>
        <v>0.0483490240488</v>
      </c>
      <c r="U8" s="1" cm="1">
        <f ca="1" t="array" ref="U8">SUM(SUMIFS(Assumptions!BU$3:BU$102,Assumptions!$B$3:$B$102,Bus!$C8,Assumptions!$G$3:$G$102,{"TRB"}))</f>
        <v>0.489719602269</v>
      </c>
      <c r="V8" s="1" cm="1">
        <f ca="1" t="array" ref="V8">SUM(SUMIFS(Assumptions!BV$3:BV$102,Assumptions!$B$3:$B$102,Bus!$C8,Assumptions!$G$3:$G$102,{"TRB"}))</f>
        <v>0</v>
      </c>
      <c r="W8" s="1" cm="1">
        <f ca="1" t="array" ref="W8">SUM(SUMIFS(Assumptions!BW$3:BW$102,Assumptions!$B$3:$B$102,Bus!$C8,Assumptions!$G$3:$G$102,{"TRB"}))</f>
        <v>20.4934873954896</v>
      </c>
      <c r="X8" s="1" cm="1">
        <f ca="1" t="array" ref="X8">SUM(SUMIFS(Assumptions!BX$3:BX$102,Assumptions!$B$3:$B$102,Bus!$C8,Assumptions!$G$3:$G$102,{"TRB"}))</f>
        <v>70.78871686194</v>
      </c>
      <c r="Y8" s="1" cm="1">
        <f ca="1" t="array" ref="Y8">SUM(SUMIFS(Assumptions!BY$3:BY$102,Assumptions!$B$3:$B$102,Bus!$C8,Assumptions!$G$3:$G$102,{"TRB"}))</f>
        <v>18.3472493096016</v>
      </c>
      <c r="Z8" s="1" cm="1">
        <f ca="1" t="array" ref="Z8">SUM(SUMIFS(Assumptions!BZ$3:BZ$102,Assumptions!$B$3:$B$102,Bus!$C8,Assumptions!$G$3:$G$102,{"TRB"}))</f>
        <v>0.0418438044828</v>
      </c>
      <c r="AA8" s="1" cm="1">
        <f ca="1" t="array" ref="AA8">SUM(SUMIFS(Assumptions!CA$3:CA$102,Assumptions!$B$3:$B$102,Bus!$C8,Assumptions!$G$3:$G$102,{"TRB"}))</f>
        <v>1.943168907456</v>
      </c>
      <c r="AB8" s="1" cm="1">
        <f ca="1" t="array" ref="AB8">SUM(SUMIFS(Assumptions!CB$3:CB$102,Assumptions!$B$3:$B$102,Bus!$C8,Assumptions!$G$3:$G$102,{"TRB"}))</f>
        <v>0</v>
      </c>
      <c r="AC8" s="1" cm="1">
        <f ca="1" t="array" ref="AC8">SUM(SUMIFS(Assumptions!CC$3:CC$102,Assumptions!$B$3:$B$102,Bus!$C8,Assumptions!$G$3:$G$102,{"TRB"}))</f>
        <v>23.204504424222</v>
      </c>
      <c r="AD8" s="1" cm="1">
        <f ca="1" t="array" ref="AD8">SUM(SUMIFS(Assumptions!CD$3:CD$102,Assumptions!$B$3:$B$102,Bus!$C8,Assumptions!$G$3:$G$102,{"TRB"}))</f>
        <v>30.581120643624</v>
      </c>
      <c r="AE8" s="1" cm="1">
        <f ca="1" t="array" ref="AE8">SUM(SUMIFS(Assumptions!CE$3:CE$102,Assumptions!$B$3:$B$102,Bus!$C8,Assumptions!$G$3:$G$102,{"TRB"}))</f>
        <v>0</v>
      </c>
      <c r="AF8" s="1" cm="1">
        <f ca="1" t="array" ref="AF8">SUM(SUMIFS(Assumptions!CF$3:CF$102,Assumptions!$B$3:$B$102,Bus!$C8,Assumptions!$G$3:$G$102,{"TRB"}))</f>
        <v>0.4067080379928</v>
      </c>
      <c r="AG8" s="1" cm="1">
        <f ca="1" t="array" ref="AG8">SUM(SUMIFS(Assumptions!CG$3:CG$102,Assumptions!$B$3:$B$102,Bus!$C8,Assumptions!$G$3:$G$102,{"TRB"}))</f>
        <v>0.285244611534</v>
      </c>
      <c r="AH8" s="1" cm="1">
        <f ca="1" t="array" ref="AH8">SUM(SUMIFS(Assumptions!CH$3:CH$102,Assumptions!$B$3:$B$102,Bus!$C8,Assumptions!$G$3:$G$102,{"TRB"}))</f>
        <v>0.1498099695462</v>
      </c>
      <c r="AI8" s="1" cm="1">
        <f ca="1" t="array" ref="AI8">SUM(SUMIFS(Assumptions!CI$3:CI$102,Assumptions!$B$3:$B$102,Bus!$C8,Assumptions!$G$3:$G$102,{"TRB"}))</f>
        <v>2.979239962032</v>
      </c>
      <c r="AJ8" s="1" cm="1">
        <f ca="1" t="array" ref="AJ8">SUM(SUMIFS(Assumptions!CJ$3:CJ$102,Assumptions!$B$3:$B$102,Bus!$C8,Assumptions!$G$3:$G$102,{"TRB"}))</f>
        <v>0.773086377481201</v>
      </c>
      <c r="AK8" s="1" cm="1">
        <f ca="1" t="array" ref="AK8">SUM(SUMIFS(Assumptions!CK$3:CK$102,Assumptions!$B$3:$B$102,Bus!$C8,Assumptions!$G$3:$G$102,{"TRB"}))</f>
        <v>1.157257226952</v>
      </c>
      <c r="AL8" s="1" cm="1">
        <f ca="1" t="array" ref="AL8">SUM(SUMIFS(Assumptions!CL$3:CL$102,Assumptions!$B$3:$B$102,Bus!$C8,Assumptions!$G$3:$G$102,{"TRB"}))</f>
        <v>0.391192108884</v>
      </c>
      <c r="AM8" s="1" cm="1">
        <f ca="1" t="array" ref="AM8">SUM(SUMIFS(Assumptions!CM$3:CM$102,Assumptions!$B$3:$B$102,Bus!$C8,Assumptions!$G$3:$G$102,{"TRB"}))</f>
        <v>0</v>
      </c>
      <c r="AN8" s="1" cm="1">
        <f ca="1" t="array" ref="AN8">SUM(SUMIFS(Assumptions!CN$3:CN$102,Assumptions!$B$3:$B$102,Bus!$C8,Assumptions!$G$3:$G$102,{"TRB"}))</f>
        <v>0</v>
      </c>
      <c r="AO8" s="1" cm="1">
        <f ca="1" t="array" ref="AO8">SUM(SUMIFS(Assumptions!CO$3:CO$102,Assumptions!$B$3:$B$102,Bus!$C8,Assumptions!$G$3:$G$102,{"TRB"}))</f>
        <v>0</v>
      </c>
      <c r="AP8" s="1" cm="1">
        <f ca="1" t="array" ref="AP8">SUM(SUMIFS(Assumptions!CP$3:CP$102,Assumptions!$B$3:$B$102,Bus!$C8,Assumptions!$G$3:$G$102,{"TRB"}))</f>
        <v>0</v>
      </c>
      <c r="AQ8" s="1" cm="1">
        <f ca="1" t="array" ref="AQ8">SUM(SUMIFS(Assumptions!CQ$3:CQ$102,Assumptions!$B$3:$B$102,Bus!$C8,Assumptions!$G$3:$G$102,{"TRB"}))</f>
        <v>0</v>
      </c>
      <c r="AR8" s="1" cm="1">
        <f ca="1" t="array" ref="AR8">SUM(SUMIFS(Assumptions!CR$3:CR$102,Assumptions!$B$3:$B$102,Bus!$C8,Assumptions!$G$3:$G$102,{"TRB"}))</f>
        <v>0</v>
      </c>
      <c r="AS8" s="1" cm="1">
        <f ca="1" t="array" ref="AS8">SUM(SUMIFS(Assumptions!CS$3:CS$102,Assumptions!$B$3:$B$102,Bus!$C8,Assumptions!$G$3:$G$102,{"TRB"}))</f>
        <v>0</v>
      </c>
      <c r="AT8" s="1" cm="1">
        <f ca="1" t="array" ref="AT8">SUM(SUMIFS(Assumptions!CT$3:CT$102,Assumptions!$B$3:$B$102,Bus!$C8,Assumptions!$G$3:$G$102,{"TRB"}))</f>
        <v>0</v>
      </c>
      <c r="AU8" s="1" cm="1">
        <f ca="1" t="array" ref="AU8">SUM(SUMIFS(Assumptions!CU$3:CU$102,Assumptions!$B$3:$B$102,Bus!$C8,Assumptions!$G$3:$G$102,{"TRB"}))</f>
        <v>0</v>
      </c>
      <c r="AV8" s="1" cm="1">
        <f ca="1" t="array" ref="AV8">SUM(SUMIFS(Assumptions!CV$3:CV$102,Assumptions!$B$3:$B$102,Bus!$C8,Assumptions!$G$3:$G$102,{"TRB"}))</f>
        <v>0</v>
      </c>
      <c r="AW8" s="1" cm="1">
        <f ca="1" t="array" ref="AW8">SUM(SUMIFS(Assumptions!CW$3:CW$102,Assumptions!$B$3:$B$102,Bus!$C8,Assumptions!$G$3:$G$102,{"TRB"}))</f>
        <v>0</v>
      </c>
      <c r="AY8" t="s">
        <v>133</v>
      </c>
      <c r="BA8" t="str">
        <f t="shared" si="0"/>
        <v/>
      </c>
      <c r="BB8" t="str">
        <f t="shared" si="1"/>
        <v/>
      </c>
      <c r="BD8" t="str">
        <f t="shared" si="2"/>
        <v>*</v>
      </c>
      <c r="BE8">
        <f t="shared" si="3"/>
        <v>0</v>
      </c>
      <c r="BG8" t="s">
        <v>92</v>
      </c>
      <c r="BH8" t="s">
        <v>144</v>
      </c>
      <c r="BI8" t="s">
        <v>145</v>
      </c>
    </row>
    <row r="9" spans="1:61">
      <c r="A9" t="s">
        <v>78</v>
      </c>
      <c r="C9" s="43" t="s">
        <v>74</v>
      </c>
      <c r="D9" s="1" cm="1">
        <f ca="1" t="array" ref="D9">SUM(SUMIFS(Assumptions!BD$3:BD$102,Assumptions!$B$3:$B$102,Bus!$C9,Assumptions!$G$3:$G$102,{"TRB"}))</f>
        <v>5.152799095056</v>
      </c>
      <c r="E9" s="1" cm="1">
        <f ca="1" t="array" ref="E9">SUM(SUMIFS(Assumptions!BE$3:BE$102,Assumptions!$B$3:$B$102,Bus!$C9,Assumptions!$G$3:$G$102,{"TRB"}))</f>
        <v>0.002957220576</v>
      </c>
      <c r="F9" s="1" cm="1">
        <f ca="1" t="array" ref="F9">SUM(SUMIFS(Assumptions!BF$3:BF$102,Assumptions!$B$3:$B$102,Bus!$C9,Assumptions!$G$3:$G$102,{"TRB"}))</f>
        <v>9.12465581688</v>
      </c>
      <c r="G9" s="1" cm="1">
        <f ca="1" t="array" ref="G9">SUM(SUMIFS(Assumptions!BG$3:BG$102,Assumptions!$B$3:$B$102,Bus!$C9,Assumptions!$G$3:$G$102,{"TRB"}))</f>
        <v>0</v>
      </c>
      <c r="H9" s="1" cm="1">
        <f ca="1" t="array" ref="H9">SUM(SUMIFS(Assumptions!BH$3:BH$102,Assumptions!$B$3:$B$102,Bus!$C9,Assumptions!$G$3:$G$102,{"TRB"}))</f>
        <v>0</v>
      </c>
      <c r="I9" s="1" cm="1">
        <f ca="1" t="array" ref="I9">SUM(SUMIFS(Assumptions!BI$3:BI$102,Assumptions!$B$3:$B$102,Bus!$C9,Assumptions!$G$3:$G$102,{"TRB"}))</f>
        <v>0</v>
      </c>
      <c r="J9" s="1" cm="1">
        <f ca="1" t="array" ref="J9">SUM(SUMIFS(Assumptions!BJ$3:BJ$102,Assumptions!$B$3:$B$102,Bus!$C9,Assumptions!$G$3:$G$102,{"TRB"}))</f>
        <v>0</v>
      </c>
      <c r="K9" s="1" cm="1">
        <f ca="1" t="array" ref="K9">SUM(SUMIFS(Assumptions!BK$3:BK$102,Assumptions!$B$3:$B$102,Bus!$C9,Assumptions!$G$3:$G$102,{"TRB"}))</f>
        <v>37.585035567936</v>
      </c>
      <c r="L9" s="1" cm="1">
        <f ca="1" t="array" ref="L9">SUM(SUMIFS(Assumptions!BL$3:BL$102,Assumptions!$B$3:$B$102,Bus!$C9,Assumptions!$G$3:$G$102,{"TRB"}))</f>
        <v>0</v>
      </c>
      <c r="M9" s="1" cm="1">
        <f ca="1" t="array" ref="M9">SUM(SUMIFS(Assumptions!BM$3:BM$102,Assumptions!$B$3:$B$102,Bus!$C9,Assumptions!$G$3:$G$102,{"TRB"}))</f>
        <v>0</v>
      </c>
      <c r="N9" s="1" cm="1">
        <f ca="1" t="array" ref="N9">SUM(SUMIFS(Assumptions!BN$3:BN$102,Assumptions!$B$3:$B$102,Bus!$C9,Assumptions!$G$3:$G$102,{"TRB"}))</f>
        <v>0</v>
      </c>
      <c r="O9" s="1" cm="1">
        <f ca="1" t="array" ref="O9">SUM(SUMIFS(Assumptions!BO$3:BO$102,Assumptions!$B$3:$B$102,Bus!$C9,Assumptions!$G$3:$G$102,{"TRB"}))</f>
        <v>0</v>
      </c>
      <c r="P9" s="1" cm="1">
        <f ca="1" t="array" ref="P9">SUM(SUMIFS(Assumptions!BP$3:BP$102,Assumptions!$B$3:$B$102,Bus!$C9,Assumptions!$G$3:$G$102,{"TRB"}))</f>
        <v>0</v>
      </c>
      <c r="Q9" s="1" cm="1">
        <f ca="1" t="array" ref="Q9">SUM(SUMIFS(Assumptions!BQ$3:BQ$102,Assumptions!$B$3:$B$102,Bus!$C9,Assumptions!$G$3:$G$102,{"TRB"}))</f>
        <v>0</v>
      </c>
      <c r="R9" s="1" cm="1">
        <f ca="1" t="array" ref="R9">SUM(SUMIFS(Assumptions!BR$3:BR$102,Assumptions!$B$3:$B$102,Bus!$C9,Assumptions!$G$3:$G$102,{"TRB"}))</f>
        <v>0</v>
      </c>
      <c r="S9" s="1" cm="1">
        <f ca="1" t="array" ref="S9">SUM(SUMIFS(Assumptions!BS$3:BS$102,Assumptions!$B$3:$B$102,Bus!$C9,Assumptions!$G$3:$G$102,{"TRB"}))</f>
        <v>4.878522162</v>
      </c>
      <c r="T9" s="1" cm="1">
        <f ca="1" t="array" ref="T9">SUM(SUMIFS(Assumptions!BT$3:BT$102,Assumptions!$B$3:$B$102,Bus!$C9,Assumptions!$G$3:$G$102,{"TRB"}))</f>
        <v>0</v>
      </c>
      <c r="U9" s="1" cm="1">
        <f ca="1" t="array" ref="U9">SUM(SUMIFS(Assumptions!BU$3:BU$102,Assumptions!$B$3:$B$102,Bus!$C9,Assumptions!$G$3:$G$102,{"TRB"}))</f>
        <v>0</v>
      </c>
      <c r="V9" s="1" cm="1">
        <f ca="1" t="array" ref="V9">SUM(SUMIFS(Assumptions!BV$3:BV$102,Assumptions!$B$3:$B$102,Bus!$C9,Assumptions!$G$3:$G$102,{"TRB"}))</f>
        <v>0</v>
      </c>
      <c r="W9" s="1" cm="1">
        <f ca="1" t="array" ref="W9">SUM(SUMIFS(Assumptions!BW$3:BW$102,Assumptions!$B$3:$B$102,Bus!$C9,Assumptions!$G$3:$G$102,{"TRB"}))</f>
        <v>17.298570159</v>
      </c>
      <c r="X9" s="1" cm="1">
        <f ca="1" t="array" ref="X9">SUM(SUMIFS(Assumptions!BX$3:BX$102,Assumptions!$B$3:$B$102,Bus!$C9,Assumptions!$G$3:$G$102,{"TRB"}))</f>
        <v>0.337024169712</v>
      </c>
      <c r="Y9" s="1" cm="1">
        <f ca="1" t="array" ref="Y9">SUM(SUMIFS(Assumptions!BY$3:BY$102,Assumptions!$B$3:$B$102,Bus!$C9,Assumptions!$G$3:$G$102,{"TRB"}))</f>
        <v>0.414587926891738</v>
      </c>
      <c r="Z9" s="1" cm="1">
        <f ca="1" t="array" ref="Z9">SUM(SUMIFS(Assumptions!BZ$3:BZ$102,Assumptions!$B$3:$B$102,Bus!$C9,Assumptions!$G$3:$G$102,{"TRB"}))</f>
        <v>0</v>
      </c>
      <c r="AA9" s="1" cm="1">
        <f ca="1" t="array" ref="AA9">SUM(SUMIFS(Assumptions!CA$3:CA$102,Assumptions!$B$3:$B$102,Bus!$C9,Assumptions!$G$3:$G$102,{"TRB"}))</f>
        <v>0</v>
      </c>
      <c r="AB9" s="1" cm="1">
        <f ca="1" t="array" ref="AB9">SUM(SUMIFS(Assumptions!CB$3:CB$102,Assumptions!$B$3:$B$102,Bus!$C9,Assumptions!$G$3:$G$102,{"TRB"}))</f>
        <v>48.768667892028</v>
      </c>
      <c r="AC9" s="1" cm="1">
        <f ca="1" t="array" ref="AC9">SUM(SUMIFS(Assumptions!CC$3:CC$102,Assumptions!$B$3:$B$102,Bus!$C9,Assumptions!$G$3:$G$102,{"TRB"}))</f>
        <v>0</v>
      </c>
      <c r="AD9" s="1" cm="1">
        <f ca="1" t="array" ref="AD9">SUM(SUMIFS(Assumptions!CD$3:CD$102,Assumptions!$B$3:$B$102,Bus!$C9,Assumptions!$G$3:$G$102,{"TRB"}))</f>
        <v>0</v>
      </c>
      <c r="AE9" s="1" cm="1">
        <f ca="1" t="array" ref="AE9">SUM(SUMIFS(Assumptions!CE$3:CE$102,Assumptions!$B$3:$B$102,Bus!$C9,Assumptions!$G$3:$G$102,{"TRB"}))</f>
        <v>0.0784899396</v>
      </c>
      <c r="AF9" s="1" cm="1">
        <f ca="1" t="array" ref="AF9">SUM(SUMIFS(Assumptions!CF$3:CF$102,Assumptions!$B$3:$B$102,Bus!$C9,Assumptions!$G$3:$G$102,{"TRB"}))</f>
        <v>0</v>
      </c>
      <c r="AG9" s="1" cm="1">
        <f ca="1" t="array" ref="AG9">SUM(SUMIFS(Assumptions!CG$3:CG$102,Assumptions!$B$3:$B$102,Bus!$C9,Assumptions!$G$3:$G$102,{"TRB"}))</f>
        <v>0</v>
      </c>
      <c r="AH9" s="1" cm="1">
        <f ca="1" t="array" ref="AH9">SUM(SUMIFS(Assumptions!CH$3:CH$102,Assumptions!$B$3:$B$102,Bus!$C9,Assumptions!$G$3:$G$102,{"TRB"}))</f>
        <v>0</v>
      </c>
      <c r="AI9" s="1" cm="1">
        <f ca="1" t="array" ref="AI9">SUM(SUMIFS(Assumptions!CI$3:CI$102,Assumptions!$B$3:$B$102,Bus!$C9,Assumptions!$G$3:$G$102,{"TRB"}))</f>
        <v>18.5140798416</v>
      </c>
      <c r="AJ9" s="1" cm="1">
        <f ca="1" t="array" ref="AJ9">SUM(SUMIFS(Assumptions!CJ$3:CJ$102,Assumptions!$B$3:$B$102,Bus!$C9,Assumptions!$G$3:$G$102,{"TRB"}))</f>
        <v>0</v>
      </c>
      <c r="AK9" s="1" cm="1">
        <f ca="1" t="array" ref="AK9">SUM(SUMIFS(Assumptions!CK$3:CK$102,Assumptions!$B$3:$B$102,Bus!$C9,Assumptions!$G$3:$G$102,{"TRB"}))</f>
        <v>0</v>
      </c>
      <c r="AL9" s="1" cm="1">
        <f ca="1" t="array" ref="AL9">SUM(SUMIFS(Assumptions!CL$3:CL$102,Assumptions!$B$3:$B$102,Bus!$C9,Assumptions!$G$3:$G$102,{"TRB"}))</f>
        <v>0</v>
      </c>
      <c r="AM9" s="1" cm="1">
        <f ca="1" t="array" ref="AM9">SUM(SUMIFS(Assumptions!CM$3:CM$102,Assumptions!$B$3:$B$102,Bus!$C9,Assumptions!$G$3:$G$102,{"TRB"}))</f>
        <v>0</v>
      </c>
      <c r="AN9" s="1" cm="1">
        <f ca="1" t="array" ref="AN9">SUM(SUMIFS(Assumptions!CN$3:CN$102,Assumptions!$B$3:$B$102,Bus!$C9,Assumptions!$G$3:$G$102,{"TRB"}))</f>
        <v>0</v>
      </c>
      <c r="AO9" s="1" cm="1">
        <f ca="1" t="array" ref="AO9">SUM(SUMIFS(Assumptions!CO$3:CO$102,Assumptions!$B$3:$B$102,Bus!$C9,Assumptions!$G$3:$G$102,{"TRB"}))</f>
        <v>0</v>
      </c>
      <c r="AP9" s="1" cm="1">
        <f ca="1" t="array" ref="AP9">SUM(SUMIFS(Assumptions!CP$3:CP$102,Assumptions!$B$3:$B$102,Bus!$C9,Assumptions!$G$3:$G$102,{"TRB"}))</f>
        <v>0</v>
      </c>
      <c r="AQ9" s="1" cm="1">
        <f ca="1" t="array" ref="AQ9">SUM(SUMIFS(Assumptions!CQ$3:CQ$102,Assumptions!$B$3:$B$102,Bus!$C9,Assumptions!$G$3:$G$102,{"TRB"}))</f>
        <v>0</v>
      </c>
      <c r="AR9" s="1" cm="1">
        <f ca="1" t="array" ref="AR9">SUM(SUMIFS(Assumptions!CR$3:CR$102,Assumptions!$B$3:$B$102,Bus!$C9,Assumptions!$G$3:$G$102,{"TRB"}))</f>
        <v>0</v>
      </c>
      <c r="AS9" s="1" cm="1">
        <f ca="1" t="array" ref="AS9">SUM(SUMIFS(Assumptions!CS$3:CS$102,Assumptions!$B$3:$B$102,Bus!$C9,Assumptions!$G$3:$G$102,{"TRB"}))</f>
        <v>0</v>
      </c>
      <c r="AT9" s="1" cm="1">
        <f ca="1" t="array" ref="AT9">SUM(SUMIFS(Assumptions!CT$3:CT$102,Assumptions!$B$3:$B$102,Bus!$C9,Assumptions!$G$3:$G$102,{"TRB"}))</f>
        <v>0</v>
      </c>
      <c r="AU9" s="1" cm="1">
        <f ca="1" t="array" ref="AU9">SUM(SUMIFS(Assumptions!CU$3:CU$102,Assumptions!$B$3:$B$102,Bus!$C9,Assumptions!$G$3:$G$102,{"TRB"}))</f>
        <v>0</v>
      </c>
      <c r="AV9" s="1" cm="1">
        <f ca="1" t="array" ref="AV9">SUM(SUMIFS(Assumptions!CV$3:CV$102,Assumptions!$B$3:$B$102,Bus!$C9,Assumptions!$G$3:$G$102,{"TRB"}))</f>
        <v>0</v>
      </c>
      <c r="AW9" s="1" cm="1">
        <f ca="1" t="array" ref="AW9">SUM(SUMIFS(Assumptions!CW$3:CW$102,Assumptions!$B$3:$B$102,Bus!$C9,Assumptions!$G$3:$G$102,{"TRB"}))</f>
        <v>0</v>
      </c>
      <c r="AY9" t="s">
        <v>133</v>
      </c>
      <c r="BA9" t="str">
        <f t="shared" si="0"/>
        <v/>
      </c>
      <c r="BB9" t="str">
        <f t="shared" si="1"/>
        <v/>
      </c>
      <c r="BD9" t="str">
        <f t="shared" si="2"/>
        <v>*</v>
      </c>
      <c r="BE9">
        <f t="shared" si="3"/>
        <v>0</v>
      </c>
      <c r="BG9" t="s">
        <v>92</v>
      </c>
      <c r="BH9" t="s">
        <v>144</v>
      </c>
      <c r="BI9" t="s">
        <v>145</v>
      </c>
    </row>
    <row r="10" spans="1:61">
      <c r="A10" t="s">
        <v>78</v>
      </c>
      <c r="C10" s="43" t="s">
        <v>52</v>
      </c>
      <c r="D10" s="1" cm="1">
        <f ca="1" t="array" ref="D10">SUM(SUMIFS(Assumptions!BD$3:BD$102,Assumptions!$B$3:$B$102,Bus!$C10,Assumptions!$G$3:$G$102,{"TRB"}))</f>
        <v>12.20883189192</v>
      </c>
      <c r="E10" s="1" cm="1">
        <f ca="1" t="array" ref="E10">SUM(SUMIFS(Assumptions!BE$3:BE$102,Assumptions!$B$3:$B$102,Bus!$C10,Assumptions!$G$3:$G$102,{"TRB"}))</f>
        <v>0.04481299512</v>
      </c>
      <c r="F10" s="1" cm="1">
        <f ca="1" t="array" ref="F10">SUM(SUMIFS(Assumptions!BF$3:BF$102,Assumptions!$B$3:$B$102,Bus!$C10,Assumptions!$G$3:$G$102,{"TRB"}))</f>
        <v>1.87407196992</v>
      </c>
      <c r="G10" s="1" cm="1">
        <f ca="1" t="array" ref="G10">SUM(SUMIFS(Assumptions!BG$3:BG$102,Assumptions!$B$3:$B$102,Bus!$C10,Assumptions!$G$3:$G$102,{"TRB"}))</f>
        <v>0.2493077622048</v>
      </c>
      <c r="H10" s="1" cm="1">
        <f ca="1" t="array" ref="H10">SUM(SUMIFS(Assumptions!BH$3:BH$102,Assumptions!$B$3:$B$102,Bus!$C10,Assumptions!$G$3:$G$102,{"TRB"}))</f>
        <v>0</v>
      </c>
      <c r="I10" s="1" cm="1">
        <f ca="1" t="array" ref="I10">SUM(SUMIFS(Assumptions!BI$3:BI$102,Assumptions!$B$3:$B$102,Bus!$C10,Assumptions!$G$3:$G$102,{"TRB"}))</f>
        <v>1.22013044442</v>
      </c>
      <c r="J10" s="1" cm="1">
        <f ca="1" t="array" ref="J10">SUM(SUMIFS(Assumptions!BJ$3:BJ$102,Assumptions!$B$3:$B$102,Bus!$C10,Assumptions!$G$3:$G$102,{"TRB"}))</f>
        <v>25.25192052768</v>
      </c>
      <c r="K10" s="1" cm="1">
        <f ca="1" t="array" ref="K10">SUM(SUMIFS(Assumptions!BK$3:BK$102,Assumptions!$B$3:$B$102,Bus!$C10,Assumptions!$G$3:$G$102,{"TRB"}))</f>
        <v>493.603358084352</v>
      </c>
      <c r="L10" s="1" cm="1">
        <f ca="1" t="array" ref="L10">SUM(SUMIFS(Assumptions!BL$3:BL$102,Assumptions!$B$3:$B$102,Bus!$C10,Assumptions!$G$3:$G$102,{"TRB"}))</f>
        <v>0.3512432124</v>
      </c>
      <c r="M10" s="1" cm="1">
        <f ca="1" t="array" ref="M10">SUM(SUMIFS(Assumptions!BM$3:BM$102,Assumptions!$B$3:$B$102,Bus!$C10,Assumptions!$G$3:$G$102,{"TRB"}))</f>
        <v>3.1564536408</v>
      </c>
      <c r="N10" s="1" cm="1">
        <f ca="1" t="array" ref="N10">SUM(SUMIFS(Assumptions!BN$3:BN$102,Assumptions!$B$3:$B$102,Bus!$C10,Assumptions!$G$3:$G$102,{"TRB"}))</f>
        <v>2.166238303884</v>
      </c>
      <c r="O10" s="1" cm="1">
        <f ca="1" t="array" ref="O10">SUM(SUMIFS(Assumptions!BO$3:BO$102,Assumptions!$B$3:$B$102,Bus!$C10,Assumptions!$G$3:$G$102,{"TRB"}))</f>
        <v>2.6510232201624</v>
      </c>
      <c r="P10" s="1" cm="1">
        <f ca="1" t="array" ref="P10">SUM(SUMIFS(Assumptions!BP$3:BP$102,Assumptions!$B$3:$B$102,Bus!$C10,Assumptions!$G$3:$G$102,{"TRB"}))</f>
        <v>0.238201203384</v>
      </c>
      <c r="Q10" s="1" cm="1">
        <f ca="1" t="array" ref="Q10">SUM(SUMIFS(Assumptions!BQ$3:BQ$102,Assumptions!$B$3:$B$102,Bus!$C10,Assumptions!$G$3:$G$102,{"TRB"}))</f>
        <v>4.0482462276</v>
      </c>
      <c r="R10" s="1" cm="1">
        <f ca="1" t="array" ref="R10">SUM(SUMIFS(Assumptions!BR$3:BR$102,Assumptions!$B$3:$B$102,Bus!$C10,Assumptions!$G$3:$G$102,{"TRB"}))</f>
        <v>0.023672334672</v>
      </c>
      <c r="S10" s="1" cm="1">
        <f ca="1" t="array" ref="S10">SUM(SUMIFS(Assumptions!BS$3:BS$102,Assumptions!$B$3:$B$102,Bus!$C10,Assumptions!$G$3:$G$102,{"TRB"}))</f>
        <v>74.02844532672</v>
      </c>
      <c r="T10" s="1" cm="1">
        <f ca="1" t="array" ref="T10">SUM(SUMIFS(Assumptions!BT$3:BT$102,Assumptions!$B$3:$B$102,Bus!$C10,Assumptions!$G$3:$G$102,{"TRB"}))</f>
        <v>0</v>
      </c>
      <c r="U10" s="1" cm="1">
        <f ca="1" t="array" ref="U10">SUM(SUMIFS(Assumptions!BU$3:BU$102,Assumptions!$B$3:$B$102,Bus!$C10,Assumptions!$G$3:$G$102,{"TRB"}))</f>
        <v>12.7800637360776</v>
      </c>
      <c r="V10" s="1" cm="1">
        <f ca="1" t="array" ref="V10">SUM(SUMIFS(Assumptions!BV$3:BV$102,Assumptions!$B$3:$B$102,Bus!$C10,Assumptions!$G$3:$G$102,{"TRB"}))</f>
        <v>0</v>
      </c>
      <c r="W10" s="1" cm="1">
        <f ca="1" t="array" ref="W10">SUM(SUMIFS(Assumptions!BW$3:BW$102,Assumptions!$B$3:$B$102,Bus!$C10,Assumptions!$G$3:$G$102,{"TRB"}))</f>
        <v>48.56458814568</v>
      </c>
      <c r="X10" s="1" cm="1">
        <f ca="1" t="array" ref="X10">SUM(SUMIFS(Assumptions!BX$3:BX$102,Assumptions!$B$3:$B$102,Bus!$C10,Assumptions!$G$3:$G$102,{"TRB"}))</f>
        <v>88.8629100926184</v>
      </c>
      <c r="Y10" s="1" cm="1">
        <f ca="1" t="array" ref="Y10">SUM(SUMIFS(Assumptions!BY$3:BY$102,Assumptions!$B$3:$B$102,Bus!$C10,Assumptions!$G$3:$G$102,{"TRB"}))</f>
        <v>0.0226417853609724</v>
      </c>
      <c r="Z10" s="1" cm="1">
        <f ca="1" t="array" ref="Z10">SUM(SUMIFS(Assumptions!BZ$3:BZ$102,Assumptions!$B$3:$B$102,Bus!$C10,Assumptions!$G$3:$G$102,{"TRB"}))</f>
        <v>0.7536043806552</v>
      </c>
      <c r="AA10" s="1" cm="1">
        <f ca="1" t="array" ref="AA10">SUM(SUMIFS(Assumptions!CA$3:CA$102,Assumptions!$B$3:$B$102,Bus!$C10,Assumptions!$G$3:$G$102,{"TRB"}))</f>
        <v>0.7183669572</v>
      </c>
      <c r="AB10" s="1" cm="1">
        <f ca="1" t="array" ref="AB10">SUM(SUMIFS(Assumptions!CB$3:CB$102,Assumptions!$B$3:$B$102,Bus!$C10,Assumptions!$G$3:$G$102,{"TRB"}))</f>
        <v>25.542652505832</v>
      </c>
      <c r="AC10" s="1" cm="1">
        <f ca="1" t="array" ref="AC10">SUM(SUMIFS(Assumptions!CC$3:CC$102,Assumptions!$B$3:$B$102,Bus!$C10,Assumptions!$G$3:$G$102,{"TRB"}))</f>
        <v>0</v>
      </c>
      <c r="AD10" s="1" cm="1">
        <f ca="1" t="array" ref="AD10">SUM(SUMIFS(Assumptions!CD$3:CD$102,Assumptions!$B$3:$B$102,Bus!$C10,Assumptions!$G$3:$G$102,{"TRB"}))</f>
        <v>0</v>
      </c>
      <c r="AE10" s="1" cm="1">
        <f ca="1" t="array" ref="AE10">SUM(SUMIFS(Assumptions!CE$3:CE$102,Assumptions!$B$3:$B$102,Bus!$C10,Assumptions!$G$3:$G$102,{"TRB"}))</f>
        <v>0.00439865208</v>
      </c>
      <c r="AF10" s="1" cm="1">
        <f ca="1" t="array" ref="AF10">SUM(SUMIFS(Assumptions!CF$3:CF$102,Assumptions!$B$3:$B$102,Bus!$C10,Assumptions!$G$3:$G$102,{"TRB"}))</f>
        <v>2.8200767085</v>
      </c>
      <c r="AG10" s="1" cm="1">
        <f ca="1" t="array" ref="AG10">SUM(SUMIFS(Assumptions!CG$3:CG$102,Assumptions!$B$3:$B$102,Bus!$C10,Assumptions!$G$3:$G$102,{"TRB"}))</f>
        <v>1.6777880367984</v>
      </c>
      <c r="AH10" s="1" cm="1">
        <f ca="1" t="array" ref="AH10">SUM(SUMIFS(Assumptions!CH$3:CH$102,Assumptions!$B$3:$B$102,Bus!$C10,Assumptions!$G$3:$G$102,{"TRB"}))</f>
        <v>0.1857399546168</v>
      </c>
      <c r="AI10" s="1" cm="1">
        <f ca="1" t="array" ref="AI10">SUM(SUMIFS(Assumptions!CI$3:CI$102,Assumptions!$B$3:$B$102,Bus!$C10,Assumptions!$G$3:$G$102,{"TRB"}))</f>
        <v>1.0632619508472</v>
      </c>
      <c r="AJ10" s="1" cm="1">
        <f ca="1" t="array" ref="AJ10">SUM(SUMIFS(Assumptions!CJ$3:CJ$102,Assumptions!$B$3:$B$102,Bus!$C10,Assumptions!$G$3:$G$102,{"TRB"}))</f>
        <v>0.1811652559704</v>
      </c>
      <c r="AK10" s="1" cm="1">
        <f ca="1" t="array" ref="AK10">SUM(SUMIFS(Assumptions!CK$3:CK$102,Assumptions!$B$3:$B$102,Bus!$C10,Assumptions!$G$3:$G$102,{"TRB"}))</f>
        <v>0</v>
      </c>
      <c r="AL10" s="1" cm="1">
        <f ca="1" t="array" ref="AL10">SUM(SUMIFS(Assumptions!CL$3:CL$102,Assumptions!$B$3:$B$102,Bus!$C10,Assumptions!$G$3:$G$102,{"TRB"}))</f>
        <v>0.5497184664</v>
      </c>
      <c r="AM10" s="1" cm="1">
        <f ca="1" t="array" ref="AM10">SUM(SUMIFS(Assumptions!CM$3:CM$102,Assumptions!$B$3:$B$102,Bus!$C10,Assumptions!$G$3:$G$102,{"TRB"}))</f>
        <v>0</v>
      </c>
      <c r="AN10" s="1" cm="1">
        <f ca="1" t="array" ref="AN10">SUM(SUMIFS(Assumptions!CN$3:CN$102,Assumptions!$B$3:$B$102,Bus!$C10,Assumptions!$G$3:$G$102,{"TRB"}))</f>
        <v>0</v>
      </c>
      <c r="AO10" s="1" cm="1">
        <f ca="1" t="array" ref="AO10">SUM(SUMIFS(Assumptions!CO$3:CO$102,Assumptions!$B$3:$B$102,Bus!$C10,Assumptions!$G$3:$G$102,{"TRB"}))</f>
        <v>0</v>
      </c>
      <c r="AP10" s="1" cm="1">
        <f ca="1" t="array" ref="AP10">SUM(SUMIFS(Assumptions!CP$3:CP$102,Assumptions!$B$3:$B$102,Bus!$C10,Assumptions!$G$3:$G$102,{"TRB"}))</f>
        <v>0</v>
      </c>
      <c r="AQ10" s="1" cm="1">
        <f ca="1" t="array" ref="AQ10">SUM(SUMIFS(Assumptions!CQ$3:CQ$102,Assumptions!$B$3:$B$102,Bus!$C10,Assumptions!$G$3:$G$102,{"TRB"}))</f>
        <v>0</v>
      </c>
      <c r="AR10" s="1" cm="1">
        <f ca="1" t="array" ref="AR10">SUM(SUMIFS(Assumptions!CR$3:CR$102,Assumptions!$B$3:$B$102,Bus!$C10,Assumptions!$G$3:$G$102,{"TRB"}))</f>
        <v>0</v>
      </c>
      <c r="AS10" s="1" cm="1">
        <f ca="1" t="array" ref="AS10">SUM(SUMIFS(Assumptions!CS$3:CS$102,Assumptions!$B$3:$B$102,Bus!$C10,Assumptions!$G$3:$G$102,{"TRB"}))</f>
        <v>0</v>
      </c>
      <c r="AT10" s="1" cm="1">
        <f ca="1" t="array" ref="AT10">SUM(SUMIFS(Assumptions!CT$3:CT$102,Assumptions!$B$3:$B$102,Bus!$C10,Assumptions!$G$3:$G$102,{"TRB"}))</f>
        <v>0</v>
      </c>
      <c r="AU10" s="1" cm="1">
        <f ca="1" t="array" ref="AU10">SUM(SUMIFS(Assumptions!CU$3:CU$102,Assumptions!$B$3:$B$102,Bus!$C10,Assumptions!$G$3:$G$102,{"TRB"}))</f>
        <v>0</v>
      </c>
      <c r="AV10" s="1" cm="1">
        <f ca="1" t="array" ref="AV10">SUM(SUMIFS(Assumptions!CV$3:CV$102,Assumptions!$B$3:$B$102,Bus!$C10,Assumptions!$G$3:$G$102,{"TRB"}))</f>
        <v>0</v>
      </c>
      <c r="AW10" s="1" cm="1">
        <f ca="1" t="array" ref="AW10">SUM(SUMIFS(Assumptions!CW$3:CW$102,Assumptions!$B$3:$B$102,Bus!$C10,Assumptions!$G$3:$G$102,{"TRB"}))</f>
        <v>0</v>
      </c>
      <c r="AY10" t="s">
        <v>133</v>
      </c>
      <c r="BA10" t="str">
        <f t="shared" si="0"/>
        <v/>
      </c>
      <c r="BB10" t="str">
        <f t="shared" si="1"/>
        <v/>
      </c>
      <c r="BD10" t="str">
        <f t="shared" si="2"/>
        <v>*</v>
      </c>
      <c r="BE10">
        <f t="shared" si="3"/>
        <v>0</v>
      </c>
      <c r="BG10" t="s">
        <v>92</v>
      </c>
      <c r="BH10" t="s">
        <v>144</v>
      </c>
      <c r="BI10" t="s">
        <v>145</v>
      </c>
    </row>
    <row r="11" spans="1:61">
      <c r="A11" s="101" t="s">
        <v>146</v>
      </c>
      <c r="B11" s="101"/>
      <c r="D11" s="102">
        <f ca="1">SUM(D$4:D$10)/SUM($D$4:$AJ$10)</f>
        <v>0.0634824852357978</v>
      </c>
      <c r="E11" s="102">
        <f ca="1" t="shared" ref="E11:U11" si="4">SUM(E$4:E$10)/SUM($D$4:$AJ$10)</f>
        <v>0.0537595682898777</v>
      </c>
      <c r="F11" s="102">
        <f ca="1" t="shared" si="4"/>
        <v>0.017002570681552</v>
      </c>
      <c r="G11" s="102">
        <f ca="1" t="shared" si="4"/>
        <v>0.00197056158332194</v>
      </c>
      <c r="H11" s="102">
        <f ca="1" t="shared" si="4"/>
        <v>0.00218976893260367</v>
      </c>
      <c r="I11" s="102">
        <f ca="1" t="shared" si="4"/>
        <v>0.00432171478234067</v>
      </c>
      <c r="J11" s="102">
        <f ca="1" t="shared" si="4"/>
        <v>0.039735786997404</v>
      </c>
      <c r="K11" s="102">
        <f ca="1" t="shared" si="4"/>
        <v>0.31949742891506</v>
      </c>
      <c r="L11" s="102">
        <f ca="1" t="shared" si="4"/>
        <v>0.00188042617584991</v>
      </c>
      <c r="M11" s="102">
        <f ca="1" t="shared" si="4"/>
        <v>0.00455449941152229</v>
      </c>
      <c r="N11" s="102">
        <f ca="1" t="shared" si="4"/>
        <v>0.0100743724241541</v>
      </c>
      <c r="O11" s="102">
        <f ca="1" t="shared" si="4"/>
        <v>0.0107867330484099</v>
      </c>
      <c r="P11" s="102">
        <f ca="1" t="shared" si="4"/>
        <v>0.000895867213438708</v>
      </c>
      <c r="Q11" s="102">
        <f ca="1" t="shared" si="4"/>
        <v>0.00693461950172354</v>
      </c>
      <c r="R11" s="102">
        <f ca="1" t="shared" si="4"/>
        <v>6.31375689723828e-5</v>
      </c>
      <c r="S11" s="102">
        <f ca="1" t="shared" si="4"/>
        <v>0.0924700924952197</v>
      </c>
      <c r="T11" s="102">
        <f ca="1" t="shared" si="4"/>
        <v>0.000907115649483619</v>
      </c>
      <c r="U11" s="102">
        <f ca="1" t="shared" si="4"/>
        <v>0.00887118198791756</v>
      </c>
      <c r="V11" s="102">
        <f ca="1" t="shared" ref="V11:AW11" si="5">SUM(V$4:V$10)/SUM($D$4:$AJ$10)</f>
        <v>0.00749482868578554</v>
      </c>
      <c r="W11" s="102">
        <f ca="1" t="shared" si="5"/>
        <v>0.0400339602182588</v>
      </c>
      <c r="X11" s="102">
        <f ca="1" t="shared" si="5"/>
        <v>0.0509015232127939</v>
      </c>
      <c r="Y11" s="102">
        <f ca="1" t="shared" si="5"/>
        <v>0.0470720695838059</v>
      </c>
      <c r="Z11" s="102">
        <f ca="1" t="shared" si="5"/>
        <v>0.000870465763734217</v>
      </c>
      <c r="AA11" s="102">
        <f ca="1" t="shared" si="5"/>
        <v>0.00915326861686093</v>
      </c>
      <c r="AB11" s="102">
        <f ca="1" t="shared" si="5"/>
        <v>0.115305350271355</v>
      </c>
      <c r="AC11" s="102">
        <f ca="1" t="shared" si="5"/>
        <v>0.0156075423093082</v>
      </c>
      <c r="AD11" s="102">
        <f ca="1" t="shared" si="5"/>
        <v>0.018517850256054</v>
      </c>
      <c r="AE11" s="102">
        <f ca="1" t="shared" si="5"/>
        <v>0.0189285698990867</v>
      </c>
      <c r="AF11" s="102">
        <f ca="1" t="shared" si="5"/>
        <v>0.00848465769791375</v>
      </c>
      <c r="AG11" s="102">
        <f ca="1" t="shared" si="5"/>
        <v>0.00306115300547653</v>
      </c>
      <c r="AH11" s="102">
        <f ca="1" t="shared" si="5"/>
        <v>0.00088737581544058</v>
      </c>
      <c r="AI11" s="102">
        <f ca="1" t="shared" si="5"/>
        <v>0.0167488730777124</v>
      </c>
      <c r="AJ11" s="102">
        <f ca="1" t="shared" si="5"/>
        <v>0.00753458069176408</v>
      </c>
      <c r="AK11" s="102">
        <f ca="1" t="shared" si="5"/>
        <v>0.00318194979370421</v>
      </c>
      <c r="AL11" s="102">
        <f ca="1" t="shared" si="5"/>
        <v>0.00282741853854587</v>
      </c>
      <c r="AM11" s="102">
        <f ca="1" t="shared" si="5"/>
        <v>0</v>
      </c>
      <c r="AN11" s="102">
        <f ca="1" t="shared" si="5"/>
        <v>0</v>
      </c>
      <c r="AO11" s="102">
        <f ca="1" t="shared" si="5"/>
        <v>0</v>
      </c>
      <c r="AP11" s="102">
        <f ca="1" t="shared" si="5"/>
        <v>0</v>
      </c>
      <c r="AQ11" s="102">
        <f ca="1" t="shared" si="5"/>
        <v>0</v>
      </c>
      <c r="AR11" s="102">
        <f ca="1" t="shared" si="5"/>
        <v>0</v>
      </c>
      <c r="AS11" s="102">
        <f ca="1" t="shared" si="5"/>
        <v>0</v>
      </c>
      <c r="AT11" s="102">
        <f ca="1" t="shared" si="5"/>
        <v>0</v>
      </c>
      <c r="AU11" s="102">
        <f ca="1" t="shared" si="5"/>
        <v>0</v>
      </c>
      <c r="AV11" s="102">
        <f ca="1" t="shared" si="5"/>
        <v>0</v>
      </c>
      <c r="AW11" s="102">
        <f ca="1" t="shared" si="5"/>
        <v>0</v>
      </c>
      <c r="AY11" t="s">
        <v>133</v>
      </c>
      <c r="BA11" t="str">
        <f t="shared" si="0"/>
        <v/>
      </c>
      <c r="BB11" t="str">
        <f t="shared" si="1"/>
        <v/>
      </c>
      <c r="BD11" t="str">
        <f t="shared" si="2"/>
        <v>*</v>
      </c>
      <c r="BE11">
        <f t="shared" si="3"/>
        <v>0</v>
      </c>
      <c r="BG11" t="s">
        <v>92</v>
      </c>
      <c r="BH11" t="s">
        <v>144</v>
      </c>
      <c r="BI11" t="s">
        <v>145</v>
      </c>
    </row>
    <row r="12" spans="1:61">
      <c r="AY12" t="s">
        <v>133</v>
      </c>
      <c r="BA12" t="str">
        <f t="shared" si="0"/>
        <v/>
      </c>
      <c r="BB12" t="str">
        <f t="shared" si="1"/>
        <v/>
      </c>
      <c r="BD12" t="str">
        <f t="shared" si="2"/>
        <v>*</v>
      </c>
      <c r="BE12">
        <f t="shared" si="3"/>
        <v>0</v>
      </c>
      <c r="BG12" t="s">
        <v>92</v>
      </c>
      <c r="BH12" t="s">
        <v>144</v>
      </c>
      <c r="BI12" t="s">
        <v>145</v>
      </c>
    </row>
    <row r="13" spans="1:61">
      <c r="A13" s="101" t="s">
        <v>147</v>
      </c>
      <c r="B13" s="101"/>
      <c r="C13" s="80">
        <f ca="1">SUM(D13:AJ13)</f>
        <v>11.939</v>
      </c>
      <c r="D13" s="3">
        <f ca="1">SUM(D19:D25)</f>
        <v>0.753</v>
      </c>
      <c r="E13" s="3">
        <f ca="1" t="shared" ref="E13:U13" si="6">SUM(E19:E25)</f>
        <v>0.641</v>
      </c>
      <c r="F13" s="3">
        <f ca="1" t="shared" si="6"/>
        <v>0.204</v>
      </c>
      <c r="G13" s="3">
        <f ca="1" t="shared" si="6"/>
        <v>0.022</v>
      </c>
      <c r="H13" s="3">
        <f ca="1" t="shared" si="6"/>
        <v>0.029</v>
      </c>
      <c r="I13" s="3">
        <f ca="1" t="shared" si="6"/>
        <v>0.051</v>
      </c>
      <c r="J13" s="3">
        <f ca="1" t="shared" si="6"/>
        <v>0.469</v>
      </c>
      <c r="K13" s="3">
        <f ca="1" t="shared" si="6"/>
        <v>3.844</v>
      </c>
      <c r="L13" s="3">
        <f ca="1" t="shared" si="6"/>
        <v>0.023</v>
      </c>
      <c r="M13" s="3">
        <f ca="1" t="shared" si="6"/>
        <v>0.057</v>
      </c>
      <c r="N13" s="3">
        <f ca="1" t="shared" si="6"/>
        <v>0.12</v>
      </c>
      <c r="O13" s="3">
        <f ca="1" t="shared" si="6"/>
        <v>0.128</v>
      </c>
      <c r="P13" s="3">
        <f ca="1" t="shared" si="6"/>
        <v>0.01</v>
      </c>
      <c r="Q13" s="3">
        <f ca="1" t="shared" si="6"/>
        <v>0.084</v>
      </c>
      <c r="R13" s="3">
        <f ca="1" t="shared" si="6"/>
        <v>0.001</v>
      </c>
      <c r="S13" s="3">
        <f ca="1" t="shared" si="6"/>
        <v>1.081</v>
      </c>
      <c r="T13" s="3">
        <f ca="1" t="shared" si="6"/>
        <v>0.011</v>
      </c>
      <c r="U13" s="3">
        <f ca="1" t="shared" si="6"/>
        <v>0.101</v>
      </c>
      <c r="V13" s="3">
        <f ca="1" t="shared" ref="V13:AJ13" si="7">SUM(V19:V25)</f>
        <v>0.089</v>
      </c>
      <c r="W13" s="3">
        <f ca="1" t="shared" si="7"/>
        <v>0.479</v>
      </c>
      <c r="X13" s="3">
        <f ca="1" t="shared" si="7"/>
        <v>0.596</v>
      </c>
      <c r="Y13" s="3">
        <f ca="1" t="shared" si="7"/>
        <v>0.565</v>
      </c>
      <c r="Z13" s="3">
        <f ca="1" t="shared" si="7"/>
        <v>0.009</v>
      </c>
      <c r="AA13" s="3">
        <f ca="1" t="shared" si="7"/>
        <v>0.11</v>
      </c>
      <c r="AB13" s="3">
        <f ca="1" t="shared" si="7"/>
        <v>1.373</v>
      </c>
      <c r="AC13" s="3">
        <f ca="1" t="shared" si="7"/>
        <v>0.195</v>
      </c>
      <c r="AD13" s="3">
        <f ca="1" t="shared" si="7"/>
        <v>0.228</v>
      </c>
      <c r="AE13" s="3">
        <f ca="1" t="shared" si="7"/>
        <v>0.227</v>
      </c>
      <c r="AF13" s="3">
        <f ca="1" t="shared" si="7"/>
        <v>0.1</v>
      </c>
      <c r="AG13" s="3">
        <f ca="1" t="shared" si="7"/>
        <v>0.037</v>
      </c>
      <c r="AH13" s="3">
        <f ca="1" t="shared" si="7"/>
        <v>0.01</v>
      </c>
      <c r="AI13" s="3">
        <f ca="1" t="shared" si="7"/>
        <v>0.202</v>
      </c>
      <c r="AJ13" s="3">
        <f ca="1" t="shared" si="7"/>
        <v>0.09</v>
      </c>
      <c r="AK13" s="3">
        <f ca="1" t="shared" ref="AK13:AW13" si="8">SUM(AK19:AK25)</f>
        <v>0.039</v>
      </c>
      <c r="AL13" s="3">
        <f ca="1" t="shared" si="8"/>
        <v>0.059</v>
      </c>
      <c r="AM13" s="3">
        <f ca="1" t="shared" si="8"/>
        <v>0</v>
      </c>
      <c r="AN13" s="3">
        <f ca="1" t="shared" si="8"/>
        <v>0</v>
      </c>
      <c r="AO13" s="3">
        <f ca="1" t="shared" si="8"/>
        <v>0</v>
      </c>
      <c r="AP13" s="3">
        <f ca="1" t="shared" si="8"/>
        <v>0</v>
      </c>
      <c r="AQ13" s="3">
        <f ca="1" t="shared" si="8"/>
        <v>0</v>
      </c>
      <c r="AR13" s="3">
        <f ca="1" t="shared" si="8"/>
        <v>0</v>
      </c>
      <c r="AS13" s="3">
        <f ca="1" t="shared" si="8"/>
        <v>0</v>
      </c>
      <c r="AT13" s="3">
        <f ca="1" t="shared" si="8"/>
        <v>0</v>
      </c>
      <c r="AU13" s="3">
        <f ca="1" t="shared" si="8"/>
        <v>0</v>
      </c>
      <c r="AV13" s="3">
        <f ca="1" t="shared" si="8"/>
        <v>0</v>
      </c>
      <c r="AW13" s="3">
        <f ca="1" t="shared" si="8"/>
        <v>0</v>
      </c>
      <c r="AY13" t="s">
        <v>133</v>
      </c>
      <c r="BA13" t="str">
        <f t="shared" si="0"/>
        <v/>
      </c>
      <c r="BB13" t="str">
        <f t="shared" si="1"/>
        <v/>
      </c>
      <c r="BD13" t="str">
        <f t="shared" si="2"/>
        <v>*</v>
      </c>
      <c r="BE13">
        <f t="shared" si="3"/>
        <v>0</v>
      </c>
      <c r="BG13" t="s">
        <v>92</v>
      </c>
      <c r="BH13" t="s">
        <v>144</v>
      </c>
      <c r="BI13" t="s">
        <v>145</v>
      </c>
    </row>
    <row r="14" spans="1:61">
      <c r="A14" s="101" t="s">
        <v>148</v>
      </c>
      <c r="B14" s="101"/>
      <c r="D14" s="102">
        <f ca="1">D13/SUM($D$13:$AW$13)</f>
        <v>0.0625571155603556</v>
      </c>
      <c r="E14" s="102">
        <f ca="1" t="shared" ref="E14:AW14" si="9">E13/SUM($D$13:$AW$13)</f>
        <v>0.0532524715460663</v>
      </c>
      <c r="F14" s="102">
        <f ca="1" t="shared" si="9"/>
        <v>0.0169477444545983</v>
      </c>
      <c r="G14" s="102">
        <f ca="1" t="shared" si="9"/>
        <v>0.00182769793137825</v>
      </c>
      <c r="H14" s="102">
        <f ca="1" t="shared" si="9"/>
        <v>0.00240923818227133</v>
      </c>
      <c r="I14" s="102">
        <f ca="1" t="shared" si="9"/>
        <v>0.00423693611364958</v>
      </c>
      <c r="J14" s="102">
        <f ca="1" t="shared" si="9"/>
        <v>0.0389631968098363</v>
      </c>
      <c r="K14" s="102">
        <f ca="1" t="shared" si="9"/>
        <v>0.319348674919</v>
      </c>
      <c r="L14" s="102">
        <f ca="1" t="shared" si="9"/>
        <v>0.00191077511007726</v>
      </c>
      <c r="M14" s="102">
        <f ca="1" t="shared" si="9"/>
        <v>0.00473539918584365</v>
      </c>
      <c r="N14" s="102">
        <f ca="1" t="shared" si="9"/>
        <v>0.00996926144388137</v>
      </c>
      <c r="O14" s="102">
        <f ca="1" t="shared" si="9"/>
        <v>0.0106338788734735</v>
      </c>
      <c r="P14" s="102">
        <f ca="1" t="shared" si="9"/>
        <v>0.000830771786990114</v>
      </c>
      <c r="Q14" s="102">
        <f ca="1" t="shared" si="9"/>
        <v>0.00697848301071696</v>
      </c>
      <c r="R14" s="102">
        <f ca="1" t="shared" si="9"/>
        <v>8.30771786990114e-5</v>
      </c>
      <c r="S14" s="102">
        <f ca="1" t="shared" si="9"/>
        <v>0.0898064301736313</v>
      </c>
      <c r="T14" s="102">
        <f ca="1" t="shared" si="9"/>
        <v>0.000913848965689125</v>
      </c>
      <c r="U14" s="102">
        <f ca="1" t="shared" si="9"/>
        <v>0.00839079504860015</v>
      </c>
      <c r="V14" s="102">
        <f ca="1" t="shared" si="9"/>
        <v>0.00739386890421201</v>
      </c>
      <c r="W14" s="102">
        <f ca="1" t="shared" si="9"/>
        <v>0.0397939685968265</v>
      </c>
      <c r="X14" s="102">
        <f ca="1" t="shared" si="9"/>
        <v>0.0495139985046108</v>
      </c>
      <c r="Y14" s="102">
        <f ca="1" t="shared" si="9"/>
        <v>0.0469386059649414</v>
      </c>
      <c r="Z14" s="102">
        <f ca="1" t="shared" si="9"/>
        <v>0.000747694608291103</v>
      </c>
      <c r="AA14" s="102">
        <f ca="1" t="shared" si="9"/>
        <v>0.00913848965689125</v>
      </c>
      <c r="AB14" s="102">
        <f ca="1" t="shared" si="9"/>
        <v>0.114064966353743</v>
      </c>
      <c r="AC14" s="102">
        <f ca="1" t="shared" si="9"/>
        <v>0.0162000498463072</v>
      </c>
      <c r="AD14" s="102">
        <f ca="1" t="shared" si="9"/>
        <v>0.0189415967433746</v>
      </c>
      <c r="AE14" s="102">
        <f ca="1" t="shared" si="9"/>
        <v>0.0188585195646756</v>
      </c>
      <c r="AF14" s="102">
        <f ca="1" t="shared" si="9"/>
        <v>0.00830771786990114</v>
      </c>
      <c r="AG14" s="102">
        <f ca="1" t="shared" si="9"/>
        <v>0.00307385561186342</v>
      </c>
      <c r="AH14" s="102">
        <f ca="1" t="shared" si="9"/>
        <v>0.000830771786990114</v>
      </c>
      <c r="AI14" s="102">
        <f ca="1" t="shared" si="9"/>
        <v>0.0167815900972003</v>
      </c>
      <c r="AJ14" s="102">
        <f ca="1" t="shared" si="9"/>
        <v>0.00747694608291103</v>
      </c>
      <c r="AK14" s="102">
        <f ca="1" t="shared" si="9"/>
        <v>0.00324000996926144</v>
      </c>
      <c r="AL14" s="102">
        <f ca="1" t="shared" si="9"/>
        <v>0.00490155354324167</v>
      </c>
      <c r="AM14" s="102">
        <f ca="1" t="shared" si="9"/>
        <v>0</v>
      </c>
      <c r="AN14" s="102">
        <f ca="1" t="shared" si="9"/>
        <v>0</v>
      </c>
      <c r="AO14" s="102">
        <f ca="1" t="shared" si="9"/>
        <v>0</v>
      </c>
      <c r="AP14" s="102">
        <f ca="1" t="shared" si="9"/>
        <v>0</v>
      </c>
      <c r="AQ14" s="102">
        <f ca="1" t="shared" si="9"/>
        <v>0</v>
      </c>
      <c r="AR14" s="102">
        <f ca="1" t="shared" si="9"/>
        <v>0</v>
      </c>
      <c r="AS14" s="102">
        <f ca="1" t="shared" si="9"/>
        <v>0</v>
      </c>
      <c r="AT14" s="102">
        <f ca="1" t="shared" si="9"/>
        <v>0</v>
      </c>
      <c r="AU14" s="102">
        <f ca="1" t="shared" si="9"/>
        <v>0</v>
      </c>
      <c r="AV14" s="102">
        <f ca="1" t="shared" si="9"/>
        <v>0</v>
      </c>
      <c r="AW14" s="102">
        <f ca="1" t="shared" si="9"/>
        <v>0</v>
      </c>
      <c r="AY14" t="s">
        <v>133</v>
      </c>
      <c r="BA14" t="str">
        <f t="shared" si="0"/>
        <v/>
      </c>
      <c r="BB14" t="str">
        <f t="shared" si="1"/>
        <v/>
      </c>
      <c r="BD14" t="str">
        <f t="shared" si="2"/>
        <v>*</v>
      </c>
      <c r="BE14">
        <f t="shared" si="3"/>
        <v>0</v>
      </c>
      <c r="BG14" t="s">
        <v>92</v>
      </c>
      <c r="BH14" t="s">
        <v>144</v>
      </c>
      <c r="BI14" t="s">
        <v>145</v>
      </c>
    </row>
    <row r="15" spans="1:61">
      <c r="A15" s="101"/>
      <c r="B15" s="101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Y15" t="s">
        <v>133</v>
      </c>
      <c r="BA15" t="str">
        <f t="shared" si="0"/>
        <v/>
      </c>
      <c r="BB15" t="str">
        <f t="shared" si="1"/>
        <v/>
      </c>
      <c r="BD15" t="str">
        <f t="shared" si="2"/>
        <v>*</v>
      </c>
      <c r="BE15">
        <f t="shared" si="3"/>
        <v>0</v>
      </c>
      <c r="BG15" t="s">
        <v>92</v>
      </c>
      <c r="BH15" t="s">
        <v>144</v>
      </c>
      <c r="BI15" t="s">
        <v>145</v>
      </c>
    </row>
    <row r="16" spans="1:61">
      <c r="AY16" t="s">
        <v>133</v>
      </c>
      <c r="BA16" t="str">
        <f t="shared" si="0"/>
        <v/>
      </c>
      <c r="BB16" t="str">
        <f t="shared" si="1"/>
        <v/>
      </c>
      <c r="BD16" t="str">
        <f t="shared" si="2"/>
        <v>*</v>
      </c>
      <c r="BE16">
        <f t="shared" si="3"/>
        <v>0</v>
      </c>
      <c r="BG16" t="s">
        <v>92</v>
      </c>
      <c r="BH16" t="s">
        <v>144</v>
      </c>
      <c r="BI16" t="s">
        <v>145</v>
      </c>
    </row>
    <row r="17" spans="1:61">
      <c r="A17" s="101" t="s">
        <v>149</v>
      </c>
      <c r="B17" s="101"/>
      <c r="D17" s="3">
        <f ca="1">IFERROR(D11/D14,"")</f>
        <v>1.01479239679057</v>
      </c>
      <c r="E17" s="3">
        <f ca="1" t="shared" ref="E17:U17" si="10">IFERROR(E11/E14,"")</f>
        <v>1.00952250156826</v>
      </c>
      <c r="F17" s="3">
        <f ca="1" t="shared" si="10"/>
        <v>1.00323501614628</v>
      </c>
      <c r="G17" s="3">
        <f ca="1" t="shared" si="10"/>
        <v>1.07816589902028</v>
      </c>
      <c r="H17" s="3">
        <f ca="1" t="shared" si="10"/>
        <v>0.908905125577599</v>
      </c>
      <c r="I17" s="3">
        <f ca="1" t="shared" si="10"/>
        <v>1.02000942813793</v>
      </c>
      <c r="J17" s="3">
        <f ca="1" t="shared" si="10"/>
        <v>1.01982871660501</v>
      </c>
      <c r="K17" s="3">
        <f ca="1" t="shared" si="10"/>
        <v>1.00046580433158</v>
      </c>
      <c r="L17" s="3">
        <f ca="1" t="shared" si="10"/>
        <v>0.984116951248058</v>
      </c>
      <c r="M17" s="3">
        <f ca="1" t="shared" si="10"/>
        <v>0.961798410815681</v>
      </c>
      <c r="N17" s="3">
        <f ca="1" t="shared" si="10"/>
        <v>1.01054350724619</v>
      </c>
      <c r="O17" s="3">
        <f ca="1" t="shared" si="10"/>
        <v>1.01437426331023</v>
      </c>
      <c r="P17" s="3">
        <f ca="1" t="shared" si="10"/>
        <v>1.07835536481617</v>
      </c>
      <c r="Q17" s="3">
        <f ca="1" t="shared" si="10"/>
        <v>0.993714463598169</v>
      </c>
      <c r="R17" s="3">
        <f ca="1" t="shared" si="10"/>
        <v>0.759986917720572</v>
      </c>
      <c r="S17" s="3">
        <f ca="1" t="shared" si="10"/>
        <v>1.0296600401156</v>
      </c>
      <c r="T17" s="3">
        <f ca="1" t="shared" si="10"/>
        <v>0.99263191571221</v>
      </c>
      <c r="U17" s="3">
        <f ca="1" t="shared" si="10"/>
        <v>1.05725165929271</v>
      </c>
      <c r="V17" s="3">
        <f ca="1" t="shared" ref="V17:AW17" si="11">IFERROR(V11/V14,"")</f>
        <v>1.01365452686293</v>
      </c>
      <c r="W17" s="3">
        <f ca="1" t="shared" si="11"/>
        <v>1.00603085416948</v>
      </c>
      <c r="X17" s="3">
        <f ca="1" t="shared" si="11"/>
        <v>1.0280228773698</v>
      </c>
      <c r="Y17" s="3">
        <f ca="1" t="shared" si="11"/>
        <v>1.0028433656288</v>
      </c>
      <c r="Z17" s="3">
        <f ca="1" t="shared" si="11"/>
        <v>1.16419959978542</v>
      </c>
      <c r="AA17" s="3">
        <f ca="1" t="shared" si="11"/>
        <v>1.00161722128323</v>
      </c>
      <c r="AB17" s="3">
        <f ca="1" t="shared" si="11"/>
        <v>1.01087436359527</v>
      </c>
      <c r="AC17" s="3">
        <f ca="1" t="shared" si="11"/>
        <v>0.963425573216115</v>
      </c>
      <c r="AD17" s="3">
        <f ca="1" t="shared" si="11"/>
        <v>0.977628787421586</v>
      </c>
      <c r="AE17" s="3">
        <f ca="1" t="shared" si="11"/>
        <v>1.00371451927448</v>
      </c>
      <c r="AF17" s="3">
        <f ca="1" t="shared" si="11"/>
        <v>1.02129824709788</v>
      </c>
      <c r="AG17" s="3">
        <f ca="1" t="shared" si="11"/>
        <v>0.995867533160025</v>
      </c>
      <c r="AH17" s="3">
        <f ca="1" t="shared" si="11"/>
        <v>1.06813426904583</v>
      </c>
      <c r="AI17" s="3">
        <f ca="1" t="shared" si="11"/>
        <v>0.998050421962493</v>
      </c>
      <c r="AJ17" s="3">
        <f ca="1" t="shared" si="11"/>
        <v>1.00770830874182</v>
      </c>
      <c r="AK17" s="3">
        <f ca="1" t="shared" si="11"/>
        <v>0.982080247867117</v>
      </c>
      <c r="AL17" s="3">
        <f ca="1" t="shared" si="11"/>
        <v>0.576841304211469</v>
      </c>
      <c r="AM17" s="3" t="str">
        <f ca="1" t="shared" si="11"/>
        <v/>
      </c>
      <c r="AN17" s="3" t="str">
        <f ca="1" t="shared" si="11"/>
        <v/>
      </c>
      <c r="AO17" s="3" t="str">
        <f ca="1" t="shared" si="11"/>
        <v/>
      </c>
      <c r="AP17" s="3" t="str">
        <f ca="1" t="shared" si="11"/>
        <v/>
      </c>
      <c r="AQ17" s="3" t="str">
        <f ca="1" t="shared" si="11"/>
        <v/>
      </c>
      <c r="AR17" s="3" t="str">
        <f ca="1" t="shared" si="11"/>
        <v/>
      </c>
      <c r="AS17" s="3" t="str">
        <f ca="1" t="shared" si="11"/>
        <v/>
      </c>
      <c r="AT17" s="3" t="str">
        <f ca="1" t="shared" si="11"/>
        <v/>
      </c>
      <c r="AU17" s="3" t="str">
        <f ca="1" t="shared" si="11"/>
        <v/>
      </c>
      <c r="AV17" s="3" t="str">
        <f ca="1" t="shared" si="11"/>
        <v/>
      </c>
      <c r="AW17" s="3" t="str">
        <f ca="1" t="shared" si="11"/>
        <v/>
      </c>
      <c r="AY17" t="s">
        <v>133</v>
      </c>
      <c r="BA17" t="str">
        <f t="shared" si="0"/>
        <v/>
      </c>
      <c r="BB17" t="str">
        <f t="shared" si="1"/>
        <v/>
      </c>
      <c r="BD17" t="str">
        <f t="shared" si="2"/>
        <v>*</v>
      </c>
      <c r="BE17">
        <f t="shared" si="3"/>
        <v>0</v>
      </c>
      <c r="BG17" t="s">
        <v>92</v>
      </c>
      <c r="BH17" t="s">
        <v>144</v>
      </c>
      <c r="BI17" t="s">
        <v>145</v>
      </c>
    </row>
    <row r="18" spans="1:61">
      <c r="AY18" t="s">
        <v>133</v>
      </c>
      <c r="BA18" t="str">
        <f t="shared" si="0"/>
        <v/>
      </c>
      <c r="BB18" t="str">
        <f t="shared" si="1"/>
        <v/>
      </c>
      <c r="BD18" t="str">
        <f t="shared" si="2"/>
        <v>*</v>
      </c>
      <c r="BE18">
        <f t="shared" si="3"/>
        <v>0</v>
      </c>
      <c r="BG18" t="s">
        <v>92</v>
      </c>
      <c r="BH18" t="s">
        <v>144</v>
      </c>
      <c r="BI18" t="s">
        <v>145</v>
      </c>
    </row>
    <row r="19" spans="1:61">
      <c r="A19" t="s">
        <v>150</v>
      </c>
      <c r="C19" t="str">
        <f t="shared" ref="C19:C25" si="12">C4</f>
        <v>TRABDS</v>
      </c>
      <c r="D19" s="78">
        <f ca="1">ROUND(D4*D28/D36,3)</f>
        <v>0</v>
      </c>
      <c r="E19" s="78">
        <f ca="1" t="shared" ref="E19:U19" si="13">ROUND(E4*E28/E36,3)</f>
        <v>0</v>
      </c>
      <c r="F19" s="78">
        <f ca="1" t="shared" si="13"/>
        <v>0</v>
      </c>
      <c r="G19" s="78">
        <f ca="1" t="shared" si="13"/>
        <v>0.001</v>
      </c>
      <c r="H19" s="78">
        <f ca="1" t="shared" si="13"/>
        <v>0.001</v>
      </c>
      <c r="I19" s="78">
        <f ca="1" t="shared" si="13"/>
        <v>0.003</v>
      </c>
      <c r="J19" s="78">
        <f ca="1" t="shared" si="13"/>
        <v>0.125</v>
      </c>
      <c r="K19" s="78">
        <f ca="1" t="shared" si="13"/>
        <v>0.025</v>
      </c>
      <c r="L19" s="78">
        <f ca="1" t="shared" si="13"/>
        <v>0.001</v>
      </c>
      <c r="M19" s="78">
        <f ca="1" t="shared" si="13"/>
        <v>0.003</v>
      </c>
      <c r="N19" s="78">
        <f ca="1" t="shared" si="13"/>
        <v>0.009</v>
      </c>
      <c r="O19" s="78">
        <f ca="1" t="shared" si="13"/>
        <v>0.007</v>
      </c>
      <c r="P19" s="78">
        <f ca="1" t="shared" si="13"/>
        <v>0.001</v>
      </c>
      <c r="Q19" s="78">
        <f ca="1" t="shared" si="13"/>
        <v>0.004</v>
      </c>
      <c r="R19" s="78">
        <f ca="1" t="shared" si="13"/>
        <v>0</v>
      </c>
      <c r="S19" s="78">
        <f ca="1" t="shared" si="13"/>
        <v>0.001</v>
      </c>
      <c r="T19" s="78">
        <f ca="1" t="shared" si="13"/>
        <v>0.001</v>
      </c>
      <c r="U19" s="78">
        <f ca="1" t="shared" si="13"/>
        <v>0.004</v>
      </c>
      <c r="V19" s="78">
        <f ca="1" t="shared" ref="V19:AW19" si="14">ROUND(V4*V28/V36,3)</f>
        <v>0</v>
      </c>
      <c r="W19" s="78">
        <f ca="1" t="shared" si="14"/>
        <v>0.014</v>
      </c>
      <c r="X19" s="78">
        <f ca="1" t="shared" si="14"/>
        <v>0</v>
      </c>
      <c r="Y19" s="78">
        <f ca="1" t="shared" si="14"/>
        <v>0.016</v>
      </c>
      <c r="Z19" s="78">
        <f ca="1" t="shared" si="14"/>
        <v>0.001</v>
      </c>
      <c r="AA19" s="78">
        <f ca="1" t="shared" si="14"/>
        <v>0.006</v>
      </c>
      <c r="AB19" s="78">
        <f ca="1" t="shared" si="14"/>
        <v>0.081</v>
      </c>
      <c r="AC19" s="78">
        <f ca="1" t="shared" si="14"/>
        <v>0</v>
      </c>
      <c r="AD19" s="78">
        <f ca="1" t="shared" si="14"/>
        <v>0</v>
      </c>
      <c r="AE19" s="78">
        <f ca="1" t="shared" si="14"/>
        <v>0</v>
      </c>
      <c r="AF19" s="78">
        <f ca="1" t="shared" si="14"/>
        <v>0.006</v>
      </c>
      <c r="AG19" s="78">
        <f ca="1" t="shared" si="14"/>
        <v>0.006</v>
      </c>
      <c r="AH19" s="78">
        <f ca="1" t="shared" si="14"/>
        <v>0.001</v>
      </c>
      <c r="AI19" s="78">
        <f ca="1" t="shared" si="14"/>
        <v>0.001</v>
      </c>
      <c r="AJ19" s="78">
        <f ca="1" t="shared" si="14"/>
        <v>0.004</v>
      </c>
      <c r="AK19" s="78">
        <f ca="1" t="shared" si="14"/>
        <v>0</v>
      </c>
      <c r="AL19" s="78">
        <f ca="1" t="shared" si="14"/>
        <v>0.001</v>
      </c>
      <c r="AM19" s="78">
        <f ca="1" t="shared" si="14"/>
        <v>0</v>
      </c>
      <c r="AN19" s="78">
        <f ca="1" t="shared" si="14"/>
        <v>0</v>
      </c>
      <c r="AO19" s="78">
        <f ca="1" t="shared" si="14"/>
        <v>0</v>
      </c>
      <c r="AP19" s="78">
        <f ca="1" t="shared" si="14"/>
        <v>0</v>
      </c>
      <c r="AQ19" s="78">
        <f ca="1" t="shared" si="14"/>
        <v>0</v>
      </c>
      <c r="AR19" s="78">
        <f ca="1" t="shared" si="14"/>
        <v>0</v>
      </c>
      <c r="AS19" s="78">
        <f ca="1" t="shared" si="14"/>
        <v>0</v>
      </c>
      <c r="AT19" s="78">
        <f ca="1" t="shared" si="14"/>
        <v>0</v>
      </c>
      <c r="AU19" s="78">
        <f ca="1" t="shared" si="14"/>
        <v>0</v>
      </c>
      <c r="AV19" s="78">
        <f ca="1" t="shared" si="14"/>
        <v>0</v>
      </c>
      <c r="AW19" s="78">
        <f ca="1" t="shared" si="14"/>
        <v>0</v>
      </c>
      <c r="AY19" t="s">
        <v>151</v>
      </c>
      <c r="AZ19" t="str">
        <f>IF(AX4="zero","\I:",$BA$45&amp;"_"&amp;VLOOKUP(C19,'TRA balance'!$BB$5:$BC$15,2,FALSE))</f>
        <v>Trd_bus_bdl</v>
      </c>
      <c r="BA19" t="str">
        <f t="shared" si="0"/>
        <v>Trd_bus</v>
      </c>
      <c r="BB19">
        <f t="shared" si="1"/>
        <v>25</v>
      </c>
      <c r="BD19" t="str">
        <f t="shared" si="2"/>
        <v>DMD</v>
      </c>
      <c r="BE19" t="str">
        <f t="shared" si="3"/>
        <v>Trd_bus_bdl</v>
      </c>
      <c r="BG19" t="s">
        <v>92</v>
      </c>
      <c r="BH19" t="s">
        <v>144</v>
      </c>
      <c r="BI19" t="s">
        <v>145</v>
      </c>
    </row>
    <row r="20" spans="1:61">
      <c r="C20" t="str">
        <f t="shared" si="12"/>
        <v>TRABGS</v>
      </c>
      <c r="D20" s="78">
        <f ca="1" t="shared" ref="D20:AW25" si="15">ROUND(D5*D29/D37,3)</f>
        <v>0</v>
      </c>
      <c r="E20" s="78">
        <f ca="1" t="shared" ref="E20:U20" si="16">ROUND(E5*E29/E37,3)</f>
        <v>0</v>
      </c>
      <c r="F20" s="78">
        <f ca="1" t="shared" si="16"/>
        <v>0</v>
      </c>
      <c r="G20" s="78">
        <f ca="1" t="shared" si="16"/>
        <v>0</v>
      </c>
      <c r="H20" s="78">
        <f ca="1" t="shared" si="16"/>
        <v>0</v>
      </c>
      <c r="I20" s="78">
        <f ca="1" t="shared" si="16"/>
        <v>0</v>
      </c>
      <c r="J20" s="78">
        <f ca="1" t="shared" si="16"/>
        <v>0</v>
      </c>
      <c r="K20" s="78">
        <f ca="1" t="shared" si="16"/>
        <v>0</v>
      </c>
      <c r="L20" s="78">
        <f ca="1" t="shared" si="16"/>
        <v>0</v>
      </c>
      <c r="M20" s="78">
        <f ca="1" t="shared" si="16"/>
        <v>0</v>
      </c>
      <c r="N20" s="78">
        <f ca="1" t="shared" si="16"/>
        <v>0</v>
      </c>
      <c r="O20" s="78">
        <f ca="1" t="shared" si="16"/>
        <v>0</v>
      </c>
      <c r="P20" s="78">
        <f ca="1" t="shared" si="16"/>
        <v>0</v>
      </c>
      <c r="Q20" s="78">
        <f ca="1" t="shared" si="16"/>
        <v>0</v>
      </c>
      <c r="R20" s="78">
        <f ca="1" t="shared" si="16"/>
        <v>0</v>
      </c>
      <c r="S20" s="78">
        <f ca="1" t="shared" si="16"/>
        <v>0</v>
      </c>
      <c r="T20" s="78">
        <f ca="1" t="shared" si="16"/>
        <v>0</v>
      </c>
      <c r="U20" s="78">
        <f ca="1" t="shared" si="16"/>
        <v>0</v>
      </c>
      <c r="V20" s="78">
        <f ca="1" t="shared" si="15"/>
        <v>0</v>
      </c>
      <c r="W20" s="78">
        <f ca="1" t="shared" si="15"/>
        <v>0</v>
      </c>
      <c r="X20" s="78">
        <f ca="1" t="shared" si="15"/>
        <v>0</v>
      </c>
      <c r="Y20" s="78">
        <f ca="1" t="shared" si="15"/>
        <v>0</v>
      </c>
      <c r="Z20" s="78">
        <f ca="1" t="shared" si="15"/>
        <v>0</v>
      </c>
      <c r="AA20" s="78">
        <f ca="1" t="shared" si="15"/>
        <v>0</v>
      </c>
      <c r="AB20" s="78">
        <f ca="1" t="shared" si="15"/>
        <v>0</v>
      </c>
      <c r="AC20" s="78">
        <f ca="1" t="shared" si="15"/>
        <v>0</v>
      </c>
      <c r="AD20" s="78">
        <f ca="1" t="shared" si="15"/>
        <v>0</v>
      </c>
      <c r="AE20" s="78">
        <f ca="1" t="shared" si="15"/>
        <v>0</v>
      </c>
      <c r="AF20" s="78">
        <f ca="1" t="shared" si="15"/>
        <v>0</v>
      </c>
      <c r="AG20" s="78">
        <f ca="1" t="shared" si="15"/>
        <v>0</v>
      </c>
      <c r="AH20" s="78">
        <f ca="1" t="shared" si="15"/>
        <v>0</v>
      </c>
      <c r="AI20" s="78">
        <f ca="1" t="shared" si="15"/>
        <v>0</v>
      </c>
      <c r="AJ20" s="78">
        <f ca="1" t="shared" si="15"/>
        <v>0</v>
      </c>
      <c r="AK20" s="78">
        <f ca="1" t="shared" si="15"/>
        <v>0</v>
      </c>
      <c r="AL20" s="78">
        <f ca="1" t="shared" si="15"/>
        <v>0</v>
      </c>
      <c r="AM20" s="78">
        <f ca="1" t="shared" si="15"/>
        <v>0</v>
      </c>
      <c r="AN20" s="78">
        <f ca="1" t="shared" si="15"/>
        <v>0</v>
      </c>
      <c r="AO20" s="78">
        <f ca="1" t="shared" si="15"/>
        <v>0</v>
      </c>
      <c r="AP20" s="78">
        <f ca="1" t="shared" si="15"/>
        <v>0</v>
      </c>
      <c r="AQ20" s="78">
        <f ca="1" t="shared" si="15"/>
        <v>0</v>
      </c>
      <c r="AR20" s="78">
        <f ca="1" t="shared" si="15"/>
        <v>0</v>
      </c>
      <c r="AS20" s="78">
        <f ca="1" t="shared" si="15"/>
        <v>0</v>
      </c>
      <c r="AT20" s="78">
        <f ca="1" t="shared" si="15"/>
        <v>0</v>
      </c>
      <c r="AU20" s="78">
        <f ca="1" t="shared" si="15"/>
        <v>0</v>
      </c>
      <c r="AV20" s="78">
        <f ca="1" t="shared" si="15"/>
        <v>0</v>
      </c>
      <c r="AW20" s="78">
        <f ca="1" t="shared" si="15"/>
        <v>0</v>
      </c>
      <c r="AY20" t="s">
        <v>151</v>
      </c>
      <c r="AZ20" t="str">
        <f>IF(AX5="zero","\I:",$BA$45&amp;"_"&amp;VLOOKUP(C20,'TRA balance'!$BB$5:$BC$15,2,FALSE))</f>
        <v>Trd_bus_eth</v>
      </c>
      <c r="BA20" t="str">
        <f t="shared" si="0"/>
        <v>Trd_bus</v>
      </c>
      <c r="BB20">
        <f t="shared" si="1"/>
        <v>25</v>
      </c>
      <c r="BD20" t="str">
        <f t="shared" si="2"/>
        <v>DMD</v>
      </c>
      <c r="BE20" t="str">
        <f t="shared" si="3"/>
        <v>Trd_bus_eth</v>
      </c>
      <c r="BG20" t="s">
        <v>92</v>
      </c>
      <c r="BH20" t="s">
        <v>144</v>
      </c>
      <c r="BI20" t="s">
        <v>145</v>
      </c>
    </row>
    <row r="21" spans="1:61">
      <c r="C21" t="str">
        <f t="shared" si="12"/>
        <v>TRADST</v>
      </c>
      <c r="D21" s="78">
        <f ca="1" t="shared" si="15"/>
        <v>0.721</v>
      </c>
      <c r="E21" s="78">
        <f ca="1" t="shared" ref="E21:U21" si="17">ROUND(E6*E30/E38,3)</f>
        <v>0.641</v>
      </c>
      <c r="F21" s="78">
        <f ca="1" t="shared" si="17"/>
        <v>0.174</v>
      </c>
      <c r="G21" s="78">
        <f ca="1" t="shared" si="17"/>
        <v>0.021</v>
      </c>
      <c r="H21" s="78">
        <f ca="1" t="shared" si="17"/>
        <v>0.024</v>
      </c>
      <c r="I21" s="78">
        <f ca="1" t="shared" si="17"/>
        <v>0.045</v>
      </c>
      <c r="J21" s="78">
        <f ca="1" t="shared" si="17"/>
        <v>0.275</v>
      </c>
      <c r="K21" s="78">
        <f ca="1" t="shared" si="17"/>
        <v>2.518</v>
      </c>
      <c r="L21" s="78">
        <f ca="1" t="shared" si="17"/>
        <v>0.02</v>
      </c>
      <c r="M21" s="78">
        <f ca="1" t="shared" si="17"/>
        <v>0.043</v>
      </c>
      <c r="N21" s="78">
        <f ca="1" t="shared" si="17"/>
        <v>0.106</v>
      </c>
      <c r="O21" s="78">
        <f ca="1" t="shared" si="17"/>
        <v>0.114</v>
      </c>
      <c r="P21" s="78">
        <f ca="1" t="shared" si="17"/>
        <v>0.009</v>
      </c>
      <c r="Q21" s="78">
        <f ca="1" t="shared" si="17"/>
        <v>0.066</v>
      </c>
      <c r="R21" s="78">
        <f ca="1" t="shared" si="17"/>
        <v>0.001</v>
      </c>
      <c r="S21" s="78">
        <f ca="1" t="shared" si="17"/>
        <v>0.94</v>
      </c>
      <c r="T21" s="78">
        <f ca="1" t="shared" si="17"/>
        <v>0.01</v>
      </c>
      <c r="U21" s="78">
        <f ca="1" t="shared" si="17"/>
        <v>0.074</v>
      </c>
      <c r="V21" s="78">
        <f ca="1" t="shared" si="15"/>
        <v>0.089</v>
      </c>
      <c r="W21" s="78">
        <f ca="1" t="shared" si="15"/>
        <v>0.282</v>
      </c>
      <c r="X21" s="78">
        <f ca="1" t="shared" si="15"/>
        <v>0.278</v>
      </c>
      <c r="Y21" s="78">
        <f ca="1" t="shared" si="15"/>
        <v>0.506</v>
      </c>
      <c r="Z21" s="78">
        <f ca="1" t="shared" si="15"/>
        <v>0.007</v>
      </c>
      <c r="AA21" s="78">
        <f ca="1" t="shared" si="15"/>
        <v>0.098</v>
      </c>
      <c r="AB21" s="78">
        <f ca="1" t="shared" si="15"/>
        <v>1.141</v>
      </c>
      <c r="AC21" s="78">
        <f ca="1" t="shared" si="15"/>
        <v>0.137</v>
      </c>
      <c r="AD21" s="78">
        <f ca="1" t="shared" si="15"/>
        <v>0.158</v>
      </c>
      <c r="AE21" s="78">
        <f ca="1" t="shared" si="15"/>
        <v>0.225</v>
      </c>
      <c r="AF21" s="78">
        <f ca="1" t="shared" si="15"/>
        <v>0.088</v>
      </c>
      <c r="AG21" s="78">
        <f ca="1" t="shared" si="15"/>
        <v>0.027</v>
      </c>
      <c r="AH21" s="78">
        <f ca="1" t="shared" si="15"/>
        <v>0.009</v>
      </c>
      <c r="AI21" s="78">
        <f ca="1" t="shared" si="15"/>
        <v>0.152</v>
      </c>
      <c r="AJ21" s="78">
        <f ca="1" t="shared" si="15"/>
        <v>0.084</v>
      </c>
      <c r="AK21" s="78">
        <f ca="1" t="shared" si="15"/>
        <v>0.036</v>
      </c>
      <c r="AL21" s="78">
        <f ca="1" t="shared" si="15"/>
        <v>0.054</v>
      </c>
      <c r="AM21" s="78">
        <f ca="1" t="shared" si="15"/>
        <v>0</v>
      </c>
      <c r="AN21" s="78">
        <f ca="1" t="shared" si="15"/>
        <v>0</v>
      </c>
      <c r="AO21" s="78">
        <f ca="1" t="shared" si="15"/>
        <v>0</v>
      </c>
      <c r="AP21" s="78">
        <f ca="1" t="shared" si="15"/>
        <v>0</v>
      </c>
      <c r="AQ21" s="78">
        <f ca="1" t="shared" si="15"/>
        <v>0</v>
      </c>
      <c r="AR21" s="78">
        <f ca="1" t="shared" si="15"/>
        <v>0</v>
      </c>
      <c r="AS21" s="78">
        <f ca="1" t="shared" si="15"/>
        <v>0</v>
      </c>
      <c r="AT21" s="78">
        <f ca="1" t="shared" si="15"/>
        <v>0</v>
      </c>
      <c r="AU21" s="78">
        <f ca="1" t="shared" si="15"/>
        <v>0</v>
      </c>
      <c r="AV21" s="78">
        <f ca="1" t="shared" si="15"/>
        <v>0</v>
      </c>
      <c r="AW21" s="78">
        <f ca="1" t="shared" si="15"/>
        <v>0</v>
      </c>
      <c r="AY21" t="s">
        <v>151</v>
      </c>
      <c r="AZ21" t="str">
        <f>IF(AX6="zero","\I:",$BA$45&amp;"_"&amp;VLOOKUP(C21,'TRA balance'!$BB$5:$BC$15,2,FALSE))</f>
        <v>Trd_bus_dsl</v>
      </c>
      <c r="BA21" t="str">
        <f t="shared" si="0"/>
        <v>Trd_bus</v>
      </c>
      <c r="BB21">
        <f t="shared" si="1"/>
        <v>25</v>
      </c>
      <c r="BD21" t="str">
        <f t="shared" si="2"/>
        <v>DMD</v>
      </c>
      <c r="BE21" t="str">
        <f t="shared" si="3"/>
        <v>Trd_bus_dsl</v>
      </c>
      <c r="BG21" t="s">
        <v>92</v>
      </c>
      <c r="BH21" t="s">
        <v>144</v>
      </c>
      <c r="BI21" t="s">
        <v>145</v>
      </c>
    </row>
    <row r="22" spans="1:61">
      <c r="C22" t="str">
        <f t="shared" si="12"/>
        <v>TRAELC</v>
      </c>
      <c r="D22" s="78">
        <f ca="1" t="shared" si="15"/>
        <v>0</v>
      </c>
      <c r="E22" s="78">
        <f ca="1" t="shared" ref="E22:U22" si="18">ROUND(E7*E31/E39,3)</f>
        <v>0</v>
      </c>
      <c r="F22" s="78">
        <f ca="1" t="shared" si="18"/>
        <v>0</v>
      </c>
      <c r="G22" s="78">
        <f ca="1" t="shared" si="18"/>
        <v>0</v>
      </c>
      <c r="H22" s="78">
        <f ca="1" t="shared" si="18"/>
        <v>0.003</v>
      </c>
      <c r="I22" s="78">
        <f ca="1" t="shared" si="18"/>
        <v>0</v>
      </c>
      <c r="J22" s="78">
        <f ca="1" t="shared" si="18"/>
        <v>0</v>
      </c>
      <c r="K22" s="78">
        <f ca="1" t="shared" si="18"/>
        <v>0.219</v>
      </c>
      <c r="L22" s="78">
        <f ca="1" t="shared" si="18"/>
        <v>0</v>
      </c>
      <c r="M22" s="78">
        <f ca="1" t="shared" si="18"/>
        <v>0.003</v>
      </c>
      <c r="N22" s="78">
        <f ca="1" t="shared" si="18"/>
        <v>0</v>
      </c>
      <c r="O22" s="78">
        <f ca="1" t="shared" si="18"/>
        <v>0</v>
      </c>
      <c r="P22" s="78">
        <f ca="1" t="shared" si="18"/>
        <v>0</v>
      </c>
      <c r="Q22" s="78">
        <f ca="1" t="shared" si="18"/>
        <v>0.004</v>
      </c>
      <c r="R22" s="78">
        <f ca="1" t="shared" si="18"/>
        <v>0</v>
      </c>
      <c r="S22" s="78">
        <f ca="1" t="shared" si="18"/>
        <v>0</v>
      </c>
      <c r="T22" s="78">
        <f ca="1" t="shared" si="18"/>
        <v>0</v>
      </c>
      <c r="U22" s="78">
        <f ca="1" t="shared" si="18"/>
        <v>0</v>
      </c>
      <c r="V22" s="78">
        <f ca="1" t="shared" si="15"/>
        <v>0</v>
      </c>
      <c r="W22" s="78">
        <f ca="1" t="shared" si="15"/>
        <v>0.013</v>
      </c>
      <c r="X22" s="78">
        <f ca="1" t="shared" si="15"/>
        <v>0</v>
      </c>
      <c r="Y22" s="78">
        <f ca="1" t="shared" si="15"/>
        <v>0</v>
      </c>
      <c r="Z22" s="78">
        <f ca="1" t="shared" si="15"/>
        <v>0</v>
      </c>
      <c r="AA22" s="78">
        <f ca="1" t="shared" si="15"/>
        <v>0.001</v>
      </c>
      <c r="AB22" s="78">
        <f ca="1" t="shared" si="15"/>
        <v>0</v>
      </c>
      <c r="AC22" s="78">
        <f ca="1" t="shared" si="15"/>
        <v>0.005</v>
      </c>
      <c r="AD22" s="78">
        <f ca="1" t="shared" si="15"/>
        <v>0</v>
      </c>
      <c r="AE22" s="78">
        <f ca="1" t="shared" si="15"/>
        <v>0.002</v>
      </c>
      <c r="AF22" s="78">
        <f ca="1" t="shared" si="15"/>
        <v>0</v>
      </c>
      <c r="AG22" s="78">
        <f ca="1" t="shared" si="15"/>
        <v>0</v>
      </c>
      <c r="AH22" s="78">
        <f ca="1" t="shared" si="15"/>
        <v>0</v>
      </c>
      <c r="AI22" s="78">
        <f ca="1" t="shared" si="15"/>
        <v>0</v>
      </c>
      <c r="AJ22" s="78">
        <f ca="1" t="shared" si="15"/>
        <v>0</v>
      </c>
      <c r="AK22" s="78">
        <f ca="1" t="shared" si="15"/>
        <v>0</v>
      </c>
      <c r="AL22" s="78">
        <f ca="1" t="shared" si="15"/>
        <v>0</v>
      </c>
      <c r="AM22" s="78">
        <f ca="1" t="shared" si="15"/>
        <v>0</v>
      </c>
      <c r="AN22" s="78">
        <f ca="1" t="shared" si="15"/>
        <v>0</v>
      </c>
      <c r="AO22" s="78">
        <f ca="1" t="shared" si="15"/>
        <v>0</v>
      </c>
      <c r="AP22" s="78">
        <f ca="1" t="shared" si="15"/>
        <v>0</v>
      </c>
      <c r="AQ22" s="78">
        <f ca="1" t="shared" si="15"/>
        <v>0</v>
      </c>
      <c r="AR22" s="78">
        <f ca="1" t="shared" si="15"/>
        <v>0</v>
      </c>
      <c r="AS22" s="78">
        <f ca="1" t="shared" si="15"/>
        <v>0</v>
      </c>
      <c r="AT22" s="78">
        <f ca="1" t="shared" si="15"/>
        <v>0</v>
      </c>
      <c r="AU22" s="78">
        <f ca="1" t="shared" si="15"/>
        <v>0</v>
      </c>
      <c r="AV22" s="78">
        <f ca="1" t="shared" si="15"/>
        <v>0</v>
      </c>
      <c r="AW22" s="78">
        <f ca="1" t="shared" si="15"/>
        <v>0</v>
      </c>
      <c r="AY22" t="s">
        <v>151</v>
      </c>
      <c r="AZ22" t="str">
        <f>IF(AX7="zero","\I:",$BA$45&amp;"_"&amp;VLOOKUP(C22,'TRA balance'!$BB$5:$BC$15,2,FALSE))</f>
        <v>Trd_bus_elc</v>
      </c>
      <c r="BA22" t="str">
        <f t="shared" si="0"/>
        <v>Trd_bus</v>
      </c>
      <c r="BB22">
        <f t="shared" si="1"/>
        <v>25</v>
      </c>
      <c r="BD22" t="str">
        <f t="shared" si="2"/>
        <v>DMD</v>
      </c>
      <c r="BE22" t="str">
        <f t="shared" si="3"/>
        <v>Trd_bus_elc</v>
      </c>
      <c r="BG22" t="s">
        <v>92</v>
      </c>
      <c r="BH22" t="s">
        <v>144</v>
      </c>
      <c r="BI22" t="s">
        <v>145</v>
      </c>
    </row>
    <row r="23" spans="1:61">
      <c r="C23" t="str">
        <f t="shared" si="12"/>
        <v>TRAGSL</v>
      </c>
      <c r="D23" s="78">
        <f ca="1" t="shared" si="15"/>
        <v>0</v>
      </c>
      <c r="E23" s="78">
        <f ca="1" t="shared" ref="E23:U23" si="19">ROUND(E8*E32/E40,3)</f>
        <v>0</v>
      </c>
      <c r="F23" s="78">
        <f ca="1" t="shared" si="19"/>
        <v>0.007</v>
      </c>
      <c r="G23" s="78">
        <f ca="1" t="shared" si="19"/>
        <v>0</v>
      </c>
      <c r="H23" s="78">
        <f ca="1" t="shared" si="19"/>
        <v>0.001</v>
      </c>
      <c r="I23" s="78">
        <f ca="1" t="shared" si="19"/>
        <v>0.001</v>
      </c>
      <c r="J23" s="78">
        <f ca="1" t="shared" si="19"/>
        <v>0.025</v>
      </c>
      <c r="K23" s="78">
        <f ca="1" t="shared" si="19"/>
        <v>0.137</v>
      </c>
      <c r="L23" s="78">
        <f ca="1" t="shared" si="19"/>
        <v>0.001</v>
      </c>
      <c r="M23" s="78">
        <f ca="1" t="shared" si="19"/>
        <v>0.002</v>
      </c>
      <c r="N23" s="78">
        <f ca="1" t="shared" si="19"/>
        <v>0.001</v>
      </c>
      <c r="O23" s="78">
        <f ca="1" t="shared" si="19"/>
        <v>0.002</v>
      </c>
      <c r="P23" s="78">
        <f ca="1" t="shared" si="19"/>
        <v>0</v>
      </c>
      <c r="Q23" s="78">
        <f ca="1" t="shared" si="19"/>
        <v>0.003</v>
      </c>
      <c r="R23" s="78">
        <f ca="1" t="shared" si="19"/>
        <v>0</v>
      </c>
      <c r="S23" s="78">
        <f ca="1" t="shared" si="19"/>
        <v>0</v>
      </c>
      <c r="T23" s="78">
        <f ca="1" t="shared" si="19"/>
        <v>0</v>
      </c>
      <c r="U23" s="78">
        <f ca="1" t="shared" si="19"/>
        <v>0.001</v>
      </c>
      <c r="V23" s="78">
        <f ca="1" t="shared" si="15"/>
        <v>0</v>
      </c>
      <c r="W23" s="78">
        <f ca="1" t="shared" si="15"/>
        <v>0.047</v>
      </c>
      <c r="X23" s="78">
        <f ca="1" t="shared" si="15"/>
        <v>0.162</v>
      </c>
      <c r="Y23" s="78">
        <f ca="1" t="shared" si="15"/>
        <v>0.042</v>
      </c>
      <c r="Z23" s="78">
        <f ca="1" t="shared" si="15"/>
        <v>0</v>
      </c>
      <c r="AA23" s="78">
        <f ca="1" t="shared" si="15"/>
        <v>0.004</v>
      </c>
      <c r="AB23" s="78">
        <f ca="1" t="shared" si="15"/>
        <v>0</v>
      </c>
      <c r="AC23" s="78">
        <f ca="1" t="shared" si="15"/>
        <v>0.053</v>
      </c>
      <c r="AD23" s="78">
        <f ca="1" t="shared" si="15"/>
        <v>0.07</v>
      </c>
      <c r="AE23" s="78">
        <f ca="1" t="shared" si="15"/>
        <v>0</v>
      </c>
      <c r="AF23" s="78">
        <f ca="1" t="shared" si="15"/>
        <v>0.001</v>
      </c>
      <c r="AG23" s="78">
        <f ca="1" t="shared" si="15"/>
        <v>0.001</v>
      </c>
      <c r="AH23" s="78">
        <f ca="1" t="shared" si="15"/>
        <v>0</v>
      </c>
      <c r="AI23" s="78">
        <f ca="1" t="shared" si="15"/>
        <v>0.007</v>
      </c>
      <c r="AJ23" s="78">
        <f ca="1" t="shared" si="15"/>
        <v>0.002</v>
      </c>
      <c r="AK23" s="78">
        <f ca="1" t="shared" si="15"/>
        <v>0.003</v>
      </c>
      <c r="AL23" s="78">
        <f ca="1" t="shared" si="15"/>
        <v>0.002</v>
      </c>
      <c r="AM23" s="78">
        <f ca="1" t="shared" si="15"/>
        <v>0</v>
      </c>
      <c r="AN23" s="78">
        <f ca="1" t="shared" si="15"/>
        <v>0</v>
      </c>
      <c r="AO23" s="78">
        <f ca="1" t="shared" si="15"/>
        <v>0</v>
      </c>
      <c r="AP23" s="78">
        <f ca="1" t="shared" si="15"/>
        <v>0</v>
      </c>
      <c r="AQ23" s="78">
        <f ca="1" t="shared" si="15"/>
        <v>0</v>
      </c>
      <c r="AR23" s="78">
        <f ca="1" t="shared" si="15"/>
        <v>0</v>
      </c>
      <c r="AS23" s="78">
        <f ca="1" t="shared" si="15"/>
        <v>0</v>
      </c>
      <c r="AT23" s="78">
        <f ca="1" t="shared" si="15"/>
        <v>0</v>
      </c>
      <c r="AU23" s="78">
        <f ca="1" t="shared" si="15"/>
        <v>0</v>
      </c>
      <c r="AV23" s="78">
        <f ca="1" t="shared" si="15"/>
        <v>0</v>
      </c>
      <c r="AW23" s="78">
        <f ca="1" t="shared" si="15"/>
        <v>0</v>
      </c>
      <c r="AY23" t="s">
        <v>151</v>
      </c>
      <c r="AZ23" t="str">
        <f>IF(AX8="zero","\I:",$BA$45&amp;"_"&amp;VLOOKUP(C23,'TRA balance'!$BB$5:$BC$15,2,FALSE))</f>
        <v>Trd_bus_gsl</v>
      </c>
      <c r="BA23" t="str">
        <f t="shared" si="0"/>
        <v>Trd_bus</v>
      </c>
      <c r="BB23">
        <f t="shared" si="1"/>
        <v>25</v>
      </c>
      <c r="BD23" t="str">
        <f t="shared" si="2"/>
        <v>DMD</v>
      </c>
      <c r="BE23" t="str">
        <f t="shared" si="3"/>
        <v>Trd_bus_gsl</v>
      </c>
      <c r="BG23" t="s">
        <v>92</v>
      </c>
      <c r="BH23" t="s">
        <v>144</v>
      </c>
      <c r="BI23" t="s">
        <v>145</v>
      </c>
    </row>
    <row r="24" spans="1:61">
      <c r="C24" t="str">
        <f t="shared" si="12"/>
        <v>TRALPG</v>
      </c>
      <c r="D24" s="78">
        <f ca="1" t="shared" si="15"/>
        <v>0.011</v>
      </c>
      <c r="E24" s="78">
        <f ca="1" t="shared" ref="E24:U24" si="20">ROUND(E9*E33/E41,3)</f>
        <v>0</v>
      </c>
      <c r="F24" s="78">
        <f ca="1" t="shared" si="20"/>
        <v>0.02</v>
      </c>
      <c r="G24" s="78">
        <f ca="1" t="shared" si="20"/>
        <v>0</v>
      </c>
      <c r="H24" s="78">
        <f ca="1" t="shared" si="20"/>
        <v>0</v>
      </c>
      <c r="I24" s="78">
        <f ca="1" t="shared" si="20"/>
        <v>0</v>
      </c>
      <c r="J24" s="78">
        <f ca="1" t="shared" si="20"/>
        <v>0</v>
      </c>
      <c r="K24" s="78">
        <f ca="1" t="shared" si="20"/>
        <v>0.082</v>
      </c>
      <c r="L24" s="78">
        <f ca="1" t="shared" si="20"/>
        <v>0</v>
      </c>
      <c r="M24" s="78">
        <f ca="1" t="shared" si="20"/>
        <v>0</v>
      </c>
      <c r="N24" s="78">
        <f ca="1" t="shared" si="20"/>
        <v>0</v>
      </c>
      <c r="O24" s="78">
        <f ca="1" t="shared" si="20"/>
        <v>0</v>
      </c>
      <c r="P24" s="78">
        <f ca="1" t="shared" si="20"/>
        <v>0</v>
      </c>
      <c r="Q24" s="78">
        <f ca="1" t="shared" si="20"/>
        <v>0</v>
      </c>
      <c r="R24" s="78">
        <f ca="1" t="shared" si="20"/>
        <v>0</v>
      </c>
      <c r="S24" s="78">
        <f ca="1" t="shared" si="20"/>
        <v>0.011</v>
      </c>
      <c r="T24" s="78">
        <f ca="1" t="shared" si="20"/>
        <v>0</v>
      </c>
      <c r="U24" s="78">
        <f ca="1" t="shared" si="20"/>
        <v>0</v>
      </c>
      <c r="V24" s="78">
        <f ca="1" t="shared" si="15"/>
        <v>0</v>
      </c>
      <c r="W24" s="78">
        <f ca="1" t="shared" si="15"/>
        <v>0.038</v>
      </c>
      <c r="X24" s="78">
        <f ca="1" t="shared" si="15"/>
        <v>0.001</v>
      </c>
      <c r="Y24" s="78">
        <f ca="1" t="shared" si="15"/>
        <v>0.001</v>
      </c>
      <c r="Z24" s="78">
        <f ca="1" t="shared" si="15"/>
        <v>0</v>
      </c>
      <c r="AA24" s="78">
        <f ca="1" t="shared" si="15"/>
        <v>0</v>
      </c>
      <c r="AB24" s="78">
        <f ca="1" t="shared" si="15"/>
        <v>0.106</v>
      </c>
      <c r="AC24" s="78">
        <f ca="1" t="shared" si="15"/>
        <v>0</v>
      </c>
      <c r="AD24" s="78">
        <f ca="1" t="shared" si="15"/>
        <v>0</v>
      </c>
      <c r="AE24" s="78">
        <f ca="1" t="shared" si="15"/>
        <v>0</v>
      </c>
      <c r="AF24" s="78">
        <f ca="1" t="shared" si="15"/>
        <v>0</v>
      </c>
      <c r="AG24" s="78">
        <f ca="1" t="shared" si="15"/>
        <v>0</v>
      </c>
      <c r="AH24" s="78">
        <f ca="1" t="shared" si="15"/>
        <v>0</v>
      </c>
      <c r="AI24" s="78">
        <f ca="1" t="shared" si="15"/>
        <v>0.04</v>
      </c>
      <c r="AJ24" s="78">
        <f ca="1" t="shared" si="15"/>
        <v>0</v>
      </c>
      <c r="AK24" s="78">
        <f ca="1" t="shared" si="15"/>
        <v>0</v>
      </c>
      <c r="AL24" s="78">
        <f ca="1" t="shared" si="15"/>
        <v>0</v>
      </c>
      <c r="AM24" s="78">
        <f ca="1" t="shared" si="15"/>
        <v>0</v>
      </c>
      <c r="AN24" s="78">
        <f ca="1" t="shared" si="15"/>
        <v>0</v>
      </c>
      <c r="AO24" s="78">
        <f ca="1" t="shared" si="15"/>
        <v>0</v>
      </c>
      <c r="AP24" s="78">
        <f ca="1" t="shared" si="15"/>
        <v>0</v>
      </c>
      <c r="AQ24" s="78">
        <f ca="1" t="shared" si="15"/>
        <v>0</v>
      </c>
      <c r="AR24" s="78">
        <f ca="1" t="shared" si="15"/>
        <v>0</v>
      </c>
      <c r="AS24" s="78">
        <f ca="1" t="shared" si="15"/>
        <v>0</v>
      </c>
      <c r="AT24" s="78">
        <f ca="1" t="shared" si="15"/>
        <v>0</v>
      </c>
      <c r="AU24" s="78">
        <f ca="1" t="shared" si="15"/>
        <v>0</v>
      </c>
      <c r="AV24" s="78">
        <f ca="1" t="shared" si="15"/>
        <v>0</v>
      </c>
      <c r="AW24" s="78">
        <f ca="1" t="shared" si="15"/>
        <v>0</v>
      </c>
      <c r="AY24" t="s">
        <v>151</v>
      </c>
      <c r="AZ24" t="str">
        <f>IF(AX9="zero","\I:",$BA$45&amp;"_"&amp;VLOOKUP(C24,'TRA balance'!$BB$5:$BC$15,2,FALSE))</f>
        <v>Trd_bus_lpg</v>
      </c>
      <c r="BA24" t="str">
        <f t="shared" si="0"/>
        <v>Trd_bus</v>
      </c>
      <c r="BB24">
        <f t="shared" si="1"/>
        <v>25</v>
      </c>
      <c r="BD24" t="str">
        <f t="shared" si="2"/>
        <v>DMD</v>
      </c>
      <c r="BE24" t="str">
        <f t="shared" si="3"/>
        <v>Trd_bus_lpg</v>
      </c>
      <c r="BG24" t="s">
        <v>92</v>
      </c>
      <c r="BH24" t="s">
        <v>144</v>
      </c>
      <c r="BI24" t="s">
        <v>145</v>
      </c>
    </row>
    <row r="25" spans="1:61">
      <c r="C25" t="str">
        <f t="shared" si="12"/>
        <v>TRANGA</v>
      </c>
      <c r="D25" s="78">
        <f ca="1" t="shared" si="15"/>
        <v>0.021</v>
      </c>
      <c r="E25" s="78">
        <f ca="1" t="shared" ref="E25:U25" si="21">ROUND(E10*E34/E42,3)</f>
        <v>0</v>
      </c>
      <c r="F25" s="78">
        <f ca="1" t="shared" si="21"/>
        <v>0.003</v>
      </c>
      <c r="G25" s="78">
        <f ca="1" t="shared" si="21"/>
        <v>0</v>
      </c>
      <c r="H25" s="78">
        <f ca="1" t="shared" si="21"/>
        <v>0</v>
      </c>
      <c r="I25" s="78">
        <f ca="1" t="shared" si="21"/>
        <v>0.002</v>
      </c>
      <c r="J25" s="78">
        <f ca="1" t="shared" si="21"/>
        <v>0.044</v>
      </c>
      <c r="K25" s="78">
        <f ca="1" t="shared" si="21"/>
        <v>0.863</v>
      </c>
      <c r="L25" s="78">
        <f ca="1" t="shared" si="21"/>
        <v>0.001</v>
      </c>
      <c r="M25" s="78">
        <f ca="1" t="shared" si="21"/>
        <v>0.006</v>
      </c>
      <c r="N25" s="78">
        <f ca="1" t="shared" si="21"/>
        <v>0.004</v>
      </c>
      <c r="O25" s="78">
        <f ca="1" t="shared" si="21"/>
        <v>0.005</v>
      </c>
      <c r="P25" s="78">
        <f ca="1" t="shared" si="21"/>
        <v>0</v>
      </c>
      <c r="Q25" s="78">
        <f ca="1" t="shared" si="21"/>
        <v>0.007</v>
      </c>
      <c r="R25" s="78">
        <f ca="1" t="shared" si="21"/>
        <v>0</v>
      </c>
      <c r="S25" s="78">
        <f ca="1" t="shared" si="21"/>
        <v>0.129</v>
      </c>
      <c r="T25" s="78">
        <f ca="1" t="shared" si="21"/>
        <v>0</v>
      </c>
      <c r="U25" s="78">
        <f ca="1" t="shared" si="21"/>
        <v>0.022</v>
      </c>
      <c r="V25" s="78">
        <f ca="1" t="shared" si="15"/>
        <v>0</v>
      </c>
      <c r="W25" s="78">
        <f ca="1" t="shared" si="15"/>
        <v>0.085</v>
      </c>
      <c r="X25" s="78">
        <f ca="1" t="shared" si="15"/>
        <v>0.155</v>
      </c>
      <c r="Y25" s="78">
        <f ca="1" t="shared" si="15"/>
        <v>0</v>
      </c>
      <c r="Z25" s="78">
        <f ca="1" t="shared" si="15"/>
        <v>0.001</v>
      </c>
      <c r="AA25" s="78">
        <f ca="1" t="shared" si="15"/>
        <v>0.001</v>
      </c>
      <c r="AB25" s="78">
        <f ca="1" t="shared" si="15"/>
        <v>0.045</v>
      </c>
      <c r="AC25" s="78">
        <f ca="1" t="shared" si="15"/>
        <v>0</v>
      </c>
      <c r="AD25" s="78">
        <f ca="1" t="shared" si="15"/>
        <v>0</v>
      </c>
      <c r="AE25" s="78">
        <f ca="1" t="shared" si="15"/>
        <v>0</v>
      </c>
      <c r="AF25" s="78">
        <f ca="1" t="shared" si="15"/>
        <v>0.005</v>
      </c>
      <c r="AG25" s="78">
        <f ca="1" t="shared" si="15"/>
        <v>0.003</v>
      </c>
      <c r="AH25" s="78">
        <f ca="1" t="shared" si="15"/>
        <v>0</v>
      </c>
      <c r="AI25" s="78">
        <f ca="1" t="shared" si="15"/>
        <v>0.002</v>
      </c>
      <c r="AJ25" s="78">
        <f ca="1" t="shared" si="15"/>
        <v>0</v>
      </c>
      <c r="AK25" s="78">
        <f ca="1" t="shared" si="15"/>
        <v>0</v>
      </c>
      <c r="AL25" s="78">
        <f ca="1" t="shared" si="15"/>
        <v>0.002</v>
      </c>
      <c r="AM25" s="78">
        <f ca="1" t="shared" si="15"/>
        <v>0</v>
      </c>
      <c r="AN25" s="78">
        <f ca="1" t="shared" si="15"/>
        <v>0</v>
      </c>
      <c r="AO25" s="78">
        <f ca="1" t="shared" si="15"/>
        <v>0</v>
      </c>
      <c r="AP25" s="78">
        <f ca="1" t="shared" si="15"/>
        <v>0</v>
      </c>
      <c r="AQ25" s="78">
        <f ca="1" t="shared" si="15"/>
        <v>0</v>
      </c>
      <c r="AR25" s="78">
        <f ca="1" t="shared" si="15"/>
        <v>0</v>
      </c>
      <c r="AS25" s="78">
        <f ca="1" t="shared" si="15"/>
        <v>0</v>
      </c>
      <c r="AT25" s="78">
        <f ca="1" t="shared" si="15"/>
        <v>0</v>
      </c>
      <c r="AU25" s="78">
        <f ca="1" t="shared" si="15"/>
        <v>0</v>
      </c>
      <c r="AV25" s="78">
        <f ca="1" t="shared" si="15"/>
        <v>0</v>
      </c>
      <c r="AW25" s="78">
        <f ca="1" t="shared" si="15"/>
        <v>0</v>
      </c>
      <c r="AY25" t="s">
        <v>151</v>
      </c>
      <c r="AZ25" t="str">
        <f>IF(AX10="zero","\I:",$BA$45&amp;"_"&amp;VLOOKUP(C25,'TRA balance'!$BB$5:$BC$15,2,FALSE))</f>
        <v>Trd_bus_nga</v>
      </c>
      <c r="BA25" t="str">
        <f t="shared" si="0"/>
        <v>Trd_bus</v>
      </c>
      <c r="BB25">
        <f t="shared" si="1"/>
        <v>25</v>
      </c>
      <c r="BD25" t="str">
        <f t="shared" si="2"/>
        <v>DMD</v>
      </c>
      <c r="BE25" t="str">
        <f t="shared" si="3"/>
        <v>Trd_bus_nga</v>
      </c>
      <c r="BG25" t="s">
        <v>92</v>
      </c>
      <c r="BH25" t="s">
        <v>144</v>
      </c>
      <c r="BI25" t="s">
        <v>145</v>
      </c>
    </row>
    <row r="26" spans="1:61"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Y26" t="s">
        <v>133</v>
      </c>
      <c r="BA26" t="str">
        <f t="shared" si="0"/>
        <v/>
      </c>
      <c r="BB26" t="str">
        <f t="shared" si="1"/>
        <v/>
      </c>
      <c r="BD26" t="str">
        <f t="shared" si="2"/>
        <v>*</v>
      </c>
      <c r="BE26">
        <f t="shared" si="3"/>
        <v>0</v>
      </c>
      <c r="BG26" t="s">
        <v>92</v>
      </c>
      <c r="BH26" t="s">
        <v>144</v>
      </c>
      <c r="BI26" t="s">
        <v>145</v>
      </c>
    </row>
    <row r="27" spans="1:61"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Y27" t="s">
        <v>133</v>
      </c>
      <c r="BA27" t="str">
        <f t="shared" si="0"/>
        <v/>
      </c>
      <c r="BB27" t="str">
        <f t="shared" si="1"/>
        <v/>
      </c>
      <c r="BD27" t="str">
        <f t="shared" si="2"/>
        <v>*</v>
      </c>
      <c r="BE27">
        <f t="shared" si="3"/>
        <v>0</v>
      </c>
      <c r="BG27" t="s">
        <v>92</v>
      </c>
      <c r="BH27" t="s">
        <v>144</v>
      </c>
      <c r="BI27" t="s">
        <v>145</v>
      </c>
    </row>
    <row r="28" spans="1:61">
      <c r="A28" t="s">
        <v>152</v>
      </c>
      <c r="C28" t="str">
        <f>C19</f>
        <v>TRABDS</v>
      </c>
      <c r="D28">
        <f t="shared" ref="D28:AC34" si="22">$AX28*D$27</f>
        <v>0.07207</v>
      </c>
      <c r="E28">
        <f t="shared" si="22"/>
        <v>0.07207</v>
      </c>
      <c r="F28">
        <f t="shared" si="22"/>
        <v>0.07207</v>
      </c>
      <c r="G28">
        <f t="shared" si="22"/>
        <v>0.07207</v>
      </c>
      <c r="H28">
        <f t="shared" si="22"/>
        <v>0.07207</v>
      </c>
      <c r="I28">
        <f t="shared" si="22"/>
        <v>0.07207</v>
      </c>
      <c r="J28">
        <f t="shared" si="22"/>
        <v>0.07207</v>
      </c>
      <c r="K28">
        <f t="shared" si="22"/>
        <v>0.07207</v>
      </c>
      <c r="L28">
        <f t="shared" si="22"/>
        <v>0.07207</v>
      </c>
      <c r="M28">
        <f t="shared" si="22"/>
        <v>0.07207</v>
      </c>
      <c r="N28">
        <f t="shared" si="22"/>
        <v>0.07207</v>
      </c>
      <c r="O28">
        <f t="shared" si="22"/>
        <v>0.07207</v>
      </c>
      <c r="P28">
        <f t="shared" si="22"/>
        <v>0.07207</v>
      </c>
      <c r="Q28">
        <f t="shared" si="22"/>
        <v>0.07207</v>
      </c>
      <c r="R28">
        <f t="shared" si="22"/>
        <v>0.07207</v>
      </c>
      <c r="S28">
        <f t="shared" si="22"/>
        <v>0.07207</v>
      </c>
      <c r="T28">
        <f t="shared" si="22"/>
        <v>0.07207</v>
      </c>
      <c r="U28">
        <f t="shared" si="22"/>
        <v>0.07207</v>
      </c>
      <c r="V28">
        <f t="shared" si="22"/>
        <v>0.07207</v>
      </c>
      <c r="W28">
        <f t="shared" si="22"/>
        <v>0.07207</v>
      </c>
      <c r="X28">
        <f t="shared" si="22"/>
        <v>0.07207</v>
      </c>
      <c r="Y28">
        <f t="shared" si="22"/>
        <v>0.07207</v>
      </c>
      <c r="Z28">
        <f t="shared" si="22"/>
        <v>0.07207</v>
      </c>
      <c r="AA28">
        <f t="shared" si="22"/>
        <v>0.07207</v>
      </c>
      <c r="AB28">
        <f t="shared" si="22"/>
        <v>0.07207</v>
      </c>
      <c r="AC28">
        <f t="shared" si="22"/>
        <v>0.07207</v>
      </c>
      <c r="AD28">
        <f t="shared" ref="AD28:AS34" si="23">$AX28*AD$27</f>
        <v>0.07207</v>
      </c>
      <c r="AE28">
        <f t="shared" si="23"/>
        <v>0.07207</v>
      </c>
      <c r="AF28">
        <f t="shared" si="23"/>
        <v>0.07207</v>
      </c>
      <c r="AG28">
        <f t="shared" si="23"/>
        <v>0.07207</v>
      </c>
      <c r="AH28">
        <f t="shared" si="23"/>
        <v>0.07207</v>
      </c>
      <c r="AI28">
        <f t="shared" si="23"/>
        <v>0.07207</v>
      </c>
      <c r="AJ28">
        <f t="shared" si="23"/>
        <v>0.07207</v>
      </c>
      <c r="AK28">
        <f t="shared" si="23"/>
        <v>0.07207</v>
      </c>
      <c r="AL28">
        <f t="shared" si="23"/>
        <v>0.07207</v>
      </c>
      <c r="AM28">
        <f t="shared" si="23"/>
        <v>0.07207</v>
      </c>
      <c r="AN28">
        <f t="shared" si="23"/>
        <v>0.07207</v>
      </c>
      <c r="AO28">
        <f t="shared" si="23"/>
        <v>0.07207</v>
      </c>
      <c r="AP28">
        <f t="shared" si="23"/>
        <v>0.07207</v>
      </c>
      <c r="AQ28">
        <f t="shared" si="23"/>
        <v>0.07207</v>
      </c>
      <c r="AR28">
        <f t="shared" si="23"/>
        <v>0.07207</v>
      </c>
      <c r="AS28">
        <f t="shared" si="23"/>
        <v>0.07207</v>
      </c>
      <c r="AT28">
        <f t="shared" ref="AK28:AW34" si="24">$AX28*AT$27</f>
        <v>0.07207</v>
      </c>
      <c r="AU28">
        <f t="shared" si="24"/>
        <v>0.07207</v>
      </c>
      <c r="AV28">
        <f t="shared" si="24"/>
        <v>0.07207</v>
      </c>
      <c r="AW28">
        <f t="shared" si="24"/>
        <v>0.07207</v>
      </c>
      <c r="AX28" s="106">
        <f>AX30</f>
        <v>0.07207</v>
      </c>
      <c r="AY28" s="3" t="s">
        <v>153</v>
      </c>
      <c r="AZ28" s="3" t="str">
        <f>AZ19</f>
        <v>Trd_bus_bdl</v>
      </c>
      <c r="BA28" t="str">
        <f t="shared" si="0"/>
        <v>Trd_bus</v>
      </c>
      <c r="BB28">
        <f t="shared" si="1"/>
        <v>25</v>
      </c>
      <c r="BD28" t="str">
        <f t="shared" si="2"/>
        <v>DMD</v>
      </c>
      <c r="BE28" t="str">
        <f t="shared" si="3"/>
        <v>Trd_bus_bdl</v>
      </c>
      <c r="BG28" t="s">
        <v>92</v>
      </c>
      <c r="BH28" t="s">
        <v>144</v>
      </c>
      <c r="BI28" t="s">
        <v>145</v>
      </c>
    </row>
    <row r="29" spans="1:61">
      <c r="C29" t="str">
        <f t="shared" ref="C29:C34" si="25">C20</f>
        <v>TRABGS</v>
      </c>
      <c r="D29">
        <f t="shared" si="22"/>
        <v>0.08</v>
      </c>
      <c r="E29">
        <f t="shared" si="22"/>
        <v>0.08</v>
      </c>
      <c r="F29">
        <f t="shared" si="22"/>
        <v>0.08</v>
      </c>
      <c r="G29">
        <f t="shared" si="22"/>
        <v>0.08</v>
      </c>
      <c r="H29">
        <f t="shared" si="22"/>
        <v>0.08</v>
      </c>
      <c r="I29">
        <f t="shared" si="22"/>
        <v>0.08</v>
      </c>
      <c r="J29">
        <f t="shared" si="22"/>
        <v>0.08</v>
      </c>
      <c r="K29">
        <f t="shared" si="22"/>
        <v>0.08</v>
      </c>
      <c r="L29">
        <f t="shared" si="22"/>
        <v>0.08</v>
      </c>
      <c r="M29">
        <f t="shared" si="22"/>
        <v>0.08</v>
      </c>
      <c r="N29">
        <f t="shared" si="22"/>
        <v>0.08</v>
      </c>
      <c r="O29">
        <f t="shared" si="22"/>
        <v>0.08</v>
      </c>
      <c r="P29">
        <f t="shared" si="22"/>
        <v>0.08</v>
      </c>
      <c r="Q29">
        <f t="shared" si="22"/>
        <v>0.08</v>
      </c>
      <c r="R29">
        <f t="shared" si="22"/>
        <v>0.08</v>
      </c>
      <c r="S29">
        <f t="shared" si="22"/>
        <v>0.08</v>
      </c>
      <c r="T29">
        <f t="shared" si="22"/>
        <v>0.08</v>
      </c>
      <c r="U29">
        <f t="shared" si="22"/>
        <v>0.08</v>
      </c>
      <c r="V29">
        <f t="shared" si="22"/>
        <v>0.08</v>
      </c>
      <c r="W29">
        <f t="shared" si="22"/>
        <v>0.08</v>
      </c>
      <c r="X29">
        <f t="shared" si="22"/>
        <v>0.08</v>
      </c>
      <c r="Y29">
        <f t="shared" si="22"/>
        <v>0.08</v>
      </c>
      <c r="Z29">
        <f t="shared" si="22"/>
        <v>0.08</v>
      </c>
      <c r="AA29">
        <f t="shared" si="22"/>
        <v>0.08</v>
      </c>
      <c r="AB29">
        <f t="shared" si="22"/>
        <v>0.08</v>
      </c>
      <c r="AC29">
        <f t="shared" si="22"/>
        <v>0.08</v>
      </c>
      <c r="AD29">
        <f t="shared" si="23"/>
        <v>0.08</v>
      </c>
      <c r="AE29">
        <f t="shared" si="23"/>
        <v>0.08</v>
      </c>
      <c r="AF29">
        <f t="shared" si="23"/>
        <v>0.08</v>
      </c>
      <c r="AG29">
        <f t="shared" si="23"/>
        <v>0.08</v>
      </c>
      <c r="AH29">
        <f t="shared" si="23"/>
        <v>0.08</v>
      </c>
      <c r="AI29">
        <f t="shared" si="23"/>
        <v>0.08</v>
      </c>
      <c r="AJ29">
        <f t="shared" si="23"/>
        <v>0.08</v>
      </c>
      <c r="AK29">
        <f t="shared" si="24"/>
        <v>0.08</v>
      </c>
      <c r="AL29">
        <f t="shared" si="24"/>
        <v>0.08</v>
      </c>
      <c r="AM29">
        <f t="shared" si="24"/>
        <v>0.08</v>
      </c>
      <c r="AN29">
        <f t="shared" si="24"/>
        <v>0.08</v>
      </c>
      <c r="AO29">
        <f t="shared" si="24"/>
        <v>0.08</v>
      </c>
      <c r="AP29">
        <f t="shared" si="24"/>
        <v>0.08</v>
      </c>
      <c r="AQ29">
        <f t="shared" si="24"/>
        <v>0.08</v>
      </c>
      <c r="AR29">
        <f t="shared" si="24"/>
        <v>0.08</v>
      </c>
      <c r="AS29">
        <f t="shared" si="24"/>
        <v>0.08</v>
      </c>
      <c r="AT29">
        <f t="shared" si="24"/>
        <v>0.08</v>
      </c>
      <c r="AU29">
        <f t="shared" si="24"/>
        <v>0.08</v>
      </c>
      <c r="AV29">
        <f t="shared" si="24"/>
        <v>0.08</v>
      </c>
      <c r="AW29">
        <f t="shared" si="24"/>
        <v>0.08</v>
      </c>
      <c r="AX29" s="106">
        <f>AX32</f>
        <v>0.08</v>
      </c>
      <c r="AY29" s="3" t="s">
        <v>153</v>
      </c>
      <c r="AZ29" s="3" t="str">
        <f t="shared" ref="AZ29:AZ34" si="26">AZ20</f>
        <v>Trd_bus_eth</v>
      </c>
      <c r="BA29" t="str">
        <f t="shared" si="0"/>
        <v>Trd_bus</v>
      </c>
      <c r="BB29">
        <f t="shared" si="1"/>
        <v>25</v>
      </c>
      <c r="BD29" t="str">
        <f t="shared" si="2"/>
        <v>DMD</v>
      </c>
      <c r="BE29" t="str">
        <f t="shared" si="3"/>
        <v>Trd_bus_eth</v>
      </c>
      <c r="BG29" t="s">
        <v>92</v>
      </c>
      <c r="BH29" t="s">
        <v>144</v>
      </c>
      <c r="BI29" t="s">
        <v>145</v>
      </c>
    </row>
    <row r="30" spans="1:61">
      <c r="C30" t="str">
        <f t="shared" si="25"/>
        <v>TRADST</v>
      </c>
      <c r="D30">
        <f t="shared" si="22"/>
        <v>0.07207</v>
      </c>
      <c r="E30">
        <f t="shared" si="22"/>
        <v>0.07207</v>
      </c>
      <c r="F30">
        <f t="shared" si="22"/>
        <v>0.07207</v>
      </c>
      <c r="G30">
        <f t="shared" si="22"/>
        <v>0.07207</v>
      </c>
      <c r="H30">
        <f t="shared" si="22"/>
        <v>0.07207</v>
      </c>
      <c r="I30">
        <f t="shared" si="22"/>
        <v>0.07207</v>
      </c>
      <c r="J30">
        <f t="shared" si="22"/>
        <v>0.07207</v>
      </c>
      <c r="K30">
        <f t="shared" si="22"/>
        <v>0.07207</v>
      </c>
      <c r="L30">
        <f t="shared" si="22"/>
        <v>0.07207</v>
      </c>
      <c r="M30">
        <f t="shared" si="22"/>
        <v>0.07207</v>
      </c>
      <c r="N30">
        <f t="shared" si="22"/>
        <v>0.07207</v>
      </c>
      <c r="O30">
        <f t="shared" si="22"/>
        <v>0.07207</v>
      </c>
      <c r="P30">
        <f t="shared" si="22"/>
        <v>0.07207</v>
      </c>
      <c r="Q30">
        <f t="shared" si="22"/>
        <v>0.07207</v>
      </c>
      <c r="R30">
        <f t="shared" si="22"/>
        <v>0.07207</v>
      </c>
      <c r="S30">
        <f t="shared" si="22"/>
        <v>0.07207</v>
      </c>
      <c r="T30">
        <f t="shared" si="22"/>
        <v>0.07207</v>
      </c>
      <c r="U30">
        <f t="shared" si="22"/>
        <v>0.07207</v>
      </c>
      <c r="V30">
        <f t="shared" si="22"/>
        <v>0.07207</v>
      </c>
      <c r="W30">
        <f t="shared" si="22"/>
        <v>0.07207</v>
      </c>
      <c r="X30">
        <f t="shared" si="22"/>
        <v>0.07207</v>
      </c>
      <c r="Y30">
        <f t="shared" si="22"/>
        <v>0.07207</v>
      </c>
      <c r="Z30">
        <f t="shared" si="22"/>
        <v>0.07207</v>
      </c>
      <c r="AA30">
        <f t="shared" si="22"/>
        <v>0.07207</v>
      </c>
      <c r="AB30">
        <f t="shared" si="22"/>
        <v>0.07207</v>
      </c>
      <c r="AC30">
        <f t="shared" si="22"/>
        <v>0.07207</v>
      </c>
      <c r="AD30">
        <f t="shared" si="23"/>
        <v>0.07207</v>
      </c>
      <c r="AE30">
        <f t="shared" si="23"/>
        <v>0.07207</v>
      </c>
      <c r="AF30">
        <f t="shared" si="23"/>
        <v>0.07207</v>
      </c>
      <c r="AG30">
        <f t="shared" si="23"/>
        <v>0.07207</v>
      </c>
      <c r="AH30">
        <f t="shared" si="23"/>
        <v>0.07207</v>
      </c>
      <c r="AI30">
        <f t="shared" si="23"/>
        <v>0.07207</v>
      </c>
      <c r="AJ30">
        <f t="shared" si="23"/>
        <v>0.07207</v>
      </c>
      <c r="AK30">
        <f t="shared" si="24"/>
        <v>0.07207</v>
      </c>
      <c r="AL30">
        <f t="shared" si="24"/>
        <v>0.07207</v>
      </c>
      <c r="AM30">
        <f t="shared" si="24"/>
        <v>0.07207</v>
      </c>
      <c r="AN30">
        <f t="shared" si="24"/>
        <v>0.07207</v>
      </c>
      <c r="AO30">
        <f t="shared" si="24"/>
        <v>0.07207</v>
      </c>
      <c r="AP30">
        <f t="shared" si="24"/>
        <v>0.07207</v>
      </c>
      <c r="AQ30">
        <f t="shared" si="24"/>
        <v>0.07207</v>
      </c>
      <c r="AR30">
        <f t="shared" si="24"/>
        <v>0.07207</v>
      </c>
      <c r="AS30">
        <f t="shared" si="24"/>
        <v>0.07207</v>
      </c>
      <c r="AT30">
        <f t="shared" si="24"/>
        <v>0.07207</v>
      </c>
      <c r="AU30">
        <f t="shared" si="24"/>
        <v>0.07207</v>
      </c>
      <c r="AV30">
        <f t="shared" si="24"/>
        <v>0.07207</v>
      </c>
      <c r="AW30">
        <f t="shared" si="24"/>
        <v>0.07207</v>
      </c>
      <c r="AX30" s="106">
        <v>0.07207</v>
      </c>
      <c r="AY30" s="3" t="s">
        <v>153</v>
      </c>
      <c r="AZ30" s="3" t="str">
        <f t="shared" si="26"/>
        <v>Trd_bus_dsl</v>
      </c>
      <c r="BA30" t="str">
        <f t="shared" si="0"/>
        <v>Trd_bus</v>
      </c>
      <c r="BB30">
        <f t="shared" si="1"/>
        <v>25</v>
      </c>
      <c r="BD30" t="str">
        <f t="shared" si="2"/>
        <v>DMD</v>
      </c>
      <c r="BE30" t="str">
        <f t="shared" si="3"/>
        <v>Trd_bus_dsl</v>
      </c>
      <c r="BG30" t="s">
        <v>92</v>
      </c>
      <c r="BH30" t="s">
        <v>144</v>
      </c>
      <c r="BI30" t="s">
        <v>145</v>
      </c>
    </row>
    <row r="31" spans="1:61">
      <c r="C31" t="str">
        <f t="shared" si="25"/>
        <v>TRAELC</v>
      </c>
      <c r="D31">
        <f t="shared" si="22"/>
        <v>0.313</v>
      </c>
      <c r="E31">
        <f t="shared" si="22"/>
        <v>0.313</v>
      </c>
      <c r="F31">
        <f t="shared" si="22"/>
        <v>0.313</v>
      </c>
      <c r="G31">
        <f t="shared" si="22"/>
        <v>0.313</v>
      </c>
      <c r="H31">
        <f t="shared" si="22"/>
        <v>0.313</v>
      </c>
      <c r="I31">
        <f t="shared" si="22"/>
        <v>0.313</v>
      </c>
      <c r="J31">
        <f t="shared" si="22"/>
        <v>0.313</v>
      </c>
      <c r="K31">
        <f t="shared" si="22"/>
        <v>0.313</v>
      </c>
      <c r="L31">
        <f t="shared" si="22"/>
        <v>0.313</v>
      </c>
      <c r="M31">
        <f t="shared" si="22"/>
        <v>0.313</v>
      </c>
      <c r="N31">
        <f t="shared" si="22"/>
        <v>0.313</v>
      </c>
      <c r="O31">
        <f t="shared" si="22"/>
        <v>0.313</v>
      </c>
      <c r="P31">
        <f t="shared" si="22"/>
        <v>0.313</v>
      </c>
      <c r="Q31">
        <f t="shared" si="22"/>
        <v>0.313</v>
      </c>
      <c r="R31">
        <f t="shared" si="22"/>
        <v>0.313</v>
      </c>
      <c r="S31">
        <f t="shared" si="22"/>
        <v>0.313</v>
      </c>
      <c r="T31">
        <f t="shared" si="22"/>
        <v>0.313</v>
      </c>
      <c r="U31">
        <f t="shared" si="22"/>
        <v>0.313</v>
      </c>
      <c r="V31">
        <f t="shared" si="22"/>
        <v>0.313</v>
      </c>
      <c r="W31">
        <f t="shared" si="22"/>
        <v>0.313</v>
      </c>
      <c r="X31">
        <f t="shared" si="22"/>
        <v>0.313</v>
      </c>
      <c r="Y31">
        <f t="shared" si="22"/>
        <v>0.313</v>
      </c>
      <c r="Z31">
        <f t="shared" si="22"/>
        <v>0.313</v>
      </c>
      <c r="AA31">
        <f t="shared" si="22"/>
        <v>0.313</v>
      </c>
      <c r="AB31">
        <f t="shared" si="22"/>
        <v>0.313</v>
      </c>
      <c r="AC31">
        <f t="shared" si="22"/>
        <v>0.313</v>
      </c>
      <c r="AD31">
        <f t="shared" si="23"/>
        <v>0.313</v>
      </c>
      <c r="AE31">
        <f t="shared" si="23"/>
        <v>0.313</v>
      </c>
      <c r="AF31">
        <f t="shared" si="23"/>
        <v>0.313</v>
      </c>
      <c r="AG31">
        <f t="shared" si="23"/>
        <v>0.313</v>
      </c>
      <c r="AH31">
        <f t="shared" si="23"/>
        <v>0.313</v>
      </c>
      <c r="AI31">
        <f t="shared" si="23"/>
        <v>0.313</v>
      </c>
      <c r="AJ31">
        <f t="shared" si="23"/>
        <v>0.313</v>
      </c>
      <c r="AK31">
        <f t="shared" si="24"/>
        <v>0.313</v>
      </c>
      <c r="AL31">
        <f t="shared" si="24"/>
        <v>0.313</v>
      </c>
      <c r="AM31">
        <f t="shared" si="24"/>
        <v>0.313</v>
      </c>
      <c r="AN31">
        <f t="shared" si="24"/>
        <v>0.313</v>
      </c>
      <c r="AO31">
        <f t="shared" si="24"/>
        <v>0.313</v>
      </c>
      <c r="AP31">
        <f t="shared" si="24"/>
        <v>0.313</v>
      </c>
      <c r="AQ31">
        <f t="shared" si="24"/>
        <v>0.313</v>
      </c>
      <c r="AR31">
        <f t="shared" si="24"/>
        <v>0.313</v>
      </c>
      <c r="AS31">
        <f t="shared" si="24"/>
        <v>0.313</v>
      </c>
      <c r="AT31">
        <f t="shared" si="24"/>
        <v>0.313</v>
      </c>
      <c r="AU31">
        <f t="shared" si="24"/>
        <v>0.313</v>
      </c>
      <c r="AV31">
        <f t="shared" si="24"/>
        <v>0.313</v>
      </c>
      <c r="AW31">
        <f t="shared" si="24"/>
        <v>0.313</v>
      </c>
      <c r="AX31" s="106">
        <v>0.313</v>
      </c>
      <c r="AY31" s="3" t="s">
        <v>153</v>
      </c>
      <c r="AZ31" s="3" t="str">
        <f t="shared" si="26"/>
        <v>Trd_bus_elc</v>
      </c>
      <c r="BA31" t="str">
        <f t="shared" si="0"/>
        <v>Trd_bus</v>
      </c>
      <c r="BB31">
        <f t="shared" si="1"/>
        <v>25</v>
      </c>
      <c r="BD31" t="str">
        <f t="shared" si="2"/>
        <v>DMD</v>
      </c>
      <c r="BE31" t="str">
        <f t="shared" si="3"/>
        <v>Trd_bus_elc</v>
      </c>
      <c r="BG31" t="s">
        <v>92</v>
      </c>
      <c r="BH31" t="s">
        <v>144</v>
      </c>
      <c r="BI31" t="s">
        <v>145</v>
      </c>
    </row>
    <row r="32" spans="1:61">
      <c r="C32" t="str">
        <f t="shared" si="25"/>
        <v>TRAGSL</v>
      </c>
      <c r="D32">
        <f t="shared" si="22"/>
        <v>0.08</v>
      </c>
      <c r="E32">
        <f t="shared" si="22"/>
        <v>0.08</v>
      </c>
      <c r="F32">
        <f t="shared" si="22"/>
        <v>0.08</v>
      </c>
      <c r="G32">
        <f t="shared" si="22"/>
        <v>0.08</v>
      </c>
      <c r="H32">
        <f t="shared" si="22"/>
        <v>0.08</v>
      </c>
      <c r="I32">
        <f t="shared" si="22"/>
        <v>0.08</v>
      </c>
      <c r="J32">
        <f t="shared" si="22"/>
        <v>0.08</v>
      </c>
      <c r="K32">
        <f t="shared" si="22"/>
        <v>0.08</v>
      </c>
      <c r="L32">
        <f t="shared" si="22"/>
        <v>0.08</v>
      </c>
      <c r="M32">
        <f t="shared" si="22"/>
        <v>0.08</v>
      </c>
      <c r="N32">
        <f t="shared" si="22"/>
        <v>0.08</v>
      </c>
      <c r="O32">
        <f t="shared" si="22"/>
        <v>0.08</v>
      </c>
      <c r="P32">
        <f t="shared" si="22"/>
        <v>0.08</v>
      </c>
      <c r="Q32">
        <f t="shared" si="22"/>
        <v>0.08</v>
      </c>
      <c r="R32">
        <f t="shared" si="22"/>
        <v>0.08</v>
      </c>
      <c r="S32">
        <f t="shared" si="22"/>
        <v>0.08</v>
      </c>
      <c r="T32">
        <f t="shared" si="22"/>
        <v>0.08</v>
      </c>
      <c r="U32">
        <f t="shared" si="22"/>
        <v>0.08</v>
      </c>
      <c r="V32">
        <f t="shared" si="22"/>
        <v>0.08</v>
      </c>
      <c r="W32">
        <f t="shared" si="22"/>
        <v>0.08</v>
      </c>
      <c r="X32">
        <f t="shared" si="22"/>
        <v>0.08</v>
      </c>
      <c r="Y32">
        <f t="shared" si="22"/>
        <v>0.08</v>
      </c>
      <c r="Z32">
        <f t="shared" si="22"/>
        <v>0.08</v>
      </c>
      <c r="AA32">
        <f t="shared" si="22"/>
        <v>0.08</v>
      </c>
      <c r="AB32">
        <f t="shared" si="22"/>
        <v>0.08</v>
      </c>
      <c r="AC32">
        <f t="shared" si="22"/>
        <v>0.08</v>
      </c>
      <c r="AD32">
        <f t="shared" si="23"/>
        <v>0.08</v>
      </c>
      <c r="AE32">
        <f t="shared" si="23"/>
        <v>0.08</v>
      </c>
      <c r="AF32">
        <f t="shared" si="23"/>
        <v>0.08</v>
      </c>
      <c r="AG32">
        <f t="shared" si="23"/>
        <v>0.08</v>
      </c>
      <c r="AH32">
        <f t="shared" si="23"/>
        <v>0.08</v>
      </c>
      <c r="AI32">
        <f t="shared" si="23"/>
        <v>0.08</v>
      </c>
      <c r="AJ32">
        <f t="shared" si="23"/>
        <v>0.08</v>
      </c>
      <c r="AK32">
        <f t="shared" si="24"/>
        <v>0.08</v>
      </c>
      <c r="AL32">
        <f t="shared" si="24"/>
        <v>0.08</v>
      </c>
      <c r="AM32">
        <f t="shared" si="24"/>
        <v>0.08</v>
      </c>
      <c r="AN32">
        <f t="shared" si="24"/>
        <v>0.08</v>
      </c>
      <c r="AO32">
        <f t="shared" si="24"/>
        <v>0.08</v>
      </c>
      <c r="AP32">
        <f t="shared" si="24"/>
        <v>0.08</v>
      </c>
      <c r="AQ32">
        <f t="shared" si="24"/>
        <v>0.08</v>
      </c>
      <c r="AR32">
        <f t="shared" si="24"/>
        <v>0.08</v>
      </c>
      <c r="AS32">
        <f t="shared" si="24"/>
        <v>0.08</v>
      </c>
      <c r="AT32">
        <f t="shared" si="24"/>
        <v>0.08</v>
      </c>
      <c r="AU32">
        <f t="shared" si="24"/>
        <v>0.08</v>
      </c>
      <c r="AV32">
        <f t="shared" si="24"/>
        <v>0.08</v>
      </c>
      <c r="AW32">
        <f t="shared" si="24"/>
        <v>0.08</v>
      </c>
      <c r="AX32" s="106">
        <v>0.08</v>
      </c>
      <c r="AY32" s="3" t="s">
        <v>153</v>
      </c>
      <c r="AZ32" s="3" t="str">
        <f t="shared" si="26"/>
        <v>Trd_bus_gsl</v>
      </c>
      <c r="BA32" t="str">
        <f t="shared" si="0"/>
        <v>Trd_bus</v>
      </c>
      <c r="BB32">
        <f t="shared" si="1"/>
        <v>25</v>
      </c>
      <c r="BD32" t="str">
        <f t="shared" si="2"/>
        <v>DMD</v>
      </c>
      <c r="BE32" t="str">
        <f t="shared" si="3"/>
        <v>Trd_bus_gsl</v>
      </c>
      <c r="BG32" t="s">
        <v>92</v>
      </c>
      <c r="BH32" t="s">
        <v>144</v>
      </c>
      <c r="BI32" t="s">
        <v>145</v>
      </c>
    </row>
    <row r="33" spans="1:61">
      <c r="C33" t="str">
        <f t="shared" si="25"/>
        <v>TRALPG</v>
      </c>
      <c r="D33">
        <f t="shared" si="22"/>
        <v>0.076</v>
      </c>
      <c r="E33">
        <f t="shared" si="22"/>
        <v>0.076</v>
      </c>
      <c r="F33">
        <f t="shared" si="22"/>
        <v>0.076</v>
      </c>
      <c r="G33">
        <f t="shared" si="22"/>
        <v>0.076</v>
      </c>
      <c r="H33">
        <f t="shared" si="22"/>
        <v>0.076</v>
      </c>
      <c r="I33">
        <f t="shared" si="22"/>
        <v>0.076</v>
      </c>
      <c r="J33">
        <f t="shared" si="22"/>
        <v>0.076</v>
      </c>
      <c r="K33">
        <f t="shared" si="22"/>
        <v>0.076</v>
      </c>
      <c r="L33">
        <f t="shared" si="22"/>
        <v>0.076</v>
      </c>
      <c r="M33">
        <f t="shared" si="22"/>
        <v>0.076</v>
      </c>
      <c r="N33">
        <f t="shared" si="22"/>
        <v>0.076</v>
      </c>
      <c r="O33">
        <f t="shared" si="22"/>
        <v>0.076</v>
      </c>
      <c r="P33">
        <f t="shared" si="22"/>
        <v>0.076</v>
      </c>
      <c r="Q33">
        <f t="shared" si="22"/>
        <v>0.076</v>
      </c>
      <c r="R33">
        <f t="shared" si="22"/>
        <v>0.076</v>
      </c>
      <c r="S33">
        <f t="shared" si="22"/>
        <v>0.076</v>
      </c>
      <c r="T33">
        <f t="shared" si="22"/>
        <v>0.076</v>
      </c>
      <c r="U33">
        <f t="shared" si="22"/>
        <v>0.076</v>
      </c>
      <c r="V33">
        <f t="shared" si="22"/>
        <v>0.076</v>
      </c>
      <c r="W33">
        <f t="shared" si="22"/>
        <v>0.076</v>
      </c>
      <c r="X33">
        <f t="shared" si="22"/>
        <v>0.076</v>
      </c>
      <c r="Y33">
        <f t="shared" si="22"/>
        <v>0.076</v>
      </c>
      <c r="Z33">
        <f t="shared" si="22"/>
        <v>0.076</v>
      </c>
      <c r="AA33">
        <f t="shared" si="22"/>
        <v>0.076</v>
      </c>
      <c r="AB33">
        <f t="shared" si="22"/>
        <v>0.076</v>
      </c>
      <c r="AC33">
        <f t="shared" si="22"/>
        <v>0.076</v>
      </c>
      <c r="AD33">
        <f t="shared" si="23"/>
        <v>0.076</v>
      </c>
      <c r="AE33">
        <f t="shared" si="23"/>
        <v>0.076</v>
      </c>
      <c r="AF33">
        <f t="shared" si="23"/>
        <v>0.076</v>
      </c>
      <c r="AG33">
        <f t="shared" si="23"/>
        <v>0.076</v>
      </c>
      <c r="AH33">
        <f t="shared" si="23"/>
        <v>0.076</v>
      </c>
      <c r="AI33">
        <f t="shared" si="23"/>
        <v>0.076</v>
      </c>
      <c r="AJ33">
        <f t="shared" si="23"/>
        <v>0.076</v>
      </c>
      <c r="AK33">
        <f t="shared" si="24"/>
        <v>0.076</v>
      </c>
      <c r="AL33">
        <f t="shared" si="24"/>
        <v>0.076</v>
      </c>
      <c r="AM33">
        <f t="shared" si="24"/>
        <v>0.076</v>
      </c>
      <c r="AN33">
        <f t="shared" si="24"/>
        <v>0.076</v>
      </c>
      <c r="AO33">
        <f t="shared" si="24"/>
        <v>0.076</v>
      </c>
      <c r="AP33">
        <f t="shared" si="24"/>
        <v>0.076</v>
      </c>
      <c r="AQ33">
        <f t="shared" si="24"/>
        <v>0.076</v>
      </c>
      <c r="AR33">
        <f t="shared" si="24"/>
        <v>0.076</v>
      </c>
      <c r="AS33">
        <f t="shared" si="24"/>
        <v>0.076</v>
      </c>
      <c r="AT33">
        <f t="shared" si="24"/>
        <v>0.076</v>
      </c>
      <c r="AU33">
        <f t="shared" si="24"/>
        <v>0.076</v>
      </c>
      <c r="AV33">
        <f t="shared" si="24"/>
        <v>0.076</v>
      </c>
      <c r="AW33">
        <f t="shared" si="24"/>
        <v>0.076</v>
      </c>
      <c r="AX33" s="106">
        <v>0.076</v>
      </c>
      <c r="AY33" s="3" t="s">
        <v>153</v>
      </c>
      <c r="AZ33" s="3" t="str">
        <f t="shared" si="26"/>
        <v>Trd_bus_lpg</v>
      </c>
      <c r="BA33" t="str">
        <f t="shared" si="0"/>
        <v>Trd_bus</v>
      </c>
      <c r="BB33">
        <f t="shared" si="1"/>
        <v>25</v>
      </c>
      <c r="BD33" t="str">
        <f t="shared" si="2"/>
        <v>DMD</v>
      </c>
      <c r="BE33" t="str">
        <f t="shared" si="3"/>
        <v>Trd_bus_lpg</v>
      </c>
      <c r="BG33" t="s">
        <v>92</v>
      </c>
      <c r="BH33" t="s">
        <v>144</v>
      </c>
      <c r="BI33" t="s">
        <v>145</v>
      </c>
    </row>
    <row r="34" spans="1:61">
      <c r="C34" t="str">
        <f t="shared" si="25"/>
        <v>TRANGA</v>
      </c>
      <c r="D34">
        <f t="shared" si="22"/>
        <v>0.0612</v>
      </c>
      <c r="E34">
        <f t="shared" si="22"/>
        <v>0.0612</v>
      </c>
      <c r="F34">
        <f t="shared" si="22"/>
        <v>0.0612</v>
      </c>
      <c r="G34">
        <f t="shared" si="22"/>
        <v>0.0612</v>
      </c>
      <c r="H34">
        <f t="shared" si="22"/>
        <v>0.0612</v>
      </c>
      <c r="I34">
        <f t="shared" si="22"/>
        <v>0.0612</v>
      </c>
      <c r="J34">
        <f t="shared" si="22"/>
        <v>0.0612</v>
      </c>
      <c r="K34">
        <f t="shared" si="22"/>
        <v>0.0612</v>
      </c>
      <c r="L34">
        <f t="shared" si="22"/>
        <v>0.0612</v>
      </c>
      <c r="M34">
        <f t="shared" si="22"/>
        <v>0.0612</v>
      </c>
      <c r="N34">
        <f t="shared" si="22"/>
        <v>0.0612</v>
      </c>
      <c r="O34">
        <f t="shared" si="22"/>
        <v>0.0612</v>
      </c>
      <c r="P34">
        <f t="shared" si="22"/>
        <v>0.0612</v>
      </c>
      <c r="Q34">
        <f t="shared" si="22"/>
        <v>0.0612</v>
      </c>
      <c r="R34">
        <f t="shared" si="22"/>
        <v>0.0612</v>
      </c>
      <c r="S34">
        <f t="shared" si="22"/>
        <v>0.0612</v>
      </c>
      <c r="T34">
        <f t="shared" si="22"/>
        <v>0.0612</v>
      </c>
      <c r="U34">
        <f t="shared" si="22"/>
        <v>0.0612</v>
      </c>
      <c r="V34">
        <f t="shared" si="22"/>
        <v>0.0612</v>
      </c>
      <c r="W34">
        <f t="shared" si="22"/>
        <v>0.0612</v>
      </c>
      <c r="X34">
        <f t="shared" si="22"/>
        <v>0.0612</v>
      </c>
      <c r="Y34">
        <f t="shared" si="22"/>
        <v>0.0612</v>
      </c>
      <c r="Z34">
        <f t="shared" si="22"/>
        <v>0.0612</v>
      </c>
      <c r="AA34">
        <f t="shared" si="22"/>
        <v>0.0612</v>
      </c>
      <c r="AB34">
        <f t="shared" si="22"/>
        <v>0.0612</v>
      </c>
      <c r="AC34">
        <f t="shared" si="22"/>
        <v>0.0612</v>
      </c>
      <c r="AD34">
        <f t="shared" si="23"/>
        <v>0.0612</v>
      </c>
      <c r="AE34">
        <f t="shared" si="23"/>
        <v>0.0612</v>
      </c>
      <c r="AF34">
        <f t="shared" si="23"/>
        <v>0.0612</v>
      </c>
      <c r="AG34">
        <f t="shared" si="23"/>
        <v>0.0612</v>
      </c>
      <c r="AH34">
        <f t="shared" si="23"/>
        <v>0.0612</v>
      </c>
      <c r="AI34">
        <f t="shared" si="23"/>
        <v>0.0612</v>
      </c>
      <c r="AJ34">
        <f t="shared" si="23"/>
        <v>0.0612</v>
      </c>
      <c r="AK34">
        <f t="shared" si="24"/>
        <v>0.0612</v>
      </c>
      <c r="AL34">
        <f t="shared" si="24"/>
        <v>0.0612</v>
      </c>
      <c r="AM34">
        <f t="shared" si="24"/>
        <v>0.0612</v>
      </c>
      <c r="AN34">
        <f t="shared" si="24"/>
        <v>0.0612</v>
      </c>
      <c r="AO34">
        <f t="shared" si="24"/>
        <v>0.0612</v>
      </c>
      <c r="AP34">
        <f t="shared" si="24"/>
        <v>0.0612</v>
      </c>
      <c r="AQ34">
        <f t="shared" si="24"/>
        <v>0.0612</v>
      </c>
      <c r="AR34">
        <f t="shared" si="24"/>
        <v>0.0612</v>
      </c>
      <c r="AS34">
        <f t="shared" si="24"/>
        <v>0.0612</v>
      </c>
      <c r="AT34">
        <f t="shared" si="24"/>
        <v>0.0612</v>
      </c>
      <c r="AU34">
        <f t="shared" si="24"/>
        <v>0.0612</v>
      </c>
      <c r="AV34">
        <f t="shared" si="24"/>
        <v>0.0612</v>
      </c>
      <c r="AW34">
        <f t="shared" si="24"/>
        <v>0.0612</v>
      </c>
      <c r="AX34" s="106">
        <v>0.0612</v>
      </c>
      <c r="AY34" s="3" t="s">
        <v>153</v>
      </c>
      <c r="AZ34" s="3" t="str">
        <f t="shared" si="26"/>
        <v>Trd_bus_nga</v>
      </c>
      <c r="BA34" t="str">
        <f t="shared" si="0"/>
        <v>Trd_bus</v>
      </c>
      <c r="BB34">
        <f t="shared" si="1"/>
        <v>25</v>
      </c>
      <c r="BD34" t="str">
        <f t="shared" si="2"/>
        <v>DMD</v>
      </c>
      <c r="BE34" t="str">
        <f t="shared" si="3"/>
        <v>Trd_bus_nga</v>
      </c>
      <c r="BG34" t="s">
        <v>92</v>
      </c>
      <c r="BH34" t="s">
        <v>144</v>
      </c>
      <c r="BI34" t="s">
        <v>145</v>
      </c>
    </row>
    <row r="35" spans="1:61">
      <c r="AY35" t="s">
        <v>133</v>
      </c>
      <c r="BA35" t="str">
        <f t="shared" si="0"/>
        <v/>
      </c>
      <c r="BB35" t="str">
        <f t="shared" si="1"/>
        <v/>
      </c>
      <c r="BD35" t="str">
        <f t="shared" si="2"/>
        <v>*</v>
      </c>
      <c r="BE35">
        <f t="shared" si="3"/>
        <v>0</v>
      </c>
      <c r="BG35" t="s">
        <v>92</v>
      </c>
      <c r="BH35" t="s">
        <v>144</v>
      </c>
      <c r="BI35" t="s">
        <v>145</v>
      </c>
    </row>
    <row r="36" spans="1:61">
      <c r="A36" t="s">
        <v>154</v>
      </c>
      <c r="C36" t="str">
        <f>C28</f>
        <v>TRABDS</v>
      </c>
      <c r="D36" s="78">
        <v>35</v>
      </c>
      <c r="E36" s="78">
        <v>35</v>
      </c>
      <c r="F36" s="78">
        <v>35</v>
      </c>
      <c r="G36" s="78">
        <v>35</v>
      </c>
      <c r="H36" s="78">
        <v>35</v>
      </c>
      <c r="I36" s="78">
        <v>35</v>
      </c>
      <c r="J36" s="78">
        <v>35</v>
      </c>
      <c r="K36" s="78">
        <v>35</v>
      </c>
      <c r="L36" s="78">
        <v>35</v>
      </c>
      <c r="M36" s="78">
        <v>35</v>
      </c>
      <c r="N36" s="78">
        <v>35</v>
      </c>
      <c r="O36" s="78">
        <v>35</v>
      </c>
      <c r="P36" s="78">
        <v>35</v>
      </c>
      <c r="Q36" s="78">
        <v>35</v>
      </c>
      <c r="R36" s="78">
        <v>35</v>
      </c>
      <c r="S36" s="78">
        <v>35</v>
      </c>
      <c r="T36" s="78">
        <v>35</v>
      </c>
      <c r="U36" s="78">
        <v>35</v>
      </c>
      <c r="V36" s="78">
        <v>35</v>
      </c>
      <c r="W36" s="78">
        <v>35</v>
      </c>
      <c r="X36" s="78">
        <v>35</v>
      </c>
      <c r="Y36" s="78">
        <v>35</v>
      </c>
      <c r="Z36" s="78">
        <v>35</v>
      </c>
      <c r="AA36" s="78">
        <v>35</v>
      </c>
      <c r="AB36" s="78">
        <v>35</v>
      </c>
      <c r="AC36" s="78">
        <v>35</v>
      </c>
      <c r="AD36" s="78">
        <v>35</v>
      </c>
      <c r="AE36" s="78">
        <v>35</v>
      </c>
      <c r="AF36" s="78">
        <v>35</v>
      </c>
      <c r="AG36" s="78">
        <v>35</v>
      </c>
      <c r="AH36" s="78">
        <v>35</v>
      </c>
      <c r="AI36" s="78">
        <v>35</v>
      </c>
      <c r="AJ36" s="78">
        <v>35</v>
      </c>
      <c r="AK36" s="78">
        <v>35</v>
      </c>
      <c r="AL36" s="78">
        <v>20</v>
      </c>
      <c r="AM36" s="78">
        <v>35</v>
      </c>
      <c r="AN36" s="78">
        <v>35</v>
      </c>
      <c r="AO36" s="78">
        <v>35</v>
      </c>
      <c r="AP36" s="78">
        <v>35</v>
      </c>
      <c r="AQ36" s="78">
        <v>35</v>
      </c>
      <c r="AR36" s="78">
        <v>35</v>
      </c>
      <c r="AS36" s="78">
        <v>35</v>
      </c>
      <c r="AT36" s="78">
        <v>35</v>
      </c>
      <c r="AU36" s="78">
        <v>35</v>
      </c>
      <c r="AV36" s="78">
        <v>35</v>
      </c>
      <c r="AW36" s="78">
        <v>35</v>
      </c>
      <c r="AY36" t="s">
        <v>155</v>
      </c>
      <c r="AZ36" s="3" t="str">
        <f>AZ28</f>
        <v>Trd_bus_bdl</v>
      </c>
      <c r="BA36" t="str">
        <f t="shared" si="0"/>
        <v>Trd_bus</v>
      </c>
      <c r="BB36">
        <f t="shared" si="1"/>
        <v>25</v>
      </c>
      <c r="BD36" t="str">
        <f t="shared" si="2"/>
        <v>DMD</v>
      </c>
      <c r="BE36" t="str">
        <f t="shared" si="3"/>
        <v>Trd_bus_bdl</v>
      </c>
      <c r="BG36" t="s">
        <v>92</v>
      </c>
      <c r="BH36" t="s">
        <v>144</v>
      </c>
      <c r="BI36" t="s">
        <v>145</v>
      </c>
    </row>
    <row r="37" spans="1:61">
      <c r="C37" t="str">
        <f t="shared" ref="C37:C42" si="27">C29</f>
        <v>TRABGS</v>
      </c>
      <c r="D37" s="78">
        <v>35</v>
      </c>
      <c r="E37" s="78">
        <v>35</v>
      </c>
      <c r="F37" s="78">
        <v>35</v>
      </c>
      <c r="G37" s="78">
        <v>35</v>
      </c>
      <c r="H37" s="78">
        <v>35</v>
      </c>
      <c r="I37" s="78">
        <v>35</v>
      </c>
      <c r="J37" s="78">
        <v>35</v>
      </c>
      <c r="K37" s="78">
        <v>35</v>
      </c>
      <c r="L37" s="78">
        <v>35</v>
      </c>
      <c r="M37" s="78">
        <v>35</v>
      </c>
      <c r="N37" s="78">
        <v>35</v>
      </c>
      <c r="O37" s="78">
        <v>35</v>
      </c>
      <c r="P37" s="78">
        <v>35</v>
      </c>
      <c r="Q37" s="78">
        <v>35</v>
      </c>
      <c r="R37" s="78">
        <v>35</v>
      </c>
      <c r="S37" s="78">
        <v>35</v>
      </c>
      <c r="T37" s="78">
        <v>35</v>
      </c>
      <c r="U37" s="78">
        <v>35</v>
      </c>
      <c r="V37" s="78">
        <v>35</v>
      </c>
      <c r="W37" s="78">
        <v>35</v>
      </c>
      <c r="X37" s="78">
        <v>35</v>
      </c>
      <c r="Y37" s="78">
        <v>35</v>
      </c>
      <c r="Z37" s="78">
        <v>35</v>
      </c>
      <c r="AA37" s="78">
        <v>35</v>
      </c>
      <c r="AB37" s="78">
        <v>35</v>
      </c>
      <c r="AC37" s="78">
        <v>35</v>
      </c>
      <c r="AD37" s="78">
        <v>35</v>
      </c>
      <c r="AE37" s="78">
        <v>35</v>
      </c>
      <c r="AF37" s="78">
        <v>35</v>
      </c>
      <c r="AG37" s="78">
        <v>35</v>
      </c>
      <c r="AH37" s="78">
        <v>35</v>
      </c>
      <c r="AI37" s="78">
        <v>35</v>
      </c>
      <c r="AJ37" s="78">
        <v>35</v>
      </c>
      <c r="AK37" s="78">
        <v>35</v>
      </c>
      <c r="AL37" s="78">
        <v>20</v>
      </c>
      <c r="AM37" s="78">
        <v>35</v>
      </c>
      <c r="AN37" s="78">
        <v>35</v>
      </c>
      <c r="AO37" s="78">
        <v>35</v>
      </c>
      <c r="AP37" s="78">
        <v>35</v>
      </c>
      <c r="AQ37" s="78">
        <v>35</v>
      </c>
      <c r="AR37" s="78">
        <v>35</v>
      </c>
      <c r="AS37" s="78">
        <v>35</v>
      </c>
      <c r="AT37" s="78">
        <v>35</v>
      </c>
      <c r="AU37" s="78">
        <v>35</v>
      </c>
      <c r="AV37" s="78">
        <v>35</v>
      </c>
      <c r="AW37" s="78">
        <v>35</v>
      </c>
      <c r="AY37" t="s">
        <v>155</v>
      </c>
      <c r="AZ37" s="3" t="str">
        <f t="shared" ref="AZ37:AZ42" si="28">AZ29</f>
        <v>Trd_bus_eth</v>
      </c>
      <c r="BA37" t="str">
        <f t="shared" si="0"/>
        <v>Trd_bus</v>
      </c>
      <c r="BB37">
        <f t="shared" si="1"/>
        <v>25</v>
      </c>
      <c r="BD37" t="str">
        <f t="shared" si="2"/>
        <v>DMD</v>
      </c>
      <c r="BE37" t="str">
        <f t="shared" si="3"/>
        <v>Trd_bus_eth</v>
      </c>
      <c r="BG37" t="s">
        <v>92</v>
      </c>
      <c r="BH37" t="s">
        <v>144</v>
      </c>
      <c r="BI37" t="s">
        <v>145</v>
      </c>
    </row>
    <row r="38" spans="1:61">
      <c r="C38" t="str">
        <f t="shared" si="27"/>
        <v>TRADST</v>
      </c>
      <c r="D38" s="78">
        <v>35</v>
      </c>
      <c r="E38" s="78">
        <v>35</v>
      </c>
      <c r="F38" s="78">
        <v>35</v>
      </c>
      <c r="G38" s="78">
        <v>35</v>
      </c>
      <c r="H38" s="78">
        <v>35</v>
      </c>
      <c r="I38" s="78">
        <v>35</v>
      </c>
      <c r="J38" s="78">
        <v>35</v>
      </c>
      <c r="K38" s="78">
        <v>35</v>
      </c>
      <c r="L38" s="78">
        <v>35</v>
      </c>
      <c r="M38" s="78">
        <v>35</v>
      </c>
      <c r="N38" s="78">
        <v>35</v>
      </c>
      <c r="O38" s="78">
        <v>35</v>
      </c>
      <c r="P38" s="78">
        <v>35</v>
      </c>
      <c r="Q38" s="78">
        <v>35</v>
      </c>
      <c r="R38" s="78">
        <v>35</v>
      </c>
      <c r="S38" s="78">
        <v>35</v>
      </c>
      <c r="T38" s="78">
        <v>35</v>
      </c>
      <c r="U38" s="78">
        <v>35</v>
      </c>
      <c r="V38" s="78">
        <v>35</v>
      </c>
      <c r="W38" s="78">
        <v>35</v>
      </c>
      <c r="X38" s="78">
        <v>35</v>
      </c>
      <c r="Y38" s="78">
        <v>35</v>
      </c>
      <c r="Z38" s="78">
        <v>35</v>
      </c>
      <c r="AA38" s="78">
        <v>35</v>
      </c>
      <c r="AB38" s="78">
        <v>35</v>
      </c>
      <c r="AC38" s="78">
        <v>35</v>
      </c>
      <c r="AD38" s="78">
        <v>35</v>
      </c>
      <c r="AE38" s="78">
        <v>35</v>
      </c>
      <c r="AF38" s="78">
        <v>35</v>
      </c>
      <c r="AG38" s="78">
        <v>35</v>
      </c>
      <c r="AH38" s="78">
        <v>35</v>
      </c>
      <c r="AI38" s="78">
        <v>35</v>
      </c>
      <c r="AJ38" s="78">
        <v>35</v>
      </c>
      <c r="AK38" s="78">
        <v>35</v>
      </c>
      <c r="AL38" s="78">
        <v>20</v>
      </c>
      <c r="AM38" s="78">
        <v>35</v>
      </c>
      <c r="AN38" s="78">
        <v>35</v>
      </c>
      <c r="AO38" s="78">
        <v>35</v>
      </c>
      <c r="AP38" s="78">
        <v>35</v>
      </c>
      <c r="AQ38" s="78">
        <v>35</v>
      </c>
      <c r="AR38" s="78">
        <v>35</v>
      </c>
      <c r="AS38" s="78">
        <v>35</v>
      </c>
      <c r="AT38" s="78">
        <v>35</v>
      </c>
      <c r="AU38" s="78">
        <v>35</v>
      </c>
      <c r="AV38" s="78">
        <v>35</v>
      </c>
      <c r="AW38" s="78">
        <v>35</v>
      </c>
      <c r="AY38" t="s">
        <v>155</v>
      </c>
      <c r="AZ38" s="3" t="str">
        <f t="shared" si="28"/>
        <v>Trd_bus_dsl</v>
      </c>
      <c r="BA38" t="str">
        <f t="shared" si="0"/>
        <v>Trd_bus</v>
      </c>
      <c r="BB38">
        <f t="shared" si="1"/>
        <v>25</v>
      </c>
      <c r="BD38" t="str">
        <f t="shared" si="2"/>
        <v>DMD</v>
      </c>
      <c r="BE38" t="str">
        <f t="shared" si="3"/>
        <v>Trd_bus_dsl</v>
      </c>
      <c r="BG38" t="s">
        <v>92</v>
      </c>
      <c r="BH38" t="s">
        <v>144</v>
      </c>
      <c r="BI38" t="s">
        <v>145</v>
      </c>
    </row>
    <row r="39" spans="1:61">
      <c r="C39" t="str">
        <f t="shared" si="27"/>
        <v>TRAELC</v>
      </c>
      <c r="D39" s="78">
        <v>35</v>
      </c>
      <c r="E39" s="78">
        <v>35</v>
      </c>
      <c r="F39" s="78">
        <v>35</v>
      </c>
      <c r="G39" s="78">
        <v>35</v>
      </c>
      <c r="H39" s="78">
        <v>35</v>
      </c>
      <c r="I39" s="78">
        <v>35</v>
      </c>
      <c r="J39" s="78">
        <v>35</v>
      </c>
      <c r="K39" s="78">
        <v>35</v>
      </c>
      <c r="L39" s="78">
        <v>35</v>
      </c>
      <c r="M39" s="78">
        <v>35</v>
      </c>
      <c r="N39" s="78">
        <v>35</v>
      </c>
      <c r="O39" s="78">
        <v>35</v>
      </c>
      <c r="P39" s="78">
        <v>35</v>
      </c>
      <c r="Q39" s="78">
        <v>35</v>
      </c>
      <c r="R39" s="78">
        <v>35</v>
      </c>
      <c r="S39" s="78">
        <v>35</v>
      </c>
      <c r="T39" s="78">
        <v>35</v>
      </c>
      <c r="U39" s="78">
        <v>35</v>
      </c>
      <c r="V39" s="78">
        <v>35</v>
      </c>
      <c r="W39" s="78">
        <v>35</v>
      </c>
      <c r="X39" s="78">
        <v>35</v>
      </c>
      <c r="Y39" s="78">
        <v>35</v>
      </c>
      <c r="Z39" s="78">
        <v>35</v>
      </c>
      <c r="AA39" s="78">
        <v>35</v>
      </c>
      <c r="AB39" s="78">
        <v>35</v>
      </c>
      <c r="AC39" s="78">
        <v>35</v>
      </c>
      <c r="AD39" s="78">
        <v>35</v>
      </c>
      <c r="AE39" s="78">
        <v>35</v>
      </c>
      <c r="AF39" s="78">
        <v>35</v>
      </c>
      <c r="AG39" s="78">
        <v>35</v>
      </c>
      <c r="AH39" s="78">
        <v>35</v>
      </c>
      <c r="AI39" s="78">
        <v>35</v>
      </c>
      <c r="AJ39" s="78">
        <v>35</v>
      </c>
      <c r="AK39" s="78">
        <v>35</v>
      </c>
      <c r="AL39" s="78">
        <v>20</v>
      </c>
      <c r="AM39" s="78">
        <v>35</v>
      </c>
      <c r="AN39" s="78">
        <v>35</v>
      </c>
      <c r="AO39" s="78">
        <v>35</v>
      </c>
      <c r="AP39" s="78">
        <v>35</v>
      </c>
      <c r="AQ39" s="78">
        <v>35</v>
      </c>
      <c r="AR39" s="78">
        <v>35</v>
      </c>
      <c r="AS39" s="78">
        <v>35</v>
      </c>
      <c r="AT39" s="78">
        <v>35</v>
      </c>
      <c r="AU39" s="78">
        <v>35</v>
      </c>
      <c r="AV39" s="78">
        <v>35</v>
      </c>
      <c r="AW39" s="78">
        <v>35</v>
      </c>
      <c r="AY39" t="s">
        <v>155</v>
      </c>
      <c r="AZ39" s="3" t="str">
        <f t="shared" si="28"/>
        <v>Trd_bus_elc</v>
      </c>
      <c r="BA39" t="str">
        <f t="shared" si="0"/>
        <v>Trd_bus</v>
      </c>
      <c r="BB39">
        <f t="shared" si="1"/>
        <v>25</v>
      </c>
      <c r="BD39" t="str">
        <f t="shared" si="2"/>
        <v>DMD</v>
      </c>
      <c r="BE39" t="str">
        <f t="shared" si="3"/>
        <v>Trd_bus_elc</v>
      </c>
      <c r="BG39" t="s">
        <v>92</v>
      </c>
      <c r="BH39" t="s">
        <v>144</v>
      </c>
      <c r="BI39" t="s">
        <v>145</v>
      </c>
    </row>
    <row r="40" spans="1:61">
      <c r="C40" t="str">
        <f t="shared" si="27"/>
        <v>TRAGSL</v>
      </c>
      <c r="D40" s="78">
        <v>35</v>
      </c>
      <c r="E40" s="78">
        <v>35</v>
      </c>
      <c r="F40" s="78">
        <v>35</v>
      </c>
      <c r="G40" s="78">
        <v>35</v>
      </c>
      <c r="H40" s="78">
        <v>35</v>
      </c>
      <c r="I40" s="78">
        <v>35</v>
      </c>
      <c r="J40" s="78">
        <v>35</v>
      </c>
      <c r="K40" s="78">
        <v>35</v>
      </c>
      <c r="L40" s="78">
        <v>35</v>
      </c>
      <c r="M40" s="78">
        <v>35</v>
      </c>
      <c r="N40" s="78">
        <v>35</v>
      </c>
      <c r="O40" s="78">
        <v>35</v>
      </c>
      <c r="P40" s="78">
        <v>35</v>
      </c>
      <c r="Q40" s="78">
        <v>35</v>
      </c>
      <c r="R40" s="78">
        <v>35</v>
      </c>
      <c r="S40" s="78">
        <v>35</v>
      </c>
      <c r="T40" s="78">
        <v>35</v>
      </c>
      <c r="U40" s="78">
        <v>35</v>
      </c>
      <c r="V40" s="78">
        <v>35</v>
      </c>
      <c r="W40" s="78">
        <v>35</v>
      </c>
      <c r="X40" s="78">
        <v>35</v>
      </c>
      <c r="Y40" s="78">
        <v>35</v>
      </c>
      <c r="Z40" s="78">
        <v>35</v>
      </c>
      <c r="AA40" s="78">
        <v>35</v>
      </c>
      <c r="AB40" s="78">
        <v>35</v>
      </c>
      <c r="AC40" s="78">
        <v>35</v>
      </c>
      <c r="AD40" s="78">
        <v>35</v>
      </c>
      <c r="AE40" s="78">
        <v>35</v>
      </c>
      <c r="AF40" s="78">
        <v>35</v>
      </c>
      <c r="AG40" s="78">
        <v>35</v>
      </c>
      <c r="AH40" s="78">
        <v>35</v>
      </c>
      <c r="AI40" s="78">
        <v>35</v>
      </c>
      <c r="AJ40" s="78">
        <v>35</v>
      </c>
      <c r="AK40" s="78">
        <v>35</v>
      </c>
      <c r="AL40" s="78">
        <v>20</v>
      </c>
      <c r="AM40" s="78">
        <v>35</v>
      </c>
      <c r="AN40" s="78">
        <v>35</v>
      </c>
      <c r="AO40" s="78">
        <v>35</v>
      </c>
      <c r="AP40" s="78">
        <v>35</v>
      </c>
      <c r="AQ40" s="78">
        <v>35</v>
      </c>
      <c r="AR40" s="78">
        <v>35</v>
      </c>
      <c r="AS40" s="78">
        <v>35</v>
      </c>
      <c r="AT40" s="78">
        <v>35</v>
      </c>
      <c r="AU40" s="78">
        <v>35</v>
      </c>
      <c r="AV40" s="78">
        <v>35</v>
      </c>
      <c r="AW40" s="78">
        <v>35</v>
      </c>
      <c r="AY40" t="s">
        <v>155</v>
      </c>
      <c r="AZ40" s="3" t="str">
        <f t="shared" si="28"/>
        <v>Trd_bus_gsl</v>
      </c>
      <c r="BA40" t="str">
        <f t="shared" si="0"/>
        <v>Trd_bus</v>
      </c>
      <c r="BB40">
        <f t="shared" si="1"/>
        <v>25</v>
      </c>
      <c r="BD40" t="str">
        <f t="shared" si="2"/>
        <v>DMD</v>
      </c>
      <c r="BE40" t="str">
        <f t="shared" si="3"/>
        <v>Trd_bus_gsl</v>
      </c>
      <c r="BG40" t="s">
        <v>92</v>
      </c>
      <c r="BH40" t="s">
        <v>144</v>
      </c>
      <c r="BI40" t="s">
        <v>145</v>
      </c>
    </row>
    <row r="41" spans="1:61">
      <c r="C41" t="str">
        <f t="shared" si="27"/>
        <v>TRALPG</v>
      </c>
      <c r="D41" s="78">
        <v>35</v>
      </c>
      <c r="E41" s="78">
        <v>35</v>
      </c>
      <c r="F41" s="78">
        <v>35</v>
      </c>
      <c r="G41" s="78">
        <v>35</v>
      </c>
      <c r="H41" s="78">
        <v>35</v>
      </c>
      <c r="I41" s="78">
        <v>35</v>
      </c>
      <c r="J41" s="78">
        <v>35</v>
      </c>
      <c r="K41" s="78">
        <v>35</v>
      </c>
      <c r="L41" s="78">
        <v>35</v>
      </c>
      <c r="M41" s="78">
        <v>35</v>
      </c>
      <c r="N41" s="78">
        <v>35</v>
      </c>
      <c r="O41" s="78">
        <v>35</v>
      </c>
      <c r="P41" s="78">
        <v>35</v>
      </c>
      <c r="Q41" s="78">
        <v>35</v>
      </c>
      <c r="R41" s="78">
        <v>35</v>
      </c>
      <c r="S41" s="78">
        <v>35</v>
      </c>
      <c r="T41" s="78">
        <v>35</v>
      </c>
      <c r="U41" s="78">
        <v>35</v>
      </c>
      <c r="V41" s="78">
        <v>35</v>
      </c>
      <c r="W41" s="78">
        <v>35</v>
      </c>
      <c r="X41" s="78">
        <v>35</v>
      </c>
      <c r="Y41" s="78">
        <v>35</v>
      </c>
      <c r="Z41" s="78">
        <v>35</v>
      </c>
      <c r="AA41" s="78">
        <v>35</v>
      </c>
      <c r="AB41" s="78">
        <v>35</v>
      </c>
      <c r="AC41" s="78">
        <v>35</v>
      </c>
      <c r="AD41" s="78">
        <v>35</v>
      </c>
      <c r="AE41" s="78">
        <v>35</v>
      </c>
      <c r="AF41" s="78">
        <v>35</v>
      </c>
      <c r="AG41" s="78">
        <v>35</v>
      </c>
      <c r="AH41" s="78">
        <v>35</v>
      </c>
      <c r="AI41" s="78">
        <v>35</v>
      </c>
      <c r="AJ41" s="78">
        <v>35</v>
      </c>
      <c r="AK41" s="78">
        <v>35</v>
      </c>
      <c r="AL41" s="78">
        <v>20</v>
      </c>
      <c r="AM41" s="78">
        <v>35</v>
      </c>
      <c r="AN41" s="78">
        <v>35</v>
      </c>
      <c r="AO41" s="78">
        <v>35</v>
      </c>
      <c r="AP41" s="78">
        <v>35</v>
      </c>
      <c r="AQ41" s="78">
        <v>35</v>
      </c>
      <c r="AR41" s="78">
        <v>35</v>
      </c>
      <c r="AS41" s="78">
        <v>35</v>
      </c>
      <c r="AT41" s="78">
        <v>35</v>
      </c>
      <c r="AU41" s="78">
        <v>35</v>
      </c>
      <c r="AV41" s="78">
        <v>35</v>
      </c>
      <c r="AW41" s="78">
        <v>35</v>
      </c>
      <c r="AY41" t="s">
        <v>155</v>
      </c>
      <c r="AZ41" s="3" t="str">
        <f t="shared" si="28"/>
        <v>Trd_bus_lpg</v>
      </c>
      <c r="BA41" t="str">
        <f t="shared" si="0"/>
        <v>Trd_bus</v>
      </c>
      <c r="BB41">
        <f t="shared" si="1"/>
        <v>25</v>
      </c>
      <c r="BD41" t="str">
        <f t="shared" si="2"/>
        <v>DMD</v>
      </c>
      <c r="BE41" t="str">
        <f t="shared" si="3"/>
        <v>Trd_bus_lpg</v>
      </c>
      <c r="BG41" t="s">
        <v>92</v>
      </c>
      <c r="BH41" t="s">
        <v>144</v>
      </c>
      <c r="BI41" t="s">
        <v>145</v>
      </c>
    </row>
    <row r="42" spans="1:61">
      <c r="C42" t="str">
        <f t="shared" si="27"/>
        <v>TRANGA</v>
      </c>
      <c r="D42" s="78">
        <v>35</v>
      </c>
      <c r="E42" s="78">
        <v>35</v>
      </c>
      <c r="F42" s="78">
        <v>35</v>
      </c>
      <c r="G42" s="78">
        <v>35</v>
      </c>
      <c r="H42" s="78">
        <v>35</v>
      </c>
      <c r="I42" s="78">
        <v>35</v>
      </c>
      <c r="J42" s="78">
        <v>35</v>
      </c>
      <c r="K42" s="78">
        <v>35</v>
      </c>
      <c r="L42" s="78">
        <v>35</v>
      </c>
      <c r="M42" s="78">
        <v>35</v>
      </c>
      <c r="N42" s="78">
        <v>35</v>
      </c>
      <c r="O42" s="78">
        <v>35</v>
      </c>
      <c r="P42" s="78">
        <v>35</v>
      </c>
      <c r="Q42" s="78">
        <v>35</v>
      </c>
      <c r="R42" s="78">
        <v>35</v>
      </c>
      <c r="S42" s="78">
        <v>35</v>
      </c>
      <c r="T42" s="78">
        <v>35</v>
      </c>
      <c r="U42" s="78">
        <v>35</v>
      </c>
      <c r="V42" s="78">
        <v>35</v>
      </c>
      <c r="W42" s="78">
        <v>35</v>
      </c>
      <c r="X42" s="78">
        <v>35</v>
      </c>
      <c r="Y42" s="78">
        <v>35</v>
      </c>
      <c r="Z42" s="78">
        <v>35</v>
      </c>
      <c r="AA42" s="78">
        <v>35</v>
      </c>
      <c r="AB42" s="78">
        <v>35</v>
      </c>
      <c r="AC42" s="78">
        <v>35</v>
      </c>
      <c r="AD42" s="78">
        <v>35</v>
      </c>
      <c r="AE42" s="78">
        <v>35</v>
      </c>
      <c r="AF42" s="78">
        <v>35</v>
      </c>
      <c r="AG42" s="78">
        <v>35</v>
      </c>
      <c r="AH42" s="78">
        <v>35</v>
      </c>
      <c r="AI42" s="78">
        <v>35</v>
      </c>
      <c r="AJ42" s="78">
        <v>35</v>
      </c>
      <c r="AK42" s="78">
        <v>35</v>
      </c>
      <c r="AL42" s="78">
        <v>20</v>
      </c>
      <c r="AM42" s="78">
        <v>35</v>
      </c>
      <c r="AN42" s="78">
        <v>35</v>
      </c>
      <c r="AO42" s="78">
        <v>35</v>
      </c>
      <c r="AP42" s="78">
        <v>35</v>
      </c>
      <c r="AQ42" s="78">
        <v>35</v>
      </c>
      <c r="AR42" s="78">
        <v>35</v>
      </c>
      <c r="AS42" s="78">
        <v>35</v>
      </c>
      <c r="AT42" s="78">
        <v>35</v>
      </c>
      <c r="AU42" s="78">
        <v>35</v>
      </c>
      <c r="AV42" s="78">
        <v>35</v>
      </c>
      <c r="AW42" s="78">
        <v>35</v>
      </c>
      <c r="AY42" t="s">
        <v>155</v>
      </c>
      <c r="AZ42" s="3" t="str">
        <f t="shared" si="28"/>
        <v>Trd_bus_nga</v>
      </c>
      <c r="BA42" t="str">
        <f t="shared" si="0"/>
        <v>Trd_bus</v>
      </c>
      <c r="BB42">
        <f t="shared" si="1"/>
        <v>25</v>
      </c>
      <c r="BD42" t="str">
        <f t="shared" si="2"/>
        <v>DMD</v>
      </c>
      <c r="BE42" t="str">
        <f t="shared" si="3"/>
        <v>Trd_bus_nga</v>
      </c>
      <c r="BG42" t="s">
        <v>92</v>
      </c>
      <c r="BH42" t="s">
        <v>144</v>
      </c>
      <c r="BI42" t="s">
        <v>145</v>
      </c>
    </row>
    <row r="43" spans="1:61">
      <c r="AY43" t="s">
        <v>133</v>
      </c>
      <c r="BB43" t="str">
        <f t="shared" si="1"/>
        <v/>
      </c>
    </row>
    <row r="44" spans="1:61">
      <c r="D44" t="str">
        <f>D3</f>
        <v>Africa_North</v>
      </c>
      <c r="E44" t="str">
        <f t="shared" ref="E44:U44" si="29">E3</f>
        <v>Africa_Other</v>
      </c>
      <c r="F44" t="str">
        <f t="shared" si="29"/>
        <v>Australia</v>
      </c>
      <c r="G44" t="str">
        <f t="shared" si="29"/>
        <v>Austria</v>
      </c>
      <c r="H44" t="str">
        <f t="shared" si="29"/>
        <v>Baltics</v>
      </c>
      <c r="I44" t="str">
        <f t="shared" si="29"/>
        <v>BeNeLux</v>
      </c>
      <c r="J44" t="str">
        <f t="shared" si="29"/>
        <v>Brazil</v>
      </c>
      <c r="K44" t="str">
        <f t="shared" si="29"/>
        <v>China</v>
      </c>
      <c r="L44" t="str">
        <f t="shared" si="29"/>
        <v>CroSloven</v>
      </c>
      <c r="M44" t="str">
        <f t="shared" si="29"/>
        <v>CzechSlovak</v>
      </c>
      <c r="N44" t="str">
        <f t="shared" si="29"/>
        <v>France</v>
      </c>
      <c r="O44" t="str">
        <f t="shared" si="29"/>
        <v>Germany</v>
      </c>
      <c r="P44" t="str">
        <f t="shared" si="29"/>
        <v>GreeceCyp</v>
      </c>
      <c r="Q44" t="str">
        <f t="shared" si="29"/>
        <v>HunRomBul</v>
      </c>
      <c r="R44" t="str">
        <f t="shared" si="29"/>
        <v>Iceland</v>
      </c>
      <c r="S44" t="str">
        <f t="shared" si="29"/>
        <v>India</v>
      </c>
      <c r="T44" t="str">
        <f t="shared" si="29"/>
        <v>Ireland</v>
      </c>
      <c r="U44" t="str">
        <f t="shared" si="29"/>
        <v>ItalyMal</v>
      </c>
      <c r="V44" t="str">
        <f t="shared" ref="V44:AJ44" si="30">V3</f>
        <v>Japan</v>
      </c>
      <c r="W44" t="str">
        <f t="shared" si="30"/>
        <v>LatAm</v>
      </c>
      <c r="X44" t="str">
        <f t="shared" si="30"/>
        <v>MidEast</v>
      </c>
      <c r="Y44" t="str">
        <f t="shared" si="30"/>
        <v>NorthAm</v>
      </c>
      <c r="Z44" t="str">
        <f t="shared" si="30"/>
        <v>Norway</v>
      </c>
      <c r="AA44" t="str">
        <f t="shared" si="30"/>
        <v>Poland</v>
      </c>
      <c r="AB44" t="str">
        <f t="shared" si="30"/>
        <v>ROW</v>
      </c>
      <c r="AC44" t="str">
        <f t="shared" si="30"/>
        <v>Russia</v>
      </c>
      <c r="AD44" t="str">
        <f t="shared" si="30"/>
        <v>SaudiArabia</v>
      </c>
      <c r="AE44" t="str">
        <f t="shared" si="30"/>
        <v>SouthAfrica</v>
      </c>
      <c r="AF44" t="str">
        <f t="shared" si="30"/>
        <v>SpainPor</v>
      </c>
      <c r="AG44" t="str">
        <f t="shared" si="30"/>
        <v>SweFinDen</v>
      </c>
      <c r="AH44" t="str">
        <f t="shared" si="30"/>
        <v>Switzerland</v>
      </c>
      <c r="AI44" t="str">
        <f t="shared" si="30"/>
        <v>Turkey</v>
      </c>
      <c r="AJ44" t="str">
        <f t="shared" si="30"/>
        <v>UK</v>
      </c>
      <c r="AK44" t="str">
        <f t="shared" ref="AK44:AW44" si="31">AK3</f>
        <v>Ukraine</v>
      </c>
      <c r="AL44" t="str">
        <f t="shared" si="31"/>
        <v>WestBalkans</v>
      </c>
      <c r="AM44" t="str">
        <f t="shared" si="31"/>
        <v>\I:</v>
      </c>
      <c r="AN44" t="str">
        <f t="shared" si="31"/>
        <v>\I:</v>
      </c>
      <c r="AO44" t="str">
        <f t="shared" si="31"/>
        <v>\I:</v>
      </c>
      <c r="AP44" t="str">
        <f t="shared" si="31"/>
        <v>\I:</v>
      </c>
      <c r="AQ44" t="str">
        <f t="shared" si="31"/>
        <v>\I:</v>
      </c>
      <c r="AR44" t="str">
        <f t="shared" si="31"/>
        <v>\I:</v>
      </c>
      <c r="AS44" t="str">
        <f t="shared" si="31"/>
        <v>\I:</v>
      </c>
      <c r="AT44" t="str">
        <f t="shared" si="31"/>
        <v>\I:</v>
      </c>
      <c r="AU44" t="str">
        <f t="shared" si="31"/>
        <v>\I:</v>
      </c>
      <c r="AV44" t="str">
        <f t="shared" si="31"/>
        <v>\I:</v>
      </c>
      <c r="AW44" t="str">
        <f t="shared" si="31"/>
        <v>\I:</v>
      </c>
      <c r="AY44" t="s">
        <v>133</v>
      </c>
      <c r="BB44" t="str">
        <f t="shared" si="1"/>
        <v/>
      </c>
    </row>
    <row r="45" spans="1:61">
      <c r="A45" t="s">
        <v>156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Y45" t="s">
        <v>157</v>
      </c>
      <c r="BA45" t="s">
        <v>168</v>
      </c>
      <c r="BB45" t="str">
        <f t="shared" si="1"/>
        <v/>
      </c>
    </row>
    <row r="47" spans="1:61">
      <c r="AY47" t="s">
        <v>159</v>
      </c>
    </row>
    <row r="48" spans="1:61">
      <c r="AY48" t="s">
        <v>160</v>
      </c>
      <c r="AZ48" t="s">
        <v>161</v>
      </c>
      <c r="BA48" t="s">
        <v>162</v>
      </c>
      <c r="BB48" t="s">
        <v>163</v>
      </c>
    </row>
    <row r="49" spans="51:54">
      <c r="AY49" t="s">
        <v>164</v>
      </c>
      <c r="AZ49" t="str">
        <f>BA45</f>
        <v>Trd_bus</v>
      </c>
      <c r="BB49" t="s">
        <v>92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49"/>
  <sheetViews>
    <sheetView zoomScale="67" zoomScaleNormal="67" workbookViewId="0">
      <selection activeCell="D46" sqref="D46"/>
    </sheetView>
  </sheetViews>
  <sheetFormatPr defaultColWidth="9" defaultRowHeight="14.5"/>
  <cols>
    <col min="1" max="1" width="10.8636363636364" customWidth="1"/>
    <col min="2" max="2" width="2" customWidth="1"/>
    <col min="4" max="20" width="6.13636363636364" customWidth="1"/>
    <col min="21" max="22" width="8.13636363636364" customWidth="1"/>
    <col min="23" max="23" width="7.4" customWidth="1"/>
    <col min="24" max="24" width="8.86363636363636" customWidth="1"/>
    <col min="25" max="25" width="5.86363636363636" customWidth="1"/>
    <col min="26" max="26" width="7.4" customWidth="1"/>
    <col min="27" max="27" width="6.6" customWidth="1"/>
    <col min="28" max="28" width="5.6" customWidth="1"/>
    <col min="29" max="29" width="6.6" customWidth="1"/>
    <col min="30" max="30" width="7.26363636363636" customWidth="1"/>
    <col min="31" max="31" width="6.6" customWidth="1"/>
    <col min="32" max="32" width="5.6" customWidth="1"/>
    <col min="33" max="33" width="7.4" customWidth="1"/>
    <col min="34" max="34" width="8" customWidth="1"/>
    <col min="35" max="49" width="6.6" customWidth="1"/>
    <col min="50" max="50" width="5.6" customWidth="1"/>
    <col min="52" max="52" width="11.4" customWidth="1"/>
    <col min="57" max="57" width="11.4" customWidth="1"/>
  </cols>
  <sheetData>
    <row r="1" spans="1:61">
      <c r="A1" s="108">
        <v>0.5</v>
      </c>
    </row>
    <row r="2" spans="1:61">
      <c r="AY2" t="s">
        <v>130</v>
      </c>
      <c r="BD2" t="s">
        <v>131</v>
      </c>
    </row>
    <row r="3" spans="1:61">
      <c r="C3" t="s">
        <v>132</v>
      </c>
      <c r="D3" t="str">
        <f>'TRA balance'!E4</f>
        <v>Africa_North</v>
      </c>
      <c r="E3" t="str">
        <f>'TRA balance'!F4</f>
        <v>Africa_Other</v>
      </c>
      <c r="F3" t="str">
        <f>'TRA balance'!G4</f>
        <v>Australia</v>
      </c>
      <c r="G3" t="str">
        <f>'TRA balance'!H4</f>
        <v>Austria</v>
      </c>
      <c r="H3" t="str">
        <f>'TRA balance'!I4</f>
        <v>Baltics</v>
      </c>
      <c r="I3" t="str">
        <f>'TRA balance'!J4</f>
        <v>BeNeLux</v>
      </c>
      <c r="J3" t="str">
        <f>'TRA balance'!K4</f>
        <v>Brazil</v>
      </c>
      <c r="K3" t="str">
        <f>'TRA balance'!L4</f>
        <v>China</v>
      </c>
      <c r="L3" t="str">
        <f>'TRA balance'!M4</f>
        <v>CroSloven</v>
      </c>
      <c r="M3" t="str">
        <f>'TRA balance'!N4</f>
        <v>CzechSlovak</v>
      </c>
      <c r="N3" t="str">
        <f>'TRA balance'!O4</f>
        <v>France</v>
      </c>
      <c r="O3" t="str">
        <f>'TRA balance'!P4</f>
        <v>Germany</v>
      </c>
      <c r="P3" t="str">
        <f>'TRA balance'!Q4</f>
        <v>GreeceCyp</v>
      </c>
      <c r="Q3" t="str">
        <f>'TRA balance'!R4</f>
        <v>HunRomBul</v>
      </c>
      <c r="R3" t="str">
        <f>'TRA balance'!S4</f>
        <v>Iceland</v>
      </c>
      <c r="S3" t="str">
        <f>'TRA balance'!T4</f>
        <v>India</v>
      </c>
      <c r="T3" t="str">
        <f>'TRA balance'!U4</f>
        <v>Ireland</v>
      </c>
      <c r="U3" t="str">
        <f>'TRA balance'!V4</f>
        <v>ItalyMal</v>
      </c>
      <c r="V3" t="str">
        <f>'TRA balance'!W4</f>
        <v>Japan</v>
      </c>
      <c r="W3" t="str">
        <f>'TRA balance'!X4</f>
        <v>LatAm</v>
      </c>
      <c r="X3" t="str">
        <f>'TRA balance'!Y4</f>
        <v>MidEast</v>
      </c>
      <c r="Y3" t="str">
        <f>'TRA balance'!Z4</f>
        <v>NorthAm</v>
      </c>
      <c r="Z3" t="str">
        <f>'TRA balance'!AA4</f>
        <v>Norway</v>
      </c>
      <c r="AA3" t="str">
        <f>'TRA balance'!AB4</f>
        <v>Poland</v>
      </c>
      <c r="AB3" t="str">
        <f>'TRA balance'!AC4</f>
        <v>ROW</v>
      </c>
      <c r="AC3" t="str">
        <f>'TRA balance'!AD4</f>
        <v>Russia</v>
      </c>
      <c r="AD3" t="str">
        <f>'TRA balance'!AE4</f>
        <v>SaudiArabia</v>
      </c>
      <c r="AE3" t="str">
        <f>'TRA balance'!AF4</f>
        <v>SouthAfrica</v>
      </c>
      <c r="AF3" t="str">
        <f>'TRA balance'!AG4</f>
        <v>SpainPor</v>
      </c>
      <c r="AG3" t="str">
        <f>'TRA balance'!AH4</f>
        <v>SweFinDen</v>
      </c>
      <c r="AH3" t="str">
        <f>'TRA balance'!AI4</f>
        <v>Switzerland</v>
      </c>
      <c r="AI3" t="str">
        <f>'TRA balance'!AJ4</f>
        <v>Turkey</v>
      </c>
      <c r="AJ3" t="str">
        <f>'TRA balance'!AK4</f>
        <v>UK</v>
      </c>
      <c r="AK3" t="str">
        <f>'TRA balance'!AL4</f>
        <v>Ukraine</v>
      </c>
      <c r="AL3" t="str">
        <f>'TRA balance'!AM4</f>
        <v>WestBalkans</v>
      </c>
      <c r="AM3" t="str">
        <f>'TRA balance'!AN4</f>
        <v>\I:</v>
      </c>
      <c r="AN3" t="str">
        <f>'TRA balance'!AO4</f>
        <v>\I:</v>
      </c>
      <c r="AO3" t="str">
        <f>'TRA balance'!AP4</f>
        <v>\I:</v>
      </c>
      <c r="AP3" t="str">
        <f>'TRA balance'!AQ4</f>
        <v>\I:</v>
      </c>
      <c r="AQ3" t="str">
        <f>'TRA balance'!AR4</f>
        <v>\I:</v>
      </c>
      <c r="AR3" t="str">
        <f>'TRA balance'!AS4</f>
        <v>\I:</v>
      </c>
      <c r="AS3" t="str">
        <f>'TRA balance'!AT4</f>
        <v>\I:</v>
      </c>
      <c r="AT3" t="str">
        <f>'TRA balance'!AU4</f>
        <v>\I:</v>
      </c>
      <c r="AU3" t="str">
        <f>'TRA balance'!AV4</f>
        <v>\I:</v>
      </c>
      <c r="AV3" t="str">
        <f>'TRA balance'!AW4</f>
        <v>\I:</v>
      </c>
      <c r="AW3" t="str">
        <f>'TRA balance'!AX4</f>
        <v>\I:</v>
      </c>
      <c r="AX3" t="s">
        <v>133</v>
      </c>
      <c r="AY3" t="s">
        <v>134</v>
      </c>
      <c r="AZ3" t="s">
        <v>135</v>
      </c>
      <c r="BA3" t="s">
        <v>136</v>
      </c>
      <c r="BB3" t="s">
        <v>137</v>
      </c>
      <c r="BD3" t="s">
        <v>138</v>
      </c>
      <c r="BE3" t="s">
        <v>139</v>
      </c>
      <c r="BF3" t="s">
        <v>140</v>
      </c>
      <c r="BG3" t="s">
        <v>141</v>
      </c>
      <c r="BH3" t="s">
        <v>142</v>
      </c>
      <c r="BI3" t="s">
        <v>143</v>
      </c>
    </row>
    <row r="4" spans="1:61">
      <c r="A4" t="s">
        <v>78</v>
      </c>
      <c r="C4" s="43" t="s">
        <v>44</v>
      </c>
      <c r="D4" s="1" cm="1">
        <f ca="1" t="array" ref="D4">SUM(SUMIFS(Assumptions!BD$3:BD$102,Assumptions!$B$3:$B$102,'Trucks-lcv'!$C4,Assumptions!$G$3:$G$102,{"TRC"}))</f>
        <v>0</v>
      </c>
      <c r="E4" s="1" cm="1">
        <f ca="1" t="array" ref="E4">SUM(SUMIFS(Assumptions!BE$3:BE$102,Assumptions!$B$3:$B$102,'Trucks-lcv'!$C4,Assumptions!$G$3:$G$102,{"TRC"}))</f>
        <v>0</v>
      </c>
      <c r="F4" s="1" cm="1">
        <f ca="1" t="array" ref="F4">SUM(SUMIFS(Assumptions!BF$3:BF$102,Assumptions!$B$3:$B$102,'Trucks-lcv'!$C4,Assumptions!$G$3:$G$102,{"TRC"}))</f>
        <v>0.007213186512</v>
      </c>
      <c r="G4" s="1" cm="1">
        <f ca="1" t="array" ref="G4">SUM(SUMIFS(Assumptions!BG$3:BG$102,Assumptions!$B$3:$B$102,'Trucks-lcv'!$C4,Assumptions!$G$3:$G$102,{"TRC"}))</f>
        <v>2.138937646464</v>
      </c>
      <c r="H4" s="1" cm="1">
        <f ca="1" t="array" ref="H4">SUM(SUMIFS(Assumptions!BH$3:BH$102,Assumptions!$B$3:$B$102,'Trucks-lcv'!$C4,Assumptions!$G$3:$G$102,{"TRC"}))</f>
        <v>0.435417319152</v>
      </c>
      <c r="I4" s="1" cm="1">
        <f ca="1" t="array" ref="I4">SUM(SUMIFS(Assumptions!BI$3:BI$102,Assumptions!$B$3:$B$102,'Trucks-lcv'!$C4,Assumptions!$G$3:$G$102,{"TRC"}))</f>
        <v>4.431588965712</v>
      </c>
      <c r="J4" s="1" cm="1">
        <f ca="1" t="array" ref="J4">SUM(SUMIFS(Assumptions!BJ$3:BJ$102,Assumptions!$B$3:$B$102,'Trucks-lcv'!$C4,Assumptions!$G$3:$G$102,{"TRC"}))</f>
        <v>60.5457829596024</v>
      </c>
      <c r="K4" s="1" cm="1">
        <f ca="1" t="array" ref="K4">SUM(SUMIFS(Assumptions!BK$3:BK$102,Assumptions!$B$3:$B$102,'Trucks-lcv'!$C4,Assumptions!$G$3:$G$102,{"TRC"}))</f>
        <v>3.41136005058</v>
      </c>
      <c r="L4" s="1" cm="1">
        <f ca="1" t="array" ref="L4">SUM(SUMIFS(Assumptions!BL$3:BL$102,Assumptions!$B$3:$B$102,'Trucks-lcv'!$C4,Assumptions!$G$3:$G$102,{"TRC"}))</f>
        <v>0.765995491584</v>
      </c>
      <c r="M4" s="1" cm="1">
        <f ca="1" t="array" ref="M4">SUM(SUMIFS(Assumptions!BM$3:BM$102,Assumptions!$B$3:$B$102,'Trucks-lcv'!$C4,Assumptions!$G$3:$G$102,{"TRC"}))</f>
        <v>2.007581988096</v>
      </c>
      <c r="N4" s="1" cm="1">
        <f ca="1" t="array" ref="N4">SUM(SUMIFS(Assumptions!BN$3:BN$102,Assumptions!$B$3:$B$102,'Trucks-lcv'!$C4,Assumptions!$G$3:$G$102,{"TRC"}))</f>
        <v>12.684390742224</v>
      </c>
      <c r="O4" s="1" cm="1">
        <f ca="1" t="array" ref="O4">SUM(SUMIFS(Assumptions!BO$3:BO$102,Assumptions!$B$3:$B$102,'Trucks-lcv'!$C4,Assumptions!$G$3:$G$102,{"TRC"}))</f>
        <v>9.491266762416</v>
      </c>
      <c r="P4" s="1" cm="1">
        <f ca="1" t="array" ref="P4">SUM(SUMIFS(Assumptions!BP$3:BP$102,Assumptions!$B$3:$B$102,'Trucks-lcv'!$C4,Assumptions!$G$3:$G$102,{"TRC"}))</f>
        <v>0.859887998496</v>
      </c>
      <c r="Q4" s="1" cm="1">
        <f ca="1" t="array" ref="Q4">SUM(SUMIFS(Assumptions!BQ$3:BQ$102,Assumptions!$B$3:$B$102,'Trucks-lcv'!$C4,Assumptions!$G$3:$G$102,{"TRC"}))</f>
        <v>3.109396855824</v>
      </c>
      <c r="R4" s="1" cm="1">
        <f ca="1" t="array" ref="R4">SUM(SUMIFS(Assumptions!BR$3:BR$102,Assumptions!$B$3:$B$102,'Trucks-lcv'!$C4,Assumptions!$G$3:$G$102,{"TRC"}))</f>
        <v>0.07787196792</v>
      </c>
      <c r="S4" s="1" cm="1">
        <f ca="1" t="array" ref="S4">SUM(SUMIFS(Assumptions!BS$3:BS$102,Assumptions!$B$3:$B$102,'Trucks-lcv'!$C4,Assumptions!$G$3:$G$102,{"TRC"}))</f>
        <v>0.3069259344</v>
      </c>
      <c r="T4" s="1" cm="1">
        <f ca="1" t="array" ref="T4">SUM(SUMIFS(Assumptions!BT$3:BT$102,Assumptions!$B$3:$B$102,'Trucks-lcv'!$C4,Assumptions!$G$3:$G$102,{"TRC"}))</f>
        <v>0.81381846096</v>
      </c>
      <c r="U4" s="1" cm="1">
        <f ca="1" t="array" ref="U4">SUM(SUMIFS(Assumptions!BU$3:BU$102,Assumptions!$B$3:$B$102,'Trucks-lcv'!$C4,Assumptions!$G$3:$G$102,{"TRC"}))</f>
        <v>6.313113774576</v>
      </c>
      <c r="V4" s="1" cm="1">
        <f ca="1" t="array" ref="V4">SUM(SUMIFS(Assumptions!BV$3:BV$102,Assumptions!$B$3:$B$102,'Trucks-lcv'!$C4,Assumptions!$G$3:$G$102,{"TRC"}))</f>
        <v>0.07399268838</v>
      </c>
      <c r="W4" s="1" cm="1">
        <f ca="1" t="array" ref="W4">SUM(SUMIFS(Assumptions!BW$3:BW$102,Assumptions!$B$3:$B$102,'Trucks-lcv'!$C4,Assumptions!$G$3:$G$102,{"TRC"}))</f>
        <v>6.9065081305236</v>
      </c>
      <c r="X4" s="1" cm="1">
        <f ca="1" t="array" ref="X4">SUM(SUMIFS(Assumptions!BX$3:BX$102,Assumptions!$B$3:$B$102,'Trucks-lcv'!$C4,Assumptions!$G$3:$G$102,{"TRC"}))</f>
        <v>0</v>
      </c>
      <c r="Y4" s="1" cm="1">
        <f ca="1" t="array" ref="Y4">SUM(SUMIFS(Assumptions!BY$3:BY$102,Assumptions!$B$3:$B$102,'Trucks-lcv'!$C4,Assumptions!$G$3:$G$102,{"TRC"}))</f>
        <v>9.96273385983217</v>
      </c>
      <c r="Z4" s="1" cm="1">
        <f ca="1" t="array" ref="Z4">SUM(SUMIFS(Assumptions!BZ$3:BZ$102,Assumptions!$B$3:$B$102,'Trucks-lcv'!$C4,Assumptions!$G$3:$G$102,{"TRC"}))</f>
        <v>2.10510294336</v>
      </c>
      <c r="AA4" s="1" cm="1">
        <f ca="1" t="array" ref="AA4">SUM(SUMIFS(Assumptions!CA$3:CA$102,Assumptions!$B$3:$B$102,'Trucks-lcv'!$C4,Assumptions!$G$3:$G$102,{"TRC"}))</f>
        <v>4.209168900096</v>
      </c>
      <c r="AB4" s="1" cm="1">
        <f ca="1" t="array" ref="AB4">SUM(SUMIFS(Assumptions!CB$3:CB$102,Assumptions!$B$3:$B$102,'Trucks-lcv'!$C4,Assumptions!$G$3:$G$102,{"TRC"}))</f>
        <v>26.2259424358848</v>
      </c>
      <c r="AC4" s="1" cm="1">
        <f ca="1" t="array" ref="AC4">SUM(SUMIFS(Assumptions!CC$3:CC$102,Assumptions!$B$3:$B$102,'Trucks-lcv'!$C4,Assumptions!$G$3:$G$102,{"TRC"}))</f>
        <v>0.006840037962</v>
      </c>
      <c r="AD4" s="1" cm="1">
        <f ca="1" t="array" ref="AD4">SUM(SUMIFS(Assumptions!CD$3:CD$102,Assumptions!$B$3:$B$102,'Trucks-lcv'!$C4,Assumptions!$G$3:$G$102,{"TRC"}))</f>
        <v>0</v>
      </c>
      <c r="AE4" s="1" cm="1">
        <f ca="1" t="array" ref="AE4">SUM(SUMIFS(Assumptions!CE$3:CE$102,Assumptions!$B$3:$B$102,'Trucks-lcv'!$C4,Assumptions!$G$3:$G$102,{"TRC"}))</f>
        <v>0</v>
      </c>
      <c r="AF4" s="1" cm="1">
        <f ca="1" t="array" ref="AF4">SUM(SUMIFS(Assumptions!CF$3:CF$102,Assumptions!$B$3:$B$102,'Trucks-lcv'!$C4,Assumptions!$G$3:$G$102,{"TRC"}))</f>
        <v>8.830160659152</v>
      </c>
      <c r="AG4" s="1" cm="1">
        <f ca="1" t="array" ref="AG4">SUM(SUMIFS(Assumptions!CG$3:CG$102,Assumptions!$B$3:$B$102,'Trucks-lcv'!$C4,Assumptions!$G$3:$G$102,{"TRC"}))</f>
        <v>8.599805937648</v>
      </c>
      <c r="AH4" s="1" cm="1">
        <f ca="1" t="array" ref="AH4">SUM(SUMIFS(Assumptions!CH$3:CH$102,Assumptions!$B$3:$B$102,'Trucks-lcv'!$C4,Assumptions!$G$3:$G$102,{"TRC"}))</f>
        <v>0.75278998944</v>
      </c>
      <c r="AI4" s="1" cm="1">
        <f ca="1" t="array" ref="AI4">SUM(SUMIFS(Assumptions!CI$3:CI$102,Assumptions!$B$3:$B$102,'Trucks-lcv'!$C4,Assumptions!$G$3:$G$102,{"TRC"}))</f>
        <v>0.645232520952</v>
      </c>
      <c r="AJ4" s="1" cm="1">
        <f ca="1" t="array" ref="AJ4">SUM(SUMIFS(Assumptions!CJ$3:CJ$102,Assumptions!$B$3:$B$102,'Trucks-lcv'!$C4,Assumptions!$G$3:$G$102,{"TRC"}))</f>
        <v>6.346272225744</v>
      </c>
      <c r="AK4" s="1" cm="1">
        <f ca="1" t="array" ref="AK4">SUM(SUMIFS(Assumptions!CK$3:CK$102,Assumptions!$B$3:$B$102,'Trucks-lcv'!$C4,Assumptions!$G$3:$G$102,{"TRC"}))</f>
        <v>0</v>
      </c>
      <c r="AL4" s="1" cm="1">
        <f ca="1" t="array" ref="AL4">SUM(SUMIFS(Assumptions!CL$3:CL$102,Assumptions!$B$3:$B$102,'Trucks-lcv'!$C4,Assumptions!$G$3:$G$102,{"TRC"}))</f>
        <v>0.604231104816</v>
      </c>
      <c r="AM4" s="1" cm="1">
        <f ca="1" t="array" ref="AM4">SUM(SUMIFS(Assumptions!CM$3:CM$102,Assumptions!$B$3:$B$102,'Trucks-lcv'!$C4,Assumptions!$G$3:$G$102,{"TRC"}))</f>
        <v>0</v>
      </c>
      <c r="AN4" s="1" cm="1">
        <f ca="1" t="array" ref="AN4">SUM(SUMIFS(Assumptions!CN$3:CN$102,Assumptions!$B$3:$B$102,'Trucks-lcv'!$C4,Assumptions!$G$3:$G$102,{"TRC"}))</f>
        <v>0</v>
      </c>
      <c r="AO4" s="1" cm="1">
        <f ca="1" t="array" ref="AO4">SUM(SUMIFS(Assumptions!CO$3:CO$102,Assumptions!$B$3:$B$102,'Trucks-lcv'!$C4,Assumptions!$G$3:$G$102,{"TRC"}))</f>
        <v>0</v>
      </c>
      <c r="AP4" s="1" cm="1">
        <f ca="1" t="array" ref="AP4">SUM(SUMIFS(Assumptions!CP$3:CP$102,Assumptions!$B$3:$B$102,'Trucks-lcv'!$C4,Assumptions!$G$3:$G$102,{"TRC"}))</f>
        <v>0</v>
      </c>
      <c r="AQ4" s="1" cm="1">
        <f ca="1" t="array" ref="AQ4">SUM(SUMIFS(Assumptions!CQ$3:CQ$102,Assumptions!$B$3:$B$102,'Trucks-lcv'!$C4,Assumptions!$G$3:$G$102,{"TRC"}))</f>
        <v>0</v>
      </c>
      <c r="AR4" s="1" cm="1">
        <f ca="1" t="array" ref="AR4">SUM(SUMIFS(Assumptions!CR$3:CR$102,Assumptions!$B$3:$B$102,'Trucks-lcv'!$C4,Assumptions!$G$3:$G$102,{"TRC"}))</f>
        <v>0</v>
      </c>
      <c r="AS4" s="1" cm="1">
        <f ca="1" t="array" ref="AS4">SUM(SUMIFS(Assumptions!CS$3:CS$102,Assumptions!$B$3:$B$102,'Trucks-lcv'!$C4,Assumptions!$G$3:$G$102,{"TRC"}))</f>
        <v>0</v>
      </c>
      <c r="AT4" s="1" cm="1">
        <f ca="1" t="array" ref="AT4">SUM(SUMIFS(Assumptions!CT$3:CT$102,Assumptions!$B$3:$B$102,'Trucks-lcv'!$C4,Assumptions!$G$3:$G$102,{"TRC"}))</f>
        <v>0</v>
      </c>
      <c r="AU4" s="1" cm="1">
        <f ca="1" t="array" ref="AU4">SUM(SUMIFS(Assumptions!CU$3:CU$102,Assumptions!$B$3:$B$102,'Trucks-lcv'!$C4,Assumptions!$G$3:$G$102,{"TRC"}))</f>
        <v>0</v>
      </c>
      <c r="AV4" s="1" cm="1">
        <f ca="1" t="array" ref="AV4">SUM(SUMIFS(Assumptions!CV$3:CV$102,Assumptions!$B$3:$B$102,'Trucks-lcv'!$C4,Assumptions!$G$3:$G$102,{"TRC"}))</f>
        <v>0</v>
      </c>
      <c r="AW4" s="1" cm="1">
        <f ca="1" t="array" ref="AW4">SUM(SUMIFS(Assumptions!CW$3:CW$102,Assumptions!$B$3:$B$102,'Trucks-lcv'!$C4,Assumptions!$G$3:$G$102,{"TRC"}))</f>
        <v>0</v>
      </c>
      <c r="AX4" s="105" t="str">
        <f ca="1">IF(SUM(D4:AW4)=0,"zero","")</f>
        <v/>
      </c>
      <c r="AY4" s="1" t="s">
        <v>133</v>
      </c>
      <c r="BA4" t="str">
        <f t="shared" ref="BA4:BA42" si="0">IF($AZ4="","",$BA$45)</f>
        <v/>
      </c>
      <c r="BB4" t="str">
        <f t="shared" ref="BB4:BB45" si="1">IF($AZ4="","",25)</f>
        <v/>
      </c>
      <c r="BD4" t="str">
        <f>IF($AZ4="","*","DMD")</f>
        <v>*</v>
      </c>
      <c r="BE4">
        <f>AZ4</f>
        <v>0</v>
      </c>
      <c r="BG4" t="s">
        <v>92</v>
      </c>
      <c r="BH4" t="s">
        <v>144</v>
      </c>
      <c r="BI4" t="s">
        <v>145</v>
      </c>
    </row>
    <row r="5" spans="1:61">
      <c r="A5" t="s">
        <v>78</v>
      </c>
      <c r="C5" s="43" t="s">
        <v>48</v>
      </c>
      <c r="D5" s="1" cm="1">
        <f ca="1" t="array" ref="D5">SUM(SUMIFS(Assumptions!BD$3:BD$102,Assumptions!$B$3:$B$102,'Trucks-lcv'!$C5,Assumptions!$G$3:$G$102,{"TRC"}))</f>
        <v>0</v>
      </c>
      <c r="E5" s="1" cm="1">
        <f ca="1" t="array" ref="E5">SUM(SUMIFS(Assumptions!BE$3:BE$102,Assumptions!$B$3:$B$102,'Trucks-lcv'!$C5,Assumptions!$G$3:$G$102,{"TRC"}))</f>
        <v>0</v>
      </c>
      <c r="F5" s="1" cm="1">
        <f ca="1" t="array" ref="F5">SUM(SUMIFS(Assumptions!BF$3:BF$102,Assumptions!$B$3:$B$102,'Trucks-lcv'!$C5,Assumptions!$G$3:$G$102,{"TRC"}))</f>
        <v>0</v>
      </c>
      <c r="G5" s="1" cm="1">
        <f ca="1" t="array" ref="G5">SUM(SUMIFS(Assumptions!BG$3:BG$102,Assumptions!$B$3:$B$102,'Trucks-lcv'!$C5,Assumptions!$G$3:$G$102,{"TRC"}))</f>
        <v>0</v>
      </c>
      <c r="H5" s="1" cm="1">
        <f ca="1" t="array" ref="H5">SUM(SUMIFS(Assumptions!BH$3:BH$102,Assumptions!$B$3:$B$102,'Trucks-lcv'!$C5,Assumptions!$G$3:$G$102,{"TRC"}))</f>
        <v>0</v>
      </c>
      <c r="I5" s="1" cm="1">
        <f ca="1" t="array" ref="I5">SUM(SUMIFS(Assumptions!BI$3:BI$102,Assumptions!$B$3:$B$102,'Trucks-lcv'!$C5,Assumptions!$G$3:$G$102,{"TRC"}))</f>
        <v>0</v>
      </c>
      <c r="J5" s="1" cm="1">
        <f ca="1" t="array" ref="J5">SUM(SUMIFS(Assumptions!BJ$3:BJ$102,Assumptions!$B$3:$B$102,'Trucks-lcv'!$C5,Assumptions!$G$3:$G$102,{"TRC"}))</f>
        <v>0</v>
      </c>
      <c r="K5" s="1" cm="1">
        <f ca="1" t="array" ref="K5">SUM(SUMIFS(Assumptions!BK$3:BK$102,Assumptions!$B$3:$B$102,'Trucks-lcv'!$C5,Assumptions!$G$3:$G$102,{"TRC"}))</f>
        <v>0</v>
      </c>
      <c r="L5" s="1" cm="1">
        <f ca="1" t="array" ref="L5">SUM(SUMIFS(Assumptions!BL$3:BL$102,Assumptions!$B$3:$B$102,'Trucks-lcv'!$C5,Assumptions!$G$3:$G$102,{"TRC"}))</f>
        <v>0</v>
      </c>
      <c r="M5" s="1" cm="1">
        <f ca="1" t="array" ref="M5">SUM(SUMIFS(Assumptions!BM$3:BM$102,Assumptions!$B$3:$B$102,'Trucks-lcv'!$C5,Assumptions!$G$3:$G$102,{"TRC"}))</f>
        <v>0</v>
      </c>
      <c r="N5" s="1" cm="1">
        <f ca="1" t="array" ref="N5">SUM(SUMIFS(Assumptions!BN$3:BN$102,Assumptions!$B$3:$B$102,'Trucks-lcv'!$C5,Assumptions!$G$3:$G$102,{"TRC"}))</f>
        <v>0</v>
      </c>
      <c r="O5" s="1" cm="1">
        <f ca="1" t="array" ref="O5">SUM(SUMIFS(Assumptions!BO$3:BO$102,Assumptions!$B$3:$B$102,'Trucks-lcv'!$C5,Assumptions!$G$3:$G$102,{"TRC"}))</f>
        <v>0</v>
      </c>
      <c r="P5" s="1" cm="1">
        <f ca="1" t="array" ref="P5">SUM(SUMIFS(Assumptions!BP$3:BP$102,Assumptions!$B$3:$B$102,'Trucks-lcv'!$C5,Assumptions!$G$3:$G$102,{"TRC"}))</f>
        <v>0</v>
      </c>
      <c r="Q5" s="1" cm="1">
        <f ca="1" t="array" ref="Q5">SUM(SUMIFS(Assumptions!BQ$3:BQ$102,Assumptions!$B$3:$B$102,'Trucks-lcv'!$C5,Assumptions!$G$3:$G$102,{"TRC"}))</f>
        <v>0</v>
      </c>
      <c r="R5" s="1" cm="1">
        <f ca="1" t="array" ref="R5">SUM(SUMIFS(Assumptions!BR$3:BR$102,Assumptions!$B$3:$B$102,'Trucks-lcv'!$C5,Assumptions!$G$3:$G$102,{"TRC"}))</f>
        <v>0</v>
      </c>
      <c r="S5" s="1" cm="1">
        <f ca="1" t="array" ref="S5">SUM(SUMIFS(Assumptions!BS$3:BS$102,Assumptions!$B$3:$B$102,'Trucks-lcv'!$C5,Assumptions!$G$3:$G$102,{"TRC"}))</f>
        <v>0</v>
      </c>
      <c r="T5" s="1" cm="1">
        <f ca="1" t="array" ref="T5">SUM(SUMIFS(Assumptions!BT$3:BT$102,Assumptions!$B$3:$B$102,'Trucks-lcv'!$C5,Assumptions!$G$3:$G$102,{"TRC"}))</f>
        <v>0</v>
      </c>
      <c r="U5" s="1" cm="1">
        <f ca="1" t="array" ref="U5">SUM(SUMIFS(Assumptions!BU$3:BU$102,Assumptions!$B$3:$B$102,'Trucks-lcv'!$C5,Assumptions!$G$3:$G$102,{"TRC"}))</f>
        <v>0</v>
      </c>
      <c r="V5" s="1" cm="1">
        <f ca="1" t="array" ref="V5">SUM(SUMIFS(Assumptions!BV$3:BV$102,Assumptions!$B$3:$B$102,'Trucks-lcv'!$C5,Assumptions!$G$3:$G$102,{"TRC"}))</f>
        <v>0</v>
      </c>
      <c r="W5" s="1" cm="1">
        <f ca="1" t="array" ref="W5">SUM(SUMIFS(Assumptions!BW$3:BW$102,Assumptions!$B$3:$B$102,'Trucks-lcv'!$C5,Assumptions!$G$3:$G$102,{"TRC"}))</f>
        <v>0</v>
      </c>
      <c r="X5" s="1" cm="1">
        <f ca="1" t="array" ref="X5">SUM(SUMIFS(Assumptions!BX$3:BX$102,Assumptions!$B$3:$B$102,'Trucks-lcv'!$C5,Assumptions!$G$3:$G$102,{"TRC"}))</f>
        <v>0</v>
      </c>
      <c r="Y5" s="1" cm="1">
        <f ca="1" t="array" ref="Y5">SUM(SUMIFS(Assumptions!BY$3:BY$102,Assumptions!$B$3:$B$102,'Trucks-lcv'!$C5,Assumptions!$G$3:$G$102,{"TRC"}))</f>
        <v>0</v>
      </c>
      <c r="Z5" s="1" cm="1">
        <f ca="1" t="array" ref="Z5">SUM(SUMIFS(Assumptions!BZ$3:BZ$102,Assumptions!$B$3:$B$102,'Trucks-lcv'!$C5,Assumptions!$G$3:$G$102,{"TRC"}))</f>
        <v>0</v>
      </c>
      <c r="AA5" s="1" cm="1">
        <f ca="1" t="array" ref="AA5">SUM(SUMIFS(Assumptions!CA$3:CA$102,Assumptions!$B$3:$B$102,'Trucks-lcv'!$C5,Assumptions!$G$3:$G$102,{"TRC"}))</f>
        <v>0</v>
      </c>
      <c r="AB5" s="1" cm="1">
        <f ca="1" t="array" ref="AB5">SUM(SUMIFS(Assumptions!CB$3:CB$102,Assumptions!$B$3:$B$102,'Trucks-lcv'!$C5,Assumptions!$G$3:$G$102,{"TRC"}))</f>
        <v>0</v>
      </c>
      <c r="AC5" s="1" cm="1">
        <f ca="1" t="array" ref="AC5">SUM(SUMIFS(Assumptions!CC$3:CC$102,Assumptions!$B$3:$B$102,'Trucks-lcv'!$C5,Assumptions!$G$3:$G$102,{"TRC"}))</f>
        <v>0</v>
      </c>
      <c r="AD5" s="1" cm="1">
        <f ca="1" t="array" ref="AD5">SUM(SUMIFS(Assumptions!CD$3:CD$102,Assumptions!$B$3:$B$102,'Trucks-lcv'!$C5,Assumptions!$G$3:$G$102,{"TRC"}))</f>
        <v>0</v>
      </c>
      <c r="AE5" s="1" cm="1">
        <f ca="1" t="array" ref="AE5">SUM(SUMIFS(Assumptions!CE$3:CE$102,Assumptions!$B$3:$B$102,'Trucks-lcv'!$C5,Assumptions!$G$3:$G$102,{"TRC"}))</f>
        <v>0</v>
      </c>
      <c r="AF5" s="1" cm="1">
        <f ca="1" t="array" ref="AF5">SUM(SUMIFS(Assumptions!CF$3:CF$102,Assumptions!$B$3:$B$102,'Trucks-lcv'!$C5,Assumptions!$G$3:$G$102,{"TRC"}))</f>
        <v>0</v>
      </c>
      <c r="AG5" s="1" cm="1">
        <f ca="1" t="array" ref="AG5">SUM(SUMIFS(Assumptions!CG$3:CG$102,Assumptions!$B$3:$B$102,'Trucks-lcv'!$C5,Assumptions!$G$3:$G$102,{"TRC"}))</f>
        <v>0</v>
      </c>
      <c r="AH5" s="1" cm="1">
        <f ca="1" t="array" ref="AH5">SUM(SUMIFS(Assumptions!CH$3:CH$102,Assumptions!$B$3:$B$102,'Trucks-lcv'!$C5,Assumptions!$G$3:$G$102,{"TRC"}))</f>
        <v>0</v>
      </c>
      <c r="AI5" s="1" cm="1">
        <f ca="1" t="array" ref="AI5">SUM(SUMIFS(Assumptions!CI$3:CI$102,Assumptions!$B$3:$B$102,'Trucks-lcv'!$C5,Assumptions!$G$3:$G$102,{"TRC"}))</f>
        <v>0</v>
      </c>
      <c r="AJ5" s="1" cm="1">
        <f ca="1" t="array" ref="AJ5">SUM(SUMIFS(Assumptions!CJ$3:CJ$102,Assumptions!$B$3:$B$102,'Trucks-lcv'!$C5,Assumptions!$G$3:$G$102,{"TRC"}))</f>
        <v>0</v>
      </c>
      <c r="AK5" s="1" cm="1">
        <f ca="1" t="array" ref="AK5">SUM(SUMIFS(Assumptions!CK$3:CK$102,Assumptions!$B$3:$B$102,'Trucks-lcv'!$C5,Assumptions!$G$3:$G$102,{"TRC"}))</f>
        <v>0</v>
      </c>
      <c r="AL5" s="1" cm="1">
        <f ca="1" t="array" ref="AL5">SUM(SUMIFS(Assumptions!CL$3:CL$102,Assumptions!$B$3:$B$102,'Trucks-lcv'!$C5,Assumptions!$G$3:$G$102,{"TRC"}))</f>
        <v>0</v>
      </c>
      <c r="AM5" s="1" cm="1">
        <f ca="1" t="array" ref="AM5">SUM(SUMIFS(Assumptions!CM$3:CM$102,Assumptions!$B$3:$B$102,'Trucks-lcv'!$C5,Assumptions!$G$3:$G$102,{"TRC"}))</f>
        <v>0</v>
      </c>
      <c r="AN5" s="1" cm="1">
        <f ca="1" t="array" ref="AN5">SUM(SUMIFS(Assumptions!CN$3:CN$102,Assumptions!$B$3:$B$102,'Trucks-lcv'!$C5,Assumptions!$G$3:$G$102,{"TRC"}))</f>
        <v>0</v>
      </c>
      <c r="AO5" s="1" cm="1">
        <f ca="1" t="array" ref="AO5">SUM(SUMIFS(Assumptions!CO$3:CO$102,Assumptions!$B$3:$B$102,'Trucks-lcv'!$C5,Assumptions!$G$3:$G$102,{"TRC"}))</f>
        <v>0</v>
      </c>
      <c r="AP5" s="1" cm="1">
        <f ca="1" t="array" ref="AP5">SUM(SUMIFS(Assumptions!CP$3:CP$102,Assumptions!$B$3:$B$102,'Trucks-lcv'!$C5,Assumptions!$G$3:$G$102,{"TRC"}))</f>
        <v>0</v>
      </c>
      <c r="AQ5" s="1" cm="1">
        <f ca="1" t="array" ref="AQ5">SUM(SUMIFS(Assumptions!CQ$3:CQ$102,Assumptions!$B$3:$B$102,'Trucks-lcv'!$C5,Assumptions!$G$3:$G$102,{"TRC"}))</f>
        <v>0</v>
      </c>
      <c r="AR5" s="1" cm="1">
        <f ca="1" t="array" ref="AR5">SUM(SUMIFS(Assumptions!CR$3:CR$102,Assumptions!$B$3:$B$102,'Trucks-lcv'!$C5,Assumptions!$G$3:$G$102,{"TRC"}))</f>
        <v>0</v>
      </c>
      <c r="AS5" s="1" cm="1">
        <f ca="1" t="array" ref="AS5">SUM(SUMIFS(Assumptions!CS$3:CS$102,Assumptions!$B$3:$B$102,'Trucks-lcv'!$C5,Assumptions!$G$3:$G$102,{"TRC"}))</f>
        <v>0</v>
      </c>
      <c r="AT5" s="1" cm="1">
        <f ca="1" t="array" ref="AT5">SUM(SUMIFS(Assumptions!CT$3:CT$102,Assumptions!$B$3:$B$102,'Trucks-lcv'!$C5,Assumptions!$G$3:$G$102,{"TRC"}))</f>
        <v>0</v>
      </c>
      <c r="AU5" s="1" cm="1">
        <f ca="1" t="array" ref="AU5">SUM(SUMIFS(Assumptions!CU$3:CU$102,Assumptions!$B$3:$B$102,'Trucks-lcv'!$C5,Assumptions!$G$3:$G$102,{"TRC"}))</f>
        <v>0</v>
      </c>
      <c r="AV5" s="1" cm="1">
        <f ca="1" t="array" ref="AV5">SUM(SUMIFS(Assumptions!CV$3:CV$102,Assumptions!$B$3:$B$102,'Trucks-lcv'!$C5,Assumptions!$G$3:$G$102,{"TRC"}))</f>
        <v>0</v>
      </c>
      <c r="AW5" s="1" cm="1">
        <f ca="1" t="array" ref="AW5">SUM(SUMIFS(Assumptions!CW$3:CW$102,Assumptions!$B$3:$B$102,'Trucks-lcv'!$C5,Assumptions!$G$3:$G$102,{"TRC"}))</f>
        <v>0</v>
      </c>
      <c r="AX5" s="105" t="str">
        <f ca="1" t="shared" ref="AX5:AX11" si="2">IF(SUM(D5:AW5)=0,"zero","")</f>
        <v>zero</v>
      </c>
      <c r="AY5" t="s">
        <v>133</v>
      </c>
      <c r="BA5" t="str">
        <f t="shared" si="0"/>
        <v/>
      </c>
      <c r="BB5" t="str">
        <f t="shared" si="1"/>
        <v/>
      </c>
      <c r="BD5" t="str">
        <f t="shared" ref="BD5:BD42" si="3">IF(AZ5="","*","DMD")</f>
        <v>*</v>
      </c>
      <c r="BE5">
        <f t="shared" ref="BE5:BE42" si="4">AZ5</f>
        <v>0</v>
      </c>
      <c r="BG5" t="s">
        <v>92</v>
      </c>
      <c r="BH5" t="s">
        <v>144</v>
      </c>
      <c r="BI5" t="s">
        <v>145</v>
      </c>
    </row>
    <row r="6" spans="1:61">
      <c r="A6" t="s">
        <v>78</v>
      </c>
      <c r="C6" s="43" t="s">
        <v>60</v>
      </c>
      <c r="D6" s="1" cm="1">
        <f ca="1" t="array" ref="D6">SUM(SUMIFS(Assumptions!BD$3:BD$102,Assumptions!$B$3:$B$102,'Trucks-lcv'!$C6,Assumptions!$G$3:$G$102,{"TRC"}))</f>
        <v>200.16369874908</v>
      </c>
      <c r="E6" s="1" cm="1">
        <f ca="1" t="array" ref="E6">SUM(SUMIFS(Assumptions!BE$3:BE$102,Assumptions!$B$3:$B$102,'Trucks-lcv'!$C6,Assumptions!$G$3:$G$102,{"TRC"}))</f>
        <v>177.880971621888</v>
      </c>
      <c r="F6" s="1" cm="1">
        <f ca="1" t="array" ref="F6">SUM(SUMIFS(Assumptions!BF$3:BF$102,Assumptions!$B$3:$B$102,'Trucks-lcv'!$C6,Assumptions!$G$3:$G$102,{"TRC"}))</f>
        <v>112.825030567838</v>
      </c>
      <c r="G6" s="1" cm="1">
        <f ca="1" t="array" ref="G6">SUM(SUMIFS(Assumptions!BG$3:BG$102,Assumptions!$B$3:$B$102,'Trucks-lcv'!$C6,Assumptions!$G$3:$G$102,{"TRC"}))</f>
        <v>31.038065232336</v>
      </c>
      <c r="H6" s="1" cm="1">
        <f ca="1" t="array" ref="H6">SUM(SUMIFS(Assumptions!BH$3:BH$102,Assumptions!$B$3:$B$102,'Trucks-lcv'!$C6,Assumptions!$G$3:$G$102,{"TRC"}))</f>
        <v>11.52065521683</v>
      </c>
      <c r="I6" s="1" cm="1">
        <f ca="1" t="array" ref="I6">SUM(SUMIFS(Assumptions!BI$3:BI$102,Assumptions!$B$3:$B$102,'Trucks-lcv'!$C6,Assumptions!$G$3:$G$102,{"TRC"}))</f>
        <v>65.787861804912</v>
      </c>
      <c r="J6" s="1" cm="1">
        <f ca="1" t="array" ref="J6">SUM(SUMIFS(Assumptions!BJ$3:BJ$102,Assumptions!$B$3:$B$102,'Trucks-lcv'!$C6,Assumptions!$G$3:$G$102,{"TRC"}))</f>
        <v>133.547221427659</v>
      </c>
      <c r="K6" s="1" cm="1">
        <f ca="1" t="array" ref="K6">SUM(SUMIFS(Assumptions!BK$3:BK$102,Assumptions!$B$3:$B$102,'Trucks-lcv'!$C6,Assumptions!$G$3:$G$102,{"TRC"}))</f>
        <v>349.323445150596</v>
      </c>
      <c r="L6" s="1" cm="1">
        <f ca="1" t="array" ref="L6">SUM(SUMIFS(Assumptions!BL$3:BL$102,Assumptions!$B$3:$B$102,'Trucks-lcv'!$C6,Assumptions!$G$3:$G$102,{"TRC"}))</f>
        <v>14.45928378408</v>
      </c>
      <c r="M6" s="1" cm="1">
        <f ca="1" t="array" ref="M6">SUM(SUMIFS(Assumptions!BM$3:BM$102,Assumptions!$B$3:$B$102,'Trucks-lcv'!$C6,Assumptions!$G$3:$G$102,{"TRC"}))</f>
        <v>30.983831937216</v>
      </c>
      <c r="N6" s="1" cm="1">
        <f ca="1" t="array" ref="N6">SUM(SUMIFS(Assumptions!BN$3:BN$102,Assumptions!$B$3:$B$102,'Trucks-lcv'!$C6,Assumptions!$G$3:$G$102,{"TRC"}))</f>
        <v>154.368014860656</v>
      </c>
      <c r="O6" s="1" cm="1">
        <f ca="1" t="array" ref="O6">SUM(SUMIFS(Assumptions!BO$3:BO$102,Assumptions!$B$3:$B$102,'Trucks-lcv'!$C6,Assumptions!$G$3:$G$102,{"TRC"}))</f>
        <v>166.7125437876</v>
      </c>
      <c r="P6" s="1" cm="1">
        <f ca="1" t="array" ref="P6">SUM(SUMIFS(Assumptions!BP$3:BP$102,Assumptions!$B$3:$B$102,'Trucks-lcv'!$C6,Assumptions!$G$3:$G$102,{"TRC"}))</f>
        <v>13.481730963216</v>
      </c>
      <c r="Q6" s="1" cm="1">
        <f ca="1" t="array" ref="Q6">SUM(SUMIFS(Assumptions!BQ$3:BQ$102,Assumptions!$B$3:$B$102,'Trucks-lcv'!$C6,Assumptions!$G$3:$G$102,{"TRC"}))</f>
        <v>48.341217006576</v>
      </c>
      <c r="R6" s="1" cm="1">
        <f ca="1" t="array" ref="R6">SUM(SUMIFS(Assumptions!BR$3:BR$102,Assumptions!$B$3:$B$102,'Trucks-lcv'!$C6,Assumptions!$G$3:$G$102,{"TRC"}))</f>
        <v>0.924551449776</v>
      </c>
      <c r="S6" s="1" cm="1">
        <f ca="1" t="array" ref="S6">SUM(SUMIFS(Assumptions!BS$3:BS$102,Assumptions!$B$3:$B$102,'Trucks-lcv'!$C6,Assumptions!$G$3:$G$102,{"TRC"}))</f>
        <v>456.311047631175</v>
      </c>
      <c r="T6" s="1" cm="1">
        <f ca="1" t="array" ref="T6">SUM(SUMIFS(Assumptions!BT$3:BT$102,Assumptions!$B$3:$B$102,'Trucks-lcv'!$C6,Assumptions!$G$3:$G$102,{"TRC"}))</f>
        <v>14.80135622976</v>
      </c>
      <c r="U6" s="1" cm="1">
        <f ca="1" t="array" ref="U6">SUM(SUMIFS(Assumptions!BU$3:BU$102,Assumptions!$B$3:$B$102,'Trucks-lcv'!$C6,Assumptions!$G$3:$G$102,{"TRC"}))</f>
        <v>108.005397975216</v>
      </c>
      <c r="V6" s="1" cm="1">
        <f ca="1" t="array" ref="V6">SUM(SUMIFS(Assumptions!BV$3:BV$102,Assumptions!$B$3:$B$102,'Trucks-lcv'!$C6,Assumptions!$G$3:$G$102,{"TRC"}))</f>
        <v>130.141115197713</v>
      </c>
      <c r="W6" s="1" cm="1">
        <f ca="1" t="array" ref="W6">SUM(SUMIFS(Assumptions!BW$3:BW$102,Assumptions!$B$3:$B$102,'Trucks-lcv'!$C6,Assumptions!$G$3:$G$102,{"TRC"}))</f>
        <v>137.116218190997</v>
      </c>
      <c r="X6" s="1" cm="1">
        <f ca="1" t="array" ref="X6">SUM(SUMIFS(Assumptions!BX$3:BX$102,Assumptions!$B$3:$B$102,'Trucks-lcv'!$C6,Assumptions!$G$3:$G$102,{"TRC"}))</f>
        <v>202.198400273628</v>
      </c>
      <c r="Y6" s="1" cm="1">
        <f ca="1" t="array" ref="Y6">SUM(SUMIFS(Assumptions!BY$3:BY$102,Assumptions!$B$3:$B$102,'Trucks-lcv'!$C6,Assumptions!$G$3:$G$102,{"TRC"}))</f>
        <v>307.319104829787</v>
      </c>
      <c r="Z6" s="1" cm="1">
        <f ca="1" t="array" ref="Z6">SUM(SUMIFS(Assumptions!BZ$3:BZ$102,Assumptions!$B$3:$B$102,'Trucks-lcv'!$C6,Assumptions!$G$3:$G$102,{"TRC"}))</f>
        <v>10.63201937256</v>
      </c>
      <c r="AA6" s="1" cm="1">
        <f ca="1" t="array" ref="AA6">SUM(SUMIFS(Assumptions!CA$3:CA$102,Assumptions!$B$3:$B$102,'Trucks-lcv'!$C6,Assumptions!$G$3:$G$102,{"TRC"}))</f>
        <v>71.135785709136</v>
      </c>
      <c r="AB6" s="1" cm="1">
        <f ca="1" t="array" ref="AB6">SUM(SUMIFS(Assumptions!CB$3:CB$102,Assumptions!$B$3:$B$102,'Trucks-lcv'!$C6,Assumptions!$G$3:$G$102,{"TRC"}))</f>
        <v>369.414166748731</v>
      </c>
      <c r="AC6" s="1" cm="1">
        <f ca="1" t="array" ref="AC6">SUM(SUMIFS(Assumptions!CC$3:CC$102,Assumptions!$B$3:$B$102,'Trucks-lcv'!$C6,Assumptions!$G$3:$G$102,{"TRC"}))</f>
        <v>66.62630518128</v>
      </c>
      <c r="AD6" s="1" cm="1">
        <f ca="1" t="array" ref="AD6">SUM(SUMIFS(Assumptions!CD$3:CD$102,Assumptions!$B$3:$B$102,'Trucks-lcv'!$C6,Assumptions!$G$3:$G$102,{"TRC"}))</f>
        <v>114.99282775134</v>
      </c>
      <c r="AE6" s="1" cm="1">
        <f ca="1" t="array" ref="AE6">SUM(SUMIFS(Assumptions!CE$3:CE$102,Assumptions!$B$3:$B$102,'Trucks-lcv'!$C6,Assumptions!$G$3:$G$102,{"TRC"}))</f>
        <v>62.483074361856</v>
      </c>
      <c r="AF6" s="1" cm="1">
        <f ca="1" t="array" ref="AF6">SUM(SUMIFS(Assumptions!CF$3:CF$102,Assumptions!$B$3:$B$102,'Trucks-lcv'!$C6,Assumptions!$G$3:$G$102,{"TRC"}))</f>
        <v>128.90187620856</v>
      </c>
      <c r="AG6" s="1" cm="1">
        <f ca="1" t="array" ref="AG6">SUM(SUMIFS(Assumptions!CG$3:CG$102,Assumptions!$B$3:$B$102,'Trucks-lcv'!$C6,Assumptions!$G$3:$G$102,{"TRC"}))</f>
        <v>38.695549768704</v>
      </c>
      <c r="AH6" s="1" cm="1">
        <f ca="1" t="array" ref="AH6">SUM(SUMIFS(Assumptions!CH$3:CH$102,Assumptions!$B$3:$B$102,'Trucks-lcv'!$C6,Assumptions!$G$3:$G$102,{"TRC"}))</f>
        <v>13.65782224464</v>
      </c>
      <c r="AI6" s="1" cm="1">
        <f ca="1" t="array" ref="AI6">SUM(SUMIFS(Assumptions!CI$3:CI$102,Assumptions!$B$3:$B$102,'Trucks-lcv'!$C6,Assumptions!$G$3:$G$102,{"TRC"}))</f>
        <v>111.017304209142</v>
      </c>
      <c r="AJ6" s="1" cm="1">
        <f ca="1" t="array" ref="AJ6">SUM(SUMIFS(Assumptions!CJ$3:CJ$102,Assumptions!$B$3:$B$102,'Trucks-lcv'!$C6,Assumptions!$G$3:$G$102,{"TRC"}))</f>
        <v>121.696731869472</v>
      </c>
      <c r="AK6" s="1" cm="1">
        <f ca="1" t="array" ref="AK6">SUM(SUMIFS(Assumptions!CK$3:CK$102,Assumptions!$B$3:$B$102,'Trucks-lcv'!$C6,Assumptions!$G$3:$G$102,{"TRC"}))</f>
        <v>17.270468210862</v>
      </c>
      <c r="AL6" s="1" cm="1">
        <f ca="1" t="array" ref="AL6">SUM(SUMIFS(Assumptions!CL$3:CL$102,Assumptions!$B$3:$B$102,'Trucks-lcv'!$C6,Assumptions!$G$3:$G$102,{"TRC"}))</f>
        <v>22.52647198872</v>
      </c>
      <c r="AM6" s="1" cm="1">
        <f ca="1" t="array" ref="AM6">SUM(SUMIFS(Assumptions!CM$3:CM$102,Assumptions!$B$3:$B$102,'Trucks-lcv'!$C6,Assumptions!$G$3:$G$102,{"TRC"}))</f>
        <v>0</v>
      </c>
      <c r="AN6" s="1" cm="1">
        <f ca="1" t="array" ref="AN6">SUM(SUMIFS(Assumptions!CN$3:CN$102,Assumptions!$B$3:$B$102,'Trucks-lcv'!$C6,Assumptions!$G$3:$G$102,{"TRC"}))</f>
        <v>0</v>
      </c>
      <c r="AO6" s="1" cm="1">
        <f ca="1" t="array" ref="AO6">SUM(SUMIFS(Assumptions!CO$3:CO$102,Assumptions!$B$3:$B$102,'Trucks-lcv'!$C6,Assumptions!$G$3:$G$102,{"TRC"}))</f>
        <v>0</v>
      </c>
      <c r="AP6" s="1" cm="1">
        <f ca="1" t="array" ref="AP6">SUM(SUMIFS(Assumptions!CP$3:CP$102,Assumptions!$B$3:$B$102,'Trucks-lcv'!$C6,Assumptions!$G$3:$G$102,{"TRC"}))</f>
        <v>0</v>
      </c>
      <c r="AQ6" s="1" cm="1">
        <f ca="1" t="array" ref="AQ6">SUM(SUMIFS(Assumptions!CQ$3:CQ$102,Assumptions!$B$3:$B$102,'Trucks-lcv'!$C6,Assumptions!$G$3:$G$102,{"TRC"}))</f>
        <v>0</v>
      </c>
      <c r="AR6" s="1" cm="1">
        <f ca="1" t="array" ref="AR6">SUM(SUMIFS(Assumptions!CR$3:CR$102,Assumptions!$B$3:$B$102,'Trucks-lcv'!$C6,Assumptions!$G$3:$G$102,{"TRC"}))</f>
        <v>0</v>
      </c>
      <c r="AS6" s="1" cm="1">
        <f ca="1" t="array" ref="AS6">SUM(SUMIFS(Assumptions!CS$3:CS$102,Assumptions!$B$3:$B$102,'Trucks-lcv'!$C6,Assumptions!$G$3:$G$102,{"TRC"}))</f>
        <v>0</v>
      </c>
      <c r="AT6" s="1" cm="1">
        <f ca="1" t="array" ref="AT6">SUM(SUMIFS(Assumptions!CT$3:CT$102,Assumptions!$B$3:$B$102,'Trucks-lcv'!$C6,Assumptions!$G$3:$G$102,{"TRC"}))</f>
        <v>0</v>
      </c>
      <c r="AU6" s="1" cm="1">
        <f ca="1" t="array" ref="AU6">SUM(SUMIFS(Assumptions!CU$3:CU$102,Assumptions!$B$3:$B$102,'Trucks-lcv'!$C6,Assumptions!$G$3:$G$102,{"TRC"}))</f>
        <v>0</v>
      </c>
      <c r="AV6" s="1" cm="1">
        <f ca="1" t="array" ref="AV6">SUM(SUMIFS(Assumptions!CV$3:CV$102,Assumptions!$B$3:$B$102,'Trucks-lcv'!$C6,Assumptions!$G$3:$G$102,{"TRC"}))</f>
        <v>0</v>
      </c>
      <c r="AW6" s="1" cm="1">
        <f ca="1" t="array" ref="AW6">SUM(SUMIFS(Assumptions!CW$3:CW$102,Assumptions!$B$3:$B$102,'Trucks-lcv'!$C6,Assumptions!$G$3:$G$102,{"TRC"}))</f>
        <v>0</v>
      </c>
      <c r="AX6" s="105" t="str">
        <f ca="1" t="shared" si="2"/>
        <v/>
      </c>
      <c r="AY6" t="s">
        <v>133</v>
      </c>
      <c r="BA6" t="str">
        <f t="shared" si="0"/>
        <v/>
      </c>
      <c r="BB6" t="str">
        <f t="shared" si="1"/>
        <v/>
      </c>
      <c r="BD6" t="str">
        <f t="shared" si="3"/>
        <v>*</v>
      </c>
      <c r="BE6">
        <f t="shared" si="4"/>
        <v>0</v>
      </c>
      <c r="BG6" t="s">
        <v>92</v>
      </c>
      <c r="BH6" t="s">
        <v>144</v>
      </c>
      <c r="BI6" t="s">
        <v>145</v>
      </c>
    </row>
    <row r="7" spans="1:61">
      <c r="A7" t="s">
        <v>78</v>
      </c>
      <c r="C7" s="43" t="s">
        <v>64</v>
      </c>
      <c r="D7" s="1" cm="1">
        <f ca="1" t="array" ref="D7">SUM(SUMIFS(Assumptions!BD$3:BD$102,Assumptions!$B$3:$B$102,'Trucks-lcv'!$C7,Assumptions!$G$3:$G$102,{"TRC"}))</f>
        <v>0</v>
      </c>
      <c r="E7" s="1" cm="1">
        <f ca="1" t="array" ref="E7">SUM(SUMIFS(Assumptions!BE$3:BE$102,Assumptions!$B$3:$B$102,'Trucks-lcv'!$C7,Assumptions!$G$3:$G$102,{"TRC"}))</f>
        <v>0</v>
      </c>
      <c r="F7" s="1" cm="1">
        <f ca="1" t="array" ref="F7">SUM(SUMIFS(Assumptions!BF$3:BF$102,Assumptions!$B$3:$B$102,'Trucks-lcv'!$C7,Assumptions!$G$3:$G$102,{"TRC"}))</f>
        <v>0</v>
      </c>
      <c r="G7" s="1" cm="1">
        <f ca="1" t="array" ref="G7">SUM(SUMIFS(Assumptions!BG$3:BG$102,Assumptions!$B$3:$B$102,'Trucks-lcv'!$C7,Assumptions!$G$3:$G$102,{"TRC"}))</f>
        <v>0</v>
      </c>
      <c r="H7" s="1" cm="1">
        <f ca="1" t="array" ref="H7">SUM(SUMIFS(Assumptions!BH$3:BH$102,Assumptions!$B$3:$B$102,'Trucks-lcv'!$C7,Assumptions!$G$3:$G$102,{"TRC"}))</f>
        <v>0</v>
      </c>
      <c r="I7" s="1" cm="1">
        <f ca="1" t="array" ref="I7">SUM(SUMIFS(Assumptions!BI$3:BI$102,Assumptions!$B$3:$B$102,'Trucks-lcv'!$C7,Assumptions!$G$3:$G$102,{"TRC"}))</f>
        <v>0</v>
      </c>
      <c r="J7" s="1" cm="1">
        <f ca="1" t="array" ref="J7">SUM(SUMIFS(Assumptions!BJ$3:BJ$102,Assumptions!$B$3:$B$102,'Trucks-lcv'!$C7,Assumptions!$G$3:$G$102,{"TRC"}))</f>
        <v>0</v>
      </c>
      <c r="K7" s="1" cm="1">
        <f ca="1" t="array" ref="K7">SUM(SUMIFS(Assumptions!BK$3:BK$102,Assumptions!$B$3:$B$102,'Trucks-lcv'!$C7,Assumptions!$G$3:$G$102,{"TRC"}))</f>
        <v>24.53630136732</v>
      </c>
      <c r="L7" s="1" cm="1">
        <f ca="1" t="array" ref="L7">SUM(SUMIFS(Assumptions!BL$3:BL$102,Assumptions!$B$3:$B$102,'Trucks-lcv'!$C7,Assumptions!$G$3:$G$102,{"TRC"}))</f>
        <v>0</v>
      </c>
      <c r="M7" s="1" cm="1">
        <f ca="1" t="array" ref="M7">SUM(SUMIFS(Assumptions!BM$3:BM$102,Assumptions!$B$3:$B$102,'Trucks-lcv'!$C7,Assumptions!$G$3:$G$102,{"TRC"}))</f>
        <v>0</v>
      </c>
      <c r="N7" s="1" cm="1">
        <f ca="1" t="array" ref="N7">SUM(SUMIFS(Assumptions!BN$3:BN$102,Assumptions!$B$3:$B$102,'Trucks-lcv'!$C7,Assumptions!$G$3:$G$102,{"TRC"}))</f>
        <v>0</v>
      </c>
      <c r="O7" s="1" cm="1">
        <f ca="1" t="array" ref="O7">SUM(SUMIFS(Assumptions!BO$3:BO$102,Assumptions!$B$3:$B$102,'Trucks-lcv'!$C7,Assumptions!$G$3:$G$102,{"TRC"}))</f>
        <v>0</v>
      </c>
      <c r="P7" s="1" cm="1">
        <f ca="1" t="array" ref="P7">SUM(SUMIFS(Assumptions!BP$3:BP$102,Assumptions!$B$3:$B$102,'Trucks-lcv'!$C7,Assumptions!$G$3:$G$102,{"TRC"}))</f>
        <v>0</v>
      </c>
      <c r="Q7" s="1" cm="1">
        <f ca="1" t="array" ref="Q7">SUM(SUMIFS(Assumptions!BQ$3:BQ$102,Assumptions!$B$3:$B$102,'Trucks-lcv'!$C7,Assumptions!$G$3:$G$102,{"TRC"}))</f>
        <v>0</v>
      </c>
      <c r="R7" s="1" cm="1">
        <f ca="1" t="array" ref="R7">SUM(SUMIFS(Assumptions!BR$3:BR$102,Assumptions!$B$3:$B$102,'Trucks-lcv'!$C7,Assumptions!$G$3:$G$102,{"TRC"}))</f>
        <v>0</v>
      </c>
      <c r="S7" s="1" cm="1">
        <f ca="1" t="array" ref="S7">SUM(SUMIFS(Assumptions!BS$3:BS$102,Assumptions!$B$3:$B$102,'Trucks-lcv'!$C7,Assumptions!$G$3:$G$102,{"TRC"}))</f>
        <v>0</v>
      </c>
      <c r="T7" s="1" cm="1">
        <f ca="1" t="array" ref="T7">SUM(SUMIFS(Assumptions!BT$3:BT$102,Assumptions!$B$3:$B$102,'Trucks-lcv'!$C7,Assumptions!$G$3:$G$102,{"TRC"}))</f>
        <v>0</v>
      </c>
      <c r="U7" s="1" cm="1">
        <f ca="1" t="array" ref="U7">SUM(SUMIFS(Assumptions!BU$3:BU$102,Assumptions!$B$3:$B$102,'Trucks-lcv'!$C7,Assumptions!$G$3:$G$102,{"TRC"}))</f>
        <v>0</v>
      </c>
      <c r="V7" s="1" cm="1">
        <f ca="1" t="array" ref="V7">SUM(SUMIFS(Assumptions!BV$3:BV$102,Assumptions!$B$3:$B$102,'Trucks-lcv'!$C7,Assumptions!$G$3:$G$102,{"TRC"}))</f>
        <v>0</v>
      </c>
      <c r="W7" s="1" cm="1">
        <f ca="1" t="array" ref="W7">SUM(SUMIFS(Assumptions!BW$3:BW$102,Assumptions!$B$3:$B$102,'Trucks-lcv'!$C7,Assumptions!$G$3:$G$102,{"TRC"}))</f>
        <v>0</v>
      </c>
      <c r="X7" s="1" cm="1">
        <f ca="1" t="array" ref="X7">SUM(SUMIFS(Assumptions!BX$3:BX$102,Assumptions!$B$3:$B$102,'Trucks-lcv'!$C7,Assumptions!$G$3:$G$102,{"TRC"}))</f>
        <v>0</v>
      </c>
      <c r="Y7" s="1" cm="1">
        <f ca="1" t="array" ref="Y7">SUM(SUMIFS(Assumptions!BY$3:BY$102,Assumptions!$B$3:$B$102,'Trucks-lcv'!$C7,Assumptions!$G$3:$G$102,{"TRC"}))</f>
        <v>0</v>
      </c>
      <c r="Z7" s="1" cm="1">
        <f ca="1" t="array" ref="Z7">SUM(SUMIFS(Assumptions!BZ$3:BZ$102,Assumptions!$B$3:$B$102,'Trucks-lcv'!$C7,Assumptions!$G$3:$G$102,{"TRC"}))</f>
        <v>0</v>
      </c>
      <c r="AA7" s="1" cm="1">
        <f ca="1" t="array" ref="AA7">SUM(SUMIFS(Assumptions!CA$3:CA$102,Assumptions!$B$3:$B$102,'Trucks-lcv'!$C7,Assumptions!$G$3:$G$102,{"TRC"}))</f>
        <v>0</v>
      </c>
      <c r="AB7" s="1" cm="1">
        <f ca="1" t="array" ref="AB7">SUM(SUMIFS(Assumptions!CB$3:CB$102,Assumptions!$B$3:$B$102,'Trucks-lcv'!$C7,Assumptions!$G$3:$G$102,{"TRC"}))</f>
        <v>0</v>
      </c>
      <c r="AC7" s="1" cm="1">
        <f ca="1" t="array" ref="AC7">SUM(SUMIFS(Assumptions!CC$3:CC$102,Assumptions!$B$3:$B$102,'Trucks-lcv'!$C7,Assumptions!$G$3:$G$102,{"TRC"}))</f>
        <v>0</v>
      </c>
      <c r="AD7" s="1" cm="1">
        <f ca="1" t="array" ref="AD7">SUM(SUMIFS(Assumptions!CD$3:CD$102,Assumptions!$B$3:$B$102,'Trucks-lcv'!$C7,Assumptions!$G$3:$G$102,{"TRC"}))</f>
        <v>0</v>
      </c>
      <c r="AE7" s="1" cm="1">
        <f ca="1" t="array" ref="AE7">SUM(SUMIFS(Assumptions!CE$3:CE$102,Assumptions!$B$3:$B$102,'Trucks-lcv'!$C7,Assumptions!$G$3:$G$102,{"TRC"}))</f>
        <v>0</v>
      </c>
      <c r="AF7" s="1" cm="1">
        <f ca="1" t="array" ref="AF7">SUM(SUMIFS(Assumptions!CF$3:CF$102,Assumptions!$B$3:$B$102,'Trucks-lcv'!$C7,Assumptions!$G$3:$G$102,{"TRC"}))</f>
        <v>0</v>
      </c>
      <c r="AG7" s="1" cm="1">
        <f ca="1" t="array" ref="AG7">SUM(SUMIFS(Assumptions!CG$3:CG$102,Assumptions!$B$3:$B$102,'Trucks-lcv'!$C7,Assumptions!$G$3:$G$102,{"TRC"}))</f>
        <v>0</v>
      </c>
      <c r="AH7" s="1" cm="1">
        <f ca="1" t="array" ref="AH7">SUM(SUMIFS(Assumptions!CH$3:CH$102,Assumptions!$B$3:$B$102,'Trucks-lcv'!$C7,Assumptions!$G$3:$G$102,{"TRC"}))</f>
        <v>0</v>
      </c>
      <c r="AI7" s="1" cm="1">
        <f ca="1" t="array" ref="AI7">SUM(SUMIFS(Assumptions!CI$3:CI$102,Assumptions!$B$3:$B$102,'Trucks-lcv'!$C7,Assumptions!$G$3:$G$102,{"TRC"}))</f>
        <v>0</v>
      </c>
      <c r="AJ7" s="1" cm="1">
        <f ca="1" t="array" ref="AJ7">SUM(SUMIFS(Assumptions!CJ$3:CJ$102,Assumptions!$B$3:$B$102,'Trucks-lcv'!$C7,Assumptions!$G$3:$G$102,{"TRC"}))</f>
        <v>0</v>
      </c>
      <c r="AK7" s="1" cm="1">
        <f ca="1" t="array" ref="AK7">SUM(SUMIFS(Assumptions!CK$3:CK$102,Assumptions!$B$3:$B$102,'Trucks-lcv'!$C7,Assumptions!$G$3:$G$102,{"TRC"}))</f>
        <v>0</v>
      </c>
      <c r="AL7" s="1" cm="1">
        <f ca="1" t="array" ref="AL7">SUM(SUMIFS(Assumptions!CL$3:CL$102,Assumptions!$B$3:$B$102,'Trucks-lcv'!$C7,Assumptions!$G$3:$G$102,{"TRC"}))</f>
        <v>0</v>
      </c>
      <c r="AM7" s="1" cm="1">
        <f ca="1" t="array" ref="AM7">SUM(SUMIFS(Assumptions!CM$3:CM$102,Assumptions!$B$3:$B$102,'Trucks-lcv'!$C7,Assumptions!$G$3:$G$102,{"TRC"}))</f>
        <v>0</v>
      </c>
      <c r="AN7" s="1" cm="1">
        <f ca="1" t="array" ref="AN7">SUM(SUMIFS(Assumptions!CN$3:CN$102,Assumptions!$B$3:$B$102,'Trucks-lcv'!$C7,Assumptions!$G$3:$G$102,{"TRC"}))</f>
        <v>0</v>
      </c>
      <c r="AO7" s="1" cm="1">
        <f ca="1" t="array" ref="AO7">SUM(SUMIFS(Assumptions!CO$3:CO$102,Assumptions!$B$3:$B$102,'Trucks-lcv'!$C7,Assumptions!$G$3:$G$102,{"TRC"}))</f>
        <v>0</v>
      </c>
      <c r="AP7" s="1" cm="1">
        <f ca="1" t="array" ref="AP7">SUM(SUMIFS(Assumptions!CP$3:CP$102,Assumptions!$B$3:$B$102,'Trucks-lcv'!$C7,Assumptions!$G$3:$G$102,{"TRC"}))</f>
        <v>0</v>
      </c>
      <c r="AQ7" s="1" cm="1">
        <f ca="1" t="array" ref="AQ7">SUM(SUMIFS(Assumptions!CQ$3:CQ$102,Assumptions!$B$3:$B$102,'Trucks-lcv'!$C7,Assumptions!$G$3:$G$102,{"TRC"}))</f>
        <v>0</v>
      </c>
      <c r="AR7" s="1" cm="1">
        <f ca="1" t="array" ref="AR7">SUM(SUMIFS(Assumptions!CR$3:CR$102,Assumptions!$B$3:$B$102,'Trucks-lcv'!$C7,Assumptions!$G$3:$G$102,{"TRC"}))</f>
        <v>0</v>
      </c>
      <c r="AS7" s="1" cm="1">
        <f ca="1" t="array" ref="AS7">SUM(SUMIFS(Assumptions!CS$3:CS$102,Assumptions!$B$3:$B$102,'Trucks-lcv'!$C7,Assumptions!$G$3:$G$102,{"TRC"}))</f>
        <v>0</v>
      </c>
      <c r="AT7" s="1" cm="1">
        <f ca="1" t="array" ref="AT7">SUM(SUMIFS(Assumptions!CT$3:CT$102,Assumptions!$B$3:$B$102,'Trucks-lcv'!$C7,Assumptions!$G$3:$G$102,{"TRC"}))</f>
        <v>0</v>
      </c>
      <c r="AU7" s="1" cm="1">
        <f ca="1" t="array" ref="AU7">SUM(SUMIFS(Assumptions!CU$3:CU$102,Assumptions!$B$3:$B$102,'Trucks-lcv'!$C7,Assumptions!$G$3:$G$102,{"TRC"}))</f>
        <v>0</v>
      </c>
      <c r="AV7" s="1" cm="1">
        <f ca="1" t="array" ref="AV7">SUM(SUMIFS(Assumptions!CV$3:CV$102,Assumptions!$B$3:$B$102,'Trucks-lcv'!$C7,Assumptions!$G$3:$G$102,{"TRC"}))</f>
        <v>0</v>
      </c>
      <c r="AW7" s="1" cm="1">
        <f ca="1" t="array" ref="AW7">SUM(SUMIFS(Assumptions!CW$3:CW$102,Assumptions!$B$3:$B$102,'Trucks-lcv'!$C7,Assumptions!$G$3:$G$102,{"TRC"}))</f>
        <v>0</v>
      </c>
      <c r="AX7" s="105" t="str">
        <f ca="1" t="shared" si="2"/>
        <v/>
      </c>
      <c r="AY7" t="s">
        <v>133</v>
      </c>
      <c r="BA7" t="str">
        <f t="shared" si="0"/>
        <v/>
      </c>
      <c r="BB7" t="str">
        <f t="shared" si="1"/>
        <v/>
      </c>
      <c r="BD7" t="str">
        <f t="shared" si="3"/>
        <v>*</v>
      </c>
      <c r="BE7">
        <f t="shared" si="4"/>
        <v>0</v>
      </c>
      <c r="BG7" t="s">
        <v>92</v>
      </c>
      <c r="BH7" t="s">
        <v>144</v>
      </c>
      <c r="BI7" t="s">
        <v>145</v>
      </c>
    </row>
    <row r="8" spans="1:61">
      <c r="A8" t="s">
        <v>78</v>
      </c>
      <c r="C8" s="43" t="s">
        <v>66</v>
      </c>
      <c r="D8" s="1" cm="1">
        <f ca="1" t="array" ref="D8">SUM(SUMIFS(Assumptions!BD$3:BD$102,Assumptions!$B$3:$B$102,'Trucks-lcv'!$C8,Assumptions!$G$3:$G$102,{"TRC"}))</f>
        <v>0</v>
      </c>
      <c r="E8" s="1" cm="1">
        <f ca="1" t="array" ref="E8">SUM(SUMIFS(Assumptions!BE$3:BE$102,Assumptions!$B$3:$B$102,'Trucks-lcv'!$C8,Assumptions!$G$3:$G$102,{"TRC"}))</f>
        <v>0</v>
      </c>
      <c r="F8" s="1" cm="1">
        <f ca="1" t="array" ref="F8">SUM(SUMIFS(Assumptions!BF$3:BF$102,Assumptions!$B$3:$B$102,'Trucks-lcv'!$C8,Assumptions!$G$3:$G$102,{"TRC"}))</f>
        <v>54.047574407916</v>
      </c>
      <c r="G8" s="1" cm="1">
        <f ca="1" t="array" ref="G8">SUM(SUMIFS(Assumptions!BG$3:BG$102,Assumptions!$B$3:$B$102,'Trucks-lcv'!$C8,Assumptions!$G$3:$G$102,{"TRC"}))</f>
        <v>1.9734588605268</v>
      </c>
      <c r="H8" s="1" cm="1">
        <f ca="1" t="array" ref="H8">SUM(SUMIFS(Assumptions!BH$3:BH$102,Assumptions!$B$3:$B$102,'Trucks-lcv'!$C8,Assumptions!$G$3:$G$102,{"TRC"}))</f>
        <v>4.771126911078</v>
      </c>
      <c r="I8" s="1" cm="1">
        <f ca="1" t="array" ref="I8">SUM(SUMIFS(Assumptions!BI$3:BI$102,Assumptions!$B$3:$B$102,'Trucks-lcv'!$C8,Assumptions!$G$3:$G$102,{"TRC"}))</f>
        <v>7.63549309094581</v>
      </c>
      <c r="J8" s="1" cm="1">
        <f ca="1" t="array" ref="J8">SUM(SUMIFS(Assumptions!BJ$3:BJ$102,Assumptions!$B$3:$B$102,'Trucks-lcv'!$C8,Assumptions!$G$3:$G$102,{"TRC"}))</f>
        <v>52.0945467420168</v>
      </c>
      <c r="K8" s="1" cm="1">
        <f ca="1" t="array" ref="K8">SUM(SUMIFS(Assumptions!BK$3:BK$102,Assumptions!$B$3:$B$102,'Trucks-lcv'!$C8,Assumptions!$G$3:$G$102,{"TRC"}))</f>
        <v>480.15157898592</v>
      </c>
      <c r="L8" s="1" cm="1">
        <f ca="1" t="array" ref="L8">SUM(SUMIFS(Assumptions!BL$3:BL$102,Assumptions!$B$3:$B$102,'Trucks-lcv'!$C8,Assumptions!$G$3:$G$102,{"TRC"}))</f>
        <v>1.87927302222</v>
      </c>
      <c r="M8" s="1" cm="1">
        <f ca="1" t="array" ref="M8">SUM(SUMIFS(Assumptions!BM$3:BM$102,Assumptions!$B$3:$B$102,'Trucks-lcv'!$C8,Assumptions!$G$3:$G$102,{"TRC"}))</f>
        <v>4.4550001278</v>
      </c>
      <c r="N8" s="1" cm="1">
        <f ca="1" t="array" ref="N8">SUM(SUMIFS(Assumptions!BN$3:BN$102,Assumptions!$B$3:$B$102,'Trucks-lcv'!$C8,Assumptions!$G$3:$G$102,{"TRC"}))</f>
        <v>9.37944216807661</v>
      </c>
      <c r="O8" s="1" cm="1">
        <f ca="1" t="array" ref="O8">SUM(SUMIFS(Assumptions!BO$3:BO$102,Assumptions!$B$3:$B$102,'Trucks-lcv'!$C8,Assumptions!$G$3:$G$102,{"TRC"}))</f>
        <v>20.5944419935818</v>
      </c>
      <c r="P8" s="1" cm="1">
        <f ca="1" t="array" ref="P8">SUM(SUMIFS(Assumptions!BP$3:BP$102,Assumptions!$B$3:$B$102,'Trucks-lcv'!$C8,Assumptions!$G$3:$G$102,{"TRC"}))</f>
        <v>3.220936567731</v>
      </c>
      <c r="Q8" s="1" cm="1">
        <f ca="1" t="array" ref="Q8">SUM(SUMIFS(Assumptions!BQ$3:BQ$102,Assumptions!$B$3:$B$102,'Trucks-lcv'!$C8,Assumptions!$G$3:$G$102,{"TRC"}))</f>
        <v>6.94337614092</v>
      </c>
      <c r="R8" s="1" cm="1">
        <f ca="1" t="array" ref="R8">SUM(SUMIFS(Assumptions!BR$3:BR$102,Assumptions!$B$3:$B$102,'Trucks-lcv'!$C8,Assumptions!$G$3:$G$102,{"TRC"}))</f>
        <v>0.1489050052866</v>
      </c>
      <c r="S8" s="1" cm="1">
        <f ca="1" t="array" ref="S8">SUM(SUMIFS(Assumptions!BS$3:BS$102,Assumptions!$B$3:$B$102,'Trucks-lcv'!$C8,Assumptions!$G$3:$G$102,{"TRC"}))</f>
        <v>0</v>
      </c>
      <c r="T8" s="1" cm="1">
        <f ca="1" t="array" ref="T8">SUM(SUMIFS(Assumptions!BT$3:BT$102,Assumptions!$B$3:$B$102,'Trucks-lcv'!$C8,Assumptions!$G$3:$G$102,{"TRC"}))</f>
        <v>0.918631456927201</v>
      </c>
      <c r="U8" s="1" cm="1">
        <f ca="1" t="array" ref="U8">SUM(SUMIFS(Assumptions!BU$3:BU$102,Assumptions!$B$3:$B$102,'Trucks-lcv'!$C8,Assumptions!$G$3:$G$102,{"TRC"}))</f>
        <v>9.30467244311101</v>
      </c>
      <c r="V8" s="1" cm="1">
        <f ca="1" t="array" ref="V8">SUM(SUMIFS(Assumptions!BV$3:BV$102,Assumptions!$B$3:$B$102,'Trucks-lcv'!$C8,Assumptions!$G$3:$G$102,{"TRC"}))</f>
        <v>158.45382288072</v>
      </c>
      <c r="W8" s="1" cm="1">
        <f ca="1" t="array" ref="W8">SUM(SUMIFS(Assumptions!BW$3:BW$102,Assumptions!$B$3:$B$102,'Trucks-lcv'!$C8,Assumptions!$G$3:$G$102,{"TRC"}))</f>
        <v>99.0518557448664</v>
      </c>
      <c r="X8" s="1" cm="1">
        <f ca="1" t="array" ref="X8">SUM(SUMIFS(Assumptions!BX$3:BX$102,Assumptions!$B$3:$B$102,'Trucks-lcv'!$C8,Assumptions!$G$3:$G$102,{"TRC"}))</f>
        <v>389.33794274067</v>
      </c>
      <c r="Y8" s="1" cm="1">
        <f ca="1" t="array" ref="Y8">SUM(SUMIFS(Assumptions!BY$3:BY$102,Assumptions!$B$3:$B$102,'Trucks-lcv'!$C8,Assumptions!$G$3:$G$102,{"TRC"}))</f>
        <v>2550.26765403462</v>
      </c>
      <c r="Z8" s="1" cm="1">
        <f ca="1" t="array" ref="Z8">SUM(SUMIFS(Assumptions!BZ$3:BZ$102,Assumptions!$B$3:$B$102,'Trucks-lcv'!$C8,Assumptions!$G$3:$G$102,{"TRC"}))</f>
        <v>0.795032285173201</v>
      </c>
      <c r="AA8" s="1" cm="1">
        <f ca="1" t="array" ref="AA8">SUM(SUMIFS(Assumptions!CA$3:CA$102,Assumptions!$B$3:$B$102,'Trucks-lcv'!$C8,Assumptions!$G$3:$G$102,{"TRC"}))</f>
        <v>9.71584453728</v>
      </c>
      <c r="AB8" s="1" cm="1">
        <f ca="1" t="array" ref="AB8">SUM(SUMIFS(Assumptions!CB$3:CB$102,Assumptions!$B$3:$B$102,'Trucks-lcv'!$C8,Assumptions!$G$3:$G$102,{"TRC"}))</f>
        <v>0</v>
      </c>
      <c r="AC8" s="1" cm="1">
        <f ca="1" t="array" ref="AC8">SUM(SUMIFS(Assumptions!CC$3:CC$102,Assumptions!$B$3:$B$102,'Trucks-lcv'!$C8,Assumptions!$G$3:$G$102,{"TRC"}))</f>
        <v>255.249548666442</v>
      </c>
      <c r="AD8" s="1" cm="1">
        <f ca="1" t="array" ref="AD8">SUM(SUMIFS(Assumptions!CD$3:CD$102,Assumptions!$B$3:$B$102,'Trucks-lcv'!$C8,Assumptions!$G$3:$G$102,{"TRC"}))</f>
        <v>168.196163539932</v>
      </c>
      <c r="AE8" s="1" cm="1">
        <f ca="1" t="array" ref="AE8">SUM(SUMIFS(Assumptions!CE$3:CE$102,Assumptions!$B$3:$B$102,'Trucks-lcv'!$C8,Assumptions!$G$3:$G$102,{"TRC"}))</f>
        <v>0</v>
      </c>
      <c r="AF8" s="1" cm="1">
        <f ca="1" t="array" ref="AF8">SUM(SUMIFS(Assumptions!CF$3:CF$102,Assumptions!$B$3:$B$102,'Trucks-lcv'!$C8,Assumptions!$G$3:$G$102,{"TRC"}))</f>
        <v>7.72745272186321</v>
      </c>
      <c r="AG8" s="1" cm="1">
        <f ca="1" t="array" ref="AG8">SUM(SUMIFS(Assumptions!CG$3:CG$102,Assumptions!$B$3:$B$102,'Trucks-lcv'!$C8,Assumptions!$G$3:$G$102,{"TRC"}))</f>
        <v>5.419647619146</v>
      </c>
      <c r="AH8" s="1" cm="1">
        <f ca="1" t="array" ref="AH8">SUM(SUMIFS(Assumptions!CH$3:CH$102,Assumptions!$B$3:$B$102,'Trucks-lcv'!$C8,Assumptions!$G$3:$G$102,{"TRC"}))</f>
        <v>2.8463894213778</v>
      </c>
      <c r="AI8" s="1" cm="1">
        <f ca="1" t="array" ref="AI8">SUM(SUMIFS(Assumptions!CI$3:CI$102,Assumptions!$B$3:$B$102,'Trucks-lcv'!$C8,Assumptions!$G$3:$G$102,{"TRC"}))</f>
        <v>16.385819791176</v>
      </c>
      <c r="AJ8" s="1" cm="1">
        <f ca="1" t="array" ref="AJ8">SUM(SUMIFS(Assumptions!CJ$3:CJ$102,Assumptions!$B$3:$B$102,'Trucks-lcv'!$C8,Assumptions!$G$3:$G$102,{"TRC"}))</f>
        <v>14.6886411721428</v>
      </c>
      <c r="AK8" s="1" cm="1">
        <f ca="1" t="array" ref="AK8">SUM(SUMIFS(Assumptions!CK$3:CK$102,Assumptions!$B$3:$B$102,'Trucks-lcv'!$C8,Assumptions!$G$3:$G$102,{"TRC"}))</f>
        <v>12.729829496472</v>
      </c>
      <c r="AL8" s="1" cm="1">
        <f ca="1" t="array" ref="AL8">SUM(SUMIFS(Assumptions!CL$3:CL$102,Assumptions!$B$3:$B$102,'Trucks-lcv'!$C8,Assumptions!$G$3:$G$102,{"TRC"}))</f>
        <v>1.95596054442</v>
      </c>
      <c r="AM8" s="1" cm="1">
        <f ca="1" t="array" ref="AM8">SUM(SUMIFS(Assumptions!CM$3:CM$102,Assumptions!$B$3:$B$102,'Trucks-lcv'!$C8,Assumptions!$G$3:$G$102,{"TRC"}))</f>
        <v>0</v>
      </c>
      <c r="AN8" s="1" cm="1">
        <f ca="1" t="array" ref="AN8">SUM(SUMIFS(Assumptions!CN$3:CN$102,Assumptions!$B$3:$B$102,'Trucks-lcv'!$C8,Assumptions!$G$3:$G$102,{"TRC"}))</f>
        <v>0</v>
      </c>
      <c r="AO8" s="1" cm="1">
        <f ca="1" t="array" ref="AO8">SUM(SUMIFS(Assumptions!CO$3:CO$102,Assumptions!$B$3:$B$102,'Trucks-lcv'!$C8,Assumptions!$G$3:$G$102,{"TRC"}))</f>
        <v>0</v>
      </c>
      <c r="AP8" s="1" cm="1">
        <f ca="1" t="array" ref="AP8">SUM(SUMIFS(Assumptions!CP$3:CP$102,Assumptions!$B$3:$B$102,'Trucks-lcv'!$C8,Assumptions!$G$3:$G$102,{"TRC"}))</f>
        <v>0</v>
      </c>
      <c r="AQ8" s="1" cm="1">
        <f ca="1" t="array" ref="AQ8">SUM(SUMIFS(Assumptions!CQ$3:CQ$102,Assumptions!$B$3:$B$102,'Trucks-lcv'!$C8,Assumptions!$G$3:$G$102,{"TRC"}))</f>
        <v>0</v>
      </c>
      <c r="AR8" s="1" cm="1">
        <f ca="1" t="array" ref="AR8">SUM(SUMIFS(Assumptions!CR$3:CR$102,Assumptions!$B$3:$B$102,'Trucks-lcv'!$C8,Assumptions!$G$3:$G$102,{"TRC"}))</f>
        <v>0</v>
      </c>
      <c r="AS8" s="1" cm="1">
        <f ca="1" t="array" ref="AS8">SUM(SUMIFS(Assumptions!CS$3:CS$102,Assumptions!$B$3:$B$102,'Trucks-lcv'!$C8,Assumptions!$G$3:$G$102,{"TRC"}))</f>
        <v>0</v>
      </c>
      <c r="AT8" s="1" cm="1">
        <f ca="1" t="array" ref="AT8">SUM(SUMIFS(Assumptions!CT$3:CT$102,Assumptions!$B$3:$B$102,'Trucks-lcv'!$C8,Assumptions!$G$3:$G$102,{"TRC"}))</f>
        <v>0</v>
      </c>
      <c r="AU8" s="1" cm="1">
        <f ca="1" t="array" ref="AU8">SUM(SUMIFS(Assumptions!CU$3:CU$102,Assumptions!$B$3:$B$102,'Trucks-lcv'!$C8,Assumptions!$G$3:$G$102,{"TRC"}))</f>
        <v>0</v>
      </c>
      <c r="AV8" s="1" cm="1">
        <f ca="1" t="array" ref="AV8">SUM(SUMIFS(Assumptions!CV$3:CV$102,Assumptions!$B$3:$B$102,'Trucks-lcv'!$C8,Assumptions!$G$3:$G$102,{"TRC"}))</f>
        <v>0</v>
      </c>
      <c r="AW8" s="1" cm="1">
        <f ca="1" t="array" ref="AW8">SUM(SUMIFS(Assumptions!CW$3:CW$102,Assumptions!$B$3:$B$102,'Trucks-lcv'!$C8,Assumptions!$G$3:$G$102,{"TRC"}))</f>
        <v>0</v>
      </c>
      <c r="AX8" s="105" t="str">
        <f ca="1" t="shared" si="2"/>
        <v/>
      </c>
      <c r="AY8" t="s">
        <v>133</v>
      </c>
      <c r="BA8" t="str">
        <f t="shared" si="0"/>
        <v/>
      </c>
      <c r="BB8" t="str">
        <f t="shared" si="1"/>
        <v/>
      </c>
      <c r="BD8" t="str">
        <f t="shared" si="3"/>
        <v>*</v>
      </c>
      <c r="BE8">
        <f t="shared" si="4"/>
        <v>0</v>
      </c>
      <c r="BG8" t="s">
        <v>92</v>
      </c>
      <c r="BH8" t="s">
        <v>144</v>
      </c>
      <c r="BI8" t="s">
        <v>145</v>
      </c>
    </row>
    <row r="9" spans="1:61">
      <c r="A9" t="s">
        <v>78</v>
      </c>
      <c r="C9" s="43" t="s">
        <v>74</v>
      </c>
      <c r="D9" s="1" cm="1">
        <f ca="1" t="array" ref="D9">SUM(SUMIFS(Assumptions!BD$3:BD$102,Assumptions!$B$3:$B$102,'Trucks-lcv'!$C9,Assumptions!$G$3:$G$102,{"TRC"}))</f>
        <v>12.023197888464</v>
      </c>
      <c r="E9" s="1" cm="1">
        <f ca="1" t="array" ref="E9">SUM(SUMIFS(Assumptions!BE$3:BE$102,Assumptions!$B$3:$B$102,'Trucks-lcv'!$C9,Assumptions!$G$3:$G$102,{"TRC"}))</f>
        <v>0.006900181344</v>
      </c>
      <c r="F9" s="1" cm="1">
        <f ca="1" t="array" ref="F9">SUM(SUMIFS(Assumptions!BF$3:BF$102,Assumptions!$B$3:$B$102,'Trucks-lcv'!$C9,Assumptions!$G$3:$G$102,{"TRC"}))</f>
        <v>2.28116395422</v>
      </c>
      <c r="G9" s="1" cm="1">
        <f ca="1" t="array" ref="G9">SUM(SUMIFS(Assumptions!BG$3:BG$102,Assumptions!$B$3:$B$102,'Trucks-lcv'!$C9,Assumptions!$G$3:$G$102,{"TRC"}))</f>
        <v>0.0548439399</v>
      </c>
      <c r="H9" s="1" cm="1">
        <f ca="1" t="array" ref="H9">SUM(SUMIFS(Assumptions!BH$3:BH$102,Assumptions!$B$3:$B$102,'Trucks-lcv'!$C9,Assumptions!$G$3:$G$102,{"TRC"}))</f>
        <v>2.974851776952</v>
      </c>
      <c r="I9" s="1" cm="1">
        <f ca="1" t="array" ref="I9">SUM(SUMIFS(Assumptions!BI$3:BI$102,Assumptions!$B$3:$B$102,'Trucks-lcv'!$C9,Assumptions!$G$3:$G$102,{"TRC"}))</f>
        <v>2.0472415767</v>
      </c>
      <c r="J9" s="1" cm="1">
        <f ca="1" t="array" ref="J9">SUM(SUMIFS(Assumptions!BJ$3:BJ$102,Assumptions!$B$3:$B$102,'Trucks-lcv'!$C9,Assumptions!$G$3:$G$102,{"TRC"}))</f>
        <v>0</v>
      </c>
      <c r="K9" s="1" cm="1">
        <f ca="1" t="array" ref="K9">SUM(SUMIFS(Assumptions!BK$3:BK$102,Assumptions!$B$3:$B$102,'Trucks-lcv'!$C9,Assumptions!$G$3:$G$102,{"TRC"}))</f>
        <v>9.396258891984</v>
      </c>
      <c r="L9" s="1" cm="1">
        <f ca="1" t="array" ref="L9">SUM(SUMIFS(Assumptions!BL$3:BL$102,Assumptions!$B$3:$B$102,'Trucks-lcv'!$C9,Assumptions!$G$3:$G$102,{"TRC"}))</f>
        <v>1.586672349624</v>
      </c>
      <c r="M9" s="1" cm="1">
        <f ca="1" t="array" ref="M9">SUM(SUMIFS(Assumptions!BM$3:BM$102,Assumptions!$B$3:$B$102,'Trucks-lcv'!$C9,Assumptions!$G$3:$G$102,{"TRC"}))</f>
        <v>1.740639658752</v>
      </c>
      <c r="N9" s="1" cm="1">
        <f ca="1" t="array" ref="N9">SUM(SUMIFS(Assumptions!BN$3:BN$102,Assumptions!$B$3:$B$102,'Trucks-lcv'!$C9,Assumptions!$G$3:$G$102,{"TRC"}))</f>
        <v>0.6051412314</v>
      </c>
      <c r="O9" s="1" cm="1">
        <f ca="1" t="array" ref="O9">SUM(SUMIFS(Assumptions!BO$3:BO$102,Assumptions!$B$3:$B$102,'Trucks-lcv'!$C9,Assumptions!$G$3:$G$102,{"TRC"}))</f>
        <v>3.8985000921</v>
      </c>
      <c r="P9" s="1" cm="1">
        <f ca="1" t="array" ref="P9">SUM(SUMIFS(Assumptions!BP$3:BP$102,Assumptions!$B$3:$B$102,'Trucks-lcv'!$C9,Assumptions!$G$3:$G$102,{"TRC"}))</f>
        <v>2.5211507022</v>
      </c>
      <c r="Q9" s="1" cm="1">
        <f ca="1" t="array" ref="Q9">SUM(SUMIFS(Assumptions!BQ$3:BQ$102,Assumptions!$B$3:$B$102,'Trucks-lcv'!$C9,Assumptions!$G$3:$G$102,{"TRC"}))</f>
        <v>10.026214993908</v>
      </c>
      <c r="R9" s="1" cm="1">
        <f ca="1" t="array" ref="R9">SUM(SUMIFS(Assumptions!BR$3:BR$102,Assumptions!$B$3:$B$102,'Trucks-lcv'!$C9,Assumptions!$G$3:$G$102,{"TRC"}))</f>
        <v>0</v>
      </c>
      <c r="S9" s="1" cm="1">
        <f ca="1" t="array" ref="S9">SUM(SUMIFS(Assumptions!BS$3:BS$102,Assumptions!$B$3:$B$102,'Trucks-lcv'!$C9,Assumptions!$G$3:$G$102,{"TRC"}))</f>
        <v>1.2196305405</v>
      </c>
      <c r="T9" s="1" cm="1">
        <f ca="1" t="array" ref="T9">SUM(SUMIFS(Assumptions!BT$3:BT$102,Assumptions!$B$3:$B$102,'Trucks-lcv'!$C9,Assumptions!$G$3:$G$102,{"TRC"}))</f>
        <v>0.0166289229</v>
      </c>
      <c r="U9" s="1" cm="1">
        <f ca="1" t="array" ref="U9">SUM(SUMIFS(Assumptions!BU$3:BU$102,Assumptions!$B$3:$B$102,'Trucks-lcv'!$C9,Assumptions!$G$3:$G$102,{"TRC"}))</f>
        <v>19.0179413343</v>
      </c>
      <c r="V9" s="1" cm="1">
        <f ca="1" t="array" ref="V9">SUM(SUMIFS(Assumptions!BV$3:BV$102,Assumptions!$B$3:$B$102,'Trucks-lcv'!$C9,Assumptions!$G$3:$G$102,{"TRC"}))</f>
        <v>12.834758240712</v>
      </c>
      <c r="W9" s="1" cm="1">
        <f ca="1" t="array" ref="W9">SUM(SUMIFS(Assumptions!BW$3:BW$102,Assumptions!$B$3:$B$102,'Trucks-lcv'!$C9,Assumptions!$G$3:$G$102,{"TRC"}))</f>
        <v>0</v>
      </c>
      <c r="X9" s="1" cm="1">
        <f ca="1" t="array" ref="X9">SUM(SUMIFS(Assumptions!BX$3:BX$102,Assumptions!$B$3:$B$102,'Trucks-lcv'!$C9,Assumptions!$G$3:$G$102,{"TRC"}))</f>
        <v>0.786389729328</v>
      </c>
      <c r="Y9" s="1" cm="1">
        <f ca="1" t="array" ref="Y9">SUM(SUMIFS(Assumptions!BY$3:BY$102,Assumptions!$B$3:$B$102,'Trucks-lcv'!$C9,Assumptions!$G$3:$G$102,{"TRC"}))</f>
        <v>20.3148084176951</v>
      </c>
      <c r="Z9" s="1" cm="1">
        <f ca="1" t="array" ref="Z9">SUM(SUMIFS(Assumptions!BZ$3:BZ$102,Assumptions!$B$3:$B$102,'Trucks-lcv'!$C9,Assumptions!$G$3:$G$102,{"TRC"}))</f>
        <v>0.0536821029</v>
      </c>
      <c r="AA9" s="1" cm="1">
        <f ca="1" t="array" ref="AA9">SUM(SUMIFS(Assumptions!CA$3:CA$102,Assumptions!$B$3:$B$102,'Trucks-lcv'!$C9,Assumptions!$G$3:$G$102,{"TRC"}))</f>
        <v>38.274299534052</v>
      </c>
      <c r="AB9" s="1" cm="1">
        <f ca="1" t="array" ref="AB9">SUM(SUMIFS(Assumptions!CB$3:CB$102,Assumptions!$B$3:$B$102,'Trucks-lcv'!$C9,Assumptions!$G$3:$G$102,{"TRC"}))</f>
        <v>20.900857668012</v>
      </c>
      <c r="AC9" s="1" cm="1">
        <f ca="1" t="array" ref="AC9">SUM(SUMIFS(Assumptions!CC$3:CC$102,Assumptions!$B$3:$B$102,'Trucks-lcv'!$C9,Assumptions!$G$3:$G$102,{"TRC"}))</f>
        <v>25.594925457456</v>
      </c>
      <c r="AD9" s="1" cm="1">
        <f ca="1" t="array" ref="AD9">SUM(SUMIFS(Assumptions!CD$3:CD$102,Assumptions!$B$3:$B$102,'Trucks-lcv'!$C9,Assumptions!$G$3:$G$102,{"TRC"}))</f>
        <v>0</v>
      </c>
      <c r="AE9" s="1" cm="1">
        <f ca="1" t="array" ref="AE9">SUM(SUMIFS(Assumptions!CE$3:CE$102,Assumptions!$B$3:$B$102,'Trucks-lcv'!$C9,Assumptions!$G$3:$G$102,{"TRC"}))</f>
        <v>0.1831431924</v>
      </c>
      <c r="AF9" s="1" cm="1">
        <f ca="1" t="array" ref="AF9">SUM(SUMIFS(Assumptions!CF$3:CF$102,Assumptions!$B$3:$B$102,'Trucks-lcv'!$C9,Assumptions!$G$3:$G$102,{"TRC"}))</f>
        <v>1.4164656156</v>
      </c>
      <c r="AG9" s="1" cm="1">
        <f ca="1" t="array" ref="AG9">SUM(SUMIFS(Assumptions!CG$3:CG$102,Assumptions!$B$3:$B$102,'Trucks-lcv'!$C9,Assumptions!$G$3:$G$102,{"TRC"}))</f>
        <v>0</v>
      </c>
      <c r="AH9" s="1" cm="1">
        <f ca="1" t="array" ref="AH9">SUM(SUMIFS(Assumptions!CH$3:CH$102,Assumptions!$B$3:$B$102,'Trucks-lcv'!$C9,Assumptions!$G$3:$G$102,{"TRC"}))</f>
        <v>0.0176871366</v>
      </c>
      <c r="AI9" s="1" cm="1">
        <f ca="1" t="array" ref="AI9">SUM(SUMIFS(Assumptions!CI$3:CI$102,Assumptions!$B$3:$B$102,'Trucks-lcv'!$C9,Assumptions!$G$3:$G$102,{"TRC"}))</f>
        <v>43.1995196304</v>
      </c>
      <c r="AJ9" s="1" cm="1">
        <f ca="1" t="array" ref="AJ9">SUM(SUMIFS(Assumptions!CJ$3:CJ$102,Assumptions!$B$3:$B$102,'Trucks-lcv'!$C9,Assumptions!$G$3:$G$102,{"TRC"}))</f>
        <v>0.7244995725</v>
      </c>
      <c r="AK9" s="1" cm="1">
        <f ca="1" t="array" ref="AK9">SUM(SUMIFS(Assumptions!CK$3:CK$102,Assumptions!$B$3:$B$102,'Trucks-lcv'!$C9,Assumptions!$G$3:$G$102,{"TRC"}))</f>
        <v>35.83376591706</v>
      </c>
      <c r="AL9" s="1" cm="1">
        <f ca="1" t="array" ref="AL9">SUM(SUMIFS(Assumptions!CL$3:CL$102,Assumptions!$B$3:$B$102,'Trucks-lcv'!$C9,Assumptions!$G$3:$G$102,{"TRC"}))</f>
        <v>4.5069761097</v>
      </c>
      <c r="AM9" s="1" cm="1">
        <f ca="1" t="array" ref="AM9">SUM(SUMIFS(Assumptions!CM$3:CM$102,Assumptions!$B$3:$B$102,'Trucks-lcv'!$C9,Assumptions!$G$3:$G$102,{"TRC"}))</f>
        <v>0</v>
      </c>
      <c r="AN9" s="1" cm="1">
        <f ca="1" t="array" ref="AN9">SUM(SUMIFS(Assumptions!CN$3:CN$102,Assumptions!$B$3:$B$102,'Trucks-lcv'!$C9,Assumptions!$G$3:$G$102,{"TRC"}))</f>
        <v>0</v>
      </c>
      <c r="AO9" s="1" cm="1">
        <f ca="1" t="array" ref="AO9">SUM(SUMIFS(Assumptions!CO$3:CO$102,Assumptions!$B$3:$B$102,'Trucks-lcv'!$C9,Assumptions!$G$3:$G$102,{"TRC"}))</f>
        <v>0</v>
      </c>
      <c r="AP9" s="1" cm="1">
        <f ca="1" t="array" ref="AP9">SUM(SUMIFS(Assumptions!CP$3:CP$102,Assumptions!$B$3:$B$102,'Trucks-lcv'!$C9,Assumptions!$G$3:$G$102,{"TRC"}))</f>
        <v>0</v>
      </c>
      <c r="AQ9" s="1" cm="1">
        <f ca="1" t="array" ref="AQ9">SUM(SUMIFS(Assumptions!CQ$3:CQ$102,Assumptions!$B$3:$B$102,'Trucks-lcv'!$C9,Assumptions!$G$3:$G$102,{"TRC"}))</f>
        <v>0</v>
      </c>
      <c r="AR9" s="1" cm="1">
        <f ca="1" t="array" ref="AR9">SUM(SUMIFS(Assumptions!CR$3:CR$102,Assumptions!$B$3:$B$102,'Trucks-lcv'!$C9,Assumptions!$G$3:$G$102,{"TRC"}))</f>
        <v>0</v>
      </c>
      <c r="AS9" s="1" cm="1">
        <f ca="1" t="array" ref="AS9">SUM(SUMIFS(Assumptions!CS$3:CS$102,Assumptions!$B$3:$B$102,'Trucks-lcv'!$C9,Assumptions!$G$3:$G$102,{"TRC"}))</f>
        <v>0</v>
      </c>
      <c r="AT9" s="1" cm="1">
        <f ca="1" t="array" ref="AT9">SUM(SUMIFS(Assumptions!CT$3:CT$102,Assumptions!$B$3:$B$102,'Trucks-lcv'!$C9,Assumptions!$G$3:$G$102,{"TRC"}))</f>
        <v>0</v>
      </c>
      <c r="AU9" s="1" cm="1">
        <f ca="1" t="array" ref="AU9">SUM(SUMIFS(Assumptions!CU$3:CU$102,Assumptions!$B$3:$B$102,'Trucks-lcv'!$C9,Assumptions!$G$3:$G$102,{"TRC"}))</f>
        <v>0</v>
      </c>
      <c r="AV9" s="1" cm="1">
        <f ca="1" t="array" ref="AV9">SUM(SUMIFS(Assumptions!CV$3:CV$102,Assumptions!$B$3:$B$102,'Trucks-lcv'!$C9,Assumptions!$G$3:$G$102,{"TRC"}))</f>
        <v>0</v>
      </c>
      <c r="AW9" s="1" cm="1">
        <f ca="1" t="array" ref="AW9">SUM(SUMIFS(Assumptions!CW$3:CW$102,Assumptions!$B$3:$B$102,'Trucks-lcv'!$C9,Assumptions!$G$3:$G$102,{"TRC"}))</f>
        <v>0</v>
      </c>
      <c r="AX9" s="105" t="str">
        <f ca="1" t="shared" si="2"/>
        <v/>
      </c>
      <c r="AY9" t="s">
        <v>133</v>
      </c>
      <c r="BA9" t="str">
        <f t="shared" si="0"/>
        <v/>
      </c>
      <c r="BB9" t="str">
        <f t="shared" si="1"/>
        <v/>
      </c>
      <c r="BD9" t="str">
        <f t="shared" si="3"/>
        <v>*</v>
      </c>
      <c r="BE9">
        <f t="shared" si="4"/>
        <v>0</v>
      </c>
      <c r="BG9" t="s">
        <v>92</v>
      </c>
      <c r="BH9" t="s">
        <v>144</v>
      </c>
      <c r="BI9" t="s">
        <v>145</v>
      </c>
    </row>
    <row r="10" spans="1:61">
      <c r="A10" t="s">
        <v>78</v>
      </c>
      <c r="C10" s="43" t="s">
        <v>52</v>
      </c>
      <c r="D10" s="1" cm="1">
        <f ca="1" t="array" ref="D10">SUM(SUMIFS(Assumptions!BD$3:BD$102,Assumptions!$B$3:$B$102,'Trucks-lcv'!$C10,Assumptions!$G$3:$G$102,{"TRC"}))</f>
        <v>3.05220797298</v>
      </c>
      <c r="E10" s="1" cm="1">
        <f ca="1" t="array" ref="E10">SUM(SUMIFS(Assumptions!BE$3:BE$102,Assumptions!$B$3:$B$102,'Trucks-lcv'!$C10,Assumptions!$G$3:$G$102,{"TRC"}))</f>
        <v>0.01120324878</v>
      </c>
      <c r="F10" s="1" cm="1">
        <f ca="1" t="array" ref="F10">SUM(SUMIFS(Assumptions!BF$3:BF$102,Assumptions!$B$3:$B$102,'Trucks-lcv'!$C10,Assumptions!$G$3:$G$102,{"TRC"}))</f>
        <v>0.46851799248</v>
      </c>
      <c r="G10" s="1" cm="1">
        <f ca="1" t="array" ref="G10">SUM(SUMIFS(Assumptions!BG$3:BG$102,Assumptions!$B$3:$B$102,'Trucks-lcv'!$C10,Assumptions!$G$3:$G$102,{"TRC"}))</f>
        <v>0</v>
      </c>
      <c r="H10" s="1" cm="1">
        <f ca="1" t="array" ref="H10">SUM(SUMIFS(Assumptions!BH$3:BH$102,Assumptions!$B$3:$B$102,'Trucks-lcv'!$C10,Assumptions!$G$3:$G$102,{"TRC"}))</f>
        <v>0.24127523568</v>
      </c>
      <c r="I10" s="1" cm="1">
        <f ca="1" t="array" ref="I10">SUM(SUMIFS(Assumptions!BI$3:BI$102,Assumptions!$B$3:$B$102,'Trucks-lcv'!$C10,Assumptions!$G$3:$G$102,{"TRC"}))</f>
        <v>0</v>
      </c>
      <c r="J10" s="1" cm="1">
        <f ca="1" t="array" ref="J10">SUM(SUMIFS(Assumptions!BJ$3:BJ$102,Assumptions!$B$3:$B$102,'Trucks-lcv'!$C10,Assumptions!$G$3:$G$102,{"TRC"}))</f>
        <v>16.83461368512</v>
      </c>
      <c r="K10" s="1" cm="1">
        <f ca="1" t="array" ref="K10">SUM(SUMIFS(Assumptions!BK$3:BK$102,Assumptions!$B$3:$B$102,'Trucks-lcv'!$C10,Assumptions!$G$3:$G$102,{"TRC"}))</f>
        <v>123.400839521088</v>
      </c>
      <c r="L10" s="1" cm="1">
        <f ca="1" t="array" ref="L10">SUM(SUMIFS(Assumptions!BL$3:BL$102,Assumptions!$B$3:$B$102,'Trucks-lcv'!$C10,Assumptions!$G$3:$G$102,{"TRC"}))</f>
        <v>0</v>
      </c>
      <c r="M10" s="1" cm="1">
        <f ca="1" t="array" ref="M10">SUM(SUMIFS(Assumptions!BM$3:BM$102,Assumptions!$B$3:$B$102,'Trucks-lcv'!$C10,Assumptions!$G$3:$G$102,{"TRC"}))</f>
        <v>0</v>
      </c>
      <c r="N10" s="1" cm="1">
        <f ca="1" t="array" ref="N10">SUM(SUMIFS(Assumptions!BN$3:BN$102,Assumptions!$B$3:$B$102,'Trucks-lcv'!$C10,Assumptions!$G$3:$G$102,{"TRC"}))</f>
        <v>0</v>
      </c>
      <c r="O10" s="1" cm="1">
        <f ca="1" t="array" ref="O10">SUM(SUMIFS(Assumptions!BO$3:BO$102,Assumptions!$B$3:$B$102,'Trucks-lcv'!$C10,Assumptions!$G$3:$G$102,{"TRC"}))</f>
        <v>0</v>
      </c>
      <c r="P10" s="1" cm="1">
        <f ca="1" t="array" ref="P10">SUM(SUMIFS(Assumptions!BP$3:BP$102,Assumptions!$B$3:$B$102,'Trucks-lcv'!$C10,Assumptions!$G$3:$G$102,{"TRC"}))</f>
        <v>0</v>
      </c>
      <c r="Q10" s="1" cm="1">
        <f ca="1" t="array" ref="Q10">SUM(SUMIFS(Assumptions!BQ$3:BQ$102,Assumptions!$B$3:$B$102,'Trucks-lcv'!$C10,Assumptions!$G$3:$G$102,{"TRC"}))</f>
        <v>0</v>
      </c>
      <c r="R10" s="1" cm="1">
        <f ca="1" t="array" ref="R10">SUM(SUMIFS(Assumptions!BR$3:BR$102,Assumptions!$B$3:$B$102,'Trucks-lcv'!$C10,Assumptions!$G$3:$G$102,{"TRC"}))</f>
        <v>0</v>
      </c>
      <c r="S10" s="1" cm="1">
        <f ca="1" t="array" ref="S10">SUM(SUMIFS(Assumptions!BS$3:BS$102,Assumptions!$B$3:$B$102,'Trucks-lcv'!$C10,Assumptions!$G$3:$G$102,{"TRC"}))</f>
        <v>18.50711133168</v>
      </c>
      <c r="T10" s="1" cm="1">
        <f ca="1" t="array" ref="T10">SUM(SUMIFS(Assumptions!BT$3:BT$102,Assumptions!$B$3:$B$102,'Trucks-lcv'!$C10,Assumptions!$G$3:$G$102,{"TRC"}))</f>
        <v>0</v>
      </c>
      <c r="U10" s="1" cm="1">
        <f ca="1" t="array" ref="U10">SUM(SUMIFS(Assumptions!BU$3:BU$102,Assumptions!$B$3:$B$102,'Trucks-lcv'!$C10,Assumptions!$G$3:$G$102,{"TRC"}))</f>
        <v>0</v>
      </c>
      <c r="V10" s="1" cm="1">
        <f ca="1" t="array" ref="V10">SUM(SUMIFS(Assumptions!BV$3:BV$102,Assumptions!$B$3:$B$102,'Trucks-lcv'!$C10,Assumptions!$G$3:$G$102,{"TRC"}))</f>
        <v>0.0699503329800001</v>
      </c>
      <c r="W10" s="1" cm="1">
        <f ca="1" t="array" ref="W10">SUM(SUMIFS(Assumptions!BW$3:BW$102,Assumptions!$B$3:$B$102,'Trucks-lcv'!$C10,Assumptions!$G$3:$G$102,{"TRC"}))</f>
        <v>32.37639209712</v>
      </c>
      <c r="X10" s="1" cm="1">
        <f ca="1" t="array" ref="X10">SUM(SUMIFS(Assumptions!BX$3:BX$102,Assumptions!$B$3:$B$102,'Trucks-lcv'!$C10,Assumptions!$G$3:$G$102,{"TRC"}))</f>
        <v>0</v>
      </c>
      <c r="Y10" s="1" cm="1">
        <f ca="1" t="array" ref="Y10">SUM(SUMIFS(Assumptions!BY$3:BY$102,Assumptions!$B$3:$B$102,'Trucks-lcv'!$C10,Assumptions!$G$3:$G$102,{"TRC"}))</f>
        <v>1.10944748268765</v>
      </c>
      <c r="Z10" s="1" cm="1">
        <f ca="1" t="array" ref="Z10">SUM(SUMIFS(Assumptions!BZ$3:BZ$102,Assumptions!$B$3:$B$102,'Trucks-lcv'!$C10,Assumptions!$G$3:$G$102,{"TRC"}))</f>
        <v>0</v>
      </c>
      <c r="AA10" s="1" cm="1">
        <f ca="1" t="array" ref="AA10">SUM(SUMIFS(Assumptions!CA$3:CA$102,Assumptions!$B$3:$B$102,'Trucks-lcv'!$C10,Assumptions!$G$3:$G$102,{"TRC"}))</f>
        <v>0</v>
      </c>
      <c r="AB10" s="1" cm="1">
        <f ca="1" t="array" ref="AB10">SUM(SUMIFS(Assumptions!CB$3:CB$102,Assumptions!$B$3:$B$102,'Trucks-lcv'!$C10,Assumptions!$G$3:$G$102,{"TRC"}))</f>
        <v>10.946851073928</v>
      </c>
      <c r="AC10" s="1" cm="1">
        <f ca="1" t="array" ref="AC10">SUM(SUMIFS(Assumptions!CC$3:CC$102,Assumptions!$B$3:$B$102,'Trucks-lcv'!$C10,Assumptions!$G$3:$G$102,{"TRC"}))</f>
        <v>2.6716850028</v>
      </c>
      <c r="AD10" s="1" cm="1">
        <f ca="1" t="array" ref="AD10">SUM(SUMIFS(Assumptions!CD$3:CD$102,Assumptions!$B$3:$B$102,'Trucks-lcv'!$C10,Assumptions!$G$3:$G$102,{"TRC"}))</f>
        <v>0</v>
      </c>
      <c r="AE10" s="1" cm="1">
        <f ca="1" t="array" ref="AE10">SUM(SUMIFS(Assumptions!CE$3:CE$102,Assumptions!$B$3:$B$102,'Trucks-lcv'!$C10,Assumptions!$G$3:$G$102,{"TRC"}))</f>
        <v>0.00109966302</v>
      </c>
      <c r="AF10" s="1" cm="1">
        <f ca="1" t="array" ref="AF10">SUM(SUMIFS(Assumptions!CF$3:CF$102,Assumptions!$B$3:$B$102,'Trucks-lcv'!$C10,Assumptions!$G$3:$G$102,{"TRC"}))</f>
        <v>0</v>
      </c>
      <c r="AG10" s="1" cm="1">
        <f ca="1" t="array" ref="AG10">SUM(SUMIFS(Assumptions!CG$3:CG$102,Assumptions!$B$3:$B$102,'Trucks-lcv'!$C10,Assumptions!$G$3:$G$102,{"TRC"}))</f>
        <v>0</v>
      </c>
      <c r="AH10" s="1" cm="1">
        <f ca="1" t="array" ref="AH10">SUM(SUMIFS(Assumptions!CH$3:CH$102,Assumptions!$B$3:$B$102,'Trucks-lcv'!$C10,Assumptions!$G$3:$G$102,{"TRC"}))</f>
        <v>0</v>
      </c>
      <c r="AI10" s="1" cm="1">
        <f ca="1" t="array" ref="AI10">SUM(SUMIFS(Assumptions!CI$3:CI$102,Assumptions!$B$3:$B$102,'Trucks-lcv'!$C10,Assumptions!$G$3:$G$102,{"TRC"}))</f>
        <v>0</v>
      </c>
      <c r="AJ10" s="1" cm="1">
        <f ca="1" t="array" ref="AJ10">SUM(SUMIFS(Assumptions!CJ$3:CJ$102,Assumptions!$B$3:$B$102,'Trucks-lcv'!$C10,Assumptions!$G$3:$G$102,{"TRC"}))</f>
        <v>0</v>
      </c>
      <c r="AK10" s="1" cm="1">
        <f ca="1" t="array" ref="AK10">SUM(SUMIFS(Assumptions!CK$3:CK$102,Assumptions!$B$3:$B$102,'Trucks-lcv'!$C10,Assumptions!$G$3:$G$102,{"TRC"}))</f>
        <v>0.40364980668</v>
      </c>
      <c r="AL10" s="1" cm="1">
        <f ca="1" t="array" ref="AL10">SUM(SUMIFS(Assumptions!CL$3:CL$102,Assumptions!$B$3:$B$102,'Trucks-lcv'!$C10,Assumptions!$G$3:$G$102,{"TRC"}))</f>
        <v>0</v>
      </c>
      <c r="AM10" s="1" cm="1">
        <f ca="1" t="array" ref="AM10">SUM(SUMIFS(Assumptions!CM$3:CM$102,Assumptions!$B$3:$B$102,'Trucks-lcv'!$C10,Assumptions!$G$3:$G$102,{"TRC"}))</f>
        <v>0</v>
      </c>
      <c r="AN10" s="1" cm="1">
        <f ca="1" t="array" ref="AN10">SUM(SUMIFS(Assumptions!CN$3:CN$102,Assumptions!$B$3:$B$102,'Trucks-lcv'!$C10,Assumptions!$G$3:$G$102,{"TRC"}))</f>
        <v>0</v>
      </c>
      <c r="AO10" s="1" cm="1">
        <f ca="1" t="array" ref="AO10">SUM(SUMIFS(Assumptions!CO$3:CO$102,Assumptions!$B$3:$B$102,'Trucks-lcv'!$C10,Assumptions!$G$3:$G$102,{"TRC"}))</f>
        <v>0</v>
      </c>
      <c r="AP10" s="1" cm="1">
        <f ca="1" t="array" ref="AP10">SUM(SUMIFS(Assumptions!CP$3:CP$102,Assumptions!$B$3:$B$102,'Trucks-lcv'!$C10,Assumptions!$G$3:$G$102,{"TRC"}))</f>
        <v>0</v>
      </c>
      <c r="AQ10" s="1" cm="1">
        <f ca="1" t="array" ref="AQ10">SUM(SUMIFS(Assumptions!CQ$3:CQ$102,Assumptions!$B$3:$B$102,'Trucks-lcv'!$C10,Assumptions!$G$3:$G$102,{"TRC"}))</f>
        <v>0</v>
      </c>
      <c r="AR10" s="1" cm="1">
        <f ca="1" t="array" ref="AR10">SUM(SUMIFS(Assumptions!CR$3:CR$102,Assumptions!$B$3:$B$102,'Trucks-lcv'!$C10,Assumptions!$G$3:$G$102,{"TRC"}))</f>
        <v>0</v>
      </c>
      <c r="AS10" s="1" cm="1">
        <f ca="1" t="array" ref="AS10">SUM(SUMIFS(Assumptions!CS$3:CS$102,Assumptions!$B$3:$B$102,'Trucks-lcv'!$C10,Assumptions!$G$3:$G$102,{"TRC"}))</f>
        <v>0</v>
      </c>
      <c r="AT10" s="1" cm="1">
        <f ca="1" t="array" ref="AT10">SUM(SUMIFS(Assumptions!CT$3:CT$102,Assumptions!$B$3:$B$102,'Trucks-lcv'!$C10,Assumptions!$G$3:$G$102,{"TRC"}))</f>
        <v>0</v>
      </c>
      <c r="AU10" s="1" cm="1">
        <f ca="1" t="array" ref="AU10">SUM(SUMIFS(Assumptions!CU$3:CU$102,Assumptions!$B$3:$B$102,'Trucks-lcv'!$C10,Assumptions!$G$3:$G$102,{"TRC"}))</f>
        <v>0</v>
      </c>
      <c r="AV10" s="1" cm="1">
        <f ca="1" t="array" ref="AV10">SUM(SUMIFS(Assumptions!CV$3:CV$102,Assumptions!$B$3:$B$102,'Trucks-lcv'!$C10,Assumptions!$G$3:$G$102,{"TRC"}))</f>
        <v>0</v>
      </c>
      <c r="AW10" s="1" cm="1">
        <f ca="1" t="array" ref="AW10">SUM(SUMIFS(Assumptions!CW$3:CW$102,Assumptions!$B$3:$B$102,'Trucks-lcv'!$C10,Assumptions!$G$3:$G$102,{"TRC"}))</f>
        <v>0</v>
      </c>
      <c r="AX10" s="105" t="str">
        <f ca="1" t="shared" si="2"/>
        <v/>
      </c>
      <c r="AY10" t="s">
        <v>133</v>
      </c>
      <c r="BA10" t="str">
        <f t="shared" si="0"/>
        <v/>
      </c>
      <c r="BB10" t="str">
        <f t="shared" si="1"/>
        <v/>
      </c>
      <c r="BD10" t="str">
        <f t="shared" si="3"/>
        <v>*</v>
      </c>
      <c r="BE10">
        <f t="shared" si="4"/>
        <v>0</v>
      </c>
      <c r="BG10" t="s">
        <v>92</v>
      </c>
      <c r="BH10" t="s">
        <v>144</v>
      </c>
      <c r="BI10" t="s">
        <v>145</v>
      </c>
    </row>
    <row r="11" spans="1:61">
      <c r="A11" s="101" t="s">
        <v>146</v>
      </c>
      <c r="B11" s="101"/>
      <c r="D11" s="102">
        <f ca="1">SUM(D$4:D$10)/SUM($D$4:$AJ$10)</f>
        <v>0.0240164074054708</v>
      </c>
      <c r="E11" s="102">
        <f ca="1" t="shared" ref="E11:U11" si="5">SUM(E$4:E$10)/SUM($D$4:$AJ$10)</f>
        <v>0.0198500020302381</v>
      </c>
      <c r="F11" s="102">
        <f ca="1" t="shared" si="5"/>
        <v>0.018927281777979</v>
      </c>
      <c r="G11" s="102">
        <f ca="1" t="shared" si="5"/>
        <v>0.00392821260595926</v>
      </c>
      <c r="H11" s="102">
        <f ca="1" t="shared" si="5"/>
        <v>0.00222527897123044</v>
      </c>
      <c r="I11" s="102">
        <f ca="1" t="shared" si="5"/>
        <v>0.00891549628746752</v>
      </c>
      <c r="J11" s="102">
        <f ca="1" t="shared" si="5"/>
        <v>0.0293480475041086</v>
      </c>
      <c r="K11" s="102">
        <f ca="1" t="shared" si="5"/>
        <v>0.110488852830684</v>
      </c>
      <c r="L11" s="102">
        <f ca="1" t="shared" si="5"/>
        <v>0.00208556928748616</v>
      </c>
      <c r="M11" s="102">
        <f ca="1" t="shared" si="5"/>
        <v>0.00437249657150904</v>
      </c>
      <c r="N11" s="102">
        <f ca="1" t="shared" si="5"/>
        <v>0.0197538103562179</v>
      </c>
      <c r="O11" s="102">
        <f ca="1" t="shared" si="5"/>
        <v>0.0223937698726992</v>
      </c>
      <c r="P11" s="102">
        <f ca="1" t="shared" si="5"/>
        <v>0.00224094256452016</v>
      </c>
      <c r="Q11" s="102">
        <f ca="1" t="shared" si="5"/>
        <v>0.00763433541015999</v>
      </c>
      <c r="R11" s="102">
        <f ca="1" t="shared" si="5"/>
        <v>0.000128465375814876</v>
      </c>
      <c r="S11" s="102">
        <f ca="1" t="shared" si="5"/>
        <v>0.0531506055653644</v>
      </c>
      <c r="T11" s="102">
        <f ca="1" t="shared" si="5"/>
        <v>0.00184669970687389</v>
      </c>
      <c r="U11" s="102">
        <f ca="1" t="shared" si="5"/>
        <v>0.0159159154171128</v>
      </c>
      <c r="V11" s="102">
        <f ca="1" t="shared" ref="V11:AW11" si="6">SUM(V$4:V$10)/SUM($D$4:$AJ$10)</f>
        <v>0.033649626067056</v>
      </c>
      <c r="W11" s="102">
        <f ca="1" t="shared" si="6"/>
        <v>0.0307348556746464</v>
      </c>
      <c r="X11" s="102">
        <f ca="1" t="shared" si="6"/>
        <v>0.066091447884592</v>
      </c>
      <c r="Y11" s="102">
        <f ca="1" t="shared" si="6"/>
        <v>0.322352068209108</v>
      </c>
      <c r="Z11" s="102">
        <f ca="1" t="shared" si="6"/>
        <v>0.00151590943391866</v>
      </c>
      <c r="AA11" s="102">
        <f ca="1" t="shared" si="6"/>
        <v>0.0137617464199465</v>
      </c>
      <c r="AB11" s="102">
        <f ca="1" t="shared" si="6"/>
        <v>0.0476991465597181</v>
      </c>
      <c r="AC11" s="102">
        <f ca="1" t="shared" si="6"/>
        <v>0.0390697051129765</v>
      </c>
      <c r="AD11" s="102">
        <f ca="1" t="shared" si="6"/>
        <v>0.0315982646364482</v>
      </c>
      <c r="AE11" s="102">
        <f ca="1" t="shared" si="6"/>
        <v>0.00699242744027093</v>
      </c>
      <c r="AF11" s="102">
        <f ca="1" t="shared" si="6"/>
        <v>0.0163884382657049</v>
      </c>
      <c r="AG11" s="102">
        <f ca="1" t="shared" si="6"/>
        <v>0.00588194695632461</v>
      </c>
      <c r="AH11" s="102">
        <f ca="1" t="shared" si="6"/>
        <v>0.001927512031717</v>
      </c>
      <c r="AI11" s="102">
        <f ca="1" t="shared" si="6"/>
        <v>0.0191078603882048</v>
      </c>
      <c r="AJ11" s="102">
        <f ca="1" t="shared" si="6"/>
        <v>0.0160068553784711</v>
      </c>
      <c r="AK11" s="102">
        <f ca="1" t="shared" si="6"/>
        <v>0.00739081271614672</v>
      </c>
      <c r="AL11" s="102">
        <f ca="1" t="shared" si="6"/>
        <v>0.00330206218835798</v>
      </c>
      <c r="AM11" s="102">
        <f ca="1" t="shared" si="6"/>
        <v>0</v>
      </c>
      <c r="AN11" s="102">
        <f ca="1" t="shared" si="6"/>
        <v>0</v>
      </c>
      <c r="AO11" s="102">
        <f ca="1" t="shared" si="6"/>
        <v>0</v>
      </c>
      <c r="AP11" s="102">
        <f ca="1" t="shared" si="6"/>
        <v>0</v>
      </c>
      <c r="AQ11" s="102">
        <f ca="1" t="shared" si="6"/>
        <v>0</v>
      </c>
      <c r="AR11" s="102">
        <f ca="1" t="shared" si="6"/>
        <v>0</v>
      </c>
      <c r="AS11" s="102">
        <f ca="1" t="shared" si="6"/>
        <v>0</v>
      </c>
      <c r="AT11" s="102">
        <f ca="1" t="shared" si="6"/>
        <v>0</v>
      </c>
      <c r="AU11" s="102">
        <f ca="1" t="shared" si="6"/>
        <v>0</v>
      </c>
      <c r="AV11" s="102">
        <f ca="1" t="shared" si="6"/>
        <v>0</v>
      </c>
      <c r="AW11" s="102">
        <f ca="1" t="shared" si="6"/>
        <v>0</v>
      </c>
      <c r="AX11" s="105" t="str">
        <f ca="1" t="shared" si="2"/>
        <v/>
      </c>
      <c r="AY11" t="s">
        <v>133</v>
      </c>
      <c r="BA11" t="str">
        <f t="shared" si="0"/>
        <v/>
      </c>
      <c r="BB11" t="str">
        <f t="shared" si="1"/>
        <v/>
      </c>
      <c r="BD11" t="str">
        <f t="shared" si="3"/>
        <v>*</v>
      </c>
      <c r="BE11">
        <f t="shared" si="4"/>
        <v>0</v>
      </c>
      <c r="BG11" t="s">
        <v>92</v>
      </c>
      <c r="BH11" t="s">
        <v>144</v>
      </c>
      <c r="BI11" t="s">
        <v>145</v>
      </c>
    </row>
    <row r="12" spans="1:61">
      <c r="AY12" t="s">
        <v>133</v>
      </c>
      <c r="BA12" t="str">
        <f t="shared" si="0"/>
        <v/>
      </c>
      <c r="BB12" t="str">
        <f t="shared" si="1"/>
        <v/>
      </c>
      <c r="BD12" t="str">
        <f t="shared" si="3"/>
        <v>*</v>
      </c>
      <c r="BE12">
        <f t="shared" si="4"/>
        <v>0</v>
      </c>
      <c r="BG12" t="s">
        <v>92</v>
      </c>
      <c r="BH12" t="s">
        <v>144</v>
      </c>
      <c r="BI12" t="s">
        <v>145</v>
      </c>
    </row>
    <row r="13" spans="1:61">
      <c r="A13" s="101" t="s">
        <v>147</v>
      </c>
      <c r="B13" s="101"/>
      <c r="C13" s="80">
        <f ca="1">SUM(D13:AW13)</f>
        <v>86.909</v>
      </c>
      <c r="D13" s="3">
        <f ca="1">SUM(D19:D25)</f>
        <v>2.057</v>
      </c>
      <c r="E13" s="3">
        <f ca="1" t="shared" ref="E13:AL13" si="7">SUM(E19:E25)</f>
        <v>1.688</v>
      </c>
      <c r="F13" s="3">
        <f ca="1" t="shared" si="7"/>
        <v>1.604</v>
      </c>
      <c r="G13" s="3">
        <f ca="1" t="shared" si="7"/>
        <v>0.334</v>
      </c>
      <c r="H13" s="3">
        <f ca="1" t="shared" si="7"/>
        <v>0.192</v>
      </c>
      <c r="I13" s="3">
        <f ca="1" t="shared" si="7"/>
        <v>0.76</v>
      </c>
      <c r="J13" s="3">
        <f ca="1" t="shared" si="7"/>
        <v>2.466</v>
      </c>
      <c r="K13" s="3">
        <f ca="1" t="shared" si="7"/>
        <v>9.398</v>
      </c>
      <c r="L13" s="3">
        <f ca="1" t="shared" si="7"/>
        <v>0.179</v>
      </c>
      <c r="M13" s="3">
        <f ca="1" t="shared" si="7"/>
        <v>0.374</v>
      </c>
      <c r="N13" s="3">
        <f ca="1" t="shared" si="7"/>
        <v>1.679</v>
      </c>
      <c r="O13" s="3">
        <f ca="1" t="shared" si="7"/>
        <v>1.907</v>
      </c>
      <c r="P13" s="3">
        <f ca="1" t="shared" si="7"/>
        <v>0.194</v>
      </c>
      <c r="Q13" s="3">
        <f ca="1" t="shared" si="7"/>
        <v>0.664</v>
      </c>
      <c r="R13" s="3">
        <f ca="1" t="shared" si="7"/>
        <v>0.011</v>
      </c>
      <c r="S13" s="3">
        <f ca="1" t="shared" si="7"/>
        <v>4.499</v>
      </c>
      <c r="T13" s="3">
        <f ca="1" t="shared" si="7"/>
        <v>0.157</v>
      </c>
      <c r="U13" s="3">
        <f ca="1" t="shared" si="7"/>
        <v>1.382</v>
      </c>
      <c r="V13" s="3">
        <f ca="1" t="shared" si="7"/>
        <v>2.854</v>
      </c>
      <c r="W13" s="3">
        <f ca="1" t="shared" si="7"/>
        <v>2.557</v>
      </c>
      <c r="X13" s="3">
        <f ca="1" t="shared" si="7"/>
        <v>5.556</v>
      </c>
      <c r="Y13" s="3">
        <f ca="1" t="shared" si="7"/>
        <v>27.008</v>
      </c>
      <c r="Z13" s="3">
        <f ca="1" t="shared" si="7"/>
        <v>0.129</v>
      </c>
      <c r="AA13" s="3">
        <f ca="1" t="shared" si="7"/>
        <v>1.228</v>
      </c>
      <c r="AB13" s="3">
        <f ca="1" t="shared" si="7"/>
        <v>4.075</v>
      </c>
      <c r="AC13" s="3">
        <f ca="1" t="shared" si="7"/>
        <v>3.314</v>
      </c>
      <c r="AD13" s="3">
        <f ca="1" t="shared" si="7"/>
        <v>2.658</v>
      </c>
      <c r="AE13" s="3">
        <f ca="1" t="shared" si="7"/>
        <v>0.595</v>
      </c>
      <c r="AF13" s="3">
        <f ca="1" t="shared" si="7"/>
        <v>2.231</v>
      </c>
      <c r="AG13" s="3">
        <f ca="1" t="shared" si="7"/>
        <v>0.499</v>
      </c>
      <c r="AH13" s="3">
        <f ca="1" t="shared" si="7"/>
        <v>0.164</v>
      </c>
      <c r="AI13" s="3">
        <f ca="1" t="shared" si="7"/>
        <v>1.689</v>
      </c>
      <c r="AJ13" s="3">
        <f ca="1" t="shared" si="7"/>
        <v>1.36</v>
      </c>
      <c r="AK13" s="3">
        <f ca="1" t="shared" si="7"/>
        <v>0.681</v>
      </c>
      <c r="AL13" s="3">
        <f ca="1" t="shared" si="7"/>
        <v>0.766</v>
      </c>
      <c r="AM13" s="3">
        <f ca="1" t="shared" ref="AM13:AW13" si="8">SUM(AM19:AM25)</f>
        <v>0</v>
      </c>
      <c r="AN13" s="3">
        <f ca="1" t="shared" si="8"/>
        <v>0</v>
      </c>
      <c r="AO13" s="3">
        <f ca="1" t="shared" si="8"/>
        <v>0</v>
      </c>
      <c r="AP13" s="3">
        <f ca="1" t="shared" si="8"/>
        <v>0</v>
      </c>
      <c r="AQ13" s="3">
        <f ca="1" t="shared" si="8"/>
        <v>0</v>
      </c>
      <c r="AR13" s="3">
        <f ca="1" t="shared" si="8"/>
        <v>0</v>
      </c>
      <c r="AS13" s="3">
        <f ca="1" t="shared" si="8"/>
        <v>0</v>
      </c>
      <c r="AT13" s="3">
        <f ca="1" t="shared" si="8"/>
        <v>0</v>
      </c>
      <c r="AU13" s="3">
        <f ca="1" t="shared" si="8"/>
        <v>0</v>
      </c>
      <c r="AV13" s="3">
        <f ca="1" t="shared" si="8"/>
        <v>0</v>
      </c>
      <c r="AW13" s="3">
        <f ca="1" t="shared" si="8"/>
        <v>0</v>
      </c>
      <c r="AY13" t="s">
        <v>133</v>
      </c>
      <c r="BA13" t="str">
        <f t="shared" si="0"/>
        <v/>
      </c>
      <c r="BB13" t="str">
        <f t="shared" si="1"/>
        <v/>
      </c>
      <c r="BD13" t="str">
        <f t="shared" si="3"/>
        <v>*</v>
      </c>
      <c r="BE13">
        <f t="shared" si="4"/>
        <v>0</v>
      </c>
      <c r="BG13" t="s">
        <v>92</v>
      </c>
      <c r="BH13" t="s">
        <v>144</v>
      </c>
      <c r="BI13" t="s">
        <v>145</v>
      </c>
    </row>
    <row r="14" spans="1:61">
      <c r="A14" s="101" t="s">
        <v>148</v>
      </c>
      <c r="B14" s="101"/>
      <c r="D14" s="102">
        <f ca="1">D13/SUM($D$13:$AJ$13)</f>
        <v>0.0240691769441389</v>
      </c>
      <c r="E14" s="102">
        <f ca="1" t="shared" ref="E14:U14" si="9">E13/SUM($D$13:$AJ$13)</f>
        <v>0.019751468488919</v>
      </c>
      <c r="F14" s="102">
        <f ca="1" t="shared" si="9"/>
        <v>0.018768575507243</v>
      </c>
      <c r="G14" s="102">
        <f ca="1" t="shared" si="9"/>
        <v>0.00390816971285484</v>
      </c>
      <c r="H14" s="102">
        <f ca="1" t="shared" si="9"/>
        <v>0.0022466125295453</v>
      </c>
      <c r="I14" s="102">
        <f ca="1" t="shared" si="9"/>
        <v>0.00889284126278346</v>
      </c>
      <c r="J14" s="102">
        <f ca="1" t="shared" si="9"/>
        <v>0.0288549296763474</v>
      </c>
      <c r="K14" s="102">
        <f ca="1" t="shared" si="9"/>
        <v>0.109967002878472</v>
      </c>
      <c r="L14" s="102">
        <f ca="1" t="shared" si="9"/>
        <v>0.002094498139524</v>
      </c>
      <c r="M14" s="102">
        <f ca="1" t="shared" si="9"/>
        <v>0.00437621398984344</v>
      </c>
      <c r="N14" s="102">
        <f ca="1" t="shared" si="9"/>
        <v>0.0196461585265966</v>
      </c>
      <c r="O14" s="102">
        <f ca="1" t="shared" si="9"/>
        <v>0.0223140109054317</v>
      </c>
      <c r="P14" s="102">
        <f ca="1" t="shared" si="9"/>
        <v>0.00227001474339473</v>
      </c>
      <c r="Q14" s="102">
        <f ca="1" t="shared" si="9"/>
        <v>0.00776953499801081</v>
      </c>
      <c r="R14" s="102">
        <f ca="1" t="shared" si="9"/>
        <v>0.000128712176171866</v>
      </c>
      <c r="S14" s="102">
        <f ca="1" t="shared" si="9"/>
        <v>0.0526432800542931</v>
      </c>
      <c r="T14" s="102">
        <f ca="1" t="shared" si="9"/>
        <v>0.00183707378718027</v>
      </c>
      <c r="U14" s="102">
        <f ca="1" t="shared" si="9"/>
        <v>0.0161709297699562</v>
      </c>
      <c r="V14" s="102">
        <f ca="1" t="shared" ref="V14:AJ14" si="10">V13/SUM($D$13:$AJ$13)</f>
        <v>0.0333949591631368</v>
      </c>
      <c r="W14" s="102">
        <f ca="1" t="shared" si="10"/>
        <v>0.0299197304064965</v>
      </c>
      <c r="X14" s="102">
        <f ca="1" t="shared" si="10"/>
        <v>0.065011350073717</v>
      </c>
      <c r="Y14" s="102">
        <f ca="1" t="shared" si="10"/>
        <v>0.316023495822705</v>
      </c>
      <c r="Z14" s="102">
        <f ca="1" t="shared" si="10"/>
        <v>0.00150944279328825</v>
      </c>
      <c r="AA14" s="102">
        <f ca="1" t="shared" si="10"/>
        <v>0.0143689593035501</v>
      </c>
      <c r="AB14" s="102">
        <f ca="1" t="shared" si="10"/>
        <v>0.0476820107182139</v>
      </c>
      <c r="AC14" s="102">
        <f ca="1" t="shared" si="10"/>
        <v>0.0387774683485058</v>
      </c>
      <c r="AD14" s="102">
        <f ca="1" t="shared" si="10"/>
        <v>0.0311015422058927</v>
      </c>
      <c r="AE14" s="102">
        <f ca="1" t="shared" si="10"/>
        <v>0.00696215862020547</v>
      </c>
      <c r="AF14" s="102">
        <f ca="1" t="shared" si="10"/>
        <v>0.0261051695490393</v>
      </c>
      <c r="AG14" s="102">
        <f ca="1" t="shared" ref="AG14" si="11">AG13/SUM($D$13:$AJ$13)</f>
        <v>0.00583885235543282</v>
      </c>
      <c r="AH14" s="102">
        <f ca="1" t="shared" si="10"/>
        <v>0.00191898153565327</v>
      </c>
      <c r="AI14" s="102">
        <f ca="1" t="shared" si="10"/>
        <v>0.0197631695958438</v>
      </c>
      <c r="AJ14" s="102">
        <f ca="1" t="shared" si="10"/>
        <v>0.0159135054176125</v>
      </c>
      <c r="AK14" s="102">
        <f ca="1" t="shared" ref="AK14:AW14" si="12">AK13/SUM($D$13:$AJ$13)</f>
        <v>0.00796845381573097</v>
      </c>
      <c r="AL14" s="102">
        <f ca="1" t="shared" ref="AL14" si="13">AL13/SUM($D$13:$AJ$13)</f>
        <v>0.00896304790433175</v>
      </c>
      <c r="AM14" s="102">
        <f ca="1" t="shared" si="12"/>
        <v>0</v>
      </c>
      <c r="AN14" s="102">
        <f ca="1" t="shared" si="12"/>
        <v>0</v>
      </c>
      <c r="AO14" s="102">
        <f ca="1" t="shared" si="12"/>
        <v>0</v>
      </c>
      <c r="AP14" s="102">
        <f ca="1" t="shared" si="12"/>
        <v>0</v>
      </c>
      <c r="AQ14" s="102">
        <f ca="1" t="shared" si="12"/>
        <v>0</v>
      </c>
      <c r="AR14" s="102">
        <f ca="1" t="shared" si="12"/>
        <v>0</v>
      </c>
      <c r="AS14" s="102">
        <f ca="1" t="shared" si="12"/>
        <v>0</v>
      </c>
      <c r="AT14" s="102">
        <f ca="1" t="shared" si="12"/>
        <v>0</v>
      </c>
      <c r="AU14" s="102">
        <f ca="1" t="shared" si="12"/>
        <v>0</v>
      </c>
      <c r="AV14" s="102">
        <f ca="1" t="shared" si="12"/>
        <v>0</v>
      </c>
      <c r="AW14" s="102">
        <f ca="1" t="shared" si="12"/>
        <v>0</v>
      </c>
      <c r="AY14" t="s">
        <v>133</v>
      </c>
      <c r="BA14" t="str">
        <f t="shared" si="0"/>
        <v/>
      </c>
      <c r="BB14" t="str">
        <f t="shared" si="1"/>
        <v/>
      </c>
      <c r="BD14" t="str">
        <f t="shared" si="3"/>
        <v>*</v>
      </c>
      <c r="BE14">
        <f t="shared" si="4"/>
        <v>0</v>
      </c>
      <c r="BG14" t="s">
        <v>92</v>
      </c>
      <c r="BH14" t="s">
        <v>144</v>
      </c>
      <c r="BI14" t="s">
        <v>145</v>
      </c>
    </row>
    <row r="15" spans="1:61">
      <c r="A15" s="101"/>
      <c r="B15" s="101"/>
      <c r="D15" s="102">
        <f ca="1">D13/'non-road'!DB21</f>
        <v>0.0103687248610719</v>
      </c>
      <c r="E15" s="102">
        <f ca="1">E13/'non-road'!DC21</f>
        <v>0.00162439369878091</v>
      </c>
      <c r="F15" s="102">
        <f ca="1">F13/'non-road'!DD21</f>
        <v>0.063234998442779</v>
      </c>
      <c r="G15" s="102">
        <f ca="1">G13/'non-road'!DE21</f>
        <v>0.0376129514680312</v>
      </c>
      <c r="H15" s="102">
        <f ca="1">H13/'non-road'!DF21</f>
        <v>0.0318151539555184</v>
      </c>
      <c r="I15" s="102">
        <f ca="1">I13/'non-road'!DG21</f>
        <v>0.0258030336966231</v>
      </c>
      <c r="J15" s="102">
        <f ca="1">J13/'non-road'!DH21</f>
        <v>0.0116844349680171</v>
      </c>
      <c r="K15" s="102">
        <f ca="1">K13/'non-road'!DI21</f>
        <v>0.0067238073433878</v>
      </c>
      <c r="L15" s="102">
        <f ca="1">L13/'non-road'!DJ21</f>
        <v>0.0290884744638945</v>
      </c>
      <c r="M15" s="102">
        <f ca="1">M13/'non-road'!DK21</f>
        <v>0.0231922882540982</v>
      </c>
      <c r="N15" s="102">
        <f ca="1">N13/'non-road'!DL21</f>
        <v>0.0249669511322862</v>
      </c>
      <c r="O15" s="102">
        <f ca="1">O13/'non-road'!DM21</f>
        <v>0.0229501883431817</v>
      </c>
      <c r="P15" s="102">
        <f ca="1">P13/'non-road'!DN21</f>
        <v>0.0162749356762529</v>
      </c>
      <c r="Q15" s="102">
        <f ca="1">Q13/'non-road'!DO21</f>
        <v>0.018383930672647</v>
      </c>
      <c r="R15" s="102">
        <f ca="1">R13/'non-road'!DP21</f>
        <v>0.0305078446762424</v>
      </c>
      <c r="S15" s="102">
        <f ca="1">S13/'non-road'!DQ21</f>
        <v>0.00329254548381903</v>
      </c>
      <c r="T15" s="102">
        <f ca="1">T13/'non-road'!DR21</f>
        <v>0.0318178317667611</v>
      </c>
      <c r="U15" s="102">
        <f ca="1">U13/'non-road'!DS21</f>
        <v>0.0229441715180086</v>
      </c>
      <c r="V15" s="102">
        <f ca="1">V13/'non-road'!DT21</f>
        <v>0.0226032550588049</v>
      </c>
      <c r="W15" s="102">
        <f ca="1">W13/'non-road'!DU21</f>
        <v>0.00827986416089829</v>
      </c>
      <c r="X15" s="102">
        <f ca="1">X13/'non-road'!DV21</f>
        <v>0.0249620077433442</v>
      </c>
      <c r="Y15" s="102">
        <f ca="1">Y13/'non-road'!DW21</f>
        <v>0.0547275234782454</v>
      </c>
      <c r="Z15" s="102">
        <f ca="1">Z13/'non-road'!DX21</f>
        <v>0.0241216178312983</v>
      </c>
      <c r="AA15" s="102">
        <f ca="1">AA13/'non-road'!DY21</f>
        <v>0.0323451554700978</v>
      </c>
      <c r="AB15" s="102">
        <f ca="1">AB13/'non-road'!DZ21</f>
        <v>0.00301972101280718</v>
      </c>
      <c r="AC15" s="102">
        <f ca="1">AC13/'non-road'!EA21</f>
        <v>0.021544123359284</v>
      </c>
      <c r="AD15" s="102">
        <f ca="1">AD13/'non-road'!EB21</f>
        <v>0.0775639435633307</v>
      </c>
      <c r="AE15" s="102">
        <f ca="1">AE13/'non-road'!EC21</f>
        <v>0.0101608140946715</v>
      </c>
      <c r="AF15" s="102">
        <f ca="1">AF13/'non-road'!ED21</f>
        <v>0.0388541931528845</v>
      </c>
      <c r="AG15" s="102">
        <f ca="1">AG13/'non-road'!EE21</f>
        <v>0.0230858947958656</v>
      </c>
      <c r="AH15" s="102">
        <f ca="1">AH13/'non-road'!EF21</f>
        <v>0.0191247399501824</v>
      </c>
      <c r="AI15" s="102">
        <f ca="1">AI13/'non-road'!EG21</f>
        <v>0.0202446134225742</v>
      </c>
      <c r="AJ15" s="102">
        <f ca="1">AJ13/'non-road'!EH21</f>
        <v>0.0203482239441741</v>
      </c>
      <c r="AK15" s="102">
        <f ca="1">AK13/'non-road'!EI21</f>
        <v>0.0144741330663802</v>
      </c>
      <c r="AL15" s="102">
        <f ca="1">AL13/'non-road'!EJ21</f>
        <v>0.0484628912176384</v>
      </c>
      <c r="AM15" s="102">
        <f ca="1">AM13/'non-road'!EK21</f>
        <v>0</v>
      </c>
      <c r="AN15" s="102">
        <f ca="1">AN13/'non-road'!EL21</f>
        <v>0</v>
      </c>
      <c r="AO15" s="102">
        <f ca="1">AO13/'non-road'!EM21</f>
        <v>0</v>
      </c>
      <c r="AP15" s="102">
        <f ca="1">AP13/'non-road'!EN21</f>
        <v>0</v>
      </c>
      <c r="AQ15" s="102">
        <f ca="1">AQ13/'non-road'!EO21</f>
        <v>0</v>
      </c>
      <c r="AR15" s="102">
        <f ca="1">AR13/'non-road'!EP21</f>
        <v>0</v>
      </c>
      <c r="AS15" s="102">
        <f ca="1">AS13/'non-road'!EQ21</f>
        <v>0</v>
      </c>
      <c r="AT15" s="102">
        <f ca="1">AT13/'non-road'!ER21</f>
        <v>0</v>
      </c>
      <c r="AU15" s="102">
        <f ca="1">AU13/'non-road'!ES21</f>
        <v>0</v>
      </c>
      <c r="AV15" s="102">
        <f ca="1">AV13/'non-road'!ET21</f>
        <v>0</v>
      </c>
      <c r="AW15" s="102" t="e">
        <f ca="1">AW13/'non-road'!EU21</f>
        <v>#VALUE!</v>
      </c>
      <c r="AY15" t="s">
        <v>133</v>
      </c>
      <c r="BA15" t="str">
        <f t="shared" si="0"/>
        <v/>
      </c>
      <c r="BB15" t="str">
        <f t="shared" si="1"/>
        <v/>
      </c>
      <c r="BD15" t="str">
        <f t="shared" si="3"/>
        <v>*</v>
      </c>
      <c r="BE15">
        <f t="shared" si="4"/>
        <v>0</v>
      </c>
      <c r="BG15" t="s">
        <v>92</v>
      </c>
      <c r="BH15" t="s">
        <v>144</v>
      </c>
      <c r="BI15" t="s">
        <v>145</v>
      </c>
    </row>
    <row r="16" spans="1:61">
      <c r="AY16" t="s">
        <v>133</v>
      </c>
      <c r="BA16" t="str">
        <f t="shared" si="0"/>
        <v/>
      </c>
      <c r="BB16" t="str">
        <f t="shared" si="1"/>
        <v/>
      </c>
      <c r="BD16" t="str">
        <f t="shared" si="3"/>
        <v>*</v>
      </c>
      <c r="BE16">
        <f t="shared" si="4"/>
        <v>0</v>
      </c>
      <c r="BG16" t="s">
        <v>92</v>
      </c>
      <c r="BH16" t="s">
        <v>144</v>
      </c>
      <c r="BI16" t="s">
        <v>145</v>
      </c>
    </row>
    <row r="17" spans="1:61">
      <c r="A17" s="101" t="s">
        <v>149</v>
      </c>
      <c r="B17" s="101"/>
      <c r="D17" s="3">
        <f ca="1">D11/D14</f>
        <v>0.997807588568956</v>
      </c>
      <c r="E17" s="3">
        <f ca="1" t="shared" ref="E17:U17" si="14">E11/E14</f>
        <v>1.00498866913994</v>
      </c>
      <c r="F17" s="3">
        <f ca="1" t="shared" si="14"/>
        <v>1.00845595717559</v>
      </c>
      <c r="G17" s="3">
        <f ca="1" t="shared" si="14"/>
        <v>1.00512846027093</v>
      </c>
      <c r="H17" s="3">
        <f ca="1" t="shared" si="14"/>
        <v>0.990504122079666</v>
      </c>
      <c r="I17" s="3">
        <f ca="1" t="shared" si="14"/>
        <v>1.00254755752572</v>
      </c>
      <c r="J17" s="3">
        <f ca="1" t="shared" si="14"/>
        <v>1.01708955222876</v>
      </c>
      <c r="K17" s="3">
        <f ca="1" t="shared" si="14"/>
        <v>1.00474551400468</v>
      </c>
      <c r="L17" s="3">
        <f ca="1" t="shared" si="14"/>
        <v>0.995736996911407</v>
      </c>
      <c r="M17" s="3">
        <f ca="1" t="shared" si="14"/>
        <v>0.999150540091725</v>
      </c>
      <c r="N17" s="3">
        <f ca="1" t="shared" si="14"/>
        <v>1.0054795358327</v>
      </c>
      <c r="O17" s="3">
        <f ca="1" t="shared" si="14"/>
        <v>1.00357438954411</v>
      </c>
      <c r="P17" s="3">
        <f ca="1" t="shared" si="14"/>
        <v>0.987192955922792</v>
      </c>
      <c r="Q17" s="3">
        <f ca="1" t="shared" si="14"/>
        <v>0.982598754251646</v>
      </c>
      <c r="R17" s="3">
        <f ca="1" t="shared" si="14"/>
        <v>0.998082540717354</v>
      </c>
      <c r="S17" s="3">
        <f ca="1" t="shared" si="14"/>
        <v>1.00963704219319</v>
      </c>
      <c r="T17" s="3">
        <f ca="1" t="shared" si="14"/>
        <v>1.00523981113921</v>
      </c>
      <c r="U17" s="3">
        <f ca="1" t="shared" si="14"/>
        <v>0.984230074802676</v>
      </c>
      <c r="V17" s="3">
        <f ca="1" t="shared" ref="V17:AJ17" si="15">V11/V14</f>
        <v>1.00762590852934</v>
      </c>
      <c r="W17" s="3">
        <f ca="1" t="shared" si="15"/>
        <v>1.02724373706165</v>
      </c>
      <c r="X17" s="3">
        <f ca="1" t="shared" si="15"/>
        <v>1.01661398832127</v>
      </c>
      <c r="Y17" s="3">
        <f ca="1" t="shared" si="15"/>
        <v>1.02002563882134</v>
      </c>
      <c r="Z17" s="3">
        <f ca="1" t="shared" si="15"/>
        <v>1.00428412435315</v>
      </c>
      <c r="AA17" s="3">
        <f ca="1" t="shared" si="15"/>
        <v>0.957741345717806</v>
      </c>
      <c r="AB17" s="3">
        <f ca="1" t="shared" si="15"/>
        <v>1.00035937749365</v>
      </c>
      <c r="AC17" s="3">
        <f ca="1" t="shared" si="15"/>
        <v>1.00753625176982</v>
      </c>
      <c r="AD17" s="3">
        <f ca="1" t="shared" si="15"/>
        <v>1.0159709903537</v>
      </c>
      <c r="AE17" s="3">
        <f ca="1" t="shared" si="15"/>
        <v>1.00434762000073</v>
      </c>
      <c r="AF17" s="3">
        <f ca="1" t="shared" si="15"/>
        <v>0.627785168562827</v>
      </c>
      <c r="AG17" s="3">
        <f ca="1" t="shared" ref="AG17" si="16">AG11/AG14</f>
        <v>1.0073806628886</v>
      </c>
      <c r="AH17" s="3">
        <f ca="1" t="shared" si="15"/>
        <v>1.00444532472316</v>
      </c>
      <c r="AI17" s="3">
        <f ca="1" t="shared" si="15"/>
        <v>0.966841897274577</v>
      </c>
      <c r="AJ17" s="3">
        <f ca="1" t="shared" si="15"/>
        <v>1.00586608408448</v>
      </c>
      <c r="AK17" s="3">
        <f ca="1" t="shared" ref="AK17:AW17" si="17">AK11/AK14</f>
        <v>0.927509010789032</v>
      </c>
      <c r="AL17" s="3">
        <f ca="1" t="shared" si="17"/>
        <v>0.368408405667689</v>
      </c>
      <c r="AM17" s="3" t="e">
        <f ca="1" t="shared" si="17"/>
        <v>#DIV/0!</v>
      </c>
      <c r="AN17" s="3" t="e">
        <f ca="1" t="shared" si="17"/>
        <v>#DIV/0!</v>
      </c>
      <c r="AO17" s="3" t="e">
        <f ca="1" t="shared" si="17"/>
        <v>#DIV/0!</v>
      </c>
      <c r="AP17" s="3" t="e">
        <f ca="1" t="shared" si="17"/>
        <v>#DIV/0!</v>
      </c>
      <c r="AQ17" s="3" t="e">
        <f ca="1" t="shared" si="17"/>
        <v>#DIV/0!</v>
      </c>
      <c r="AR17" s="3" t="e">
        <f ca="1" t="shared" si="17"/>
        <v>#DIV/0!</v>
      </c>
      <c r="AS17" s="3" t="e">
        <f ca="1" t="shared" si="17"/>
        <v>#DIV/0!</v>
      </c>
      <c r="AT17" s="3" t="e">
        <f ca="1" t="shared" si="17"/>
        <v>#DIV/0!</v>
      </c>
      <c r="AU17" s="3" t="e">
        <f ca="1" t="shared" si="17"/>
        <v>#DIV/0!</v>
      </c>
      <c r="AV17" s="3" t="e">
        <f ca="1" t="shared" si="17"/>
        <v>#DIV/0!</v>
      </c>
      <c r="AW17" s="3" t="e">
        <f ca="1" t="shared" si="17"/>
        <v>#DIV/0!</v>
      </c>
      <c r="AY17" t="s">
        <v>133</v>
      </c>
      <c r="BA17" t="str">
        <f t="shared" si="0"/>
        <v/>
      </c>
      <c r="BB17" t="str">
        <f t="shared" si="1"/>
        <v/>
      </c>
      <c r="BD17" t="str">
        <f t="shared" si="3"/>
        <v>*</v>
      </c>
      <c r="BE17">
        <f t="shared" si="4"/>
        <v>0</v>
      </c>
      <c r="BG17" t="s">
        <v>92</v>
      </c>
      <c r="BH17" t="s">
        <v>144</v>
      </c>
      <c r="BI17" t="s">
        <v>145</v>
      </c>
    </row>
    <row r="18" spans="1:61">
      <c r="AY18" t="s">
        <v>133</v>
      </c>
      <c r="BA18" t="str">
        <f t="shared" si="0"/>
        <v/>
      </c>
      <c r="BB18" t="str">
        <f t="shared" si="1"/>
        <v/>
      </c>
      <c r="BD18" t="str">
        <f t="shared" si="3"/>
        <v>*</v>
      </c>
      <c r="BE18">
        <f t="shared" si="4"/>
        <v>0</v>
      </c>
      <c r="BG18" t="s">
        <v>92</v>
      </c>
      <c r="BH18" t="s">
        <v>144</v>
      </c>
      <c r="BI18" t="s">
        <v>145</v>
      </c>
    </row>
    <row r="19" spans="1:61">
      <c r="A19" t="s">
        <v>150</v>
      </c>
      <c r="C19" t="str">
        <f t="shared" ref="C19:C25" si="18">C4</f>
        <v>TRABDS</v>
      </c>
      <c r="D19" s="78">
        <f ca="1">ROUND(D4*D28/D36,3)</f>
        <v>0</v>
      </c>
      <c r="E19" s="78">
        <f ca="1" t="shared" ref="E19:U19" si="19">ROUND(E4*E28/E36,3)</f>
        <v>0</v>
      </c>
      <c r="F19" s="78">
        <f ca="1" t="shared" si="19"/>
        <v>0</v>
      </c>
      <c r="G19" s="78">
        <f ca="1" t="shared" si="19"/>
        <v>0.02</v>
      </c>
      <c r="H19" s="78">
        <f ca="1" t="shared" si="19"/>
        <v>0.004</v>
      </c>
      <c r="I19" s="78">
        <f ca="1" t="shared" si="19"/>
        <v>0.042</v>
      </c>
      <c r="J19" s="78">
        <f ca="1" t="shared" si="19"/>
        <v>0.575</v>
      </c>
      <c r="K19" s="78">
        <f ca="1" t="shared" si="19"/>
        <v>0.032</v>
      </c>
      <c r="L19" s="78">
        <f ca="1" t="shared" si="19"/>
        <v>0.007</v>
      </c>
      <c r="M19" s="78">
        <f ca="1" t="shared" si="19"/>
        <v>0.019</v>
      </c>
      <c r="N19" s="78">
        <f ca="1" t="shared" si="19"/>
        <v>0.12</v>
      </c>
      <c r="O19" s="78">
        <f ca="1" t="shared" si="19"/>
        <v>0.09</v>
      </c>
      <c r="P19" s="78">
        <f ca="1" t="shared" si="19"/>
        <v>0.008</v>
      </c>
      <c r="Q19" s="78">
        <f ca="1" t="shared" si="19"/>
        <v>0.03</v>
      </c>
      <c r="R19" s="78">
        <f ca="1" t="shared" si="19"/>
        <v>0.001</v>
      </c>
      <c r="S19" s="78">
        <f ca="1" t="shared" si="19"/>
        <v>0.003</v>
      </c>
      <c r="T19" s="78">
        <f ca="1" t="shared" si="19"/>
        <v>0.008</v>
      </c>
      <c r="U19" s="78">
        <f ca="1" t="shared" si="19"/>
        <v>0.06</v>
      </c>
      <c r="V19" s="78">
        <f ca="1" t="shared" ref="V19:AW19" si="20">ROUND(V4*V28/V36,3)</f>
        <v>0.001</v>
      </c>
      <c r="W19" s="78">
        <f ca="1" t="shared" si="20"/>
        <v>0.066</v>
      </c>
      <c r="X19" s="78">
        <f ca="1" t="shared" si="20"/>
        <v>0</v>
      </c>
      <c r="Y19" s="78">
        <f ca="1" t="shared" si="20"/>
        <v>0.095</v>
      </c>
      <c r="Z19" s="78">
        <f ca="1" t="shared" si="20"/>
        <v>0.02</v>
      </c>
      <c r="AA19" s="78">
        <f ca="1" t="shared" si="20"/>
        <v>0.04</v>
      </c>
      <c r="AB19" s="78">
        <f ca="1" t="shared" si="20"/>
        <v>0.249</v>
      </c>
      <c r="AC19" s="78">
        <f ca="1" t="shared" si="20"/>
        <v>0</v>
      </c>
      <c r="AD19" s="78">
        <f ca="1" t="shared" si="20"/>
        <v>0</v>
      </c>
      <c r="AE19" s="78">
        <f ca="1" t="shared" si="20"/>
        <v>0</v>
      </c>
      <c r="AF19" s="78">
        <f ca="1" t="shared" si="20"/>
        <v>0.134</v>
      </c>
      <c r="AG19" s="78">
        <f ca="1" t="shared" si="20"/>
        <v>0.082</v>
      </c>
      <c r="AH19" s="78">
        <f ca="1" t="shared" si="20"/>
        <v>0.007</v>
      </c>
      <c r="AI19" s="78">
        <f ca="1" t="shared" si="20"/>
        <v>0.006</v>
      </c>
      <c r="AJ19" s="78">
        <f ca="1" t="shared" si="20"/>
        <v>0.06</v>
      </c>
      <c r="AK19" s="78">
        <f ca="1" t="shared" si="20"/>
        <v>0</v>
      </c>
      <c r="AL19" s="78">
        <f ca="1" t="shared" si="20"/>
        <v>0.015</v>
      </c>
      <c r="AM19" s="78">
        <f ca="1" t="shared" si="20"/>
        <v>0</v>
      </c>
      <c r="AN19" s="78">
        <f ca="1" t="shared" si="20"/>
        <v>0</v>
      </c>
      <c r="AO19" s="78">
        <f ca="1" t="shared" si="20"/>
        <v>0</v>
      </c>
      <c r="AP19" s="78">
        <f ca="1" t="shared" si="20"/>
        <v>0</v>
      </c>
      <c r="AQ19" s="78">
        <f ca="1" t="shared" si="20"/>
        <v>0</v>
      </c>
      <c r="AR19" s="78">
        <f ca="1" t="shared" si="20"/>
        <v>0</v>
      </c>
      <c r="AS19" s="78">
        <f ca="1" t="shared" si="20"/>
        <v>0</v>
      </c>
      <c r="AT19" s="78">
        <f ca="1" t="shared" si="20"/>
        <v>0</v>
      </c>
      <c r="AU19" s="78">
        <f ca="1" t="shared" si="20"/>
        <v>0</v>
      </c>
      <c r="AV19" s="78">
        <f ca="1" t="shared" si="20"/>
        <v>0</v>
      </c>
      <c r="AW19" s="78">
        <f ca="1" t="shared" si="20"/>
        <v>0</v>
      </c>
      <c r="AY19" t="s">
        <v>151</v>
      </c>
      <c r="AZ19" t="str">
        <f ca="1">IF(AX4="zero","\I:",$BA$45&amp;"_"&amp;VLOOKUP(C19,'TRA balance'!$BB$5:$BC$15,2,FALSE))</f>
        <v>Trd_lcv_bdl</v>
      </c>
      <c r="BA19" t="str">
        <f ca="1" t="shared" si="0"/>
        <v>Trd_lcv</v>
      </c>
      <c r="BB19">
        <f ca="1" t="shared" si="1"/>
        <v>25</v>
      </c>
      <c r="BD19" t="str">
        <f ca="1" t="shared" si="3"/>
        <v>DMD</v>
      </c>
      <c r="BE19" t="str">
        <f ca="1" t="shared" si="4"/>
        <v>Trd_lcv_bdl</v>
      </c>
      <c r="BG19" t="s">
        <v>92</v>
      </c>
      <c r="BH19" t="s">
        <v>144</v>
      </c>
      <c r="BI19" t="s">
        <v>145</v>
      </c>
    </row>
    <row r="20" spans="1:61">
      <c r="C20" t="str">
        <f t="shared" si="18"/>
        <v>TRABGS</v>
      </c>
      <c r="D20" s="78">
        <f ca="1" t="shared" ref="D20:AW25" si="21">ROUND(D5*D29/D37,3)</f>
        <v>0</v>
      </c>
      <c r="E20" s="78">
        <f ca="1" t="shared" ref="E20:U20" si="22">ROUND(E5*E29/E37,3)</f>
        <v>0</v>
      </c>
      <c r="F20" s="78">
        <f ca="1" t="shared" si="22"/>
        <v>0</v>
      </c>
      <c r="G20" s="78">
        <f ca="1" t="shared" si="22"/>
        <v>0</v>
      </c>
      <c r="H20" s="78">
        <f ca="1" t="shared" si="22"/>
        <v>0</v>
      </c>
      <c r="I20" s="78">
        <f ca="1" t="shared" si="22"/>
        <v>0</v>
      </c>
      <c r="J20" s="78">
        <f ca="1" t="shared" si="22"/>
        <v>0</v>
      </c>
      <c r="K20" s="78">
        <f ca="1" t="shared" si="22"/>
        <v>0</v>
      </c>
      <c r="L20" s="78">
        <f ca="1" t="shared" si="22"/>
        <v>0</v>
      </c>
      <c r="M20" s="78">
        <f ca="1" t="shared" si="22"/>
        <v>0</v>
      </c>
      <c r="N20" s="78">
        <f ca="1" t="shared" si="22"/>
        <v>0</v>
      </c>
      <c r="O20" s="78">
        <f ca="1" t="shared" si="22"/>
        <v>0</v>
      </c>
      <c r="P20" s="78">
        <f ca="1" t="shared" si="22"/>
        <v>0</v>
      </c>
      <c r="Q20" s="78">
        <f ca="1" t="shared" si="22"/>
        <v>0</v>
      </c>
      <c r="R20" s="78">
        <f ca="1" t="shared" si="22"/>
        <v>0</v>
      </c>
      <c r="S20" s="78">
        <f ca="1" t="shared" si="22"/>
        <v>0</v>
      </c>
      <c r="T20" s="78">
        <f ca="1" t="shared" si="22"/>
        <v>0</v>
      </c>
      <c r="U20" s="78">
        <f ca="1" t="shared" si="22"/>
        <v>0</v>
      </c>
      <c r="V20" s="78">
        <f ca="1" t="shared" si="21"/>
        <v>0</v>
      </c>
      <c r="W20" s="78">
        <f ca="1" t="shared" si="21"/>
        <v>0</v>
      </c>
      <c r="X20" s="78">
        <f ca="1" t="shared" si="21"/>
        <v>0</v>
      </c>
      <c r="Y20" s="78">
        <f ca="1" t="shared" si="21"/>
        <v>0</v>
      </c>
      <c r="Z20" s="78">
        <f ca="1" t="shared" si="21"/>
        <v>0</v>
      </c>
      <c r="AA20" s="78">
        <f ca="1" t="shared" si="21"/>
        <v>0</v>
      </c>
      <c r="AB20" s="78">
        <f ca="1" t="shared" si="21"/>
        <v>0</v>
      </c>
      <c r="AC20" s="78">
        <f ca="1" t="shared" si="21"/>
        <v>0</v>
      </c>
      <c r="AD20" s="78">
        <f ca="1" t="shared" si="21"/>
        <v>0</v>
      </c>
      <c r="AE20" s="78">
        <f ca="1" t="shared" si="21"/>
        <v>0</v>
      </c>
      <c r="AF20" s="78">
        <f ca="1" t="shared" si="21"/>
        <v>0</v>
      </c>
      <c r="AG20" s="78">
        <f ca="1" t="shared" si="21"/>
        <v>0</v>
      </c>
      <c r="AH20" s="78">
        <f ca="1" t="shared" si="21"/>
        <v>0</v>
      </c>
      <c r="AI20" s="78">
        <f ca="1" t="shared" si="21"/>
        <v>0</v>
      </c>
      <c r="AJ20" s="78">
        <f ca="1" t="shared" si="21"/>
        <v>0</v>
      </c>
      <c r="AK20" s="78">
        <f ca="1" t="shared" si="21"/>
        <v>0</v>
      </c>
      <c r="AL20" s="78">
        <f ca="1" t="shared" si="21"/>
        <v>0</v>
      </c>
      <c r="AM20" s="78">
        <f ca="1" t="shared" si="21"/>
        <v>0</v>
      </c>
      <c r="AN20" s="78">
        <f ca="1" t="shared" si="21"/>
        <v>0</v>
      </c>
      <c r="AO20" s="78">
        <f ca="1" t="shared" si="21"/>
        <v>0</v>
      </c>
      <c r="AP20" s="78">
        <f ca="1" t="shared" si="21"/>
        <v>0</v>
      </c>
      <c r="AQ20" s="78">
        <f ca="1" t="shared" si="21"/>
        <v>0</v>
      </c>
      <c r="AR20" s="78">
        <f ca="1" t="shared" si="21"/>
        <v>0</v>
      </c>
      <c r="AS20" s="78">
        <f ca="1" t="shared" si="21"/>
        <v>0</v>
      </c>
      <c r="AT20" s="78">
        <f ca="1" t="shared" si="21"/>
        <v>0</v>
      </c>
      <c r="AU20" s="78">
        <f ca="1" t="shared" si="21"/>
        <v>0</v>
      </c>
      <c r="AV20" s="78">
        <f ca="1" t="shared" si="21"/>
        <v>0</v>
      </c>
      <c r="AW20" s="78">
        <f ca="1" t="shared" si="21"/>
        <v>0</v>
      </c>
      <c r="AY20" t="s">
        <v>151</v>
      </c>
      <c r="AZ20" t="str">
        <f ca="1">IF(AX5="zero","\I:",$BA$45&amp;"_"&amp;VLOOKUP(C20,'TRA balance'!$BB$5:$BC$15,2,FALSE))</f>
        <v>\I:</v>
      </c>
      <c r="BA20" t="str">
        <f ca="1" t="shared" si="0"/>
        <v>Trd_lcv</v>
      </c>
      <c r="BB20">
        <f ca="1" t="shared" si="1"/>
        <v>25</v>
      </c>
      <c r="BD20" t="str">
        <f ca="1" t="shared" si="3"/>
        <v>DMD</v>
      </c>
      <c r="BE20" t="str">
        <f ca="1" t="shared" si="4"/>
        <v>\I:</v>
      </c>
      <c r="BG20" t="s">
        <v>92</v>
      </c>
      <c r="BH20" t="s">
        <v>144</v>
      </c>
      <c r="BI20" t="s">
        <v>145</v>
      </c>
    </row>
    <row r="21" spans="1:61">
      <c r="C21" t="str">
        <f t="shared" si="18"/>
        <v>TRADST</v>
      </c>
      <c r="D21" s="78">
        <f ca="1" t="shared" si="21"/>
        <v>1.9</v>
      </c>
      <c r="E21" s="78">
        <f ca="1" t="shared" ref="E21:U21" si="23">ROUND(E6*E30/E38,3)</f>
        <v>1.688</v>
      </c>
      <c r="F21" s="78">
        <f ca="1" t="shared" si="23"/>
        <v>1.071</v>
      </c>
      <c r="G21" s="78">
        <f ca="1" t="shared" si="23"/>
        <v>0.295</v>
      </c>
      <c r="H21" s="78">
        <f ca="1" t="shared" si="23"/>
        <v>0.109</v>
      </c>
      <c r="I21" s="78">
        <f ca="1" t="shared" si="23"/>
        <v>0.624</v>
      </c>
      <c r="J21" s="78">
        <f ca="1" t="shared" si="23"/>
        <v>1.267</v>
      </c>
      <c r="K21" s="78">
        <f ca="1" t="shared" si="23"/>
        <v>3.315</v>
      </c>
      <c r="L21" s="78">
        <f ca="1" t="shared" si="23"/>
        <v>0.137</v>
      </c>
      <c r="M21" s="78">
        <f ca="1" t="shared" si="23"/>
        <v>0.294</v>
      </c>
      <c r="N21" s="78">
        <f ca="1" t="shared" si="23"/>
        <v>1.465</v>
      </c>
      <c r="O21" s="78">
        <f ca="1" t="shared" si="23"/>
        <v>1.582</v>
      </c>
      <c r="P21" s="78">
        <f ca="1" t="shared" si="23"/>
        <v>0.128</v>
      </c>
      <c r="Q21" s="78">
        <f ca="1" t="shared" si="23"/>
        <v>0.459</v>
      </c>
      <c r="R21" s="78">
        <f ca="1" t="shared" si="23"/>
        <v>0.009</v>
      </c>
      <c r="S21" s="78">
        <f ca="1" t="shared" si="23"/>
        <v>4.331</v>
      </c>
      <c r="T21" s="78">
        <f ca="1" t="shared" si="23"/>
        <v>0.14</v>
      </c>
      <c r="U21" s="78">
        <f ca="1" t="shared" si="23"/>
        <v>1.025</v>
      </c>
      <c r="V21" s="78">
        <f ca="1" t="shared" si="21"/>
        <v>1.235</v>
      </c>
      <c r="W21" s="78">
        <f ca="1" t="shared" si="21"/>
        <v>1.301</v>
      </c>
      <c r="X21" s="78">
        <f ca="1" t="shared" si="21"/>
        <v>1.919</v>
      </c>
      <c r="Y21" s="78">
        <f ca="1" t="shared" si="21"/>
        <v>2.917</v>
      </c>
      <c r="Z21" s="78">
        <f ca="1" t="shared" si="21"/>
        <v>0.101</v>
      </c>
      <c r="AA21" s="78">
        <f ca="1" t="shared" si="21"/>
        <v>0.675</v>
      </c>
      <c r="AB21" s="78">
        <f ca="1" t="shared" si="21"/>
        <v>3.506</v>
      </c>
      <c r="AC21" s="78">
        <f ca="1" t="shared" si="21"/>
        <v>0.632</v>
      </c>
      <c r="AD21" s="78">
        <f ca="1" t="shared" si="21"/>
        <v>1.091</v>
      </c>
      <c r="AE21" s="78">
        <f ca="1" t="shared" si="21"/>
        <v>0.593</v>
      </c>
      <c r="AF21" s="78">
        <f ca="1" t="shared" si="21"/>
        <v>1.957</v>
      </c>
      <c r="AG21" s="78">
        <f ca="1" t="shared" si="21"/>
        <v>0.367</v>
      </c>
      <c r="AH21" s="78">
        <f ca="1" t="shared" si="21"/>
        <v>0.13</v>
      </c>
      <c r="AI21" s="78">
        <f ca="1" t="shared" si="21"/>
        <v>1.054</v>
      </c>
      <c r="AJ21" s="78">
        <f ca="1" t="shared" si="21"/>
        <v>1.155</v>
      </c>
      <c r="AK21" s="78">
        <f ca="1" t="shared" si="21"/>
        <v>0.164</v>
      </c>
      <c r="AL21" s="78">
        <f ca="1" t="shared" si="21"/>
        <v>0.57</v>
      </c>
      <c r="AM21" s="78">
        <f ca="1" t="shared" si="21"/>
        <v>0</v>
      </c>
      <c r="AN21" s="78">
        <f ca="1" t="shared" si="21"/>
        <v>0</v>
      </c>
      <c r="AO21" s="78">
        <f ca="1" t="shared" si="21"/>
        <v>0</v>
      </c>
      <c r="AP21" s="78">
        <f ca="1" t="shared" si="21"/>
        <v>0</v>
      </c>
      <c r="AQ21" s="78">
        <f ca="1" t="shared" si="21"/>
        <v>0</v>
      </c>
      <c r="AR21" s="78">
        <f ca="1" t="shared" si="21"/>
        <v>0</v>
      </c>
      <c r="AS21" s="78">
        <f ca="1" t="shared" si="21"/>
        <v>0</v>
      </c>
      <c r="AT21" s="78">
        <f ca="1" t="shared" si="21"/>
        <v>0</v>
      </c>
      <c r="AU21" s="78">
        <f ca="1" t="shared" si="21"/>
        <v>0</v>
      </c>
      <c r="AV21" s="78">
        <f ca="1" t="shared" si="21"/>
        <v>0</v>
      </c>
      <c r="AW21" s="78">
        <f ca="1" t="shared" si="21"/>
        <v>0</v>
      </c>
      <c r="AY21" t="s">
        <v>151</v>
      </c>
      <c r="AZ21" t="str">
        <f ca="1">IF(AX6="zero","\I:",$BA$45&amp;"_"&amp;VLOOKUP(C21,'TRA balance'!$BB$5:$BC$15,2,FALSE))</f>
        <v>Trd_lcv_dsl</v>
      </c>
      <c r="BA21" t="str">
        <f ca="1" t="shared" si="0"/>
        <v>Trd_lcv</v>
      </c>
      <c r="BB21">
        <f ca="1" t="shared" si="1"/>
        <v>25</v>
      </c>
      <c r="BD21" t="str">
        <f ca="1" t="shared" si="3"/>
        <v>DMD</v>
      </c>
      <c r="BE21" t="str">
        <f ca="1" t="shared" si="4"/>
        <v>Trd_lcv_dsl</v>
      </c>
      <c r="BG21" t="s">
        <v>92</v>
      </c>
      <c r="BH21" t="s">
        <v>144</v>
      </c>
      <c r="BI21" t="s">
        <v>145</v>
      </c>
    </row>
    <row r="22" spans="1:61">
      <c r="C22" t="str">
        <f t="shared" si="18"/>
        <v>TRAELC</v>
      </c>
      <c r="D22" s="78">
        <f ca="1" t="shared" si="21"/>
        <v>0</v>
      </c>
      <c r="E22" s="78">
        <f ca="1" t="shared" ref="E22:U22" si="24">ROUND(E7*E31/E39,3)</f>
        <v>0</v>
      </c>
      <c r="F22" s="78">
        <f ca="1" t="shared" si="24"/>
        <v>0</v>
      </c>
      <c r="G22" s="78">
        <f ca="1" t="shared" si="24"/>
        <v>0</v>
      </c>
      <c r="H22" s="78">
        <f ca="1" t="shared" si="24"/>
        <v>0</v>
      </c>
      <c r="I22" s="78">
        <f ca="1" t="shared" si="24"/>
        <v>0</v>
      </c>
      <c r="J22" s="78">
        <f ca="1" t="shared" si="24"/>
        <v>0</v>
      </c>
      <c r="K22" s="78">
        <f ca="1" t="shared" si="24"/>
        <v>0.457</v>
      </c>
      <c r="L22" s="78">
        <f ca="1" t="shared" si="24"/>
        <v>0</v>
      </c>
      <c r="M22" s="78">
        <f ca="1" t="shared" si="24"/>
        <v>0</v>
      </c>
      <c r="N22" s="78">
        <f ca="1" t="shared" si="24"/>
        <v>0</v>
      </c>
      <c r="O22" s="78">
        <f ca="1" t="shared" si="24"/>
        <v>0</v>
      </c>
      <c r="P22" s="78">
        <f ca="1" t="shared" si="24"/>
        <v>0</v>
      </c>
      <c r="Q22" s="78">
        <f ca="1" t="shared" si="24"/>
        <v>0</v>
      </c>
      <c r="R22" s="78">
        <f ca="1" t="shared" si="24"/>
        <v>0</v>
      </c>
      <c r="S22" s="78">
        <f ca="1" t="shared" si="24"/>
        <v>0</v>
      </c>
      <c r="T22" s="78">
        <f ca="1" t="shared" si="24"/>
        <v>0</v>
      </c>
      <c r="U22" s="78">
        <f ca="1" t="shared" si="24"/>
        <v>0</v>
      </c>
      <c r="V22" s="78">
        <f ca="1" t="shared" si="21"/>
        <v>0</v>
      </c>
      <c r="W22" s="78">
        <f ca="1" t="shared" si="21"/>
        <v>0</v>
      </c>
      <c r="X22" s="78">
        <f ca="1" t="shared" si="21"/>
        <v>0</v>
      </c>
      <c r="Y22" s="78">
        <f ca="1" t="shared" si="21"/>
        <v>0</v>
      </c>
      <c r="Z22" s="78">
        <f ca="1" t="shared" si="21"/>
        <v>0</v>
      </c>
      <c r="AA22" s="78">
        <f ca="1" t="shared" si="21"/>
        <v>0</v>
      </c>
      <c r="AB22" s="78">
        <f ca="1" t="shared" si="21"/>
        <v>0</v>
      </c>
      <c r="AC22" s="78">
        <f ca="1" t="shared" si="21"/>
        <v>0</v>
      </c>
      <c r="AD22" s="78">
        <f ca="1" t="shared" si="21"/>
        <v>0</v>
      </c>
      <c r="AE22" s="78">
        <f ca="1" t="shared" si="21"/>
        <v>0</v>
      </c>
      <c r="AF22" s="78">
        <f ca="1" t="shared" si="21"/>
        <v>0</v>
      </c>
      <c r="AG22" s="78">
        <f ca="1" t="shared" si="21"/>
        <v>0</v>
      </c>
      <c r="AH22" s="78">
        <f ca="1" t="shared" si="21"/>
        <v>0</v>
      </c>
      <c r="AI22" s="78">
        <f ca="1" t="shared" si="21"/>
        <v>0</v>
      </c>
      <c r="AJ22" s="78">
        <f ca="1" t="shared" si="21"/>
        <v>0</v>
      </c>
      <c r="AK22" s="78">
        <f ca="1" t="shared" si="21"/>
        <v>0</v>
      </c>
      <c r="AL22" s="78">
        <f ca="1" t="shared" si="21"/>
        <v>0</v>
      </c>
      <c r="AM22" s="78">
        <f ca="1" t="shared" si="21"/>
        <v>0</v>
      </c>
      <c r="AN22" s="78">
        <f ca="1" t="shared" si="21"/>
        <v>0</v>
      </c>
      <c r="AO22" s="78">
        <f ca="1" t="shared" si="21"/>
        <v>0</v>
      </c>
      <c r="AP22" s="78">
        <f ca="1" t="shared" si="21"/>
        <v>0</v>
      </c>
      <c r="AQ22" s="78">
        <f ca="1" t="shared" si="21"/>
        <v>0</v>
      </c>
      <c r="AR22" s="78">
        <f ca="1" t="shared" si="21"/>
        <v>0</v>
      </c>
      <c r="AS22" s="78">
        <f ca="1" t="shared" si="21"/>
        <v>0</v>
      </c>
      <c r="AT22" s="78">
        <f ca="1" t="shared" si="21"/>
        <v>0</v>
      </c>
      <c r="AU22" s="78">
        <f ca="1" t="shared" si="21"/>
        <v>0</v>
      </c>
      <c r="AV22" s="78">
        <f ca="1" t="shared" si="21"/>
        <v>0</v>
      </c>
      <c r="AW22" s="78">
        <f ca="1" t="shared" si="21"/>
        <v>0</v>
      </c>
      <c r="AY22" t="s">
        <v>151</v>
      </c>
      <c r="AZ22" t="str">
        <f ca="1">IF(AX7="zero","\I:",$BA$45&amp;"_"&amp;VLOOKUP(C22,'TRA balance'!$BB$5:$BC$15,2,FALSE))</f>
        <v>Trd_lcv_elc</v>
      </c>
      <c r="BA22" t="str">
        <f ca="1" t="shared" si="0"/>
        <v>Trd_lcv</v>
      </c>
      <c r="BB22">
        <f ca="1" t="shared" si="1"/>
        <v>25</v>
      </c>
      <c r="BD22" t="str">
        <f ca="1" t="shared" si="3"/>
        <v>DMD</v>
      </c>
      <c r="BE22" t="str">
        <f ca="1" t="shared" si="4"/>
        <v>Trd_lcv_elc</v>
      </c>
      <c r="BG22" t="s">
        <v>92</v>
      </c>
      <c r="BH22" t="s">
        <v>144</v>
      </c>
      <c r="BI22" t="s">
        <v>145</v>
      </c>
    </row>
    <row r="23" spans="1:61">
      <c r="C23" t="str">
        <f t="shared" si="18"/>
        <v>TRAGSL</v>
      </c>
      <c r="D23" s="78">
        <f ca="1" t="shared" si="21"/>
        <v>0</v>
      </c>
      <c r="E23" s="78">
        <f ca="1" t="shared" ref="E23:U23" si="25">ROUND(E8*E32/E40,3)</f>
        <v>0</v>
      </c>
      <c r="F23" s="78">
        <f ca="1" t="shared" si="25"/>
        <v>0.504</v>
      </c>
      <c r="G23" s="78">
        <f ca="1" t="shared" si="25"/>
        <v>0.018</v>
      </c>
      <c r="H23" s="78">
        <f ca="1" t="shared" si="25"/>
        <v>0.044</v>
      </c>
      <c r="I23" s="78">
        <f ca="1" t="shared" si="25"/>
        <v>0.071</v>
      </c>
      <c r="J23" s="78">
        <f ca="1" t="shared" si="25"/>
        <v>0.485</v>
      </c>
      <c r="K23" s="78">
        <f ca="1" t="shared" si="25"/>
        <v>4.474</v>
      </c>
      <c r="L23" s="78">
        <f ca="1" t="shared" si="25"/>
        <v>0.018</v>
      </c>
      <c r="M23" s="78">
        <f ca="1" t="shared" si="25"/>
        <v>0.042</v>
      </c>
      <c r="N23" s="78">
        <f ca="1" t="shared" si="25"/>
        <v>0.087</v>
      </c>
      <c r="O23" s="78">
        <f ca="1" t="shared" si="25"/>
        <v>0.192</v>
      </c>
      <c r="P23" s="78">
        <f ca="1" t="shared" si="25"/>
        <v>0.03</v>
      </c>
      <c r="Q23" s="78">
        <f ca="1" t="shared" si="25"/>
        <v>0.065</v>
      </c>
      <c r="R23" s="78">
        <f ca="1" t="shared" si="25"/>
        <v>0.001</v>
      </c>
      <c r="S23" s="78">
        <f ca="1" t="shared" si="25"/>
        <v>0</v>
      </c>
      <c r="T23" s="78">
        <f ca="1" t="shared" si="25"/>
        <v>0.009</v>
      </c>
      <c r="U23" s="78">
        <f ca="1" t="shared" si="25"/>
        <v>0.087</v>
      </c>
      <c r="V23" s="78">
        <f ca="1" t="shared" si="21"/>
        <v>1.476</v>
      </c>
      <c r="W23" s="78">
        <f ca="1" t="shared" si="21"/>
        <v>0.923</v>
      </c>
      <c r="X23" s="78">
        <f ca="1" t="shared" si="21"/>
        <v>3.628</v>
      </c>
      <c r="Y23" s="78">
        <f ca="1" t="shared" si="21"/>
        <v>23.763</v>
      </c>
      <c r="Z23" s="78">
        <f ca="1" t="shared" si="21"/>
        <v>0.007</v>
      </c>
      <c r="AA23" s="78">
        <f ca="1" t="shared" si="21"/>
        <v>0.091</v>
      </c>
      <c r="AB23" s="78">
        <f ca="1" t="shared" si="21"/>
        <v>0</v>
      </c>
      <c r="AC23" s="78">
        <f ca="1" t="shared" si="21"/>
        <v>2.378</v>
      </c>
      <c r="AD23" s="78">
        <f ca="1" t="shared" si="21"/>
        <v>1.567</v>
      </c>
      <c r="AE23" s="78">
        <f ca="1" t="shared" si="21"/>
        <v>0</v>
      </c>
      <c r="AF23" s="78">
        <f ca="1" t="shared" si="21"/>
        <v>0.115</v>
      </c>
      <c r="AG23" s="78">
        <f ca="1" t="shared" si="21"/>
        <v>0.05</v>
      </c>
      <c r="AH23" s="78">
        <f ca="1" t="shared" si="21"/>
        <v>0.027</v>
      </c>
      <c r="AI23" s="78">
        <f ca="1" t="shared" si="21"/>
        <v>0.153</v>
      </c>
      <c r="AJ23" s="78">
        <f ca="1" t="shared" si="21"/>
        <v>0.137</v>
      </c>
      <c r="AK23" s="78">
        <f ca="1" t="shared" si="21"/>
        <v>0.119</v>
      </c>
      <c r="AL23" s="78">
        <f ca="1" t="shared" si="21"/>
        <v>0.049</v>
      </c>
      <c r="AM23" s="78">
        <f ca="1" t="shared" si="21"/>
        <v>0</v>
      </c>
      <c r="AN23" s="78">
        <f ca="1" t="shared" si="21"/>
        <v>0</v>
      </c>
      <c r="AO23" s="78">
        <f ca="1" t="shared" si="21"/>
        <v>0</v>
      </c>
      <c r="AP23" s="78">
        <f ca="1" t="shared" si="21"/>
        <v>0</v>
      </c>
      <c r="AQ23" s="78">
        <f ca="1" t="shared" si="21"/>
        <v>0</v>
      </c>
      <c r="AR23" s="78">
        <f ca="1" t="shared" si="21"/>
        <v>0</v>
      </c>
      <c r="AS23" s="78">
        <f ca="1" t="shared" si="21"/>
        <v>0</v>
      </c>
      <c r="AT23" s="78">
        <f ca="1" t="shared" si="21"/>
        <v>0</v>
      </c>
      <c r="AU23" s="78">
        <f ca="1" t="shared" si="21"/>
        <v>0</v>
      </c>
      <c r="AV23" s="78">
        <f ca="1" t="shared" si="21"/>
        <v>0</v>
      </c>
      <c r="AW23" s="78">
        <f ca="1" t="shared" si="21"/>
        <v>0</v>
      </c>
      <c r="AY23" t="s">
        <v>151</v>
      </c>
      <c r="AZ23" t="str">
        <f ca="1">IF(AX8="zero","\I:",$BA$45&amp;"_"&amp;VLOOKUP(C23,'TRA balance'!$BB$5:$BC$15,2,FALSE))</f>
        <v>Trd_lcv_gsl</v>
      </c>
      <c r="BA23" t="str">
        <f ca="1" t="shared" si="0"/>
        <v>Trd_lcv</v>
      </c>
      <c r="BB23">
        <f ca="1" t="shared" si="1"/>
        <v>25</v>
      </c>
      <c r="BD23" t="str">
        <f ca="1" t="shared" si="3"/>
        <v>DMD</v>
      </c>
      <c r="BE23" t="str">
        <f ca="1" t="shared" si="4"/>
        <v>Trd_lcv_gsl</v>
      </c>
      <c r="BG23" t="s">
        <v>92</v>
      </c>
      <c r="BH23" t="s">
        <v>144</v>
      </c>
      <c r="BI23" t="s">
        <v>145</v>
      </c>
    </row>
    <row r="24" spans="1:61">
      <c r="C24" t="str">
        <f t="shared" si="18"/>
        <v>TRALPG</v>
      </c>
      <c r="D24" s="78">
        <f ca="1" t="shared" si="21"/>
        <v>0.132</v>
      </c>
      <c r="E24" s="78">
        <f ca="1" t="shared" ref="E24:U24" si="26">ROUND(E9*E33/E41,3)</f>
        <v>0</v>
      </c>
      <c r="F24" s="78">
        <f ca="1" t="shared" si="26"/>
        <v>0.025</v>
      </c>
      <c r="G24" s="78">
        <f ca="1" t="shared" si="26"/>
        <v>0.001</v>
      </c>
      <c r="H24" s="78">
        <f ca="1" t="shared" si="26"/>
        <v>0.033</v>
      </c>
      <c r="I24" s="78">
        <f ca="1" t="shared" si="26"/>
        <v>0.023</v>
      </c>
      <c r="J24" s="78">
        <f ca="1" t="shared" si="26"/>
        <v>0</v>
      </c>
      <c r="K24" s="78">
        <f ca="1" t="shared" si="26"/>
        <v>0.104</v>
      </c>
      <c r="L24" s="78">
        <f ca="1" t="shared" si="26"/>
        <v>0.017</v>
      </c>
      <c r="M24" s="78">
        <f ca="1" t="shared" si="26"/>
        <v>0.019</v>
      </c>
      <c r="N24" s="78">
        <f ca="1" t="shared" si="26"/>
        <v>0.007</v>
      </c>
      <c r="O24" s="78">
        <f ca="1" t="shared" si="26"/>
        <v>0.043</v>
      </c>
      <c r="P24" s="78">
        <f ca="1" t="shared" si="26"/>
        <v>0.028</v>
      </c>
      <c r="Q24" s="78">
        <f ca="1" t="shared" si="26"/>
        <v>0.11</v>
      </c>
      <c r="R24" s="78">
        <f ca="1" t="shared" si="26"/>
        <v>0</v>
      </c>
      <c r="S24" s="78">
        <f ca="1" t="shared" si="26"/>
        <v>0.013</v>
      </c>
      <c r="T24" s="78">
        <f ca="1" t="shared" si="26"/>
        <v>0</v>
      </c>
      <c r="U24" s="78">
        <f ca="1" t="shared" si="26"/>
        <v>0.21</v>
      </c>
      <c r="V24" s="78">
        <f ca="1" t="shared" si="21"/>
        <v>0.141</v>
      </c>
      <c r="W24" s="78">
        <f ca="1" t="shared" si="21"/>
        <v>0</v>
      </c>
      <c r="X24" s="78">
        <f ca="1" t="shared" si="21"/>
        <v>0.009</v>
      </c>
      <c r="Y24" s="78">
        <f ca="1" t="shared" si="21"/>
        <v>0.224</v>
      </c>
      <c r="Z24" s="78">
        <f ca="1" t="shared" si="21"/>
        <v>0.001</v>
      </c>
      <c r="AA24" s="78">
        <f ca="1" t="shared" si="21"/>
        <v>0.422</v>
      </c>
      <c r="AB24" s="78">
        <f ca="1" t="shared" si="21"/>
        <v>0.23</v>
      </c>
      <c r="AC24" s="78">
        <f ca="1" t="shared" si="21"/>
        <v>0.282</v>
      </c>
      <c r="AD24" s="78">
        <f ca="1" t="shared" si="21"/>
        <v>0</v>
      </c>
      <c r="AE24" s="78">
        <f ca="1" t="shared" si="21"/>
        <v>0.002</v>
      </c>
      <c r="AF24" s="78">
        <f ca="1" t="shared" si="21"/>
        <v>0.025</v>
      </c>
      <c r="AG24" s="78">
        <f ca="1" t="shared" si="21"/>
        <v>0</v>
      </c>
      <c r="AH24" s="78">
        <f ca="1" t="shared" si="21"/>
        <v>0</v>
      </c>
      <c r="AI24" s="78">
        <f ca="1" t="shared" si="21"/>
        <v>0.476</v>
      </c>
      <c r="AJ24" s="78">
        <f ca="1" t="shared" si="21"/>
        <v>0.008</v>
      </c>
      <c r="AK24" s="78">
        <f ca="1" t="shared" si="21"/>
        <v>0.395</v>
      </c>
      <c r="AL24" s="78">
        <f ca="1" t="shared" si="21"/>
        <v>0.132</v>
      </c>
      <c r="AM24" s="78">
        <f ca="1" t="shared" si="21"/>
        <v>0</v>
      </c>
      <c r="AN24" s="78">
        <f ca="1" t="shared" si="21"/>
        <v>0</v>
      </c>
      <c r="AO24" s="78">
        <f ca="1" t="shared" si="21"/>
        <v>0</v>
      </c>
      <c r="AP24" s="78">
        <f ca="1" t="shared" si="21"/>
        <v>0</v>
      </c>
      <c r="AQ24" s="78">
        <f ca="1" t="shared" si="21"/>
        <v>0</v>
      </c>
      <c r="AR24" s="78">
        <f ca="1" t="shared" si="21"/>
        <v>0</v>
      </c>
      <c r="AS24" s="78">
        <f ca="1" t="shared" si="21"/>
        <v>0</v>
      </c>
      <c r="AT24" s="78">
        <f ca="1" t="shared" si="21"/>
        <v>0</v>
      </c>
      <c r="AU24" s="78">
        <f ca="1" t="shared" si="21"/>
        <v>0</v>
      </c>
      <c r="AV24" s="78">
        <f ca="1" t="shared" si="21"/>
        <v>0</v>
      </c>
      <c r="AW24" s="78">
        <f ca="1" t="shared" si="21"/>
        <v>0</v>
      </c>
      <c r="AY24" t="s">
        <v>151</v>
      </c>
      <c r="AZ24" t="str">
        <f ca="1">IF(AX9="zero","\I:",$BA$45&amp;"_"&amp;VLOOKUP(C24,'TRA balance'!$BB$5:$BC$15,2,FALSE))</f>
        <v>Trd_lcv_lpg</v>
      </c>
      <c r="BA24" t="str">
        <f ca="1" t="shared" si="0"/>
        <v>Trd_lcv</v>
      </c>
      <c r="BB24">
        <f ca="1" t="shared" si="1"/>
        <v>25</v>
      </c>
      <c r="BD24" t="str">
        <f ca="1" t="shared" si="3"/>
        <v>DMD</v>
      </c>
      <c r="BE24" t="str">
        <f ca="1" t="shared" si="4"/>
        <v>Trd_lcv_lpg</v>
      </c>
      <c r="BG24" t="s">
        <v>92</v>
      </c>
      <c r="BH24" t="s">
        <v>144</v>
      </c>
      <c r="BI24" t="s">
        <v>145</v>
      </c>
    </row>
    <row r="25" spans="1:61">
      <c r="C25" t="str">
        <f t="shared" si="18"/>
        <v>TRANGA</v>
      </c>
      <c r="D25" s="78">
        <f ca="1" t="shared" si="21"/>
        <v>0.025</v>
      </c>
      <c r="E25" s="78">
        <f ca="1" t="shared" ref="E25:U25" si="27">ROUND(E10*E34/E42,3)</f>
        <v>0</v>
      </c>
      <c r="F25" s="78">
        <f ca="1" t="shared" si="27"/>
        <v>0.004</v>
      </c>
      <c r="G25" s="78">
        <f ca="1" t="shared" si="27"/>
        <v>0</v>
      </c>
      <c r="H25" s="78">
        <f ca="1" t="shared" si="27"/>
        <v>0.002</v>
      </c>
      <c r="I25" s="78">
        <f ca="1" t="shared" si="27"/>
        <v>0</v>
      </c>
      <c r="J25" s="78">
        <f ca="1" t="shared" si="27"/>
        <v>0.139</v>
      </c>
      <c r="K25" s="78">
        <f ca="1" t="shared" si="27"/>
        <v>1.016</v>
      </c>
      <c r="L25" s="78">
        <f ca="1" t="shared" si="27"/>
        <v>0</v>
      </c>
      <c r="M25" s="78">
        <f ca="1" t="shared" si="27"/>
        <v>0</v>
      </c>
      <c r="N25" s="78">
        <f ca="1" t="shared" si="27"/>
        <v>0</v>
      </c>
      <c r="O25" s="78">
        <f ca="1" t="shared" si="27"/>
        <v>0</v>
      </c>
      <c r="P25" s="78">
        <f ca="1" t="shared" si="27"/>
        <v>0</v>
      </c>
      <c r="Q25" s="78">
        <f ca="1" t="shared" si="27"/>
        <v>0</v>
      </c>
      <c r="R25" s="78">
        <f ca="1" t="shared" si="27"/>
        <v>0</v>
      </c>
      <c r="S25" s="78">
        <f ca="1" t="shared" si="27"/>
        <v>0.152</v>
      </c>
      <c r="T25" s="78">
        <f ca="1" t="shared" si="27"/>
        <v>0</v>
      </c>
      <c r="U25" s="78">
        <f ca="1" t="shared" si="27"/>
        <v>0</v>
      </c>
      <c r="V25" s="78">
        <f ca="1" t="shared" si="21"/>
        <v>0.001</v>
      </c>
      <c r="W25" s="78">
        <f ca="1" t="shared" si="21"/>
        <v>0.267</v>
      </c>
      <c r="X25" s="78">
        <f ca="1" t="shared" si="21"/>
        <v>0</v>
      </c>
      <c r="Y25" s="78">
        <f ca="1" t="shared" si="21"/>
        <v>0.009</v>
      </c>
      <c r="Z25" s="78">
        <f ca="1" t="shared" si="21"/>
        <v>0</v>
      </c>
      <c r="AA25" s="78">
        <f ca="1" t="shared" si="21"/>
        <v>0</v>
      </c>
      <c r="AB25" s="78">
        <f ca="1" t="shared" si="21"/>
        <v>0.09</v>
      </c>
      <c r="AC25" s="78">
        <f ca="1" t="shared" si="21"/>
        <v>0.022</v>
      </c>
      <c r="AD25" s="78">
        <f ca="1" t="shared" si="21"/>
        <v>0</v>
      </c>
      <c r="AE25" s="78">
        <f ca="1" t="shared" si="21"/>
        <v>0</v>
      </c>
      <c r="AF25" s="78">
        <f ca="1" t="shared" si="21"/>
        <v>0</v>
      </c>
      <c r="AG25" s="78">
        <f ca="1" t="shared" si="21"/>
        <v>0</v>
      </c>
      <c r="AH25" s="78">
        <f ca="1" t="shared" si="21"/>
        <v>0</v>
      </c>
      <c r="AI25" s="78">
        <f ca="1" t="shared" si="21"/>
        <v>0</v>
      </c>
      <c r="AJ25" s="78">
        <f ca="1" t="shared" si="21"/>
        <v>0</v>
      </c>
      <c r="AK25" s="78">
        <f ca="1" t="shared" si="21"/>
        <v>0.003</v>
      </c>
      <c r="AL25" s="78">
        <f ca="1" t="shared" si="21"/>
        <v>0</v>
      </c>
      <c r="AM25" s="78">
        <f ca="1" t="shared" si="21"/>
        <v>0</v>
      </c>
      <c r="AN25" s="78">
        <f ca="1" t="shared" si="21"/>
        <v>0</v>
      </c>
      <c r="AO25" s="78">
        <f ca="1" t="shared" si="21"/>
        <v>0</v>
      </c>
      <c r="AP25" s="78">
        <f ca="1" t="shared" si="21"/>
        <v>0</v>
      </c>
      <c r="AQ25" s="78">
        <f ca="1" t="shared" si="21"/>
        <v>0</v>
      </c>
      <c r="AR25" s="78">
        <f ca="1" t="shared" si="21"/>
        <v>0</v>
      </c>
      <c r="AS25" s="78">
        <f ca="1" t="shared" si="21"/>
        <v>0</v>
      </c>
      <c r="AT25" s="78">
        <f ca="1" t="shared" si="21"/>
        <v>0</v>
      </c>
      <c r="AU25" s="78">
        <f ca="1" t="shared" si="21"/>
        <v>0</v>
      </c>
      <c r="AV25" s="78">
        <f ca="1" t="shared" si="21"/>
        <v>0</v>
      </c>
      <c r="AW25" s="78">
        <f ca="1" t="shared" si="21"/>
        <v>0</v>
      </c>
      <c r="AY25" t="s">
        <v>151</v>
      </c>
      <c r="AZ25" t="str">
        <f ca="1">IF(AX10="zero","\I:",$BA$45&amp;"_"&amp;VLOOKUP(C25,'TRA balance'!$BB$5:$BC$15,2,FALSE))</f>
        <v>Trd_lcv_nga</v>
      </c>
      <c r="BA25" t="str">
        <f ca="1" t="shared" si="0"/>
        <v>Trd_lcv</v>
      </c>
      <c r="BB25">
        <f ca="1" t="shared" si="1"/>
        <v>25</v>
      </c>
      <c r="BD25" t="str">
        <f ca="1" t="shared" si="3"/>
        <v>DMD</v>
      </c>
      <c r="BE25" t="str">
        <f ca="1" t="shared" si="4"/>
        <v>Trd_lcv_nga</v>
      </c>
      <c r="BG25" t="s">
        <v>92</v>
      </c>
      <c r="BH25" t="s">
        <v>144</v>
      </c>
      <c r="BI25" t="s">
        <v>145</v>
      </c>
    </row>
    <row r="26" spans="1:61"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Y26" t="s">
        <v>133</v>
      </c>
      <c r="BA26" t="str">
        <f t="shared" si="0"/>
        <v/>
      </c>
      <c r="BB26" t="str">
        <f t="shared" si="1"/>
        <v/>
      </c>
      <c r="BD26" t="str">
        <f t="shared" si="3"/>
        <v>*</v>
      </c>
      <c r="BE26">
        <f t="shared" si="4"/>
        <v>0</v>
      </c>
      <c r="BG26" t="s">
        <v>92</v>
      </c>
      <c r="BH26" t="s">
        <v>144</v>
      </c>
      <c r="BI26" t="s">
        <v>145</v>
      </c>
    </row>
    <row r="27" spans="1:61"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Y27" t="s">
        <v>133</v>
      </c>
      <c r="BA27" t="str">
        <f t="shared" si="0"/>
        <v/>
      </c>
      <c r="BB27" t="str">
        <f t="shared" si="1"/>
        <v/>
      </c>
      <c r="BD27" t="str">
        <f t="shared" si="3"/>
        <v>*</v>
      </c>
      <c r="BE27">
        <f t="shared" si="4"/>
        <v>0</v>
      </c>
      <c r="BG27" t="s">
        <v>92</v>
      </c>
      <c r="BH27" t="s">
        <v>144</v>
      </c>
      <c r="BI27" t="s">
        <v>145</v>
      </c>
    </row>
    <row r="28" spans="1:61">
      <c r="A28" t="s">
        <v>152</v>
      </c>
      <c r="C28" t="str">
        <f>C19</f>
        <v>TRABDS</v>
      </c>
      <c r="D28">
        <f t="shared" ref="D28:AC34" si="28">$AX28*D$27</f>
        <v>0.379626024625345</v>
      </c>
      <c r="E28">
        <f t="shared" si="28"/>
        <v>0.379626024625345</v>
      </c>
      <c r="F28">
        <f t="shared" si="28"/>
        <v>0.379626024625345</v>
      </c>
      <c r="G28">
        <f t="shared" si="28"/>
        <v>0.379626024625345</v>
      </c>
      <c r="H28">
        <f t="shared" si="28"/>
        <v>0.379626024625345</v>
      </c>
      <c r="I28">
        <f t="shared" si="28"/>
        <v>0.379626024625345</v>
      </c>
      <c r="J28">
        <f t="shared" si="28"/>
        <v>0.379626024625345</v>
      </c>
      <c r="K28">
        <f t="shared" si="28"/>
        <v>0.379626024625345</v>
      </c>
      <c r="L28">
        <f t="shared" si="28"/>
        <v>0.379626024625345</v>
      </c>
      <c r="M28">
        <f t="shared" si="28"/>
        <v>0.379626024625345</v>
      </c>
      <c r="N28">
        <f t="shared" si="28"/>
        <v>0.379626024625345</v>
      </c>
      <c r="O28">
        <f t="shared" si="28"/>
        <v>0.379626024625345</v>
      </c>
      <c r="P28">
        <f t="shared" si="28"/>
        <v>0.379626024625345</v>
      </c>
      <c r="Q28">
        <f t="shared" si="28"/>
        <v>0.379626024625345</v>
      </c>
      <c r="R28">
        <f t="shared" si="28"/>
        <v>0.379626024625345</v>
      </c>
      <c r="S28">
        <f t="shared" si="28"/>
        <v>0.379626024625345</v>
      </c>
      <c r="T28">
        <f t="shared" si="28"/>
        <v>0.379626024625345</v>
      </c>
      <c r="U28">
        <f t="shared" si="28"/>
        <v>0.379626024625345</v>
      </c>
      <c r="V28">
        <f t="shared" si="28"/>
        <v>0.379626024625345</v>
      </c>
      <c r="W28">
        <f t="shared" si="28"/>
        <v>0.379626024625345</v>
      </c>
      <c r="X28">
        <f t="shared" si="28"/>
        <v>0.379626024625345</v>
      </c>
      <c r="Y28">
        <f t="shared" si="28"/>
        <v>0.379626024625345</v>
      </c>
      <c r="Z28">
        <f t="shared" si="28"/>
        <v>0.379626024625345</v>
      </c>
      <c r="AA28">
        <f t="shared" si="28"/>
        <v>0.379626024625345</v>
      </c>
      <c r="AB28">
        <f t="shared" si="28"/>
        <v>0.379626024625345</v>
      </c>
      <c r="AC28">
        <f t="shared" si="28"/>
        <v>0.379626024625345</v>
      </c>
      <c r="AD28">
        <f t="shared" ref="AD28:AS34" si="29">$AX28*AD$27</f>
        <v>0.379626024625345</v>
      </c>
      <c r="AE28">
        <f t="shared" si="29"/>
        <v>0.379626024625345</v>
      </c>
      <c r="AF28">
        <f t="shared" si="29"/>
        <v>0.379626024625345</v>
      </c>
      <c r="AG28">
        <f t="shared" si="29"/>
        <v>0.379626024625345</v>
      </c>
      <c r="AH28">
        <f t="shared" si="29"/>
        <v>0.379626024625345</v>
      </c>
      <c r="AI28">
        <f t="shared" si="29"/>
        <v>0.379626024625345</v>
      </c>
      <c r="AJ28">
        <f t="shared" si="29"/>
        <v>0.379626024625345</v>
      </c>
      <c r="AK28">
        <f t="shared" si="29"/>
        <v>0.379626024625345</v>
      </c>
      <c r="AL28">
        <f t="shared" si="29"/>
        <v>0.379626024625345</v>
      </c>
      <c r="AM28">
        <f t="shared" si="29"/>
        <v>0.379626024625345</v>
      </c>
      <c r="AN28">
        <f t="shared" si="29"/>
        <v>0.379626024625345</v>
      </c>
      <c r="AO28">
        <f t="shared" si="29"/>
        <v>0.379626024625345</v>
      </c>
      <c r="AP28">
        <f t="shared" si="29"/>
        <v>0.379626024625345</v>
      </c>
      <c r="AQ28">
        <f t="shared" si="29"/>
        <v>0.379626024625345</v>
      </c>
      <c r="AR28">
        <f t="shared" si="29"/>
        <v>0.379626024625345</v>
      </c>
      <c r="AS28">
        <f t="shared" si="29"/>
        <v>0.379626024625345</v>
      </c>
      <c r="AT28">
        <f t="shared" ref="AK28:AW34" si="30">$AX28*AT$27</f>
        <v>0.379626024625345</v>
      </c>
      <c r="AU28">
        <f t="shared" si="30"/>
        <v>0.379626024625345</v>
      </c>
      <c r="AV28">
        <f t="shared" si="30"/>
        <v>0.379626024625345</v>
      </c>
      <c r="AW28">
        <f t="shared" si="30"/>
        <v>0.379626024625345</v>
      </c>
      <c r="AX28" s="106">
        <f>AX30</f>
        <v>0.379626024625345</v>
      </c>
      <c r="AY28" t="s">
        <v>153</v>
      </c>
      <c r="AZ28" s="3" t="str">
        <f ca="1">AZ19</f>
        <v>Trd_lcv_bdl</v>
      </c>
      <c r="BA28" t="str">
        <f ca="1" t="shared" si="0"/>
        <v>Trd_lcv</v>
      </c>
      <c r="BB28">
        <f ca="1" t="shared" si="1"/>
        <v>25</v>
      </c>
      <c r="BD28" t="str">
        <f ca="1" t="shared" si="3"/>
        <v>DMD</v>
      </c>
      <c r="BE28" t="str">
        <f ca="1" t="shared" si="4"/>
        <v>Trd_lcv_bdl</v>
      </c>
      <c r="BG28" t="s">
        <v>92</v>
      </c>
      <c r="BH28" t="s">
        <v>144</v>
      </c>
      <c r="BI28" t="s">
        <v>145</v>
      </c>
    </row>
    <row r="29" spans="1:61">
      <c r="C29" t="str">
        <f t="shared" ref="C29:C34" si="31">C20</f>
        <v>TRABGS</v>
      </c>
      <c r="D29">
        <f t="shared" si="28"/>
        <v>0.372713236932204</v>
      </c>
      <c r="E29">
        <f t="shared" si="28"/>
        <v>0.372713236932204</v>
      </c>
      <c r="F29">
        <f t="shared" si="28"/>
        <v>0.372713236932204</v>
      </c>
      <c r="G29">
        <f t="shared" si="28"/>
        <v>0.372713236932204</v>
      </c>
      <c r="H29">
        <f t="shared" si="28"/>
        <v>0.372713236932204</v>
      </c>
      <c r="I29">
        <f t="shared" si="28"/>
        <v>0.372713236932204</v>
      </c>
      <c r="J29">
        <f t="shared" si="28"/>
        <v>0.372713236932204</v>
      </c>
      <c r="K29">
        <f t="shared" si="28"/>
        <v>0.372713236932204</v>
      </c>
      <c r="L29">
        <f t="shared" si="28"/>
        <v>0.372713236932204</v>
      </c>
      <c r="M29">
        <f t="shared" si="28"/>
        <v>0.372713236932204</v>
      </c>
      <c r="N29">
        <f t="shared" si="28"/>
        <v>0.372713236932204</v>
      </c>
      <c r="O29">
        <f t="shared" si="28"/>
        <v>0.372713236932204</v>
      </c>
      <c r="P29">
        <f t="shared" si="28"/>
        <v>0.372713236932204</v>
      </c>
      <c r="Q29">
        <f t="shared" si="28"/>
        <v>0.372713236932204</v>
      </c>
      <c r="R29">
        <f t="shared" si="28"/>
        <v>0.372713236932204</v>
      </c>
      <c r="S29">
        <f t="shared" si="28"/>
        <v>0.372713236932204</v>
      </c>
      <c r="T29">
        <f t="shared" si="28"/>
        <v>0.372713236932204</v>
      </c>
      <c r="U29">
        <f t="shared" si="28"/>
        <v>0.372713236932204</v>
      </c>
      <c r="V29">
        <f t="shared" si="28"/>
        <v>0.372713236932204</v>
      </c>
      <c r="W29">
        <f t="shared" si="28"/>
        <v>0.372713236932204</v>
      </c>
      <c r="X29">
        <f t="shared" si="28"/>
        <v>0.372713236932204</v>
      </c>
      <c r="Y29">
        <f t="shared" si="28"/>
        <v>0.372713236932204</v>
      </c>
      <c r="Z29">
        <f t="shared" si="28"/>
        <v>0.372713236932204</v>
      </c>
      <c r="AA29">
        <f t="shared" si="28"/>
        <v>0.372713236932204</v>
      </c>
      <c r="AB29">
        <f t="shared" si="28"/>
        <v>0.372713236932204</v>
      </c>
      <c r="AC29">
        <f t="shared" si="28"/>
        <v>0.372713236932204</v>
      </c>
      <c r="AD29">
        <f t="shared" si="29"/>
        <v>0.372713236932204</v>
      </c>
      <c r="AE29">
        <f t="shared" si="29"/>
        <v>0.372713236932204</v>
      </c>
      <c r="AF29">
        <f t="shared" si="29"/>
        <v>0.372713236932204</v>
      </c>
      <c r="AG29">
        <f t="shared" si="29"/>
        <v>0.372713236932204</v>
      </c>
      <c r="AH29">
        <f t="shared" si="29"/>
        <v>0.372713236932204</v>
      </c>
      <c r="AI29">
        <f t="shared" si="29"/>
        <v>0.372713236932204</v>
      </c>
      <c r="AJ29">
        <f t="shared" si="29"/>
        <v>0.372713236932204</v>
      </c>
      <c r="AK29">
        <f t="shared" si="30"/>
        <v>0.372713236932204</v>
      </c>
      <c r="AL29">
        <f t="shared" si="29"/>
        <v>0.372713236932204</v>
      </c>
      <c r="AM29">
        <f t="shared" si="30"/>
        <v>0.372713236932204</v>
      </c>
      <c r="AN29">
        <f t="shared" si="30"/>
        <v>0.372713236932204</v>
      </c>
      <c r="AO29">
        <f t="shared" si="30"/>
        <v>0.372713236932204</v>
      </c>
      <c r="AP29">
        <f t="shared" si="30"/>
        <v>0.372713236932204</v>
      </c>
      <c r="AQ29">
        <f t="shared" si="30"/>
        <v>0.372713236932204</v>
      </c>
      <c r="AR29">
        <f t="shared" si="30"/>
        <v>0.372713236932204</v>
      </c>
      <c r="AS29">
        <f t="shared" si="30"/>
        <v>0.372713236932204</v>
      </c>
      <c r="AT29">
        <f t="shared" si="30"/>
        <v>0.372713236932204</v>
      </c>
      <c r="AU29">
        <f t="shared" si="30"/>
        <v>0.372713236932204</v>
      </c>
      <c r="AV29">
        <f t="shared" si="30"/>
        <v>0.372713236932204</v>
      </c>
      <c r="AW29">
        <f t="shared" si="30"/>
        <v>0.372713236932204</v>
      </c>
      <c r="AX29" s="106">
        <f>AX32</f>
        <v>0.372713236932204</v>
      </c>
      <c r="AY29" t="s">
        <v>153</v>
      </c>
      <c r="AZ29" s="3" t="str">
        <f ca="1" t="shared" ref="AZ29:AZ34" si="32">AZ20</f>
        <v>\I:</v>
      </c>
      <c r="BA29" t="str">
        <f ca="1" t="shared" si="0"/>
        <v>Trd_lcv</v>
      </c>
      <c r="BB29">
        <f ca="1" t="shared" si="1"/>
        <v>25</v>
      </c>
      <c r="BD29" t="str">
        <f ca="1" t="shared" si="3"/>
        <v>DMD</v>
      </c>
      <c r="BE29" t="str">
        <f ca="1" t="shared" si="4"/>
        <v>\I:</v>
      </c>
      <c r="BG29" t="s">
        <v>92</v>
      </c>
      <c r="BH29" t="s">
        <v>144</v>
      </c>
      <c r="BI29" t="s">
        <v>145</v>
      </c>
    </row>
    <row r="30" spans="1:61">
      <c r="C30" t="str">
        <f t="shared" si="31"/>
        <v>TRADST</v>
      </c>
      <c r="D30">
        <f t="shared" si="28"/>
        <v>0.379626024625345</v>
      </c>
      <c r="E30">
        <f t="shared" si="28"/>
        <v>0.379626024625345</v>
      </c>
      <c r="F30">
        <f t="shared" si="28"/>
        <v>0.379626024625345</v>
      </c>
      <c r="G30">
        <f t="shared" si="28"/>
        <v>0.379626024625345</v>
      </c>
      <c r="H30">
        <f t="shared" si="28"/>
        <v>0.379626024625345</v>
      </c>
      <c r="I30">
        <f t="shared" si="28"/>
        <v>0.379626024625345</v>
      </c>
      <c r="J30">
        <f t="shared" si="28"/>
        <v>0.379626024625345</v>
      </c>
      <c r="K30">
        <f t="shared" si="28"/>
        <v>0.379626024625345</v>
      </c>
      <c r="L30">
        <f t="shared" si="28"/>
        <v>0.379626024625345</v>
      </c>
      <c r="M30">
        <f t="shared" si="28"/>
        <v>0.379626024625345</v>
      </c>
      <c r="N30">
        <f t="shared" si="28"/>
        <v>0.379626024625345</v>
      </c>
      <c r="O30">
        <f t="shared" si="28"/>
        <v>0.379626024625345</v>
      </c>
      <c r="P30">
        <f t="shared" si="28"/>
        <v>0.379626024625345</v>
      </c>
      <c r="Q30">
        <f t="shared" si="28"/>
        <v>0.379626024625345</v>
      </c>
      <c r="R30">
        <f t="shared" si="28"/>
        <v>0.379626024625345</v>
      </c>
      <c r="S30">
        <f t="shared" si="28"/>
        <v>0.379626024625345</v>
      </c>
      <c r="T30">
        <f t="shared" si="28"/>
        <v>0.379626024625345</v>
      </c>
      <c r="U30">
        <f t="shared" si="28"/>
        <v>0.379626024625345</v>
      </c>
      <c r="V30">
        <f t="shared" si="28"/>
        <v>0.379626024625345</v>
      </c>
      <c r="W30">
        <f t="shared" si="28"/>
        <v>0.379626024625345</v>
      </c>
      <c r="X30">
        <f t="shared" si="28"/>
        <v>0.379626024625345</v>
      </c>
      <c r="Y30">
        <f t="shared" si="28"/>
        <v>0.379626024625345</v>
      </c>
      <c r="Z30">
        <f t="shared" si="28"/>
        <v>0.379626024625345</v>
      </c>
      <c r="AA30">
        <f t="shared" si="28"/>
        <v>0.379626024625345</v>
      </c>
      <c r="AB30">
        <f t="shared" si="28"/>
        <v>0.379626024625345</v>
      </c>
      <c r="AC30">
        <f t="shared" si="28"/>
        <v>0.379626024625345</v>
      </c>
      <c r="AD30">
        <f t="shared" si="29"/>
        <v>0.379626024625345</v>
      </c>
      <c r="AE30">
        <f t="shared" si="29"/>
        <v>0.379626024625345</v>
      </c>
      <c r="AF30">
        <f t="shared" si="29"/>
        <v>0.379626024625345</v>
      </c>
      <c r="AG30">
        <f t="shared" si="29"/>
        <v>0.379626024625345</v>
      </c>
      <c r="AH30">
        <f t="shared" si="29"/>
        <v>0.379626024625345</v>
      </c>
      <c r="AI30">
        <f t="shared" si="29"/>
        <v>0.379626024625345</v>
      </c>
      <c r="AJ30">
        <f t="shared" si="29"/>
        <v>0.379626024625345</v>
      </c>
      <c r="AK30">
        <f t="shared" si="30"/>
        <v>0.379626024625345</v>
      </c>
      <c r="AL30">
        <f t="shared" si="29"/>
        <v>0.379626024625345</v>
      </c>
      <c r="AM30">
        <f t="shared" si="30"/>
        <v>0.379626024625345</v>
      </c>
      <c r="AN30">
        <f t="shared" si="30"/>
        <v>0.379626024625345</v>
      </c>
      <c r="AO30">
        <f t="shared" si="30"/>
        <v>0.379626024625345</v>
      </c>
      <c r="AP30">
        <f t="shared" si="30"/>
        <v>0.379626024625345</v>
      </c>
      <c r="AQ30">
        <f t="shared" si="30"/>
        <v>0.379626024625345</v>
      </c>
      <c r="AR30">
        <f t="shared" si="30"/>
        <v>0.379626024625345</v>
      </c>
      <c r="AS30">
        <f t="shared" si="30"/>
        <v>0.379626024625345</v>
      </c>
      <c r="AT30">
        <f t="shared" si="30"/>
        <v>0.379626024625345</v>
      </c>
      <c r="AU30">
        <f t="shared" si="30"/>
        <v>0.379626024625345</v>
      </c>
      <c r="AV30">
        <f t="shared" si="30"/>
        <v>0.379626024625345</v>
      </c>
      <c r="AW30">
        <f t="shared" si="30"/>
        <v>0.379626024625345</v>
      </c>
      <c r="AX30" s="106">
        <v>0.379626024625345</v>
      </c>
      <c r="AY30" t="s">
        <v>153</v>
      </c>
      <c r="AZ30" s="107" t="str">
        <f ca="1" t="shared" si="32"/>
        <v>Trd_lcv_dsl</v>
      </c>
      <c r="BA30" t="str">
        <f ca="1" t="shared" si="0"/>
        <v>Trd_lcv</v>
      </c>
      <c r="BB30">
        <f ca="1" t="shared" si="1"/>
        <v>25</v>
      </c>
      <c r="BD30" t="str">
        <f ca="1" t="shared" si="3"/>
        <v>DMD</v>
      </c>
      <c r="BE30" t="str">
        <f ca="1" t="shared" si="4"/>
        <v>Trd_lcv_dsl</v>
      </c>
      <c r="BG30" t="s">
        <v>92</v>
      </c>
      <c r="BH30" t="s">
        <v>144</v>
      </c>
      <c r="BI30" t="s">
        <v>145</v>
      </c>
    </row>
    <row r="31" spans="1:61">
      <c r="C31" t="str">
        <f t="shared" si="31"/>
        <v>TRAELC</v>
      </c>
      <c r="D31">
        <f t="shared" si="28"/>
        <v>0.745426473864409</v>
      </c>
      <c r="E31">
        <f t="shared" si="28"/>
        <v>0.745426473864409</v>
      </c>
      <c r="F31">
        <f t="shared" si="28"/>
        <v>0.745426473864409</v>
      </c>
      <c r="G31">
        <f t="shared" si="28"/>
        <v>0.745426473864409</v>
      </c>
      <c r="H31">
        <f t="shared" si="28"/>
        <v>0.745426473864409</v>
      </c>
      <c r="I31">
        <f t="shared" si="28"/>
        <v>0.745426473864409</v>
      </c>
      <c r="J31">
        <f t="shared" si="28"/>
        <v>0.745426473864409</v>
      </c>
      <c r="K31">
        <f t="shared" si="28"/>
        <v>0.745426473864409</v>
      </c>
      <c r="L31">
        <f t="shared" si="28"/>
        <v>0.745426473864409</v>
      </c>
      <c r="M31">
        <f t="shared" si="28"/>
        <v>0.745426473864409</v>
      </c>
      <c r="N31">
        <f t="shared" si="28"/>
        <v>0.745426473864409</v>
      </c>
      <c r="O31">
        <f t="shared" si="28"/>
        <v>0.745426473864409</v>
      </c>
      <c r="P31">
        <f t="shared" si="28"/>
        <v>0.745426473864409</v>
      </c>
      <c r="Q31">
        <f t="shared" si="28"/>
        <v>0.745426473864409</v>
      </c>
      <c r="R31">
        <f t="shared" si="28"/>
        <v>0.745426473864409</v>
      </c>
      <c r="S31">
        <f t="shared" si="28"/>
        <v>0.745426473864409</v>
      </c>
      <c r="T31">
        <f t="shared" si="28"/>
        <v>0.745426473864409</v>
      </c>
      <c r="U31">
        <f t="shared" si="28"/>
        <v>0.745426473864409</v>
      </c>
      <c r="V31">
        <f t="shared" si="28"/>
        <v>0.745426473864409</v>
      </c>
      <c r="W31">
        <f t="shared" si="28"/>
        <v>0.745426473864409</v>
      </c>
      <c r="X31">
        <f t="shared" si="28"/>
        <v>0.745426473864409</v>
      </c>
      <c r="Y31">
        <f t="shared" si="28"/>
        <v>0.745426473864409</v>
      </c>
      <c r="Z31">
        <f t="shared" si="28"/>
        <v>0.745426473864409</v>
      </c>
      <c r="AA31">
        <f t="shared" si="28"/>
        <v>0.745426473864409</v>
      </c>
      <c r="AB31">
        <f t="shared" si="28"/>
        <v>0.745426473864409</v>
      </c>
      <c r="AC31">
        <f t="shared" si="28"/>
        <v>0.745426473864409</v>
      </c>
      <c r="AD31">
        <f t="shared" si="29"/>
        <v>0.745426473864409</v>
      </c>
      <c r="AE31">
        <f t="shared" si="29"/>
        <v>0.745426473864409</v>
      </c>
      <c r="AF31">
        <f t="shared" si="29"/>
        <v>0.745426473864409</v>
      </c>
      <c r="AG31">
        <f t="shared" si="29"/>
        <v>0.745426473864409</v>
      </c>
      <c r="AH31">
        <f t="shared" si="29"/>
        <v>0.745426473864409</v>
      </c>
      <c r="AI31">
        <f t="shared" si="29"/>
        <v>0.745426473864409</v>
      </c>
      <c r="AJ31">
        <f t="shared" si="29"/>
        <v>0.745426473864409</v>
      </c>
      <c r="AK31">
        <f t="shared" si="30"/>
        <v>0.745426473864409</v>
      </c>
      <c r="AL31">
        <f t="shared" si="29"/>
        <v>0.745426473864409</v>
      </c>
      <c r="AM31">
        <f t="shared" si="30"/>
        <v>0.745426473864409</v>
      </c>
      <c r="AN31">
        <f t="shared" si="30"/>
        <v>0.745426473864409</v>
      </c>
      <c r="AO31">
        <f t="shared" si="30"/>
        <v>0.745426473864409</v>
      </c>
      <c r="AP31">
        <f t="shared" si="30"/>
        <v>0.745426473864409</v>
      </c>
      <c r="AQ31">
        <f t="shared" si="30"/>
        <v>0.745426473864409</v>
      </c>
      <c r="AR31">
        <f t="shared" si="30"/>
        <v>0.745426473864409</v>
      </c>
      <c r="AS31">
        <f t="shared" si="30"/>
        <v>0.745426473864409</v>
      </c>
      <c r="AT31">
        <f t="shared" si="30"/>
        <v>0.745426473864409</v>
      </c>
      <c r="AU31">
        <f t="shared" si="30"/>
        <v>0.745426473864409</v>
      </c>
      <c r="AV31">
        <f t="shared" si="30"/>
        <v>0.745426473864409</v>
      </c>
      <c r="AW31">
        <f t="shared" si="30"/>
        <v>0.745426473864409</v>
      </c>
      <c r="AX31" s="106">
        <f>AX32*2</f>
        <v>0.745426473864409</v>
      </c>
      <c r="AY31" t="s">
        <v>153</v>
      </c>
      <c r="AZ31" s="3" t="str">
        <f ca="1" t="shared" si="32"/>
        <v>Trd_lcv_elc</v>
      </c>
      <c r="BA31" t="str">
        <f ca="1" t="shared" si="0"/>
        <v>Trd_lcv</v>
      </c>
      <c r="BB31">
        <f ca="1" t="shared" si="1"/>
        <v>25</v>
      </c>
      <c r="BD31" t="str">
        <f ca="1" t="shared" si="3"/>
        <v>DMD</v>
      </c>
      <c r="BE31" t="str">
        <f ca="1" t="shared" si="4"/>
        <v>Trd_lcv_elc</v>
      </c>
      <c r="BG31" t="s">
        <v>92</v>
      </c>
      <c r="BH31" t="s">
        <v>144</v>
      </c>
      <c r="BI31" t="s">
        <v>145</v>
      </c>
    </row>
    <row r="32" spans="1:61">
      <c r="C32" t="str">
        <f t="shared" si="31"/>
        <v>TRAGSL</v>
      </c>
      <c r="D32">
        <f t="shared" si="28"/>
        <v>0.372713236932204</v>
      </c>
      <c r="E32">
        <f t="shared" si="28"/>
        <v>0.372713236932204</v>
      </c>
      <c r="F32">
        <f t="shared" si="28"/>
        <v>0.372713236932204</v>
      </c>
      <c r="G32">
        <f t="shared" si="28"/>
        <v>0.372713236932204</v>
      </c>
      <c r="H32">
        <f t="shared" si="28"/>
        <v>0.372713236932204</v>
      </c>
      <c r="I32">
        <f t="shared" si="28"/>
        <v>0.372713236932204</v>
      </c>
      <c r="J32">
        <f t="shared" si="28"/>
        <v>0.372713236932204</v>
      </c>
      <c r="K32">
        <f t="shared" si="28"/>
        <v>0.372713236932204</v>
      </c>
      <c r="L32">
        <f t="shared" si="28"/>
        <v>0.372713236932204</v>
      </c>
      <c r="M32">
        <f t="shared" si="28"/>
        <v>0.372713236932204</v>
      </c>
      <c r="N32">
        <f t="shared" si="28"/>
        <v>0.372713236932204</v>
      </c>
      <c r="O32">
        <f t="shared" si="28"/>
        <v>0.372713236932204</v>
      </c>
      <c r="P32">
        <f t="shared" si="28"/>
        <v>0.372713236932204</v>
      </c>
      <c r="Q32">
        <f t="shared" si="28"/>
        <v>0.372713236932204</v>
      </c>
      <c r="R32">
        <f t="shared" si="28"/>
        <v>0.372713236932204</v>
      </c>
      <c r="S32">
        <f t="shared" si="28"/>
        <v>0.372713236932204</v>
      </c>
      <c r="T32">
        <f t="shared" si="28"/>
        <v>0.372713236932204</v>
      </c>
      <c r="U32">
        <f t="shared" si="28"/>
        <v>0.372713236932204</v>
      </c>
      <c r="V32">
        <f t="shared" si="28"/>
        <v>0.372713236932204</v>
      </c>
      <c r="W32">
        <f t="shared" si="28"/>
        <v>0.372713236932204</v>
      </c>
      <c r="X32">
        <f t="shared" si="28"/>
        <v>0.372713236932204</v>
      </c>
      <c r="Y32">
        <f t="shared" si="28"/>
        <v>0.372713236932204</v>
      </c>
      <c r="Z32">
        <f t="shared" si="28"/>
        <v>0.372713236932204</v>
      </c>
      <c r="AA32">
        <f t="shared" si="28"/>
        <v>0.372713236932204</v>
      </c>
      <c r="AB32">
        <f t="shared" si="28"/>
        <v>0.372713236932204</v>
      </c>
      <c r="AC32">
        <f t="shared" si="28"/>
        <v>0.372713236932204</v>
      </c>
      <c r="AD32">
        <f t="shared" si="29"/>
        <v>0.372713236932204</v>
      </c>
      <c r="AE32">
        <f t="shared" si="29"/>
        <v>0.372713236932204</v>
      </c>
      <c r="AF32">
        <f t="shared" si="29"/>
        <v>0.372713236932204</v>
      </c>
      <c r="AG32">
        <f t="shared" si="29"/>
        <v>0.372713236932204</v>
      </c>
      <c r="AH32">
        <f t="shared" si="29"/>
        <v>0.372713236932204</v>
      </c>
      <c r="AI32">
        <f t="shared" si="29"/>
        <v>0.372713236932204</v>
      </c>
      <c r="AJ32">
        <f t="shared" si="29"/>
        <v>0.372713236932204</v>
      </c>
      <c r="AK32">
        <f t="shared" si="30"/>
        <v>0.372713236932204</v>
      </c>
      <c r="AL32">
        <f t="shared" si="29"/>
        <v>0.372713236932204</v>
      </c>
      <c r="AM32">
        <f t="shared" si="30"/>
        <v>0.372713236932204</v>
      </c>
      <c r="AN32">
        <f t="shared" si="30"/>
        <v>0.372713236932204</v>
      </c>
      <c r="AO32">
        <f t="shared" si="30"/>
        <v>0.372713236932204</v>
      </c>
      <c r="AP32">
        <f t="shared" si="30"/>
        <v>0.372713236932204</v>
      </c>
      <c r="AQ32">
        <f t="shared" si="30"/>
        <v>0.372713236932204</v>
      </c>
      <c r="AR32">
        <f t="shared" si="30"/>
        <v>0.372713236932204</v>
      </c>
      <c r="AS32">
        <f t="shared" si="30"/>
        <v>0.372713236932204</v>
      </c>
      <c r="AT32">
        <f t="shared" si="30"/>
        <v>0.372713236932204</v>
      </c>
      <c r="AU32">
        <f t="shared" si="30"/>
        <v>0.372713236932204</v>
      </c>
      <c r="AV32">
        <f t="shared" si="30"/>
        <v>0.372713236932204</v>
      </c>
      <c r="AW32">
        <f t="shared" si="30"/>
        <v>0.372713236932204</v>
      </c>
      <c r="AX32" s="106">
        <v>0.372713236932204</v>
      </c>
      <c r="AY32" t="s">
        <v>153</v>
      </c>
      <c r="AZ32" s="3" t="str">
        <f ca="1" t="shared" si="32"/>
        <v>Trd_lcv_gsl</v>
      </c>
      <c r="BA32" t="str">
        <f ca="1" t="shared" si="0"/>
        <v>Trd_lcv</v>
      </c>
      <c r="BB32">
        <f ca="1" t="shared" si="1"/>
        <v>25</v>
      </c>
      <c r="BD32" t="str">
        <f ca="1" t="shared" si="3"/>
        <v>DMD</v>
      </c>
      <c r="BE32" t="str">
        <f ca="1" t="shared" si="4"/>
        <v>Trd_lcv_gsl</v>
      </c>
      <c r="BG32" t="s">
        <v>92</v>
      </c>
      <c r="BH32" t="s">
        <v>144</v>
      </c>
      <c r="BI32" t="s">
        <v>145</v>
      </c>
    </row>
    <row r="33" spans="1:61">
      <c r="C33" t="str">
        <f t="shared" si="31"/>
        <v>TRALPG</v>
      </c>
      <c r="D33">
        <f t="shared" si="28"/>
        <v>0.440757335287194</v>
      </c>
      <c r="E33">
        <f t="shared" si="28"/>
        <v>0.440757335287194</v>
      </c>
      <c r="F33">
        <f t="shared" si="28"/>
        <v>0.440757335287194</v>
      </c>
      <c r="G33">
        <f t="shared" si="28"/>
        <v>0.440757335287194</v>
      </c>
      <c r="H33">
        <f t="shared" si="28"/>
        <v>0.440757335287194</v>
      </c>
      <c r="I33">
        <f t="shared" si="28"/>
        <v>0.440757335287194</v>
      </c>
      <c r="J33">
        <f t="shared" si="28"/>
        <v>0.440757335287194</v>
      </c>
      <c r="K33">
        <f t="shared" si="28"/>
        <v>0.440757335287194</v>
      </c>
      <c r="L33">
        <f t="shared" si="28"/>
        <v>0.440757335287194</v>
      </c>
      <c r="M33">
        <f t="shared" si="28"/>
        <v>0.440757335287194</v>
      </c>
      <c r="N33">
        <f t="shared" si="28"/>
        <v>0.440757335287194</v>
      </c>
      <c r="O33">
        <f t="shared" si="28"/>
        <v>0.440757335287194</v>
      </c>
      <c r="P33">
        <f t="shared" si="28"/>
        <v>0.440757335287194</v>
      </c>
      <c r="Q33">
        <f t="shared" si="28"/>
        <v>0.440757335287194</v>
      </c>
      <c r="R33">
        <f t="shared" si="28"/>
        <v>0.440757335287194</v>
      </c>
      <c r="S33">
        <f t="shared" si="28"/>
        <v>0.440757335287194</v>
      </c>
      <c r="T33">
        <f t="shared" si="28"/>
        <v>0.440757335287194</v>
      </c>
      <c r="U33">
        <f t="shared" si="28"/>
        <v>0.440757335287194</v>
      </c>
      <c r="V33">
        <f t="shared" si="28"/>
        <v>0.440757335287194</v>
      </c>
      <c r="W33">
        <f t="shared" si="28"/>
        <v>0.440757335287194</v>
      </c>
      <c r="X33">
        <f t="shared" si="28"/>
        <v>0.440757335287194</v>
      </c>
      <c r="Y33">
        <f t="shared" si="28"/>
        <v>0.440757335287194</v>
      </c>
      <c r="Z33">
        <f t="shared" si="28"/>
        <v>0.440757335287194</v>
      </c>
      <c r="AA33">
        <f t="shared" si="28"/>
        <v>0.440757335287194</v>
      </c>
      <c r="AB33">
        <f t="shared" si="28"/>
        <v>0.440757335287194</v>
      </c>
      <c r="AC33">
        <f t="shared" si="28"/>
        <v>0.440757335287194</v>
      </c>
      <c r="AD33">
        <f t="shared" si="29"/>
        <v>0.440757335287194</v>
      </c>
      <c r="AE33">
        <f t="shared" si="29"/>
        <v>0.440757335287194</v>
      </c>
      <c r="AF33">
        <f t="shared" si="29"/>
        <v>0.440757335287194</v>
      </c>
      <c r="AG33">
        <f t="shared" si="29"/>
        <v>0.440757335287194</v>
      </c>
      <c r="AH33">
        <f t="shared" si="29"/>
        <v>0.440757335287194</v>
      </c>
      <c r="AI33">
        <f t="shared" si="29"/>
        <v>0.440757335287194</v>
      </c>
      <c r="AJ33">
        <f t="shared" si="29"/>
        <v>0.440757335287194</v>
      </c>
      <c r="AK33">
        <f t="shared" si="30"/>
        <v>0.440757335287194</v>
      </c>
      <c r="AL33">
        <f t="shared" si="29"/>
        <v>0.440757335287194</v>
      </c>
      <c r="AM33">
        <f t="shared" si="30"/>
        <v>0.440757335287194</v>
      </c>
      <c r="AN33">
        <f t="shared" si="30"/>
        <v>0.440757335287194</v>
      </c>
      <c r="AO33">
        <f t="shared" si="30"/>
        <v>0.440757335287194</v>
      </c>
      <c r="AP33">
        <f t="shared" si="30"/>
        <v>0.440757335287194</v>
      </c>
      <c r="AQ33">
        <f t="shared" si="30"/>
        <v>0.440757335287194</v>
      </c>
      <c r="AR33">
        <f t="shared" si="30"/>
        <v>0.440757335287194</v>
      </c>
      <c r="AS33">
        <f t="shared" si="30"/>
        <v>0.440757335287194</v>
      </c>
      <c r="AT33">
        <f t="shared" si="30"/>
        <v>0.440757335287194</v>
      </c>
      <c r="AU33">
        <f t="shared" si="30"/>
        <v>0.440757335287194</v>
      </c>
      <c r="AV33">
        <f t="shared" si="30"/>
        <v>0.440757335287194</v>
      </c>
      <c r="AW33">
        <f t="shared" si="30"/>
        <v>0.440757335287194</v>
      </c>
      <c r="AX33" s="106">
        <v>0.440757335287194</v>
      </c>
      <c r="AY33" t="s">
        <v>153</v>
      </c>
      <c r="AZ33" s="3" t="str">
        <f ca="1" t="shared" si="32"/>
        <v>Trd_lcv_lpg</v>
      </c>
      <c r="BA33" t="str">
        <f ca="1" t="shared" si="0"/>
        <v>Trd_lcv</v>
      </c>
      <c r="BB33">
        <f ca="1" t="shared" si="1"/>
        <v>25</v>
      </c>
      <c r="BD33" t="str">
        <f ca="1" t="shared" si="3"/>
        <v>DMD</v>
      </c>
      <c r="BE33" t="str">
        <f ca="1" t="shared" si="4"/>
        <v>Trd_lcv_lpg</v>
      </c>
      <c r="BG33" t="s">
        <v>92</v>
      </c>
      <c r="BH33" t="s">
        <v>144</v>
      </c>
      <c r="BI33" t="s">
        <v>145</v>
      </c>
    </row>
    <row r="34" spans="1:61">
      <c r="C34" t="str">
        <f t="shared" si="31"/>
        <v>TRANGA</v>
      </c>
      <c r="D34">
        <f t="shared" si="28"/>
        <v>0.329484430322726</v>
      </c>
      <c r="E34">
        <f t="shared" si="28"/>
        <v>0.329484430322726</v>
      </c>
      <c r="F34">
        <f t="shared" si="28"/>
        <v>0.329484430322726</v>
      </c>
      <c r="G34">
        <f t="shared" si="28"/>
        <v>0.329484430322726</v>
      </c>
      <c r="H34">
        <f t="shared" si="28"/>
        <v>0.329484430322726</v>
      </c>
      <c r="I34">
        <f t="shared" si="28"/>
        <v>0.329484430322726</v>
      </c>
      <c r="J34">
        <f t="shared" si="28"/>
        <v>0.329484430322726</v>
      </c>
      <c r="K34">
        <f t="shared" si="28"/>
        <v>0.329484430322726</v>
      </c>
      <c r="L34">
        <f t="shared" si="28"/>
        <v>0.329484430322726</v>
      </c>
      <c r="M34">
        <f t="shared" si="28"/>
        <v>0.329484430322726</v>
      </c>
      <c r="N34">
        <f t="shared" si="28"/>
        <v>0.329484430322726</v>
      </c>
      <c r="O34">
        <f t="shared" si="28"/>
        <v>0.329484430322726</v>
      </c>
      <c r="P34">
        <f t="shared" si="28"/>
        <v>0.329484430322726</v>
      </c>
      <c r="Q34">
        <f t="shared" si="28"/>
        <v>0.329484430322726</v>
      </c>
      <c r="R34">
        <f t="shared" si="28"/>
        <v>0.329484430322726</v>
      </c>
      <c r="S34">
        <f t="shared" si="28"/>
        <v>0.329484430322726</v>
      </c>
      <c r="T34">
        <f t="shared" si="28"/>
        <v>0.329484430322726</v>
      </c>
      <c r="U34">
        <f t="shared" si="28"/>
        <v>0.329484430322726</v>
      </c>
      <c r="V34">
        <f t="shared" si="28"/>
        <v>0.329484430322726</v>
      </c>
      <c r="W34">
        <f t="shared" si="28"/>
        <v>0.329484430322726</v>
      </c>
      <c r="X34">
        <f t="shared" si="28"/>
        <v>0.329484430322726</v>
      </c>
      <c r="Y34">
        <f t="shared" si="28"/>
        <v>0.329484430322726</v>
      </c>
      <c r="Z34">
        <f t="shared" si="28"/>
        <v>0.329484430322726</v>
      </c>
      <c r="AA34">
        <f t="shared" si="28"/>
        <v>0.329484430322726</v>
      </c>
      <c r="AB34">
        <f t="shared" si="28"/>
        <v>0.329484430322726</v>
      </c>
      <c r="AC34">
        <f t="shared" si="28"/>
        <v>0.329484430322726</v>
      </c>
      <c r="AD34">
        <f t="shared" si="29"/>
        <v>0.329484430322726</v>
      </c>
      <c r="AE34">
        <f t="shared" si="29"/>
        <v>0.329484430322726</v>
      </c>
      <c r="AF34">
        <f t="shared" si="29"/>
        <v>0.329484430322726</v>
      </c>
      <c r="AG34">
        <f t="shared" si="29"/>
        <v>0.329484430322726</v>
      </c>
      <c r="AH34">
        <f t="shared" si="29"/>
        <v>0.329484430322726</v>
      </c>
      <c r="AI34">
        <f t="shared" si="29"/>
        <v>0.329484430322726</v>
      </c>
      <c r="AJ34">
        <f t="shared" si="29"/>
        <v>0.329484430322726</v>
      </c>
      <c r="AK34">
        <f t="shared" si="30"/>
        <v>0.329484430322726</v>
      </c>
      <c r="AL34">
        <f t="shared" si="29"/>
        <v>0.329484430322726</v>
      </c>
      <c r="AM34">
        <f t="shared" si="30"/>
        <v>0.329484430322726</v>
      </c>
      <c r="AN34">
        <f t="shared" si="30"/>
        <v>0.329484430322726</v>
      </c>
      <c r="AO34">
        <f t="shared" si="30"/>
        <v>0.329484430322726</v>
      </c>
      <c r="AP34">
        <f t="shared" si="30"/>
        <v>0.329484430322726</v>
      </c>
      <c r="AQ34">
        <f t="shared" si="30"/>
        <v>0.329484430322726</v>
      </c>
      <c r="AR34">
        <f t="shared" si="30"/>
        <v>0.329484430322726</v>
      </c>
      <c r="AS34">
        <f t="shared" si="30"/>
        <v>0.329484430322726</v>
      </c>
      <c r="AT34">
        <f t="shared" si="30"/>
        <v>0.329484430322726</v>
      </c>
      <c r="AU34">
        <f t="shared" si="30"/>
        <v>0.329484430322726</v>
      </c>
      <c r="AV34">
        <f t="shared" si="30"/>
        <v>0.329484430322726</v>
      </c>
      <c r="AW34">
        <f t="shared" si="30"/>
        <v>0.329484430322726</v>
      </c>
      <c r="AX34" s="106">
        <v>0.329484430322726</v>
      </c>
      <c r="AY34" t="s">
        <v>153</v>
      </c>
      <c r="AZ34" s="3" t="str">
        <f ca="1" t="shared" si="32"/>
        <v>Trd_lcv_nga</v>
      </c>
      <c r="BA34" t="str">
        <f ca="1" t="shared" si="0"/>
        <v>Trd_lcv</v>
      </c>
      <c r="BB34">
        <f ca="1" t="shared" si="1"/>
        <v>25</v>
      </c>
      <c r="BD34" t="str">
        <f ca="1" t="shared" si="3"/>
        <v>DMD</v>
      </c>
      <c r="BE34" t="str">
        <f ca="1" t="shared" si="4"/>
        <v>Trd_lcv_nga</v>
      </c>
      <c r="BG34" t="s">
        <v>92</v>
      </c>
      <c r="BH34" t="s">
        <v>144</v>
      </c>
      <c r="BI34" t="s">
        <v>145</v>
      </c>
    </row>
    <row r="35" spans="1:61">
      <c r="AY35" t="s">
        <v>133</v>
      </c>
      <c r="BA35" t="str">
        <f t="shared" si="0"/>
        <v/>
      </c>
      <c r="BB35" t="str">
        <f t="shared" si="1"/>
        <v/>
      </c>
      <c r="BD35" t="str">
        <f t="shared" si="3"/>
        <v>*</v>
      </c>
      <c r="BE35">
        <f t="shared" si="4"/>
        <v>0</v>
      </c>
      <c r="BG35" t="s">
        <v>92</v>
      </c>
      <c r="BH35" t="s">
        <v>144</v>
      </c>
      <c r="BI35" t="s">
        <v>145</v>
      </c>
    </row>
    <row r="36" spans="1:61">
      <c r="A36" t="s">
        <v>154</v>
      </c>
      <c r="C36" t="str">
        <f>C28</f>
        <v>TRABDS</v>
      </c>
      <c r="D36" s="78">
        <v>40</v>
      </c>
      <c r="E36" s="78">
        <v>40</v>
      </c>
      <c r="F36" s="78">
        <v>40</v>
      </c>
      <c r="G36" s="78">
        <v>40</v>
      </c>
      <c r="H36" s="78">
        <v>40</v>
      </c>
      <c r="I36" s="78">
        <v>40</v>
      </c>
      <c r="J36" s="78">
        <v>40</v>
      </c>
      <c r="K36" s="78">
        <v>40</v>
      </c>
      <c r="L36" s="78">
        <v>40</v>
      </c>
      <c r="M36" s="78">
        <v>40</v>
      </c>
      <c r="N36" s="78">
        <v>40</v>
      </c>
      <c r="O36" s="78">
        <v>40</v>
      </c>
      <c r="P36" s="78">
        <v>40</v>
      </c>
      <c r="Q36" s="78">
        <v>40</v>
      </c>
      <c r="R36" s="78">
        <v>40</v>
      </c>
      <c r="S36" s="78">
        <v>40</v>
      </c>
      <c r="T36" s="78">
        <v>40</v>
      </c>
      <c r="U36" s="78">
        <v>40</v>
      </c>
      <c r="V36" s="78">
        <v>40</v>
      </c>
      <c r="W36" s="78">
        <v>40</v>
      </c>
      <c r="X36" s="78">
        <v>40</v>
      </c>
      <c r="Y36" s="78">
        <v>40</v>
      </c>
      <c r="Z36" s="78">
        <v>40</v>
      </c>
      <c r="AA36" s="78">
        <v>40</v>
      </c>
      <c r="AB36" s="78">
        <v>40</v>
      </c>
      <c r="AC36" s="78">
        <v>40</v>
      </c>
      <c r="AD36" s="78">
        <v>40</v>
      </c>
      <c r="AE36" s="78">
        <v>40</v>
      </c>
      <c r="AF36" s="78">
        <v>25</v>
      </c>
      <c r="AG36" s="78">
        <v>40</v>
      </c>
      <c r="AH36" s="78">
        <v>40</v>
      </c>
      <c r="AI36" s="78">
        <v>40</v>
      </c>
      <c r="AJ36" s="78">
        <v>40</v>
      </c>
      <c r="AK36" s="78">
        <v>40</v>
      </c>
      <c r="AL36" s="78">
        <v>15</v>
      </c>
      <c r="AM36" s="78">
        <v>40</v>
      </c>
      <c r="AN36" s="78">
        <v>40</v>
      </c>
      <c r="AO36" s="78">
        <v>40</v>
      </c>
      <c r="AP36" s="78">
        <v>40</v>
      </c>
      <c r="AQ36" s="78">
        <v>40</v>
      </c>
      <c r="AR36" s="78">
        <v>40</v>
      </c>
      <c r="AS36" s="78">
        <v>40</v>
      </c>
      <c r="AT36" s="78">
        <v>40</v>
      </c>
      <c r="AU36" s="78">
        <v>40</v>
      </c>
      <c r="AV36" s="78">
        <v>40</v>
      </c>
      <c r="AW36" s="78">
        <v>40</v>
      </c>
      <c r="AY36" t="s">
        <v>155</v>
      </c>
      <c r="AZ36" s="3" t="str">
        <f ca="1">AZ28</f>
        <v>Trd_lcv_bdl</v>
      </c>
      <c r="BA36" t="str">
        <f ca="1" t="shared" si="0"/>
        <v>Trd_lcv</v>
      </c>
      <c r="BB36">
        <f ca="1" t="shared" si="1"/>
        <v>25</v>
      </c>
      <c r="BD36" t="str">
        <f ca="1" t="shared" si="3"/>
        <v>DMD</v>
      </c>
      <c r="BE36" t="str">
        <f ca="1" t="shared" si="4"/>
        <v>Trd_lcv_bdl</v>
      </c>
      <c r="BG36" t="s">
        <v>92</v>
      </c>
      <c r="BH36" t="s">
        <v>144</v>
      </c>
      <c r="BI36" t="s">
        <v>145</v>
      </c>
    </row>
    <row r="37" spans="1:61">
      <c r="C37" t="str">
        <f t="shared" ref="C37:C42" si="33">C29</f>
        <v>TRABGS</v>
      </c>
      <c r="D37" s="78">
        <v>40</v>
      </c>
      <c r="E37" s="78">
        <v>40</v>
      </c>
      <c r="F37" s="78">
        <v>40</v>
      </c>
      <c r="G37" s="78">
        <v>40</v>
      </c>
      <c r="H37" s="78">
        <v>40</v>
      </c>
      <c r="I37" s="78">
        <v>40</v>
      </c>
      <c r="J37" s="78">
        <v>40</v>
      </c>
      <c r="K37" s="78">
        <v>40</v>
      </c>
      <c r="L37" s="78">
        <v>40</v>
      </c>
      <c r="M37" s="78">
        <v>40</v>
      </c>
      <c r="N37" s="78">
        <v>40</v>
      </c>
      <c r="O37" s="78">
        <v>40</v>
      </c>
      <c r="P37" s="78">
        <v>40</v>
      </c>
      <c r="Q37" s="78">
        <v>40</v>
      </c>
      <c r="R37" s="78">
        <v>40</v>
      </c>
      <c r="S37" s="78">
        <v>40</v>
      </c>
      <c r="T37" s="78">
        <v>40</v>
      </c>
      <c r="U37" s="78">
        <v>40</v>
      </c>
      <c r="V37" s="78">
        <v>40</v>
      </c>
      <c r="W37" s="78">
        <v>40</v>
      </c>
      <c r="X37" s="78">
        <v>40</v>
      </c>
      <c r="Y37" s="78">
        <v>40</v>
      </c>
      <c r="Z37" s="78">
        <v>40</v>
      </c>
      <c r="AA37" s="78">
        <v>40</v>
      </c>
      <c r="AB37" s="78">
        <v>40</v>
      </c>
      <c r="AC37" s="78">
        <v>40</v>
      </c>
      <c r="AD37" s="78">
        <v>40</v>
      </c>
      <c r="AE37" s="78">
        <v>40</v>
      </c>
      <c r="AF37" s="78">
        <v>25</v>
      </c>
      <c r="AG37" s="78">
        <v>40</v>
      </c>
      <c r="AH37" s="78">
        <v>40</v>
      </c>
      <c r="AI37" s="78">
        <v>40</v>
      </c>
      <c r="AJ37" s="78">
        <v>40</v>
      </c>
      <c r="AK37" s="78">
        <v>40</v>
      </c>
      <c r="AL37" s="78">
        <v>15</v>
      </c>
      <c r="AM37" s="78">
        <v>40</v>
      </c>
      <c r="AN37" s="78">
        <v>40</v>
      </c>
      <c r="AO37" s="78">
        <v>40</v>
      </c>
      <c r="AP37" s="78">
        <v>40</v>
      </c>
      <c r="AQ37" s="78">
        <v>40</v>
      </c>
      <c r="AR37" s="78">
        <v>40</v>
      </c>
      <c r="AS37" s="78">
        <v>40</v>
      </c>
      <c r="AT37" s="78">
        <v>40</v>
      </c>
      <c r="AU37" s="78">
        <v>40</v>
      </c>
      <c r="AV37" s="78">
        <v>40</v>
      </c>
      <c r="AW37" s="78">
        <v>40</v>
      </c>
      <c r="AY37" t="s">
        <v>155</v>
      </c>
      <c r="AZ37" s="3" t="str">
        <f ca="1" t="shared" ref="AZ37:AZ42" si="34">AZ29</f>
        <v>\I:</v>
      </c>
      <c r="BA37" t="str">
        <f ca="1" t="shared" si="0"/>
        <v>Trd_lcv</v>
      </c>
      <c r="BB37">
        <f ca="1" t="shared" si="1"/>
        <v>25</v>
      </c>
      <c r="BD37" t="str">
        <f ca="1" t="shared" si="3"/>
        <v>DMD</v>
      </c>
      <c r="BE37" t="str">
        <f ca="1" t="shared" si="4"/>
        <v>\I:</v>
      </c>
      <c r="BG37" t="s">
        <v>92</v>
      </c>
      <c r="BH37" t="s">
        <v>144</v>
      </c>
      <c r="BI37" t="s">
        <v>145</v>
      </c>
    </row>
    <row r="38" spans="1:61">
      <c r="C38" t="str">
        <f t="shared" si="33"/>
        <v>TRADST</v>
      </c>
      <c r="D38" s="78">
        <v>40</v>
      </c>
      <c r="E38" s="78">
        <v>40</v>
      </c>
      <c r="F38" s="78">
        <v>40</v>
      </c>
      <c r="G38" s="78">
        <v>40</v>
      </c>
      <c r="H38" s="78">
        <v>40</v>
      </c>
      <c r="I38" s="78">
        <v>40</v>
      </c>
      <c r="J38" s="78">
        <v>40</v>
      </c>
      <c r="K38" s="78">
        <v>40</v>
      </c>
      <c r="L38" s="78">
        <v>40</v>
      </c>
      <c r="M38" s="78">
        <v>40</v>
      </c>
      <c r="N38" s="78">
        <v>40</v>
      </c>
      <c r="O38" s="78">
        <v>40</v>
      </c>
      <c r="P38" s="78">
        <v>40</v>
      </c>
      <c r="Q38" s="78">
        <v>40</v>
      </c>
      <c r="R38" s="78">
        <v>40</v>
      </c>
      <c r="S38" s="78">
        <v>40</v>
      </c>
      <c r="T38" s="78">
        <v>40</v>
      </c>
      <c r="U38" s="78">
        <v>40</v>
      </c>
      <c r="V38" s="78">
        <v>40</v>
      </c>
      <c r="W38" s="78">
        <v>40</v>
      </c>
      <c r="X38" s="78">
        <v>40</v>
      </c>
      <c r="Y38" s="78">
        <v>40</v>
      </c>
      <c r="Z38" s="78">
        <v>40</v>
      </c>
      <c r="AA38" s="78">
        <v>40</v>
      </c>
      <c r="AB38" s="78">
        <v>40</v>
      </c>
      <c r="AC38" s="78">
        <v>40</v>
      </c>
      <c r="AD38" s="78">
        <v>40</v>
      </c>
      <c r="AE38" s="78">
        <v>40</v>
      </c>
      <c r="AF38" s="78">
        <v>25</v>
      </c>
      <c r="AG38" s="78">
        <v>40</v>
      </c>
      <c r="AH38" s="78">
        <v>40</v>
      </c>
      <c r="AI38" s="78">
        <v>40</v>
      </c>
      <c r="AJ38" s="78">
        <v>40</v>
      </c>
      <c r="AK38" s="78">
        <v>40</v>
      </c>
      <c r="AL38" s="78">
        <v>15</v>
      </c>
      <c r="AM38" s="78">
        <v>40</v>
      </c>
      <c r="AN38" s="78">
        <v>40</v>
      </c>
      <c r="AO38" s="78">
        <v>40</v>
      </c>
      <c r="AP38" s="78">
        <v>40</v>
      </c>
      <c r="AQ38" s="78">
        <v>40</v>
      </c>
      <c r="AR38" s="78">
        <v>40</v>
      </c>
      <c r="AS38" s="78">
        <v>40</v>
      </c>
      <c r="AT38" s="78">
        <v>40</v>
      </c>
      <c r="AU38" s="78">
        <v>40</v>
      </c>
      <c r="AV38" s="78">
        <v>40</v>
      </c>
      <c r="AW38" s="78">
        <v>40</v>
      </c>
      <c r="AY38" t="s">
        <v>155</v>
      </c>
      <c r="AZ38" s="3" t="str">
        <f ca="1" t="shared" si="34"/>
        <v>Trd_lcv_dsl</v>
      </c>
      <c r="BA38" t="str">
        <f ca="1" t="shared" si="0"/>
        <v>Trd_lcv</v>
      </c>
      <c r="BB38">
        <f ca="1" t="shared" si="1"/>
        <v>25</v>
      </c>
      <c r="BD38" t="str">
        <f ca="1" t="shared" si="3"/>
        <v>DMD</v>
      </c>
      <c r="BE38" t="str">
        <f ca="1" t="shared" si="4"/>
        <v>Trd_lcv_dsl</v>
      </c>
      <c r="BG38" t="s">
        <v>92</v>
      </c>
      <c r="BH38" t="s">
        <v>144</v>
      </c>
      <c r="BI38" t="s">
        <v>145</v>
      </c>
    </row>
    <row r="39" spans="1:61">
      <c r="C39" t="str">
        <f t="shared" si="33"/>
        <v>TRAELC</v>
      </c>
      <c r="D39" s="78">
        <v>40</v>
      </c>
      <c r="E39" s="78">
        <v>40</v>
      </c>
      <c r="F39" s="78">
        <v>40</v>
      </c>
      <c r="G39" s="78">
        <v>40</v>
      </c>
      <c r="H39" s="78">
        <v>40</v>
      </c>
      <c r="I39" s="78">
        <v>40</v>
      </c>
      <c r="J39" s="78">
        <v>40</v>
      </c>
      <c r="K39" s="78">
        <v>40</v>
      </c>
      <c r="L39" s="78">
        <v>40</v>
      </c>
      <c r="M39" s="78">
        <v>40</v>
      </c>
      <c r="N39" s="78">
        <v>40</v>
      </c>
      <c r="O39" s="78">
        <v>40</v>
      </c>
      <c r="P39" s="78">
        <v>40</v>
      </c>
      <c r="Q39" s="78">
        <v>40</v>
      </c>
      <c r="R39" s="78">
        <v>40</v>
      </c>
      <c r="S39" s="78">
        <v>40</v>
      </c>
      <c r="T39" s="78">
        <v>40</v>
      </c>
      <c r="U39" s="78">
        <v>40</v>
      </c>
      <c r="V39" s="78">
        <v>40</v>
      </c>
      <c r="W39" s="78">
        <v>40</v>
      </c>
      <c r="X39" s="78">
        <v>40</v>
      </c>
      <c r="Y39" s="78">
        <v>40</v>
      </c>
      <c r="Z39" s="78">
        <v>40</v>
      </c>
      <c r="AA39" s="78">
        <v>40</v>
      </c>
      <c r="AB39" s="78">
        <v>40</v>
      </c>
      <c r="AC39" s="78">
        <v>40</v>
      </c>
      <c r="AD39" s="78">
        <v>40</v>
      </c>
      <c r="AE39" s="78">
        <v>40</v>
      </c>
      <c r="AF39" s="78">
        <v>25</v>
      </c>
      <c r="AG39" s="78">
        <v>40</v>
      </c>
      <c r="AH39" s="78">
        <v>40</v>
      </c>
      <c r="AI39" s="78">
        <v>40</v>
      </c>
      <c r="AJ39" s="78">
        <v>40</v>
      </c>
      <c r="AK39" s="78">
        <v>40</v>
      </c>
      <c r="AL39" s="78">
        <v>15</v>
      </c>
      <c r="AM39" s="78">
        <v>40</v>
      </c>
      <c r="AN39" s="78">
        <v>40</v>
      </c>
      <c r="AO39" s="78">
        <v>40</v>
      </c>
      <c r="AP39" s="78">
        <v>40</v>
      </c>
      <c r="AQ39" s="78">
        <v>40</v>
      </c>
      <c r="AR39" s="78">
        <v>40</v>
      </c>
      <c r="AS39" s="78">
        <v>40</v>
      </c>
      <c r="AT39" s="78">
        <v>40</v>
      </c>
      <c r="AU39" s="78">
        <v>40</v>
      </c>
      <c r="AV39" s="78">
        <v>40</v>
      </c>
      <c r="AW39" s="78">
        <v>40</v>
      </c>
      <c r="AY39" t="s">
        <v>155</v>
      </c>
      <c r="AZ39" s="3" t="str">
        <f ca="1" t="shared" si="34"/>
        <v>Trd_lcv_elc</v>
      </c>
      <c r="BA39" t="str">
        <f ca="1" t="shared" si="0"/>
        <v>Trd_lcv</v>
      </c>
      <c r="BB39">
        <f ca="1" t="shared" si="1"/>
        <v>25</v>
      </c>
      <c r="BD39" t="str">
        <f ca="1" t="shared" si="3"/>
        <v>DMD</v>
      </c>
      <c r="BE39" t="str">
        <f ca="1" t="shared" si="4"/>
        <v>Trd_lcv_elc</v>
      </c>
      <c r="BG39" t="s">
        <v>92</v>
      </c>
      <c r="BH39" t="s">
        <v>144</v>
      </c>
      <c r="BI39" t="s">
        <v>145</v>
      </c>
    </row>
    <row r="40" spans="1:61">
      <c r="C40" t="str">
        <f t="shared" si="33"/>
        <v>TRAGSL</v>
      </c>
      <c r="D40" s="78">
        <v>40</v>
      </c>
      <c r="E40" s="78">
        <v>40</v>
      </c>
      <c r="F40" s="78">
        <v>40</v>
      </c>
      <c r="G40" s="78">
        <v>40</v>
      </c>
      <c r="H40" s="78">
        <v>40</v>
      </c>
      <c r="I40" s="78">
        <v>40</v>
      </c>
      <c r="J40" s="78">
        <v>40</v>
      </c>
      <c r="K40" s="78">
        <v>40</v>
      </c>
      <c r="L40" s="78">
        <v>40</v>
      </c>
      <c r="M40" s="78">
        <v>40</v>
      </c>
      <c r="N40" s="78">
        <v>40</v>
      </c>
      <c r="O40" s="78">
        <v>40</v>
      </c>
      <c r="P40" s="78">
        <v>40</v>
      </c>
      <c r="Q40" s="78">
        <v>40</v>
      </c>
      <c r="R40" s="78">
        <v>40</v>
      </c>
      <c r="S40" s="78">
        <v>40</v>
      </c>
      <c r="T40" s="78">
        <v>40</v>
      </c>
      <c r="U40" s="78">
        <v>40</v>
      </c>
      <c r="V40" s="78">
        <v>40</v>
      </c>
      <c r="W40" s="78">
        <v>40</v>
      </c>
      <c r="X40" s="78">
        <v>40</v>
      </c>
      <c r="Y40" s="78">
        <v>40</v>
      </c>
      <c r="Z40" s="78">
        <v>40</v>
      </c>
      <c r="AA40" s="78">
        <v>40</v>
      </c>
      <c r="AB40" s="78">
        <v>40</v>
      </c>
      <c r="AC40" s="78">
        <v>40</v>
      </c>
      <c r="AD40" s="78">
        <v>40</v>
      </c>
      <c r="AE40" s="78">
        <v>40</v>
      </c>
      <c r="AF40" s="78">
        <v>25</v>
      </c>
      <c r="AG40" s="78">
        <v>40</v>
      </c>
      <c r="AH40" s="78">
        <v>40</v>
      </c>
      <c r="AI40" s="78">
        <v>40</v>
      </c>
      <c r="AJ40" s="78">
        <v>40</v>
      </c>
      <c r="AK40" s="78">
        <v>40</v>
      </c>
      <c r="AL40" s="78">
        <v>15</v>
      </c>
      <c r="AM40" s="78">
        <v>40</v>
      </c>
      <c r="AN40" s="78">
        <v>40</v>
      </c>
      <c r="AO40" s="78">
        <v>40</v>
      </c>
      <c r="AP40" s="78">
        <v>40</v>
      </c>
      <c r="AQ40" s="78">
        <v>40</v>
      </c>
      <c r="AR40" s="78">
        <v>40</v>
      </c>
      <c r="AS40" s="78">
        <v>40</v>
      </c>
      <c r="AT40" s="78">
        <v>40</v>
      </c>
      <c r="AU40" s="78">
        <v>40</v>
      </c>
      <c r="AV40" s="78">
        <v>40</v>
      </c>
      <c r="AW40" s="78">
        <v>40</v>
      </c>
      <c r="AY40" t="s">
        <v>155</v>
      </c>
      <c r="AZ40" s="3" t="str">
        <f ca="1" t="shared" si="34"/>
        <v>Trd_lcv_gsl</v>
      </c>
      <c r="BA40" t="str">
        <f ca="1" t="shared" si="0"/>
        <v>Trd_lcv</v>
      </c>
      <c r="BB40">
        <f ca="1" t="shared" si="1"/>
        <v>25</v>
      </c>
      <c r="BD40" t="str">
        <f ca="1" t="shared" si="3"/>
        <v>DMD</v>
      </c>
      <c r="BE40" t="str">
        <f ca="1" t="shared" si="4"/>
        <v>Trd_lcv_gsl</v>
      </c>
      <c r="BG40" t="s">
        <v>92</v>
      </c>
      <c r="BH40" t="s">
        <v>144</v>
      </c>
      <c r="BI40" t="s">
        <v>145</v>
      </c>
    </row>
    <row r="41" spans="1:61">
      <c r="C41" t="str">
        <f t="shared" si="33"/>
        <v>TRALPG</v>
      </c>
      <c r="D41" s="78">
        <v>40</v>
      </c>
      <c r="E41" s="78">
        <v>40</v>
      </c>
      <c r="F41" s="78">
        <v>40</v>
      </c>
      <c r="G41" s="78">
        <v>40</v>
      </c>
      <c r="H41" s="78">
        <v>40</v>
      </c>
      <c r="I41" s="78">
        <v>40</v>
      </c>
      <c r="J41" s="78">
        <v>40</v>
      </c>
      <c r="K41" s="78">
        <v>40</v>
      </c>
      <c r="L41" s="78">
        <v>40</v>
      </c>
      <c r="M41" s="78">
        <v>40</v>
      </c>
      <c r="N41" s="78">
        <v>40</v>
      </c>
      <c r="O41" s="78">
        <v>40</v>
      </c>
      <c r="P41" s="78">
        <v>40</v>
      </c>
      <c r="Q41" s="78">
        <v>40</v>
      </c>
      <c r="R41" s="78">
        <v>40</v>
      </c>
      <c r="S41" s="78">
        <v>40</v>
      </c>
      <c r="T41" s="78">
        <v>40</v>
      </c>
      <c r="U41" s="78">
        <v>40</v>
      </c>
      <c r="V41" s="78">
        <v>40</v>
      </c>
      <c r="W41" s="78">
        <v>40</v>
      </c>
      <c r="X41" s="78">
        <v>40</v>
      </c>
      <c r="Y41" s="78">
        <v>40</v>
      </c>
      <c r="Z41" s="78">
        <v>40</v>
      </c>
      <c r="AA41" s="78">
        <v>40</v>
      </c>
      <c r="AB41" s="78">
        <v>40</v>
      </c>
      <c r="AC41" s="78">
        <v>40</v>
      </c>
      <c r="AD41" s="78">
        <v>40</v>
      </c>
      <c r="AE41" s="78">
        <v>40</v>
      </c>
      <c r="AF41" s="78">
        <v>25</v>
      </c>
      <c r="AG41" s="78">
        <v>40</v>
      </c>
      <c r="AH41" s="78">
        <v>40</v>
      </c>
      <c r="AI41" s="78">
        <v>40</v>
      </c>
      <c r="AJ41" s="78">
        <v>40</v>
      </c>
      <c r="AK41" s="78">
        <v>40</v>
      </c>
      <c r="AL41" s="78">
        <v>15</v>
      </c>
      <c r="AM41" s="78">
        <v>40</v>
      </c>
      <c r="AN41" s="78">
        <v>40</v>
      </c>
      <c r="AO41" s="78">
        <v>40</v>
      </c>
      <c r="AP41" s="78">
        <v>40</v>
      </c>
      <c r="AQ41" s="78">
        <v>40</v>
      </c>
      <c r="AR41" s="78">
        <v>40</v>
      </c>
      <c r="AS41" s="78">
        <v>40</v>
      </c>
      <c r="AT41" s="78">
        <v>40</v>
      </c>
      <c r="AU41" s="78">
        <v>40</v>
      </c>
      <c r="AV41" s="78">
        <v>40</v>
      </c>
      <c r="AW41" s="78">
        <v>40</v>
      </c>
      <c r="AY41" t="s">
        <v>155</v>
      </c>
      <c r="AZ41" s="3" t="str">
        <f ca="1" t="shared" si="34"/>
        <v>Trd_lcv_lpg</v>
      </c>
      <c r="BA41" t="str">
        <f ca="1" t="shared" si="0"/>
        <v>Trd_lcv</v>
      </c>
      <c r="BB41">
        <f ca="1" t="shared" si="1"/>
        <v>25</v>
      </c>
      <c r="BD41" t="str">
        <f ca="1" t="shared" si="3"/>
        <v>DMD</v>
      </c>
      <c r="BE41" t="str">
        <f ca="1" t="shared" si="4"/>
        <v>Trd_lcv_lpg</v>
      </c>
      <c r="BG41" t="s">
        <v>92</v>
      </c>
      <c r="BH41" t="s">
        <v>144</v>
      </c>
      <c r="BI41" t="s">
        <v>145</v>
      </c>
    </row>
    <row r="42" spans="1:61">
      <c r="C42" t="str">
        <f t="shared" si="33"/>
        <v>TRANGA</v>
      </c>
      <c r="D42" s="78">
        <v>40</v>
      </c>
      <c r="E42" s="78">
        <v>40</v>
      </c>
      <c r="F42" s="78">
        <v>40</v>
      </c>
      <c r="G42" s="78">
        <v>40</v>
      </c>
      <c r="H42" s="78">
        <v>40</v>
      </c>
      <c r="I42" s="78">
        <v>40</v>
      </c>
      <c r="J42" s="78">
        <v>40</v>
      </c>
      <c r="K42" s="78">
        <v>40</v>
      </c>
      <c r="L42" s="78">
        <v>40</v>
      </c>
      <c r="M42" s="78">
        <v>40</v>
      </c>
      <c r="N42" s="78">
        <v>40</v>
      </c>
      <c r="O42" s="78">
        <v>40</v>
      </c>
      <c r="P42" s="78">
        <v>40</v>
      </c>
      <c r="Q42" s="78">
        <v>40</v>
      </c>
      <c r="R42" s="78">
        <v>40</v>
      </c>
      <c r="S42" s="78">
        <v>40</v>
      </c>
      <c r="T42" s="78">
        <v>40</v>
      </c>
      <c r="U42" s="78">
        <v>40</v>
      </c>
      <c r="V42" s="78">
        <v>40</v>
      </c>
      <c r="W42" s="78">
        <v>40</v>
      </c>
      <c r="X42" s="78">
        <v>40</v>
      </c>
      <c r="Y42" s="78">
        <v>40</v>
      </c>
      <c r="Z42" s="78">
        <v>40</v>
      </c>
      <c r="AA42" s="78">
        <v>40</v>
      </c>
      <c r="AB42" s="78">
        <v>40</v>
      </c>
      <c r="AC42" s="78">
        <v>40</v>
      </c>
      <c r="AD42" s="78">
        <v>40</v>
      </c>
      <c r="AE42" s="78">
        <v>40</v>
      </c>
      <c r="AF42" s="78">
        <v>25</v>
      </c>
      <c r="AG42" s="78">
        <v>40</v>
      </c>
      <c r="AH42" s="78">
        <v>40</v>
      </c>
      <c r="AI42" s="78">
        <v>40</v>
      </c>
      <c r="AJ42" s="78">
        <v>40</v>
      </c>
      <c r="AK42" s="78">
        <v>40</v>
      </c>
      <c r="AL42" s="78">
        <v>15</v>
      </c>
      <c r="AM42" s="78">
        <v>40</v>
      </c>
      <c r="AN42" s="78">
        <v>40</v>
      </c>
      <c r="AO42" s="78">
        <v>40</v>
      </c>
      <c r="AP42" s="78">
        <v>40</v>
      </c>
      <c r="AQ42" s="78">
        <v>40</v>
      </c>
      <c r="AR42" s="78">
        <v>40</v>
      </c>
      <c r="AS42" s="78">
        <v>40</v>
      </c>
      <c r="AT42" s="78">
        <v>40</v>
      </c>
      <c r="AU42" s="78">
        <v>40</v>
      </c>
      <c r="AV42" s="78">
        <v>40</v>
      </c>
      <c r="AW42" s="78">
        <v>40</v>
      </c>
      <c r="AY42" t="s">
        <v>155</v>
      </c>
      <c r="AZ42" s="3" t="str">
        <f ca="1" t="shared" si="34"/>
        <v>Trd_lcv_nga</v>
      </c>
      <c r="BA42" t="str">
        <f ca="1" t="shared" si="0"/>
        <v>Trd_lcv</v>
      </c>
      <c r="BB42">
        <f ca="1" t="shared" si="1"/>
        <v>25</v>
      </c>
      <c r="BD42" t="str">
        <f ca="1" t="shared" si="3"/>
        <v>DMD</v>
      </c>
      <c r="BE42" t="str">
        <f ca="1" t="shared" si="4"/>
        <v>Trd_lcv_nga</v>
      </c>
      <c r="BG42" t="s">
        <v>92</v>
      </c>
      <c r="BH42" t="s">
        <v>144</v>
      </c>
      <c r="BI42" t="s">
        <v>145</v>
      </c>
    </row>
    <row r="43" spans="1:61">
      <c r="AY43" t="s">
        <v>133</v>
      </c>
      <c r="BB43" t="str">
        <f t="shared" si="1"/>
        <v/>
      </c>
    </row>
    <row r="44" spans="1:61">
      <c r="D44" t="str">
        <f>D3</f>
        <v>Africa_North</v>
      </c>
      <c r="E44" t="str">
        <f t="shared" ref="E44:U44" si="35">E3</f>
        <v>Africa_Other</v>
      </c>
      <c r="F44" t="str">
        <f t="shared" si="35"/>
        <v>Australia</v>
      </c>
      <c r="G44" t="str">
        <f t="shared" si="35"/>
        <v>Austria</v>
      </c>
      <c r="H44" t="str">
        <f t="shared" si="35"/>
        <v>Baltics</v>
      </c>
      <c r="I44" t="str">
        <f t="shared" si="35"/>
        <v>BeNeLux</v>
      </c>
      <c r="J44" t="str">
        <f t="shared" si="35"/>
        <v>Brazil</v>
      </c>
      <c r="K44" t="str">
        <f t="shared" si="35"/>
        <v>China</v>
      </c>
      <c r="L44" t="str">
        <f t="shared" si="35"/>
        <v>CroSloven</v>
      </c>
      <c r="M44" t="str">
        <f t="shared" si="35"/>
        <v>CzechSlovak</v>
      </c>
      <c r="N44" t="str">
        <f t="shared" si="35"/>
        <v>France</v>
      </c>
      <c r="O44" t="str">
        <f t="shared" si="35"/>
        <v>Germany</v>
      </c>
      <c r="P44" t="str">
        <f t="shared" si="35"/>
        <v>GreeceCyp</v>
      </c>
      <c r="Q44" t="str">
        <f t="shared" si="35"/>
        <v>HunRomBul</v>
      </c>
      <c r="R44" t="str">
        <f t="shared" si="35"/>
        <v>Iceland</v>
      </c>
      <c r="S44" t="str">
        <f t="shared" si="35"/>
        <v>India</v>
      </c>
      <c r="T44" t="str">
        <f t="shared" si="35"/>
        <v>Ireland</v>
      </c>
      <c r="U44" t="str">
        <f t="shared" si="35"/>
        <v>ItalyMal</v>
      </c>
      <c r="V44" t="str">
        <f t="shared" ref="V44:AJ44" si="36">V3</f>
        <v>Japan</v>
      </c>
      <c r="W44" t="str">
        <f t="shared" si="36"/>
        <v>LatAm</v>
      </c>
      <c r="X44" t="str">
        <f t="shared" si="36"/>
        <v>MidEast</v>
      </c>
      <c r="Y44" t="str">
        <f t="shared" si="36"/>
        <v>NorthAm</v>
      </c>
      <c r="Z44" t="str">
        <f t="shared" si="36"/>
        <v>Norway</v>
      </c>
      <c r="AA44" t="str">
        <f t="shared" si="36"/>
        <v>Poland</v>
      </c>
      <c r="AB44" t="str">
        <f t="shared" si="36"/>
        <v>ROW</v>
      </c>
      <c r="AC44" t="str">
        <f t="shared" si="36"/>
        <v>Russia</v>
      </c>
      <c r="AD44" t="str">
        <f t="shared" si="36"/>
        <v>SaudiArabia</v>
      </c>
      <c r="AE44" t="str">
        <f t="shared" si="36"/>
        <v>SouthAfrica</v>
      </c>
      <c r="AF44" t="str">
        <f t="shared" si="36"/>
        <v>SpainPor</v>
      </c>
      <c r="AG44" t="str">
        <f t="shared" ref="AG44" si="37">AG3</f>
        <v>SweFinDen</v>
      </c>
      <c r="AH44" t="str">
        <f t="shared" si="36"/>
        <v>Switzerland</v>
      </c>
      <c r="AI44" t="str">
        <f t="shared" si="36"/>
        <v>Turkey</v>
      </c>
      <c r="AJ44" t="str">
        <f t="shared" si="36"/>
        <v>UK</v>
      </c>
      <c r="AK44" t="str">
        <f t="shared" ref="AK44:AW44" si="38">AK3</f>
        <v>Ukraine</v>
      </c>
      <c r="AL44" t="str">
        <f t="shared" si="38"/>
        <v>WestBalkans</v>
      </c>
      <c r="AM44" t="str">
        <f t="shared" si="38"/>
        <v>\I:</v>
      </c>
      <c r="AN44" t="str">
        <f t="shared" si="38"/>
        <v>\I:</v>
      </c>
      <c r="AO44" t="str">
        <f t="shared" si="38"/>
        <v>\I:</v>
      </c>
      <c r="AP44" t="str">
        <f t="shared" si="38"/>
        <v>\I:</v>
      </c>
      <c r="AQ44" t="str">
        <f t="shared" si="38"/>
        <v>\I:</v>
      </c>
      <c r="AR44" t="str">
        <f t="shared" si="38"/>
        <v>\I:</v>
      </c>
      <c r="AS44" t="str">
        <f t="shared" si="38"/>
        <v>\I:</v>
      </c>
      <c r="AT44" t="str">
        <f t="shared" si="38"/>
        <v>\I:</v>
      </c>
      <c r="AU44" t="str">
        <f t="shared" si="38"/>
        <v>\I:</v>
      </c>
      <c r="AV44" t="str">
        <f t="shared" si="38"/>
        <v>\I:</v>
      </c>
      <c r="AW44" t="str">
        <f t="shared" si="38"/>
        <v>\I:</v>
      </c>
      <c r="AY44" t="s">
        <v>133</v>
      </c>
      <c r="BB44" t="str">
        <f t="shared" si="1"/>
        <v/>
      </c>
    </row>
    <row r="45" spans="1:61">
      <c r="A45" t="s">
        <v>156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Y45" t="s">
        <v>157</v>
      </c>
      <c r="BA45" t="s">
        <v>169</v>
      </c>
      <c r="BB45" t="str">
        <f t="shared" si="1"/>
        <v/>
      </c>
    </row>
    <row r="47" spans="1:61">
      <c r="AY47" t="s">
        <v>159</v>
      </c>
    </row>
    <row r="48" spans="1:61">
      <c r="AY48" t="s">
        <v>160</v>
      </c>
      <c r="AZ48" t="s">
        <v>161</v>
      </c>
      <c r="BA48" t="s">
        <v>162</v>
      </c>
      <c r="BB48" t="s">
        <v>163</v>
      </c>
    </row>
    <row r="49" spans="51:54">
      <c r="AY49" t="s">
        <v>164</v>
      </c>
      <c r="AZ49" t="str">
        <f>BA45</f>
        <v>Trd_lcv</v>
      </c>
      <c r="BB49" t="s">
        <v>92</v>
      </c>
    </row>
  </sheetData>
  <conditionalFormatting sqref="AG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:AJ17 D17:AF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:AW17 AK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49"/>
  <sheetViews>
    <sheetView zoomScale="41" zoomScaleNormal="41" topLeftCell="AE1" workbookViewId="0">
      <selection activeCell="D45" sqref="D45:AW48"/>
    </sheetView>
  </sheetViews>
  <sheetFormatPr defaultColWidth="9" defaultRowHeight="14.5"/>
  <cols>
    <col min="1" max="1" width="10.8636363636364" customWidth="1"/>
    <col min="2" max="2" width="2" customWidth="1"/>
    <col min="4" max="20" width="6.13636363636364" customWidth="1"/>
    <col min="21" max="22" width="8.13636363636364" customWidth="1"/>
    <col min="23" max="23" width="7.4" customWidth="1"/>
    <col min="24" max="24" width="8.86363636363636" customWidth="1"/>
    <col min="25" max="25" width="5.86363636363636" customWidth="1"/>
    <col min="26" max="26" width="7.4" customWidth="1"/>
    <col min="27" max="27" width="6.6" customWidth="1"/>
    <col min="28" max="28" width="5.6" customWidth="1"/>
    <col min="29" max="29" width="6.6" customWidth="1"/>
    <col min="30" max="30" width="7.26363636363636" customWidth="1"/>
    <col min="31" max="31" width="6.6" customWidth="1"/>
    <col min="32" max="32" width="5.6" customWidth="1"/>
    <col min="33" max="33" width="7.4" customWidth="1"/>
    <col min="34" max="34" width="8" customWidth="1"/>
    <col min="35" max="50" width="6.6" customWidth="1"/>
    <col min="52" max="52" width="12" customWidth="1"/>
    <col min="57" max="57" width="12" customWidth="1"/>
  </cols>
  <sheetData>
    <row r="1" ht="15.25" spans="1:61">
      <c r="A1" s="44">
        <f>1-'Trucks-lcv'!$A$1</f>
        <v>0.5</v>
      </c>
      <c r="X1" s="1"/>
    </row>
    <row r="2" ht="15.25" spans="1:61">
      <c r="AY2" t="s">
        <v>130</v>
      </c>
      <c r="BD2" t="s">
        <v>131</v>
      </c>
    </row>
    <row r="3" spans="1:61">
      <c r="C3" t="s">
        <v>132</v>
      </c>
      <c r="D3" t="str">
        <f>'TRA balance'!E4</f>
        <v>Africa_North</v>
      </c>
      <c r="E3" t="str">
        <f>'TRA balance'!F4</f>
        <v>Africa_Other</v>
      </c>
      <c r="F3" t="str">
        <f>'TRA balance'!G4</f>
        <v>Australia</v>
      </c>
      <c r="G3" t="str">
        <f>'TRA balance'!H4</f>
        <v>Austria</v>
      </c>
      <c r="H3" t="str">
        <f>'TRA balance'!I4</f>
        <v>Baltics</v>
      </c>
      <c r="I3" t="str">
        <f>'TRA balance'!J4</f>
        <v>BeNeLux</v>
      </c>
      <c r="J3" t="str">
        <f>'TRA balance'!K4</f>
        <v>Brazil</v>
      </c>
      <c r="K3" t="str">
        <f>'TRA balance'!L4</f>
        <v>China</v>
      </c>
      <c r="L3" t="str">
        <f>'TRA balance'!M4</f>
        <v>CroSloven</v>
      </c>
      <c r="M3" t="str">
        <f>'TRA balance'!N4</f>
        <v>CzechSlovak</v>
      </c>
      <c r="N3" t="str">
        <f>'TRA balance'!O4</f>
        <v>France</v>
      </c>
      <c r="O3" t="str">
        <f>'TRA balance'!P4</f>
        <v>Germany</v>
      </c>
      <c r="P3" t="str">
        <f>'TRA balance'!Q4</f>
        <v>GreeceCyp</v>
      </c>
      <c r="Q3" t="str">
        <f>'TRA balance'!R4</f>
        <v>HunRomBul</v>
      </c>
      <c r="R3" t="str">
        <f>'TRA balance'!S4</f>
        <v>Iceland</v>
      </c>
      <c r="S3" t="str">
        <f>'TRA balance'!T4</f>
        <v>India</v>
      </c>
      <c r="T3" t="str">
        <f>'TRA balance'!U4</f>
        <v>Ireland</v>
      </c>
      <c r="U3" t="str">
        <f>'TRA balance'!V4</f>
        <v>ItalyMal</v>
      </c>
      <c r="V3" t="str">
        <f>'TRA balance'!W4</f>
        <v>Japan</v>
      </c>
      <c r="W3" t="str">
        <f>'TRA balance'!X4</f>
        <v>LatAm</v>
      </c>
      <c r="X3" t="str">
        <f>'TRA balance'!Y4</f>
        <v>MidEast</v>
      </c>
      <c r="Y3" t="str">
        <f>'TRA balance'!Z4</f>
        <v>NorthAm</v>
      </c>
      <c r="Z3" t="str">
        <f>'TRA balance'!AA4</f>
        <v>Norway</v>
      </c>
      <c r="AA3" t="str">
        <f>'TRA balance'!AB4</f>
        <v>Poland</v>
      </c>
      <c r="AB3" t="str">
        <f>'TRA balance'!AC4</f>
        <v>ROW</v>
      </c>
      <c r="AC3" t="str">
        <f>'TRA balance'!AD4</f>
        <v>Russia</v>
      </c>
      <c r="AD3" t="str">
        <f>'TRA balance'!AE4</f>
        <v>SaudiArabia</v>
      </c>
      <c r="AE3" t="str">
        <f>'TRA balance'!AF4</f>
        <v>SouthAfrica</v>
      </c>
      <c r="AF3" t="str">
        <f>'TRA balance'!AG4</f>
        <v>SpainPor</v>
      </c>
      <c r="AG3" t="str">
        <f>'TRA balance'!AH4</f>
        <v>SweFinDen</v>
      </c>
      <c r="AH3" t="str">
        <f>'TRA balance'!AI4</f>
        <v>Switzerland</v>
      </c>
      <c r="AI3" t="str">
        <f>'TRA balance'!AJ4</f>
        <v>Turkey</v>
      </c>
      <c r="AJ3" t="str">
        <f>'TRA balance'!AK4</f>
        <v>UK</v>
      </c>
      <c r="AK3" t="str">
        <f>'TRA balance'!AL4</f>
        <v>Ukraine</v>
      </c>
      <c r="AL3" t="str">
        <f>'TRA balance'!AM4</f>
        <v>WestBalkans</v>
      </c>
      <c r="AM3" t="str">
        <f>'TRA balance'!AN4</f>
        <v>\I:</v>
      </c>
      <c r="AN3" t="str">
        <f>'TRA balance'!AO4</f>
        <v>\I:</v>
      </c>
      <c r="AO3" t="str">
        <f>'TRA balance'!AP4</f>
        <v>\I:</v>
      </c>
      <c r="AP3" t="str">
        <f>'TRA balance'!AQ4</f>
        <v>\I:</v>
      </c>
      <c r="AQ3" t="str">
        <f>'TRA balance'!AR4</f>
        <v>\I:</v>
      </c>
      <c r="AR3" t="str">
        <f>'TRA balance'!AS4</f>
        <v>\I:</v>
      </c>
      <c r="AS3" t="str">
        <f>'TRA balance'!AT4</f>
        <v>\I:</v>
      </c>
      <c r="AT3" t="str">
        <f>'TRA balance'!AU4</f>
        <v>\I:</v>
      </c>
      <c r="AU3" t="str">
        <f>'TRA balance'!AV4</f>
        <v>\I:</v>
      </c>
      <c r="AV3" t="str">
        <f>'TRA balance'!AW4</f>
        <v>\I:</v>
      </c>
      <c r="AW3" t="str">
        <f>'TRA balance'!AX4</f>
        <v>\I:</v>
      </c>
      <c r="AX3" t="s">
        <v>133</v>
      </c>
      <c r="AY3" t="s">
        <v>134</v>
      </c>
      <c r="AZ3" t="s">
        <v>135</v>
      </c>
      <c r="BA3" t="s">
        <v>136</v>
      </c>
      <c r="BB3" t="s">
        <v>137</v>
      </c>
      <c r="BD3" t="s">
        <v>138</v>
      </c>
      <c r="BE3" t="s">
        <v>139</v>
      </c>
      <c r="BF3" t="s">
        <v>140</v>
      </c>
      <c r="BG3" t="s">
        <v>141</v>
      </c>
      <c r="BH3" t="s">
        <v>142</v>
      </c>
      <c r="BI3" t="s">
        <v>143</v>
      </c>
    </row>
    <row r="4" spans="1:61">
      <c r="A4" t="s">
        <v>78</v>
      </c>
      <c r="C4" s="43" t="s">
        <v>44</v>
      </c>
      <c r="D4" s="1" cm="1">
        <f ca="1" t="array" ref="D4">SUM(SUMIFS(Assumptions!BD$3:BD$102,Assumptions!$B$3:$B$102,'Trucks-hdt'!$C4,Assumptions!$G$3:$G$102,{"TRH","TRM"}))</f>
        <v>0</v>
      </c>
      <c r="E4" s="1" cm="1">
        <f ca="1" t="array" ref="E4">SUM(SUMIFS(Assumptions!BE$3:BE$102,Assumptions!$B$3:$B$102,'Trucks-hdt'!$C4,Assumptions!$G$3:$G$102,{"TRH","TRM"}))</f>
        <v>0</v>
      </c>
      <c r="F4" s="1" cm="1">
        <f ca="1" t="array" ref="F4">SUM(SUMIFS(Assumptions!BF$3:BF$102,Assumptions!$B$3:$B$102,'Trucks-hdt'!$C4,Assumptions!$G$3:$G$102,{"TRH","TRM"}))</f>
        <v>0.023442856164</v>
      </c>
      <c r="G4" s="1" cm="1">
        <f ca="1" t="array" ref="G4">SUM(SUMIFS(Assumptions!BG$3:BG$102,Assumptions!$B$3:$B$102,'Trucks-hdt'!$C4,Assumptions!$G$3:$G$102,{"TRH","TRM"}))</f>
        <v>11.407667447808</v>
      </c>
      <c r="H4" s="1" cm="1">
        <f ca="1" t="array" ref="H4">SUM(SUMIFS(Assumptions!BH$3:BH$102,Assumptions!$B$3:$B$102,'Trucks-hdt'!$C4,Assumptions!$G$3:$G$102,{"TRH","TRM"}))</f>
        <v>3.483338553216</v>
      </c>
      <c r="I4" s="1" cm="1">
        <f ca="1" t="array" ref="I4">SUM(SUMIFS(Assumptions!BI$3:BI$102,Assumptions!$B$3:$B$102,'Trucks-hdt'!$C4,Assumptions!$G$3:$G$102,{"TRH","TRM"}))</f>
        <v>23.635141150464</v>
      </c>
      <c r="J4" s="1" cm="1">
        <f ca="1" t="array" ref="J4">SUM(SUMIFS(Assumptions!BJ$3:BJ$102,Assumptions!$B$3:$B$102,'Trucks-hdt'!$C4,Assumptions!$G$3:$G$102,{"TRH","TRM"}))</f>
        <v>484.366263676819</v>
      </c>
      <c r="K4" s="1" cm="1">
        <f ca="1" t="array" ref="K4">SUM(SUMIFS(Assumptions!BK$3:BK$102,Assumptions!$B$3:$B$102,'Trucks-hdt'!$C4,Assumptions!$G$3:$G$102,{"TRH","TRM"}))</f>
        <v>18.76248027819</v>
      </c>
      <c r="L4" s="1" cm="1">
        <f ca="1" t="array" ref="L4">SUM(SUMIFS(Assumptions!BL$3:BL$102,Assumptions!$B$3:$B$102,'Trucks-hdt'!$C4,Assumptions!$G$3:$G$102,{"TRH","TRM"}))</f>
        <v>3.82997745792</v>
      </c>
      <c r="M4" s="1" cm="1">
        <f ca="1" t="array" ref="M4">SUM(SUMIFS(Assumptions!BM$3:BM$102,Assumptions!$B$3:$B$102,'Trucks-hdt'!$C4,Assumptions!$G$3:$G$102,{"TRH","TRM"}))</f>
        <v>10.03790994048</v>
      </c>
      <c r="N4" s="1" cm="1">
        <f ca="1" t="array" ref="N4">SUM(SUMIFS(Assumptions!BN$3:BN$102,Assumptions!$B$3:$B$102,'Trucks-hdt'!$C4,Assumptions!$G$3:$G$102,{"TRH","TRM"}))</f>
        <v>67.650083958528</v>
      </c>
      <c r="O4" s="1" cm="1">
        <f ca="1" t="array" ref="O4">SUM(SUMIFS(Assumptions!BO$3:BO$102,Assumptions!$B$3:$B$102,'Trucks-hdt'!$C4,Assumptions!$G$3:$G$102,{"TRH","TRM"}))</f>
        <v>50.620089399552</v>
      </c>
      <c r="P4" s="1" cm="1">
        <f ca="1" t="array" ref="P4">SUM(SUMIFS(Assumptions!BP$3:BP$102,Assumptions!$B$3:$B$102,'Trucks-hdt'!$C4,Assumptions!$G$3:$G$102,{"TRH","TRM"}))</f>
        <v>4.586069325312</v>
      </c>
      <c r="Q4" s="1" cm="1">
        <f ca="1" t="array" ref="Q4">SUM(SUMIFS(Assumptions!BQ$3:BQ$102,Assumptions!$B$3:$B$102,'Trucks-hdt'!$C4,Assumptions!$G$3:$G$102,{"TRH","TRM"}))</f>
        <v>15.54698427912</v>
      </c>
      <c r="R4" s="1" cm="1">
        <f ca="1" t="array" ref="R4">SUM(SUMIFS(Assumptions!BR$3:BR$102,Assumptions!$B$3:$B$102,'Trucks-hdt'!$C4,Assumptions!$G$3:$G$102,{"TRH","TRM"}))</f>
        <v>0.41531716224</v>
      </c>
      <c r="S4" s="1" cm="1">
        <f ca="1" t="array" ref="S4">SUM(SUMIFS(Assumptions!BS$3:BS$102,Assumptions!$B$3:$B$102,'Trucks-hdt'!$C4,Assumptions!$G$3:$G$102,{"TRH","TRM"}))</f>
        <v>0.6138518688</v>
      </c>
      <c r="T4" s="1" cm="1">
        <f ca="1" t="array" ref="T4">SUM(SUMIFS(Assumptions!BT$3:BT$102,Assumptions!$B$3:$B$102,'Trucks-hdt'!$C4,Assumptions!$G$3:$G$102,{"TRH","TRM"}))</f>
        <v>4.34036512512</v>
      </c>
      <c r="U4" s="1" cm="1">
        <f ca="1" t="array" ref="U4">SUM(SUMIFS(Assumptions!BU$3:BU$102,Assumptions!$B$3:$B$102,'Trucks-hdt'!$C4,Assumptions!$G$3:$G$102,{"TRH","TRM"}))</f>
        <v>33.669940131072</v>
      </c>
      <c r="V4" s="1" cm="1">
        <f ca="1" t="array" ref="V4">SUM(SUMIFS(Assumptions!BV$3:BV$102,Assumptions!$B$3:$B$102,'Trucks-hdt'!$C4,Assumptions!$G$3:$G$102,{"TRH","TRM"}))</f>
        <v>0.39462767136</v>
      </c>
      <c r="W4" s="1" cm="1">
        <f ca="1" t="array" ref="W4">SUM(SUMIFS(Assumptions!BW$3:BW$102,Assumptions!$B$3:$B$102,'Trucks-hdt'!$C4,Assumptions!$G$3:$G$102,{"TRH","TRM"}))</f>
        <v>55.2520650441888</v>
      </c>
      <c r="X4" s="1" cm="1">
        <f ca="1" t="array" ref="X4">SUM(SUMIFS(Assumptions!BX$3:BX$102,Assumptions!$B$3:$B$102,'Trucks-hdt'!$C4,Assumptions!$G$3:$G$102,{"TRH","TRM"}))</f>
        <v>0</v>
      </c>
      <c r="Y4" s="1" cm="1">
        <f ca="1" t="array" ref="Y4">SUM(SUMIFS(Assumptions!BY$3:BY$102,Assumptions!$B$3:$B$102,'Trucks-hdt'!$C4,Assumptions!$G$3:$G$102,{"TRH","TRM"}))</f>
        <v>181.321756248946</v>
      </c>
      <c r="Z4" s="1" cm="1">
        <f ca="1" t="array" ref="Z4">SUM(SUMIFS(Assumptions!BZ$3:BZ$102,Assumptions!$B$3:$B$102,'Trucks-hdt'!$C4,Assumptions!$G$3:$G$102,{"TRH","TRM"}))</f>
        <v>11.22721569792</v>
      </c>
      <c r="AA4" s="1" cm="1">
        <f ca="1" t="array" ref="AA4">SUM(SUMIFS(Assumptions!CA$3:CA$102,Assumptions!$B$3:$B$102,'Trucks-hdt'!$C4,Assumptions!$G$3:$G$102,{"TRH","TRM"}))</f>
        <v>21.04584450048</v>
      </c>
      <c r="AB4" s="1" cm="1">
        <f ca="1" t="array" ref="AB4">SUM(SUMIFS(Assumptions!CB$3:CB$102,Assumptions!$B$3:$B$102,'Trucks-hdt'!$C4,Assumptions!$G$3:$G$102,{"TRH","TRM"}))</f>
        <v>196.694568269136</v>
      </c>
      <c r="AC4" s="1" cm="1">
        <f ca="1" t="array" ref="AC4">SUM(SUMIFS(Assumptions!CC$3:CC$102,Assumptions!$B$3:$B$102,'Trucks-hdt'!$C4,Assumptions!$G$3:$G$102,{"TRH","TRM"}))</f>
        <v>0.054720303696</v>
      </c>
      <c r="AD4" s="1" cm="1">
        <f ca="1" t="array" ref="AD4">SUM(SUMIFS(Assumptions!CD$3:CD$102,Assumptions!$B$3:$B$102,'Trucks-hdt'!$C4,Assumptions!$G$3:$G$102,{"TRH","TRM"}))</f>
        <v>0</v>
      </c>
      <c r="AE4" s="1" cm="1">
        <f ca="1" t="array" ref="AE4">SUM(SUMIFS(Assumptions!CE$3:CE$102,Assumptions!$B$3:$B$102,'Trucks-hdt'!$C4,Assumptions!$G$3:$G$102,{"TRH","TRM"}))</f>
        <v>0</v>
      </c>
      <c r="AF4" s="1" cm="1">
        <f ca="1" t="array" ref="AF4">SUM(SUMIFS(Assumptions!CF$3:CF$102,Assumptions!$B$3:$B$102,'Trucks-hdt'!$C4,Assumptions!$G$3:$G$102,{"TRH","TRM"}))</f>
        <v>47.094190182144</v>
      </c>
      <c r="AG4" s="1" cm="1">
        <f ca="1" t="array" ref="AG4">SUM(SUMIFS(Assumptions!CG$3:CG$102,Assumptions!$B$3:$B$102,'Trucks-hdt'!$C4,Assumptions!$G$3:$G$102,{"TRH","TRM"}))</f>
        <v>45.865631667456</v>
      </c>
      <c r="AH4" s="1" cm="1">
        <f ca="1" t="array" ref="AH4">SUM(SUMIFS(Assumptions!CH$3:CH$102,Assumptions!$B$3:$B$102,'Trucks-hdt'!$C4,Assumptions!$G$3:$G$102,{"TRH","TRM"}))</f>
        <v>4.01487994368</v>
      </c>
      <c r="AI4" s="1" cm="1">
        <f ca="1" t="array" ref="AI4">SUM(SUMIFS(Assumptions!CI$3:CI$102,Assumptions!$B$3:$B$102,'Trucks-hdt'!$C4,Assumptions!$G$3:$G$102,{"TRH","TRM"}))</f>
        <v>3.22616260476</v>
      </c>
      <c r="AJ4" s="1" cm="1">
        <f ca="1" t="array" ref="AJ4">SUM(SUMIFS(Assumptions!CJ$3:CJ$102,Assumptions!$B$3:$B$102,'Trucks-hdt'!$C4,Assumptions!$G$3:$G$102,{"TRH","TRM"}))</f>
        <v>33.846785203968</v>
      </c>
      <c r="AK4" s="1" cm="1">
        <f ca="1" t="array" ref="AK4">SUM(SUMIFS(Assumptions!CK$3:CK$102,Assumptions!$B$3:$B$102,'Trucks-hdt'!$C4,Assumptions!$G$3:$G$102,{"TRH","TRM"}))</f>
        <v>0</v>
      </c>
      <c r="AL4" s="1" cm="1">
        <f ca="1" t="array" ref="AL4">SUM(SUMIFS(Assumptions!CL$3:CL$102,Assumptions!$B$3:$B$102,'Trucks-hdt'!$C4,Assumptions!$G$3:$G$102,{"TRH","TRM"}))</f>
        <v>3.02115552408</v>
      </c>
      <c r="AM4" s="1" cm="1">
        <f ca="1" t="array" ref="AM4">SUM(SUMIFS(Assumptions!CM$3:CM$102,Assumptions!$B$3:$B$102,'Trucks-hdt'!$C4,Assumptions!$G$3:$G$102,{"TRH","TRM"}))</f>
        <v>0</v>
      </c>
      <c r="AN4" s="1" cm="1">
        <f ca="1" t="array" ref="AN4">SUM(SUMIFS(Assumptions!CN$3:CN$102,Assumptions!$B$3:$B$102,'Trucks-hdt'!$C4,Assumptions!$G$3:$G$102,{"TRH","TRM"}))</f>
        <v>0</v>
      </c>
      <c r="AO4" s="1" cm="1">
        <f ca="1" t="array" ref="AO4">SUM(SUMIFS(Assumptions!CO$3:CO$102,Assumptions!$B$3:$B$102,'Trucks-hdt'!$C4,Assumptions!$G$3:$G$102,{"TRH","TRM"}))</f>
        <v>0</v>
      </c>
      <c r="AP4" s="1" cm="1">
        <f ca="1" t="array" ref="AP4">SUM(SUMIFS(Assumptions!CP$3:CP$102,Assumptions!$B$3:$B$102,'Trucks-hdt'!$C4,Assumptions!$G$3:$G$102,{"TRH","TRM"}))</f>
        <v>0</v>
      </c>
      <c r="AQ4" s="1" cm="1">
        <f ca="1" t="array" ref="AQ4">SUM(SUMIFS(Assumptions!CQ$3:CQ$102,Assumptions!$B$3:$B$102,'Trucks-hdt'!$C4,Assumptions!$G$3:$G$102,{"TRH","TRM"}))</f>
        <v>0</v>
      </c>
      <c r="AR4" s="1" cm="1">
        <f ca="1" t="array" ref="AR4">SUM(SUMIFS(Assumptions!CR$3:CR$102,Assumptions!$B$3:$B$102,'Trucks-hdt'!$C4,Assumptions!$G$3:$G$102,{"TRH","TRM"}))</f>
        <v>0</v>
      </c>
      <c r="AS4" s="1" cm="1">
        <f ca="1" t="array" ref="AS4">SUM(SUMIFS(Assumptions!CS$3:CS$102,Assumptions!$B$3:$B$102,'Trucks-hdt'!$C4,Assumptions!$G$3:$G$102,{"TRH","TRM"}))</f>
        <v>0</v>
      </c>
      <c r="AT4" s="1" cm="1">
        <f ca="1" t="array" ref="AT4">SUM(SUMIFS(Assumptions!CT$3:CT$102,Assumptions!$B$3:$B$102,'Trucks-hdt'!$C4,Assumptions!$G$3:$G$102,{"TRH","TRM"}))</f>
        <v>0</v>
      </c>
      <c r="AU4" s="1" cm="1">
        <f ca="1" t="array" ref="AU4">SUM(SUMIFS(Assumptions!CU$3:CU$102,Assumptions!$B$3:$B$102,'Trucks-hdt'!$C4,Assumptions!$G$3:$G$102,{"TRH","TRM"}))</f>
        <v>0</v>
      </c>
      <c r="AV4" s="1" cm="1">
        <f ca="1" t="array" ref="AV4">SUM(SUMIFS(Assumptions!CV$3:CV$102,Assumptions!$B$3:$B$102,'Trucks-hdt'!$C4,Assumptions!$G$3:$G$102,{"TRH","TRM"}))</f>
        <v>0</v>
      </c>
      <c r="AW4" s="1" cm="1">
        <f ca="1" t="array" ref="AW4">SUM(SUMIFS(Assumptions!CW$3:CW$102,Assumptions!$B$3:$B$102,'Trucks-hdt'!$C4,Assumptions!$G$3:$G$102,{"TRH","TRM"}))</f>
        <v>0</v>
      </c>
      <c r="AX4" s="105" t="str">
        <f ca="1">IF(SUM(D4:AW4)=0,"zero","")</f>
        <v/>
      </c>
      <c r="AY4" s="1" t="s">
        <v>133</v>
      </c>
      <c r="BA4" t="str">
        <f t="shared" ref="BA4:BA42" si="0">IF($AZ4="","",$BA$45)</f>
        <v/>
      </c>
      <c r="BB4" t="str">
        <f t="shared" ref="BB4:BB45" si="1">IF($AZ4="","",25)</f>
        <v/>
      </c>
      <c r="BD4" t="str">
        <f>IF($AZ4="","*","DMD")</f>
        <v>*</v>
      </c>
      <c r="BE4">
        <f>AZ4</f>
        <v>0</v>
      </c>
      <c r="BG4" t="s">
        <v>92</v>
      </c>
      <c r="BH4" t="s">
        <v>144</v>
      </c>
      <c r="BI4" t="s">
        <v>145</v>
      </c>
    </row>
    <row r="5" spans="1:61">
      <c r="A5" t="s">
        <v>78</v>
      </c>
      <c r="C5" s="43" t="s">
        <v>48</v>
      </c>
      <c r="D5" s="1" cm="1">
        <f ca="1" t="array" ref="D5">SUM(SUMIFS(Assumptions!BD$3:BD$102,Assumptions!$B$3:$B$102,'Trucks-hdt'!$C5,Assumptions!$G$3:$G$102,{"TRH","TRM"}))</f>
        <v>0</v>
      </c>
      <c r="E5" s="1" cm="1">
        <f ca="1" t="array" ref="E5">SUM(SUMIFS(Assumptions!BE$3:BE$102,Assumptions!$B$3:$B$102,'Trucks-hdt'!$C5,Assumptions!$G$3:$G$102,{"TRH","TRM"}))</f>
        <v>0</v>
      </c>
      <c r="F5" s="1" cm="1">
        <f ca="1" t="array" ref="F5">SUM(SUMIFS(Assumptions!BF$3:BF$102,Assumptions!$B$3:$B$102,'Trucks-hdt'!$C5,Assumptions!$G$3:$G$102,{"TRH","TRM"}))</f>
        <v>0</v>
      </c>
      <c r="G5" s="1" cm="1">
        <f ca="1" t="array" ref="G5">SUM(SUMIFS(Assumptions!BG$3:BG$102,Assumptions!$B$3:$B$102,'Trucks-hdt'!$C5,Assumptions!$G$3:$G$102,{"TRH","TRM"}))</f>
        <v>0</v>
      </c>
      <c r="H5" s="1" cm="1">
        <f ca="1" t="array" ref="H5">SUM(SUMIFS(Assumptions!BH$3:BH$102,Assumptions!$B$3:$B$102,'Trucks-hdt'!$C5,Assumptions!$G$3:$G$102,{"TRH","TRM"}))</f>
        <v>0</v>
      </c>
      <c r="I5" s="1" cm="1">
        <f ca="1" t="array" ref="I5">SUM(SUMIFS(Assumptions!BI$3:BI$102,Assumptions!$B$3:$B$102,'Trucks-hdt'!$C5,Assumptions!$G$3:$G$102,{"TRH","TRM"}))</f>
        <v>0</v>
      </c>
      <c r="J5" s="1" cm="1">
        <f ca="1" t="array" ref="J5">SUM(SUMIFS(Assumptions!BJ$3:BJ$102,Assumptions!$B$3:$B$102,'Trucks-hdt'!$C5,Assumptions!$G$3:$G$102,{"TRH","TRM"}))</f>
        <v>0</v>
      </c>
      <c r="K5" s="1" cm="1">
        <f ca="1" t="array" ref="K5">SUM(SUMIFS(Assumptions!BK$3:BK$102,Assumptions!$B$3:$B$102,'Trucks-hdt'!$C5,Assumptions!$G$3:$G$102,{"TRH","TRM"}))</f>
        <v>0</v>
      </c>
      <c r="L5" s="1" cm="1">
        <f ca="1" t="array" ref="L5">SUM(SUMIFS(Assumptions!BL$3:BL$102,Assumptions!$B$3:$B$102,'Trucks-hdt'!$C5,Assumptions!$G$3:$G$102,{"TRH","TRM"}))</f>
        <v>0</v>
      </c>
      <c r="M5" s="1" cm="1">
        <f ca="1" t="array" ref="M5">SUM(SUMIFS(Assumptions!BM$3:BM$102,Assumptions!$B$3:$B$102,'Trucks-hdt'!$C5,Assumptions!$G$3:$G$102,{"TRH","TRM"}))</f>
        <v>0</v>
      </c>
      <c r="N5" s="1" cm="1">
        <f ca="1" t="array" ref="N5">SUM(SUMIFS(Assumptions!BN$3:BN$102,Assumptions!$B$3:$B$102,'Trucks-hdt'!$C5,Assumptions!$G$3:$G$102,{"TRH","TRM"}))</f>
        <v>0</v>
      </c>
      <c r="O5" s="1" cm="1">
        <f ca="1" t="array" ref="O5">SUM(SUMIFS(Assumptions!BO$3:BO$102,Assumptions!$B$3:$B$102,'Trucks-hdt'!$C5,Assumptions!$G$3:$G$102,{"TRH","TRM"}))</f>
        <v>0</v>
      </c>
      <c r="P5" s="1" cm="1">
        <f ca="1" t="array" ref="P5">SUM(SUMIFS(Assumptions!BP$3:BP$102,Assumptions!$B$3:$B$102,'Trucks-hdt'!$C5,Assumptions!$G$3:$G$102,{"TRH","TRM"}))</f>
        <v>0</v>
      </c>
      <c r="Q5" s="1" cm="1">
        <f ca="1" t="array" ref="Q5">SUM(SUMIFS(Assumptions!BQ$3:BQ$102,Assumptions!$B$3:$B$102,'Trucks-hdt'!$C5,Assumptions!$G$3:$G$102,{"TRH","TRM"}))</f>
        <v>0</v>
      </c>
      <c r="R5" s="1" cm="1">
        <f ca="1" t="array" ref="R5">SUM(SUMIFS(Assumptions!BR$3:BR$102,Assumptions!$B$3:$B$102,'Trucks-hdt'!$C5,Assumptions!$G$3:$G$102,{"TRH","TRM"}))</f>
        <v>0</v>
      </c>
      <c r="S5" s="1" cm="1">
        <f ca="1" t="array" ref="S5">SUM(SUMIFS(Assumptions!BS$3:BS$102,Assumptions!$B$3:$B$102,'Trucks-hdt'!$C5,Assumptions!$G$3:$G$102,{"TRH","TRM"}))</f>
        <v>0</v>
      </c>
      <c r="T5" s="1" cm="1">
        <f ca="1" t="array" ref="T5">SUM(SUMIFS(Assumptions!BT$3:BT$102,Assumptions!$B$3:$B$102,'Trucks-hdt'!$C5,Assumptions!$G$3:$G$102,{"TRH","TRM"}))</f>
        <v>0</v>
      </c>
      <c r="U5" s="1" cm="1">
        <f ca="1" t="array" ref="U5">SUM(SUMIFS(Assumptions!BU$3:BU$102,Assumptions!$B$3:$B$102,'Trucks-hdt'!$C5,Assumptions!$G$3:$G$102,{"TRH","TRM"}))</f>
        <v>0</v>
      </c>
      <c r="V5" s="1" cm="1">
        <f ca="1" t="array" ref="V5">SUM(SUMIFS(Assumptions!BV$3:BV$102,Assumptions!$B$3:$B$102,'Trucks-hdt'!$C5,Assumptions!$G$3:$G$102,{"TRH","TRM"}))</f>
        <v>0</v>
      </c>
      <c r="W5" s="1" cm="1">
        <f ca="1" t="array" ref="W5">SUM(SUMIFS(Assumptions!BW$3:BW$102,Assumptions!$B$3:$B$102,'Trucks-hdt'!$C5,Assumptions!$G$3:$G$102,{"TRH","TRM"}))</f>
        <v>0</v>
      </c>
      <c r="X5" s="1" cm="1">
        <f ca="1" t="array" ref="X5">SUM(SUMIFS(Assumptions!BX$3:BX$102,Assumptions!$B$3:$B$102,'Trucks-hdt'!$C5,Assumptions!$G$3:$G$102,{"TRH","TRM"}))</f>
        <v>0</v>
      </c>
      <c r="Y5" s="1" cm="1">
        <f ca="1" t="array" ref="Y5">SUM(SUMIFS(Assumptions!BY$3:BY$102,Assumptions!$B$3:$B$102,'Trucks-hdt'!$C5,Assumptions!$G$3:$G$102,{"TRH","TRM"}))</f>
        <v>0</v>
      </c>
      <c r="Z5" s="1" cm="1">
        <f ca="1" t="array" ref="Z5">SUM(SUMIFS(Assumptions!BZ$3:BZ$102,Assumptions!$B$3:$B$102,'Trucks-hdt'!$C5,Assumptions!$G$3:$G$102,{"TRH","TRM"}))</f>
        <v>0</v>
      </c>
      <c r="AA5" s="1" cm="1">
        <f ca="1" t="array" ref="AA5">SUM(SUMIFS(Assumptions!CA$3:CA$102,Assumptions!$B$3:$B$102,'Trucks-hdt'!$C5,Assumptions!$G$3:$G$102,{"TRH","TRM"}))</f>
        <v>0</v>
      </c>
      <c r="AB5" s="1" cm="1">
        <f ca="1" t="array" ref="AB5">SUM(SUMIFS(Assumptions!CB$3:CB$102,Assumptions!$B$3:$B$102,'Trucks-hdt'!$C5,Assumptions!$G$3:$G$102,{"TRH","TRM"}))</f>
        <v>0</v>
      </c>
      <c r="AC5" s="1" cm="1">
        <f ca="1" t="array" ref="AC5">SUM(SUMIFS(Assumptions!CC$3:CC$102,Assumptions!$B$3:$B$102,'Trucks-hdt'!$C5,Assumptions!$G$3:$G$102,{"TRH","TRM"}))</f>
        <v>0</v>
      </c>
      <c r="AD5" s="1" cm="1">
        <f ca="1" t="array" ref="AD5">SUM(SUMIFS(Assumptions!CD$3:CD$102,Assumptions!$B$3:$B$102,'Trucks-hdt'!$C5,Assumptions!$G$3:$G$102,{"TRH","TRM"}))</f>
        <v>0</v>
      </c>
      <c r="AE5" s="1" cm="1">
        <f ca="1" t="array" ref="AE5">SUM(SUMIFS(Assumptions!CE$3:CE$102,Assumptions!$B$3:$B$102,'Trucks-hdt'!$C5,Assumptions!$G$3:$G$102,{"TRH","TRM"}))</f>
        <v>0</v>
      </c>
      <c r="AF5" s="1" cm="1">
        <f ca="1" t="array" ref="AF5">SUM(SUMIFS(Assumptions!CF$3:CF$102,Assumptions!$B$3:$B$102,'Trucks-hdt'!$C5,Assumptions!$G$3:$G$102,{"TRH","TRM"}))</f>
        <v>0</v>
      </c>
      <c r="AG5" s="1" cm="1">
        <f ca="1" t="array" ref="AG5">SUM(SUMIFS(Assumptions!CG$3:CG$102,Assumptions!$B$3:$B$102,'Trucks-hdt'!$C5,Assumptions!$G$3:$G$102,{"TRH","TRM"}))</f>
        <v>0</v>
      </c>
      <c r="AH5" s="1" cm="1">
        <f ca="1" t="array" ref="AH5">SUM(SUMIFS(Assumptions!CH$3:CH$102,Assumptions!$B$3:$B$102,'Trucks-hdt'!$C5,Assumptions!$G$3:$G$102,{"TRH","TRM"}))</f>
        <v>0</v>
      </c>
      <c r="AI5" s="1" cm="1">
        <f ca="1" t="array" ref="AI5">SUM(SUMIFS(Assumptions!CI$3:CI$102,Assumptions!$B$3:$B$102,'Trucks-hdt'!$C5,Assumptions!$G$3:$G$102,{"TRH","TRM"}))</f>
        <v>0</v>
      </c>
      <c r="AJ5" s="1" cm="1">
        <f ca="1" t="array" ref="AJ5">SUM(SUMIFS(Assumptions!CJ$3:CJ$102,Assumptions!$B$3:$B$102,'Trucks-hdt'!$C5,Assumptions!$G$3:$G$102,{"TRH","TRM"}))</f>
        <v>0</v>
      </c>
      <c r="AK5" s="1" cm="1">
        <f ca="1" t="array" ref="AK5">SUM(SUMIFS(Assumptions!CK$3:CK$102,Assumptions!$B$3:$B$102,'Trucks-hdt'!$C5,Assumptions!$G$3:$G$102,{"TRH","TRM"}))</f>
        <v>0</v>
      </c>
      <c r="AL5" s="1" cm="1">
        <f ca="1" t="array" ref="AL5">SUM(SUMIFS(Assumptions!CL$3:CL$102,Assumptions!$B$3:$B$102,'Trucks-hdt'!$C5,Assumptions!$G$3:$G$102,{"TRH","TRM"}))</f>
        <v>0</v>
      </c>
      <c r="AM5" s="1" cm="1">
        <f ca="1" t="array" ref="AM5">SUM(SUMIFS(Assumptions!CM$3:CM$102,Assumptions!$B$3:$B$102,'Trucks-hdt'!$C5,Assumptions!$G$3:$G$102,{"TRH","TRM"}))</f>
        <v>0</v>
      </c>
      <c r="AN5" s="1" cm="1">
        <f ca="1" t="array" ref="AN5">SUM(SUMIFS(Assumptions!CN$3:CN$102,Assumptions!$B$3:$B$102,'Trucks-hdt'!$C5,Assumptions!$G$3:$G$102,{"TRH","TRM"}))</f>
        <v>0</v>
      </c>
      <c r="AO5" s="1" cm="1">
        <f ca="1" t="array" ref="AO5">SUM(SUMIFS(Assumptions!CO$3:CO$102,Assumptions!$B$3:$B$102,'Trucks-hdt'!$C5,Assumptions!$G$3:$G$102,{"TRH","TRM"}))</f>
        <v>0</v>
      </c>
      <c r="AP5" s="1" cm="1">
        <f ca="1" t="array" ref="AP5">SUM(SUMIFS(Assumptions!CP$3:CP$102,Assumptions!$B$3:$B$102,'Trucks-hdt'!$C5,Assumptions!$G$3:$G$102,{"TRH","TRM"}))</f>
        <v>0</v>
      </c>
      <c r="AQ5" s="1" cm="1">
        <f ca="1" t="array" ref="AQ5">SUM(SUMIFS(Assumptions!CQ$3:CQ$102,Assumptions!$B$3:$B$102,'Trucks-hdt'!$C5,Assumptions!$G$3:$G$102,{"TRH","TRM"}))</f>
        <v>0</v>
      </c>
      <c r="AR5" s="1" cm="1">
        <f ca="1" t="array" ref="AR5">SUM(SUMIFS(Assumptions!CR$3:CR$102,Assumptions!$B$3:$B$102,'Trucks-hdt'!$C5,Assumptions!$G$3:$G$102,{"TRH","TRM"}))</f>
        <v>0</v>
      </c>
      <c r="AS5" s="1" cm="1">
        <f ca="1" t="array" ref="AS5">SUM(SUMIFS(Assumptions!CS$3:CS$102,Assumptions!$B$3:$B$102,'Trucks-hdt'!$C5,Assumptions!$G$3:$G$102,{"TRH","TRM"}))</f>
        <v>0</v>
      </c>
      <c r="AT5" s="1" cm="1">
        <f ca="1" t="array" ref="AT5">SUM(SUMIFS(Assumptions!CT$3:CT$102,Assumptions!$B$3:$B$102,'Trucks-hdt'!$C5,Assumptions!$G$3:$G$102,{"TRH","TRM"}))</f>
        <v>0</v>
      </c>
      <c r="AU5" s="1" cm="1">
        <f ca="1" t="array" ref="AU5">SUM(SUMIFS(Assumptions!CU$3:CU$102,Assumptions!$B$3:$B$102,'Trucks-hdt'!$C5,Assumptions!$G$3:$G$102,{"TRH","TRM"}))</f>
        <v>0</v>
      </c>
      <c r="AV5" s="1" cm="1">
        <f ca="1" t="array" ref="AV5">SUM(SUMIFS(Assumptions!CV$3:CV$102,Assumptions!$B$3:$B$102,'Trucks-hdt'!$C5,Assumptions!$G$3:$G$102,{"TRH","TRM"}))</f>
        <v>0</v>
      </c>
      <c r="AW5" s="1" cm="1">
        <f ca="1" t="array" ref="AW5">SUM(SUMIFS(Assumptions!CW$3:CW$102,Assumptions!$B$3:$B$102,'Trucks-hdt'!$C5,Assumptions!$G$3:$G$102,{"TRH","TRM"}))</f>
        <v>0</v>
      </c>
      <c r="AX5" s="105" t="str">
        <f ca="1" t="shared" ref="AX5:AX10" si="2">IF(SUM(D5:AW5)=0,"zero","")</f>
        <v>zero</v>
      </c>
      <c r="AY5" t="s">
        <v>133</v>
      </c>
      <c r="BA5" t="str">
        <f t="shared" si="0"/>
        <v/>
      </c>
      <c r="BB5" t="str">
        <f t="shared" si="1"/>
        <v/>
      </c>
      <c r="BD5" t="str">
        <f t="shared" ref="BD5:BD42" si="3">IF(AZ5="","*","DMD")</f>
        <v>*</v>
      </c>
      <c r="BE5">
        <f t="shared" ref="BE5:BE42" si="4">AZ5</f>
        <v>0</v>
      </c>
      <c r="BG5" t="s">
        <v>92</v>
      </c>
      <c r="BH5" t="s">
        <v>144</v>
      </c>
      <c r="BI5" t="s">
        <v>145</v>
      </c>
    </row>
    <row r="6" spans="1:61">
      <c r="A6" t="s">
        <v>78</v>
      </c>
      <c r="C6" s="43" t="s">
        <v>60</v>
      </c>
      <c r="D6" s="1" cm="1">
        <f ca="1" t="array" ref="D6">SUM(SUMIFS(Assumptions!BD$3:BD$102,Assumptions!$B$3:$B$102,'Trucks-hdt'!$C6,Assumptions!$G$3:$G$102,{"TRH","TRM"}))</f>
        <v>450.36832218543</v>
      </c>
      <c r="E6" s="1" cm="1">
        <f ca="1" t="array" ref="E6">SUM(SUMIFS(Assumptions!BE$3:BE$102,Assumptions!$B$3:$B$102,'Trucks-hdt'!$C6,Assumptions!$G$3:$G$102,{"TRH","TRM"}))</f>
        <v>400.232186149248</v>
      </c>
      <c r="F6" s="1" cm="1">
        <f ca="1" t="array" ref="F6">SUM(SUMIFS(Assumptions!BF$3:BF$102,Assumptions!$B$3:$B$102,'Trucks-hdt'!$C6,Assumptions!$G$3:$G$102,{"TRH","TRM"}))</f>
        <v>366.681349345475</v>
      </c>
      <c r="G6" s="1" cm="1">
        <f ca="1" t="array" ref="G6">SUM(SUMIFS(Assumptions!BG$3:BG$102,Assumptions!$B$3:$B$102,'Trucks-hdt'!$C6,Assumptions!$G$3:$G$102,{"TRH","TRM"}))</f>
        <v>165.536347905792</v>
      </c>
      <c r="H6" s="1" cm="1">
        <f ca="1" t="array" ref="H6">SUM(SUMIFS(Assumptions!BH$3:BH$102,Assumptions!$B$3:$B$102,'Trucks-hdt'!$C6,Assumptions!$G$3:$G$102,{"TRH","TRM"}))</f>
        <v>92.16524173464</v>
      </c>
      <c r="I6" s="1" cm="1">
        <f ca="1" t="array" ref="I6">SUM(SUMIFS(Assumptions!BI$3:BI$102,Assumptions!$B$3:$B$102,'Trucks-hdt'!$C6,Assumptions!$G$3:$G$102,{"TRH","TRM"}))</f>
        <v>350.868596292864</v>
      </c>
      <c r="J6" s="1" cm="1">
        <f ca="1" t="array" ref="J6">SUM(SUMIFS(Assumptions!BJ$3:BJ$102,Assumptions!$B$3:$B$102,'Trucks-hdt'!$C6,Assumptions!$G$3:$G$102,{"TRH","TRM"}))</f>
        <v>1068.37777142127</v>
      </c>
      <c r="K6" s="1" cm="1">
        <f ca="1" t="array" ref="K6">SUM(SUMIFS(Assumptions!BK$3:BK$102,Assumptions!$B$3:$B$102,'Trucks-hdt'!$C6,Assumptions!$G$3:$G$102,{"TRH","TRM"}))</f>
        <v>1921.27894832828</v>
      </c>
      <c r="L6" s="1" cm="1">
        <f ca="1" t="array" ref="L6">SUM(SUMIFS(Assumptions!BL$3:BL$102,Assumptions!$B$3:$B$102,'Trucks-hdt'!$C6,Assumptions!$G$3:$G$102,{"TRH","TRM"}))</f>
        <v>72.2964189204</v>
      </c>
      <c r="M6" s="1" cm="1">
        <f ca="1" t="array" ref="M6">SUM(SUMIFS(Assumptions!BM$3:BM$102,Assumptions!$B$3:$B$102,'Trucks-hdt'!$C6,Assumptions!$G$3:$G$102,{"TRH","TRM"}))</f>
        <v>154.91915968608</v>
      </c>
      <c r="N6" s="1" cm="1">
        <f ca="1" t="array" ref="N6">SUM(SUMIFS(Assumptions!BN$3:BN$102,Assumptions!$B$3:$B$102,'Trucks-hdt'!$C6,Assumptions!$G$3:$G$102,{"TRH","TRM"}))</f>
        <v>823.296079256832</v>
      </c>
      <c r="O6" s="1" cm="1">
        <f ca="1" t="array" ref="O6">SUM(SUMIFS(Assumptions!BO$3:BO$102,Assumptions!$B$3:$B$102,'Trucks-hdt'!$C6,Assumptions!$G$3:$G$102,{"TRH","TRM"}))</f>
        <v>889.1335668672</v>
      </c>
      <c r="P6" s="1" cm="1">
        <f ca="1" t="array" ref="P6">SUM(SUMIFS(Assumptions!BP$3:BP$102,Assumptions!$B$3:$B$102,'Trucks-hdt'!$C6,Assumptions!$G$3:$G$102,{"TRH","TRM"}))</f>
        <v>71.902565137152</v>
      </c>
      <c r="Q6" s="1" cm="1">
        <f ca="1" t="array" ref="Q6">SUM(SUMIFS(Assumptions!BQ$3:BQ$102,Assumptions!$B$3:$B$102,'Trucks-hdt'!$C6,Assumptions!$G$3:$G$102,{"TRH","TRM"}))</f>
        <v>241.70608503288</v>
      </c>
      <c r="R6" s="1" cm="1">
        <f ca="1" t="array" ref="R6">SUM(SUMIFS(Assumptions!BR$3:BR$102,Assumptions!$B$3:$B$102,'Trucks-hdt'!$C6,Assumptions!$G$3:$G$102,{"TRH","TRM"}))</f>
        <v>4.930941065472</v>
      </c>
      <c r="S6" s="1" cm="1">
        <f ca="1" t="array" ref="S6">SUM(SUMIFS(Assumptions!BS$3:BS$102,Assumptions!$B$3:$B$102,'Trucks-hdt'!$C6,Assumptions!$G$3:$G$102,{"TRH","TRM"}))</f>
        <v>912.62209526235</v>
      </c>
      <c r="T6" s="1" cm="1">
        <f ca="1" t="array" ref="T6">SUM(SUMIFS(Assumptions!BT$3:BT$102,Assumptions!$B$3:$B$102,'Trucks-hdt'!$C6,Assumptions!$G$3:$G$102,{"TRH","TRM"}))</f>
        <v>78.94056655872</v>
      </c>
      <c r="U6" s="1" cm="1">
        <f ca="1" t="array" ref="U6">SUM(SUMIFS(Assumptions!BU$3:BU$102,Assumptions!$B$3:$B$102,'Trucks-hdt'!$C6,Assumptions!$G$3:$G$102,{"TRH","TRM"}))</f>
        <v>576.028789201152</v>
      </c>
      <c r="V6" s="1" cm="1">
        <f ca="1" t="array" ref="V6">SUM(SUMIFS(Assumptions!BV$3:BV$102,Assumptions!$B$3:$B$102,'Trucks-hdt'!$C6,Assumptions!$G$3:$G$102,{"TRH","TRM"}))</f>
        <v>694.085947721136</v>
      </c>
      <c r="W6" s="1" cm="1">
        <f ca="1" t="array" ref="W6">SUM(SUMIFS(Assumptions!BW$3:BW$102,Assumptions!$B$3:$B$102,'Trucks-hdt'!$C6,Assumptions!$G$3:$G$102,{"TRH","TRM"}))</f>
        <v>1096.92974552797</v>
      </c>
      <c r="X6" s="1" cm="1">
        <f ca="1" t="array" ref="X6">SUM(SUMIFS(Assumptions!BX$3:BX$102,Assumptions!$B$3:$B$102,'Trucks-hdt'!$C6,Assumptions!$G$3:$G$102,{"TRH","TRM"}))</f>
        <v>1010.99200136814</v>
      </c>
      <c r="Y6" s="1" cm="1">
        <f ca="1" t="array" ref="Y6">SUM(SUMIFS(Assumptions!BY$3:BY$102,Assumptions!$B$3:$B$102,'Trucks-hdt'!$C6,Assumptions!$G$3:$G$102,{"TRH","TRM"}))</f>
        <v>5593.20770790212</v>
      </c>
      <c r="Z6" s="1" cm="1">
        <f ca="1" t="array" ref="Z6">SUM(SUMIFS(Assumptions!BZ$3:BZ$102,Assumptions!$B$3:$B$102,'Trucks-hdt'!$C6,Assumptions!$G$3:$G$102,{"TRH","TRM"}))</f>
        <v>56.70410332032</v>
      </c>
      <c r="AA6" s="1" cm="1">
        <f ca="1" t="array" ref="AA6">SUM(SUMIFS(Assumptions!CA$3:CA$102,Assumptions!$B$3:$B$102,'Trucks-hdt'!$C6,Assumptions!$G$3:$G$102,{"TRH","TRM"}))</f>
        <v>355.67892854568</v>
      </c>
      <c r="AB6" s="1" cm="1">
        <f ca="1" t="array" ref="AB6">SUM(SUMIFS(Assumptions!CB$3:CB$102,Assumptions!$B$3:$B$102,'Trucks-hdt'!$C6,Assumptions!$G$3:$G$102,{"TRH","TRM"}))</f>
        <v>2770.60625061548</v>
      </c>
      <c r="AC6" s="1" cm="1">
        <f ca="1" t="array" ref="AC6">SUM(SUMIFS(Assumptions!CC$3:CC$102,Assumptions!$B$3:$B$102,'Trucks-hdt'!$C6,Assumptions!$G$3:$G$102,{"TRH","TRM"}))</f>
        <v>533.01044145024</v>
      </c>
      <c r="AD6" s="1" cm="1">
        <f ca="1" t="array" ref="AD6">SUM(SUMIFS(Assumptions!CD$3:CD$102,Assumptions!$B$3:$B$102,'Trucks-hdt'!$C6,Assumptions!$G$3:$G$102,{"TRH","TRM"}))</f>
        <v>574.9641387567</v>
      </c>
      <c r="AE6" s="1" cm="1">
        <f ca="1" t="array" ref="AE6">SUM(SUMIFS(Assumptions!CE$3:CE$102,Assumptions!$B$3:$B$102,'Trucks-hdt'!$C6,Assumptions!$G$3:$G$102,{"TRH","TRM"}))</f>
        <v>140.586917314176</v>
      </c>
      <c r="AF6" s="1" cm="1">
        <f ca="1" t="array" ref="AF6">SUM(SUMIFS(Assumptions!CF$3:CF$102,Assumptions!$B$3:$B$102,'Trucks-hdt'!$C6,Assumptions!$G$3:$G$102,{"TRH","TRM"}))</f>
        <v>687.47667311232</v>
      </c>
      <c r="AG6" s="1" cm="1">
        <f ca="1" t="array" ref="AG6">SUM(SUMIFS(Assumptions!CG$3:CG$102,Assumptions!$B$3:$B$102,'Trucks-hdt'!$C6,Assumptions!$G$3:$G$102,{"TRH","TRM"}))</f>
        <v>206.376265433088</v>
      </c>
      <c r="AH6" s="1" cm="1">
        <f ca="1" t="array" ref="AH6">SUM(SUMIFS(Assumptions!CH$3:CH$102,Assumptions!$B$3:$B$102,'Trucks-hdt'!$C6,Assumptions!$G$3:$G$102,{"TRH","TRM"}))</f>
        <v>72.84171863808</v>
      </c>
      <c r="AI6" s="1" cm="1">
        <f ca="1" t="array" ref="AI6">SUM(SUMIFS(Assumptions!CI$3:CI$102,Assumptions!$B$3:$B$102,'Trucks-hdt'!$C6,Assumptions!$G$3:$G$102,{"TRH","TRM"}))</f>
        <v>555.08652104571</v>
      </c>
      <c r="AJ6" s="1" cm="1">
        <f ca="1" t="array" ref="AJ6">SUM(SUMIFS(Assumptions!CJ$3:CJ$102,Assumptions!$B$3:$B$102,'Trucks-hdt'!$C6,Assumptions!$G$3:$G$102,{"TRH","TRM"}))</f>
        <v>649.049236637184</v>
      </c>
      <c r="AK6" s="1" cm="1">
        <f ca="1" t="array" ref="AK6">SUM(SUMIFS(Assumptions!CK$3:CK$102,Assumptions!$B$3:$B$102,'Trucks-hdt'!$C6,Assumptions!$G$3:$G$102,{"TRH","TRM"}))</f>
        <v>138.163745686896</v>
      </c>
      <c r="AL6" s="1" cm="1">
        <f ca="1" t="array" ref="AL6">SUM(SUMIFS(Assumptions!CL$3:CL$102,Assumptions!$B$3:$B$102,'Trucks-hdt'!$C6,Assumptions!$G$3:$G$102,{"TRH","TRM"}))</f>
        <v>112.6323599436</v>
      </c>
      <c r="AM6" s="1" cm="1">
        <f ca="1" t="array" ref="AM6">SUM(SUMIFS(Assumptions!CM$3:CM$102,Assumptions!$B$3:$B$102,'Trucks-hdt'!$C6,Assumptions!$G$3:$G$102,{"TRH","TRM"}))</f>
        <v>0</v>
      </c>
      <c r="AN6" s="1" cm="1">
        <f ca="1" t="array" ref="AN6">SUM(SUMIFS(Assumptions!CN$3:CN$102,Assumptions!$B$3:$B$102,'Trucks-hdt'!$C6,Assumptions!$G$3:$G$102,{"TRH","TRM"}))</f>
        <v>0</v>
      </c>
      <c r="AO6" s="1" cm="1">
        <f ca="1" t="array" ref="AO6">SUM(SUMIFS(Assumptions!CO$3:CO$102,Assumptions!$B$3:$B$102,'Trucks-hdt'!$C6,Assumptions!$G$3:$G$102,{"TRH","TRM"}))</f>
        <v>0</v>
      </c>
      <c r="AP6" s="1" cm="1">
        <f ca="1" t="array" ref="AP6">SUM(SUMIFS(Assumptions!CP$3:CP$102,Assumptions!$B$3:$B$102,'Trucks-hdt'!$C6,Assumptions!$G$3:$G$102,{"TRH","TRM"}))</f>
        <v>0</v>
      </c>
      <c r="AQ6" s="1" cm="1">
        <f ca="1" t="array" ref="AQ6">SUM(SUMIFS(Assumptions!CQ$3:CQ$102,Assumptions!$B$3:$B$102,'Trucks-hdt'!$C6,Assumptions!$G$3:$G$102,{"TRH","TRM"}))</f>
        <v>0</v>
      </c>
      <c r="AR6" s="1" cm="1">
        <f ca="1" t="array" ref="AR6">SUM(SUMIFS(Assumptions!CR$3:CR$102,Assumptions!$B$3:$B$102,'Trucks-hdt'!$C6,Assumptions!$G$3:$G$102,{"TRH","TRM"}))</f>
        <v>0</v>
      </c>
      <c r="AS6" s="1" cm="1">
        <f ca="1" t="array" ref="AS6">SUM(SUMIFS(Assumptions!CS$3:CS$102,Assumptions!$B$3:$B$102,'Trucks-hdt'!$C6,Assumptions!$G$3:$G$102,{"TRH","TRM"}))</f>
        <v>0</v>
      </c>
      <c r="AT6" s="1" cm="1">
        <f ca="1" t="array" ref="AT6">SUM(SUMIFS(Assumptions!CT$3:CT$102,Assumptions!$B$3:$B$102,'Trucks-hdt'!$C6,Assumptions!$G$3:$G$102,{"TRH","TRM"}))</f>
        <v>0</v>
      </c>
      <c r="AU6" s="1" cm="1">
        <f ca="1" t="array" ref="AU6">SUM(SUMIFS(Assumptions!CU$3:CU$102,Assumptions!$B$3:$B$102,'Trucks-hdt'!$C6,Assumptions!$G$3:$G$102,{"TRH","TRM"}))</f>
        <v>0</v>
      </c>
      <c r="AV6" s="1" cm="1">
        <f ca="1" t="array" ref="AV6">SUM(SUMIFS(Assumptions!CV$3:CV$102,Assumptions!$B$3:$B$102,'Trucks-hdt'!$C6,Assumptions!$G$3:$G$102,{"TRH","TRM"}))</f>
        <v>0</v>
      </c>
      <c r="AW6" s="1" cm="1">
        <f ca="1" t="array" ref="AW6">SUM(SUMIFS(Assumptions!CW$3:CW$102,Assumptions!$B$3:$B$102,'Trucks-hdt'!$C6,Assumptions!$G$3:$G$102,{"TRH","TRM"}))</f>
        <v>0</v>
      </c>
      <c r="AX6" s="105" t="str">
        <f ca="1" t="shared" si="2"/>
        <v/>
      </c>
      <c r="AY6" t="s">
        <v>133</v>
      </c>
      <c r="BA6" t="str">
        <f t="shared" si="0"/>
        <v/>
      </c>
      <c r="BB6" t="str">
        <f t="shared" si="1"/>
        <v/>
      </c>
      <c r="BD6" t="str">
        <f t="shared" si="3"/>
        <v>*</v>
      </c>
      <c r="BE6">
        <f t="shared" si="4"/>
        <v>0</v>
      </c>
      <c r="BG6" t="s">
        <v>92</v>
      </c>
      <c r="BH6" t="s">
        <v>144</v>
      </c>
      <c r="BI6" t="s">
        <v>145</v>
      </c>
    </row>
    <row r="7" spans="1:61">
      <c r="A7" t="s">
        <v>78</v>
      </c>
      <c r="C7" s="43" t="s">
        <v>64</v>
      </c>
      <c r="D7" s="1" cm="1">
        <f ca="1" t="array" ref="D7">SUM(SUMIFS(Assumptions!BD$3:BD$102,Assumptions!$B$3:$B$102,'Trucks-hdt'!$C7,Assumptions!$G$3:$G$102,{"TRH","TRM"}))</f>
        <v>0</v>
      </c>
      <c r="E7" s="1" cm="1">
        <f ca="1" t="array" ref="E7">SUM(SUMIFS(Assumptions!BE$3:BE$102,Assumptions!$B$3:$B$102,'Trucks-hdt'!$C7,Assumptions!$G$3:$G$102,{"TRH","TRM"}))</f>
        <v>0</v>
      </c>
      <c r="F7" s="1" cm="1">
        <f ca="1" t="array" ref="F7">SUM(SUMIFS(Assumptions!BF$3:BF$102,Assumptions!$B$3:$B$102,'Trucks-hdt'!$C7,Assumptions!$G$3:$G$102,{"TRH","TRM"}))</f>
        <v>0</v>
      </c>
      <c r="G7" s="1" cm="1">
        <f ca="1" t="array" ref="G7">SUM(SUMIFS(Assumptions!BG$3:BG$102,Assumptions!$B$3:$B$102,'Trucks-hdt'!$C7,Assumptions!$G$3:$G$102,{"TRH","TRM"}))</f>
        <v>0</v>
      </c>
      <c r="H7" s="1" cm="1">
        <f ca="1" t="array" ref="H7">SUM(SUMIFS(Assumptions!BH$3:BH$102,Assumptions!$B$3:$B$102,'Trucks-hdt'!$C7,Assumptions!$G$3:$G$102,{"TRH","TRM"}))</f>
        <v>0</v>
      </c>
      <c r="I7" s="1" cm="1">
        <f ca="1" t="array" ref="I7">SUM(SUMIFS(Assumptions!BI$3:BI$102,Assumptions!$B$3:$B$102,'Trucks-hdt'!$C7,Assumptions!$G$3:$G$102,{"TRH","TRM"}))</f>
        <v>0</v>
      </c>
      <c r="J7" s="1" cm="1">
        <f ca="1" t="array" ref="J7">SUM(SUMIFS(Assumptions!BJ$3:BJ$102,Assumptions!$B$3:$B$102,'Trucks-hdt'!$C7,Assumptions!$G$3:$G$102,{"TRH","TRM"}))</f>
        <v>0</v>
      </c>
      <c r="K7" s="1" cm="1">
        <f ca="1" t="array" ref="K7">SUM(SUMIFS(Assumptions!BK$3:BK$102,Assumptions!$B$3:$B$102,'Trucks-hdt'!$C7,Assumptions!$G$3:$G$102,{"TRH","TRM"}))</f>
        <v>0</v>
      </c>
      <c r="L7" s="1" cm="1">
        <f ca="1" t="array" ref="L7">SUM(SUMIFS(Assumptions!BL$3:BL$102,Assumptions!$B$3:$B$102,'Trucks-hdt'!$C7,Assumptions!$G$3:$G$102,{"TRH","TRM"}))</f>
        <v>0</v>
      </c>
      <c r="M7" s="1" cm="1">
        <f ca="1" t="array" ref="M7">SUM(SUMIFS(Assumptions!BM$3:BM$102,Assumptions!$B$3:$B$102,'Trucks-hdt'!$C7,Assumptions!$G$3:$G$102,{"TRH","TRM"}))</f>
        <v>0</v>
      </c>
      <c r="N7" s="1" cm="1">
        <f ca="1" t="array" ref="N7">SUM(SUMIFS(Assumptions!BN$3:BN$102,Assumptions!$B$3:$B$102,'Trucks-hdt'!$C7,Assumptions!$G$3:$G$102,{"TRH","TRM"}))</f>
        <v>0</v>
      </c>
      <c r="O7" s="1" cm="1">
        <f ca="1" t="array" ref="O7">SUM(SUMIFS(Assumptions!BO$3:BO$102,Assumptions!$B$3:$B$102,'Trucks-hdt'!$C7,Assumptions!$G$3:$G$102,{"TRH","TRM"}))</f>
        <v>0</v>
      </c>
      <c r="P7" s="1" cm="1">
        <f ca="1" t="array" ref="P7">SUM(SUMIFS(Assumptions!BP$3:BP$102,Assumptions!$B$3:$B$102,'Trucks-hdt'!$C7,Assumptions!$G$3:$G$102,{"TRH","TRM"}))</f>
        <v>0</v>
      </c>
      <c r="Q7" s="1" cm="1">
        <f ca="1" t="array" ref="Q7">SUM(SUMIFS(Assumptions!BQ$3:BQ$102,Assumptions!$B$3:$B$102,'Trucks-hdt'!$C7,Assumptions!$G$3:$G$102,{"TRH","TRM"}))</f>
        <v>0</v>
      </c>
      <c r="R7" s="1" cm="1">
        <f ca="1" t="array" ref="R7">SUM(SUMIFS(Assumptions!BR$3:BR$102,Assumptions!$B$3:$B$102,'Trucks-hdt'!$C7,Assumptions!$G$3:$G$102,{"TRH","TRM"}))</f>
        <v>0</v>
      </c>
      <c r="S7" s="1" cm="1">
        <f ca="1" t="array" ref="S7">SUM(SUMIFS(Assumptions!BS$3:BS$102,Assumptions!$B$3:$B$102,'Trucks-hdt'!$C7,Assumptions!$G$3:$G$102,{"TRH","TRM"}))</f>
        <v>0</v>
      </c>
      <c r="T7" s="1" cm="1">
        <f ca="1" t="array" ref="T7">SUM(SUMIFS(Assumptions!BT$3:BT$102,Assumptions!$B$3:$B$102,'Trucks-hdt'!$C7,Assumptions!$G$3:$G$102,{"TRH","TRM"}))</f>
        <v>0</v>
      </c>
      <c r="U7" s="1" cm="1">
        <f ca="1" t="array" ref="U7">SUM(SUMIFS(Assumptions!BU$3:BU$102,Assumptions!$B$3:$B$102,'Trucks-hdt'!$C7,Assumptions!$G$3:$G$102,{"TRH","TRM"}))</f>
        <v>0</v>
      </c>
      <c r="V7" s="1" cm="1">
        <f ca="1" t="array" ref="V7">SUM(SUMIFS(Assumptions!BV$3:BV$102,Assumptions!$B$3:$B$102,'Trucks-hdt'!$C7,Assumptions!$G$3:$G$102,{"TRH","TRM"}))</f>
        <v>0</v>
      </c>
      <c r="W7" s="1" cm="1">
        <f ca="1" t="array" ref="W7">SUM(SUMIFS(Assumptions!BW$3:BW$102,Assumptions!$B$3:$B$102,'Trucks-hdt'!$C7,Assumptions!$G$3:$G$102,{"TRH","TRM"}))</f>
        <v>0</v>
      </c>
      <c r="X7" s="1" cm="1">
        <f ca="1" t="array" ref="X7">SUM(SUMIFS(Assumptions!BX$3:BX$102,Assumptions!$B$3:$B$102,'Trucks-hdt'!$C7,Assumptions!$G$3:$G$102,{"TRH","TRM"}))</f>
        <v>0</v>
      </c>
      <c r="Y7" s="1" cm="1">
        <f ca="1" t="array" ref="Y7">SUM(SUMIFS(Assumptions!BY$3:BY$102,Assumptions!$B$3:$B$102,'Trucks-hdt'!$C7,Assumptions!$G$3:$G$102,{"TRH","TRM"}))</f>
        <v>0</v>
      </c>
      <c r="Z7" s="1" cm="1">
        <f ca="1" t="array" ref="Z7">SUM(SUMIFS(Assumptions!BZ$3:BZ$102,Assumptions!$B$3:$B$102,'Trucks-hdt'!$C7,Assumptions!$G$3:$G$102,{"TRH","TRM"}))</f>
        <v>0</v>
      </c>
      <c r="AA7" s="1" cm="1">
        <f ca="1" t="array" ref="AA7">SUM(SUMIFS(Assumptions!CA$3:CA$102,Assumptions!$B$3:$B$102,'Trucks-hdt'!$C7,Assumptions!$G$3:$G$102,{"TRH","TRM"}))</f>
        <v>0</v>
      </c>
      <c r="AB7" s="1" cm="1">
        <f ca="1" t="array" ref="AB7">SUM(SUMIFS(Assumptions!CB$3:CB$102,Assumptions!$B$3:$B$102,'Trucks-hdt'!$C7,Assumptions!$G$3:$G$102,{"TRH","TRM"}))</f>
        <v>0</v>
      </c>
      <c r="AC7" s="1" cm="1">
        <f ca="1" t="array" ref="AC7">SUM(SUMIFS(Assumptions!CC$3:CC$102,Assumptions!$B$3:$B$102,'Trucks-hdt'!$C7,Assumptions!$G$3:$G$102,{"TRH","TRM"}))</f>
        <v>0</v>
      </c>
      <c r="AD7" s="1" cm="1">
        <f ca="1" t="array" ref="AD7">SUM(SUMIFS(Assumptions!CD$3:CD$102,Assumptions!$B$3:$B$102,'Trucks-hdt'!$C7,Assumptions!$G$3:$G$102,{"TRH","TRM"}))</f>
        <v>0</v>
      </c>
      <c r="AE7" s="1" cm="1">
        <f ca="1" t="array" ref="AE7">SUM(SUMIFS(Assumptions!CE$3:CE$102,Assumptions!$B$3:$B$102,'Trucks-hdt'!$C7,Assumptions!$G$3:$G$102,{"TRH","TRM"}))</f>
        <v>0</v>
      </c>
      <c r="AF7" s="1" cm="1">
        <f ca="1" t="array" ref="AF7">SUM(SUMIFS(Assumptions!CF$3:CF$102,Assumptions!$B$3:$B$102,'Trucks-hdt'!$C7,Assumptions!$G$3:$G$102,{"TRH","TRM"}))</f>
        <v>0</v>
      </c>
      <c r="AG7" s="1" cm="1">
        <f ca="1" t="array" ref="AG7">SUM(SUMIFS(Assumptions!CG$3:CG$102,Assumptions!$B$3:$B$102,'Trucks-hdt'!$C7,Assumptions!$G$3:$G$102,{"TRH","TRM"}))</f>
        <v>0</v>
      </c>
      <c r="AH7" s="1" cm="1">
        <f ca="1" t="array" ref="AH7">SUM(SUMIFS(Assumptions!CH$3:CH$102,Assumptions!$B$3:$B$102,'Trucks-hdt'!$C7,Assumptions!$G$3:$G$102,{"TRH","TRM"}))</f>
        <v>0</v>
      </c>
      <c r="AI7" s="1" cm="1">
        <f ca="1" t="array" ref="AI7">SUM(SUMIFS(Assumptions!CI$3:CI$102,Assumptions!$B$3:$B$102,'Trucks-hdt'!$C7,Assumptions!$G$3:$G$102,{"TRH","TRM"}))</f>
        <v>0</v>
      </c>
      <c r="AJ7" s="1" cm="1">
        <f ca="1" t="array" ref="AJ7">SUM(SUMIFS(Assumptions!CJ$3:CJ$102,Assumptions!$B$3:$B$102,'Trucks-hdt'!$C7,Assumptions!$G$3:$G$102,{"TRH","TRM"}))</f>
        <v>0</v>
      </c>
      <c r="AK7" s="1" cm="1">
        <f ca="1" t="array" ref="AK7">SUM(SUMIFS(Assumptions!CK$3:CK$102,Assumptions!$B$3:$B$102,'Trucks-hdt'!$C7,Assumptions!$G$3:$G$102,{"TRH","TRM"}))</f>
        <v>0</v>
      </c>
      <c r="AL7" s="1" cm="1">
        <f ca="1" t="array" ref="AL7">SUM(SUMIFS(Assumptions!CL$3:CL$102,Assumptions!$B$3:$B$102,'Trucks-hdt'!$C7,Assumptions!$G$3:$G$102,{"TRH","TRM"}))</f>
        <v>0</v>
      </c>
      <c r="AM7" s="1" cm="1">
        <f ca="1" t="array" ref="AM7">SUM(SUMIFS(Assumptions!CM$3:CM$102,Assumptions!$B$3:$B$102,'Trucks-hdt'!$C7,Assumptions!$G$3:$G$102,{"TRH","TRM"}))</f>
        <v>0</v>
      </c>
      <c r="AN7" s="1" cm="1">
        <f ca="1" t="array" ref="AN7">SUM(SUMIFS(Assumptions!CN$3:CN$102,Assumptions!$B$3:$B$102,'Trucks-hdt'!$C7,Assumptions!$G$3:$G$102,{"TRH","TRM"}))</f>
        <v>0</v>
      </c>
      <c r="AO7" s="1" cm="1">
        <f ca="1" t="array" ref="AO7">SUM(SUMIFS(Assumptions!CO$3:CO$102,Assumptions!$B$3:$B$102,'Trucks-hdt'!$C7,Assumptions!$G$3:$G$102,{"TRH","TRM"}))</f>
        <v>0</v>
      </c>
      <c r="AP7" s="1" cm="1">
        <f ca="1" t="array" ref="AP7">SUM(SUMIFS(Assumptions!CP$3:CP$102,Assumptions!$B$3:$B$102,'Trucks-hdt'!$C7,Assumptions!$G$3:$G$102,{"TRH","TRM"}))</f>
        <v>0</v>
      </c>
      <c r="AQ7" s="1" cm="1">
        <f ca="1" t="array" ref="AQ7">SUM(SUMIFS(Assumptions!CQ$3:CQ$102,Assumptions!$B$3:$B$102,'Trucks-hdt'!$C7,Assumptions!$G$3:$G$102,{"TRH","TRM"}))</f>
        <v>0</v>
      </c>
      <c r="AR7" s="1" cm="1">
        <f ca="1" t="array" ref="AR7">SUM(SUMIFS(Assumptions!CR$3:CR$102,Assumptions!$B$3:$B$102,'Trucks-hdt'!$C7,Assumptions!$G$3:$G$102,{"TRH","TRM"}))</f>
        <v>0</v>
      </c>
      <c r="AS7" s="1" cm="1">
        <f ca="1" t="array" ref="AS7">SUM(SUMIFS(Assumptions!CS$3:CS$102,Assumptions!$B$3:$B$102,'Trucks-hdt'!$C7,Assumptions!$G$3:$G$102,{"TRH","TRM"}))</f>
        <v>0</v>
      </c>
      <c r="AT7" s="1" cm="1">
        <f ca="1" t="array" ref="AT7">SUM(SUMIFS(Assumptions!CT$3:CT$102,Assumptions!$B$3:$B$102,'Trucks-hdt'!$C7,Assumptions!$G$3:$G$102,{"TRH","TRM"}))</f>
        <v>0</v>
      </c>
      <c r="AU7" s="1" cm="1">
        <f ca="1" t="array" ref="AU7">SUM(SUMIFS(Assumptions!CU$3:CU$102,Assumptions!$B$3:$B$102,'Trucks-hdt'!$C7,Assumptions!$G$3:$G$102,{"TRH","TRM"}))</f>
        <v>0</v>
      </c>
      <c r="AV7" s="1" cm="1">
        <f ca="1" t="array" ref="AV7">SUM(SUMIFS(Assumptions!CV$3:CV$102,Assumptions!$B$3:$B$102,'Trucks-hdt'!$C7,Assumptions!$G$3:$G$102,{"TRH","TRM"}))</f>
        <v>0</v>
      </c>
      <c r="AW7" s="1" cm="1">
        <f ca="1" t="array" ref="AW7">SUM(SUMIFS(Assumptions!CW$3:CW$102,Assumptions!$B$3:$B$102,'Trucks-hdt'!$C7,Assumptions!$G$3:$G$102,{"TRH","TRM"}))</f>
        <v>0</v>
      </c>
      <c r="AX7" s="105" t="str">
        <f ca="1" t="shared" si="2"/>
        <v>zero</v>
      </c>
      <c r="AY7" t="s">
        <v>133</v>
      </c>
      <c r="BA7" t="str">
        <f t="shared" si="0"/>
        <v/>
      </c>
      <c r="BB7" t="str">
        <f t="shared" si="1"/>
        <v/>
      </c>
      <c r="BD7" t="str">
        <f t="shared" si="3"/>
        <v>*</v>
      </c>
      <c r="BE7">
        <f t="shared" si="4"/>
        <v>0</v>
      </c>
      <c r="BG7" t="s">
        <v>92</v>
      </c>
      <c r="BH7" t="s">
        <v>144</v>
      </c>
      <c r="BI7" t="s">
        <v>145</v>
      </c>
    </row>
    <row r="8" spans="1:61">
      <c r="A8" t="s">
        <v>78</v>
      </c>
      <c r="C8" s="43" t="s">
        <v>66</v>
      </c>
      <c r="D8" s="1" cm="1">
        <f ca="1" t="array" ref="D8">SUM(SUMIFS(Assumptions!BD$3:BD$102,Assumptions!$B$3:$B$102,'Trucks-hdt'!$C8,Assumptions!$G$3:$G$102,{"TRH","TRM"}))</f>
        <v>0</v>
      </c>
      <c r="E8" s="1" cm="1">
        <f ca="1" t="array" ref="E8">SUM(SUMIFS(Assumptions!BE$3:BE$102,Assumptions!$B$3:$B$102,'Trucks-hdt'!$C8,Assumptions!$G$3:$G$102,{"TRH","TRM"}))</f>
        <v>0</v>
      </c>
      <c r="F8" s="1" cm="1">
        <f ca="1" t="array" ref="F8">SUM(SUMIFS(Assumptions!BF$3:BF$102,Assumptions!$B$3:$B$102,'Trucks-hdt'!$C8,Assumptions!$G$3:$G$102,{"TRH","TRM"}))</f>
        <v>0</v>
      </c>
      <c r="G8" s="1" cm="1">
        <f ca="1" t="array" ref="G8">SUM(SUMIFS(Assumptions!BG$3:BG$102,Assumptions!$B$3:$B$102,'Trucks-hdt'!$C8,Assumptions!$G$3:$G$102,{"TRH","TRM"}))</f>
        <v>0</v>
      </c>
      <c r="H8" s="1" cm="1">
        <f ca="1" t="array" ref="H8">SUM(SUMIFS(Assumptions!BH$3:BH$102,Assumptions!$B$3:$B$102,'Trucks-hdt'!$C8,Assumptions!$G$3:$G$102,{"TRH","TRM"}))</f>
        <v>3.469910480784</v>
      </c>
      <c r="I8" s="1" cm="1">
        <f ca="1" t="array" ref="I8">SUM(SUMIFS(Assumptions!BI$3:BI$102,Assumptions!$B$3:$B$102,'Trucks-hdt'!$C8,Assumptions!$G$3:$G$102,{"TRH","TRM"}))</f>
        <v>0</v>
      </c>
      <c r="J8" s="1" cm="1">
        <f ca="1" t="array" ref="J8">SUM(SUMIFS(Assumptions!BJ$3:BJ$102,Assumptions!$B$3:$B$102,'Trucks-hdt'!$C8,Assumptions!$G$3:$G$102,{"TRH","TRM"}))</f>
        <v>26.945455211388</v>
      </c>
      <c r="K8" s="1" cm="1">
        <f ca="1" t="array" ref="K8">SUM(SUMIFS(Assumptions!BK$3:BK$102,Assumptions!$B$3:$B$102,'Trucks-hdt'!$C8,Assumptions!$G$3:$G$102,{"TRH","TRM"}))</f>
        <v>60.01894737324</v>
      </c>
      <c r="L8" s="1" cm="1">
        <f ca="1" t="array" ref="L8">SUM(SUMIFS(Assumptions!BL$3:BL$102,Assumptions!$B$3:$B$102,'Trucks-hdt'!$C8,Assumptions!$G$3:$G$102,{"TRH","TRM"}))</f>
        <v>1.503418417776</v>
      </c>
      <c r="M8" s="1" cm="1">
        <f ca="1" t="array" ref="M8">SUM(SUMIFS(Assumptions!BM$3:BM$102,Assumptions!$B$3:$B$102,'Trucks-hdt'!$C8,Assumptions!$G$3:$G$102,{"TRH","TRM"}))</f>
        <v>3.56400010224</v>
      </c>
      <c r="N8" s="1" cm="1">
        <f ca="1" t="array" ref="N8">SUM(SUMIFS(Assumptions!BN$3:BN$102,Assumptions!$B$3:$B$102,'Trucks-hdt'!$C8,Assumptions!$G$3:$G$102,{"TRH","TRM"}))</f>
        <v>0</v>
      </c>
      <c r="O8" s="1" cm="1">
        <f ca="1" t="array" ref="O8">SUM(SUMIFS(Assumptions!BO$3:BO$102,Assumptions!$B$3:$B$102,'Trucks-hdt'!$C8,Assumptions!$G$3:$G$102,{"TRH","TRM"}))</f>
        <v>0</v>
      </c>
      <c r="P8" s="1" cm="1">
        <f ca="1" t="array" ref="P8">SUM(SUMIFS(Assumptions!BP$3:BP$102,Assumptions!$B$3:$B$102,'Trucks-hdt'!$C8,Assumptions!$G$3:$G$102,{"TRH","TRM"}))</f>
        <v>0</v>
      </c>
      <c r="Q8" s="1" cm="1">
        <f ca="1" t="array" ref="Q8">SUM(SUMIFS(Assumptions!BQ$3:BQ$102,Assumptions!$B$3:$B$102,'Trucks-hdt'!$C8,Assumptions!$G$3:$G$102,{"TRH","TRM"}))</f>
        <v>5.554700912736</v>
      </c>
      <c r="R8" s="1" cm="1">
        <f ca="1" t="array" ref="R8">SUM(SUMIFS(Assumptions!BR$3:BR$102,Assumptions!$B$3:$B$102,'Trucks-hdt'!$C8,Assumptions!$G$3:$G$102,{"TRH","TRM"}))</f>
        <v>0</v>
      </c>
      <c r="S8" s="1" cm="1">
        <f ca="1" t="array" ref="S8">SUM(SUMIFS(Assumptions!BS$3:BS$102,Assumptions!$B$3:$B$102,'Trucks-hdt'!$C8,Assumptions!$G$3:$G$102,{"TRH","TRM"}))</f>
        <v>0</v>
      </c>
      <c r="T8" s="1" cm="1">
        <f ca="1" t="array" ref="T8">SUM(SUMIFS(Assumptions!BT$3:BT$102,Assumptions!$B$3:$B$102,'Trucks-hdt'!$C8,Assumptions!$G$3:$G$102,{"TRH","TRM"}))</f>
        <v>0</v>
      </c>
      <c r="U8" s="1" cm="1">
        <f ca="1" t="array" ref="U8">SUM(SUMIFS(Assumptions!BU$3:BU$102,Assumptions!$B$3:$B$102,'Trucks-hdt'!$C8,Assumptions!$G$3:$G$102,{"TRH","TRM"}))</f>
        <v>0</v>
      </c>
      <c r="V8" s="1" cm="1">
        <f ca="1" t="array" ref="V8">SUM(SUMIFS(Assumptions!BV$3:BV$102,Assumptions!$B$3:$B$102,'Trucks-hdt'!$C8,Assumptions!$G$3:$G$102,{"TRH","TRM"}))</f>
        <v>0</v>
      </c>
      <c r="W8" s="1" cm="1">
        <f ca="1" t="array" ref="W8">SUM(SUMIFS(Assumptions!BW$3:BW$102,Assumptions!$B$3:$B$102,'Trucks-hdt'!$C8,Assumptions!$G$3:$G$102,{"TRH","TRM"}))</f>
        <v>51.233718488724</v>
      </c>
      <c r="X8" s="1" cm="1">
        <f ca="1" t="array" ref="X8">SUM(SUMIFS(Assumptions!BX$3:BX$102,Assumptions!$B$3:$B$102,'Trucks-hdt'!$C8,Assumptions!$G$3:$G$102,{"TRH","TRM"}))</f>
        <v>247.76050901679</v>
      </c>
      <c r="Y8" s="1" cm="1">
        <f ca="1" t="array" ref="Y8">SUM(SUMIFS(Assumptions!BY$3:BY$102,Assumptions!$B$3:$B$102,'Trucks-hdt'!$C8,Assumptions!$G$3:$G$102,{"TRH","TRM"}))</f>
        <v>1100.8349585761</v>
      </c>
      <c r="Z8" s="1" cm="1">
        <f ca="1" t="array" ref="Z8">SUM(SUMIFS(Assumptions!BZ$3:BZ$102,Assumptions!$B$3:$B$102,'Trucks-hdt'!$C8,Assumptions!$G$3:$G$102,{"TRH","TRM"}))</f>
        <v>0</v>
      </c>
      <c r="AA8" s="1" cm="1">
        <f ca="1" t="array" ref="AA8">SUM(SUMIFS(Assumptions!CA$3:CA$102,Assumptions!$B$3:$B$102,'Trucks-hdt'!$C8,Assumptions!$G$3:$G$102,{"TRH","TRM"}))</f>
        <v>7.772675629824</v>
      </c>
      <c r="AB8" s="1" cm="1">
        <f ca="1" t="array" ref="AB8">SUM(SUMIFS(Assumptions!CB$3:CB$102,Assumptions!$B$3:$B$102,'Trucks-hdt'!$C8,Assumptions!$G$3:$G$102,{"TRH","TRM"}))</f>
        <v>0</v>
      </c>
      <c r="AC8" s="1" cm="1">
        <f ca="1" t="array" ref="AC8">SUM(SUMIFS(Assumptions!CC$3:CC$102,Assumptions!$B$3:$B$102,'Trucks-hdt'!$C8,Assumptions!$G$3:$G$102,{"TRH","TRM"}))</f>
        <v>185.636035393776</v>
      </c>
      <c r="AD8" s="1" cm="1">
        <f ca="1" t="array" ref="AD8">SUM(SUMIFS(Assumptions!CD$3:CD$102,Assumptions!$B$3:$B$102,'Trucks-hdt'!$C8,Assumptions!$G$3:$G$102,{"TRH","TRM"}))</f>
        <v>107.033922252684</v>
      </c>
      <c r="AE8" s="1" cm="1">
        <f ca="1" t="array" ref="AE8">SUM(SUMIFS(Assumptions!CE$3:CE$102,Assumptions!$B$3:$B$102,'Trucks-hdt'!$C8,Assumptions!$G$3:$G$102,{"TRH","TRM"}))</f>
        <v>0</v>
      </c>
      <c r="AF8" s="1" cm="1">
        <f ca="1" t="array" ref="AF8">SUM(SUMIFS(Assumptions!CF$3:CF$102,Assumptions!$B$3:$B$102,'Trucks-hdt'!$C8,Assumptions!$G$3:$G$102,{"TRH","TRM"}))</f>
        <v>0</v>
      </c>
      <c r="AG8" s="1" cm="1">
        <f ca="1" t="array" ref="AG8">SUM(SUMIFS(Assumptions!CG$3:CG$102,Assumptions!$B$3:$B$102,'Trucks-hdt'!$C8,Assumptions!$G$3:$G$102,{"TRH","TRM"}))</f>
        <v>0</v>
      </c>
      <c r="AH8" s="1" cm="1">
        <f ca="1" t="array" ref="AH8">SUM(SUMIFS(Assumptions!CH$3:CH$102,Assumptions!$B$3:$B$102,'Trucks-hdt'!$C8,Assumptions!$G$3:$G$102,{"TRH","TRM"}))</f>
        <v>0</v>
      </c>
      <c r="AI8" s="1" cm="1">
        <f ca="1" t="array" ref="AI8">SUM(SUMIFS(Assumptions!CI$3:CI$102,Assumptions!$B$3:$B$102,'Trucks-hdt'!$C8,Assumptions!$G$3:$G$102,{"TRH","TRM"}))</f>
        <v>10.427339867112</v>
      </c>
      <c r="AJ8" s="1" cm="1">
        <f ca="1" t="array" ref="AJ8">SUM(SUMIFS(Assumptions!CJ$3:CJ$102,Assumptions!$B$3:$B$102,'Trucks-hdt'!$C8,Assumptions!$G$3:$G$102,{"TRH","TRM"}))</f>
        <v>0</v>
      </c>
      <c r="AK8" s="1" cm="1">
        <f ca="1" t="array" ref="AK8">SUM(SUMIFS(Assumptions!CK$3:CK$102,Assumptions!$B$3:$B$102,'Trucks-hdt'!$C8,Assumptions!$G$3:$G$102,{"TRH","TRM"}))</f>
        <v>9.258057815616</v>
      </c>
      <c r="AL8" s="1" cm="1">
        <f ca="1" t="array" ref="AL8">SUM(SUMIFS(Assumptions!CL$3:CL$102,Assumptions!$B$3:$B$102,'Trucks-hdt'!$C8,Assumptions!$G$3:$G$102,{"TRH","TRM"}))</f>
        <v>1.564768435536</v>
      </c>
      <c r="AM8" s="1" cm="1">
        <f ca="1" t="array" ref="AM8">SUM(SUMIFS(Assumptions!CM$3:CM$102,Assumptions!$B$3:$B$102,'Trucks-hdt'!$C8,Assumptions!$G$3:$G$102,{"TRH","TRM"}))</f>
        <v>0</v>
      </c>
      <c r="AN8" s="1" cm="1">
        <f ca="1" t="array" ref="AN8">SUM(SUMIFS(Assumptions!CN$3:CN$102,Assumptions!$B$3:$B$102,'Trucks-hdt'!$C8,Assumptions!$G$3:$G$102,{"TRH","TRM"}))</f>
        <v>0</v>
      </c>
      <c r="AO8" s="1" cm="1">
        <f ca="1" t="array" ref="AO8">SUM(SUMIFS(Assumptions!CO$3:CO$102,Assumptions!$B$3:$B$102,'Trucks-hdt'!$C8,Assumptions!$G$3:$G$102,{"TRH","TRM"}))</f>
        <v>0</v>
      </c>
      <c r="AP8" s="1" cm="1">
        <f ca="1" t="array" ref="AP8">SUM(SUMIFS(Assumptions!CP$3:CP$102,Assumptions!$B$3:$B$102,'Trucks-hdt'!$C8,Assumptions!$G$3:$G$102,{"TRH","TRM"}))</f>
        <v>0</v>
      </c>
      <c r="AQ8" s="1" cm="1">
        <f ca="1" t="array" ref="AQ8">SUM(SUMIFS(Assumptions!CQ$3:CQ$102,Assumptions!$B$3:$B$102,'Trucks-hdt'!$C8,Assumptions!$G$3:$G$102,{"TRH","TRM"}))</f>
        <v>0</v>
      </c>
      <c r="AR8" s="1" cm="1">
        <f ca="1" t="array" ref="AR8">SUM(SUMIFS(Assumptions!CR$3:CR$102,Assumptions!$B$3:$B$102,'Trucks-hdt'!$C8,Assumptions!$G$3:$G$102,{"TRH","TRM"}))</f>
        <v>0</v>
      </c>
      <c r="AS8" s="1" cm="1">
        <f ca="1" t="array" ref="AS8">SUM(SUMIFS(Assumptions!CS$3:CS$102,Assumptions!$B$3:$B$102,'Trucks-hdt'!$C8,Assumptions!$G$3:$G$102,{"TRH","TRM"}))</f>
        <v>0</v>
      </c>
      <c r="AT8" s="1" cm="1">
        <f ca="1" t="array" ref="AT8">SUM(SUMIFS(Assumptions!CT$3:CT$102,Assumptions!$B$3:$B$102,'Trucks-hdt'!$C8,Assumptions!$G$3:$G$102,{"TRH","TRM"}))</f>
        <v>0</v>
      </c>
      <c r="AU8" s="1" cm="1">
        <f ca="1" t="array" ref="AU8">SUM(SUMIFS(Assumptions!CU$3:CU$102,Assumptions!$B$3:$B$102,'Trucks-hdt'!$C8,Assumptions!$G$3:$G$102,{"TRH","TRM"}))</f>
        <v>0</v>
      </c>
      <c r="AV8" s="1" cm="1">
        <f ca="1" t="array" ref="AV8">SUM(SUMIFS(Assumptions!CV$3:CV$102,Assumptions!$B$3:$B$102,'Trucks-hdt'!$C8,Assumptions!$G$3:$G$102,{"TRH","TRM"}))</f>
        <v>0</v>
      </c>
      <c r="AW8" s="1" cm="1">
        <f ca="1" t="array" ref="AW8">SUM(SUMIFS(Assumptions!CW$3:CW$102,Assumptions!$B$3:$B$102,'Trucks-hdt'!$C8,Assumptions!$G$3:$G$102,{"TRH","TRM"}))</f>
        <v>0</v>
      </c>
      <c r="AX8" s="105" t="str">
        <f ca="1" t="shared" si="2"/>
        <v/>
      </c>
      <c r="AY8" t="s">
        <v>133</v>
      </c>
      <c r="BA8" t="str">
        <f t="shared" si="0"/>
        <v/>
      </c>
      <c r="BB8" t="str">
        <f t="shared" si="1"/>
        <v/>
      </c>
      <c r="BD8" t="str">
        <f t="shared" si="3"/>
        <v>*</v>
      </c>
      <c r="BE8">
        <f t="shared" si="4"/>
        <v>0</v>
      </c>
      <c r="BG8" t="s">
        <v>92</v>
      </c>
      <c r="BH8" t="s">
        <v>144</v>
      </c>
      <c r="BI8" t="s">
        <v>145</v>
      </c>
    </row>
    <row r="9" spans="1:61">
      <c r="A9" t="s">
        <v>78</v>
      </c>
      <c r="C9" s="43" t="s">
        <v>74</v>
      </c>
      <c r="D9" s="1" cm="1">
        <f ca="1" t="array" ref="D9">SUM(SUMIFS(Assumptions!BD$3:BD$102,Assumptions!$B$3:$B$102,'Trucks-hdt'!$C9,Assumptions!$G$3:$G$102,{"TRH","TRM"}))</f>
        <v>0</v>
      </c>
      <c r="E9" s="1" cm="1">
        <f ca="1" t="array" ref="E9">SUM(SUMIFS(Assumptions!BE$3:BE$102,Assumptions!$B$3:$B$102,'Trucks-hdt'!$C9,Assumptions!$G$3:$G$102,{"TRH","TRM"}))</f>
        <v>0</v>
      </c>
      <c r="F9" s="1" cm="1">
        <f ca="1" t="array" ref="F9">SUM(SUMIFS(Assumptions!BF$3:BF$102,Assumptions!$B$3:$B$102,'Trucks-hdt'!$C9,Assumptions!$G$3:$G$102,{"TRH","TRM"}))</f>
        <v>0</v>
      </c>
      <c r="G9" s="1" cm="1">
        <f ca="1" t="array" ref="G9">SUM(SUMIFS(Assumptions!BG$3:BG$102,Assumptions!$B$3:$B$102,'Trucks-hdt'!$C9,Assumptions!$G$3:$G$102,{"TRH","TRM"}))</f>
        <v>0</v>
      </c>
      <c r="H9" s="1" cm="1">
        <f ca="1" t="array" ref="H9">SUM(SUMIFS(Assumptions!BH$3:BH$102,Assumptions!$B$3:$B$102,'Trucks-hdt'!$C9,Assumptions!$G$3:$G$102,{"TRH","TRM"}))</f>
        <v>0</v>
      </c>
      <c r="I9" s="1" cm="1">
        <f ca="1" t="array" ref="I9">SUM(SUMIFS(Assumptions!BI$3:BI$102,Assumptions!$B$3:$B$102,'Trucks-hdt'!$C9,Assumptions!$G$3:$G$102,{"TRH","TRM"}))</f>
        <v>0</v>
      </c>
      <c r="J9" s="1" cm="1">
        <f ca="1" t="array" ref="J9">SUM(SUMIFS(Assumptions!BJ$3:BJ$102,Assumptions!$B$3:$B$102,'Trucks-hdt'!$C9,Assumptions!$G$3:$G$102,{"TRH","TRM"}))</f>
        <v>0</v>
      </c>
      <c r="K9" s="1" cm="1">
        <f ca="1" t="array" ref="K9">SUM(SUMIFS(Assumptions!BK$3:BK$102,Assumptions!$B$3:$B$102,'Trucks-hdt'!$C9,Assumptions!$G$3:$G$102,{"TRH","TRM"}))</f>
        <v>0</v>
      </c>
      <c r="L9" s="1" cm="1">
        <f ca="1" t="array" ref="L9">SUM(SUMIFS(Assumptions!BL$3:BL$102,Assumptions!$B$3:$B$102,'Trucks-hdt'!$C9,Assumptions!$G$3:$G$102,{"TRH","TRM"}))</f>
        <v>0</v>
      </c>
      <c r="M9" s="1" cm="1">
        <f ca="1" t="array" ref="M9">SUM(SUMIFS(Assumptions!BM$3:BM$102,Assumptions!$B$3:$B$102,'Trucks-hdt'!$C9,Assumptions!$G$3:$G$102,{"TRH","TRM"}))</f>
        <v>0</v>
      </c>
      <c r="N9" s="1" cm="1">
        <f ca="1" t="array" ref="N9">SUM(SUMIFS(Assumptions!BN$3:BN$102,Assumptions!$B$3:$B$102,'Trucks-hdt'!$C9,Assumptions!$G$3:$G$102,{"TRH","TRM"}))</f>
        <v>0</v>
      </c>
      <c r="O9" s="1" cm="1">
        <f ca="1" t="array" ref="O9">SUM(SUMIFS(Assumptions!BO$3:BO$102,Assumptions!$B$3:$B$102,'Trucks-hdt'!$C9,Assumptions!$G$3:$G$102,{"TRH","TRM"}))</f>
        <v>0</v>
      </c>
      <c r="P9" s="1" cm="1">
        <f ca="1" t="array" ref="P9">SUM(SUMIFS(Assumptions!BP$3:BP$102,Assumptions!$B$3:$B$102,'Trucks-hdt'!$C9,Assumptions!$G$3:$G$102,{"TRH","TRM"}))</f>
        <v>0</v>
      </c>
      <c r="Q9" s="1" cm="1">
        <f ca="1" t="array" ref="Q9">SUM(SUMIFS(Assumptions!BQ$3:BQ$102,Assumptions!$B$3:$B$102,'Trucks-hdt'!$C9,Assumptions!$G$3:$G$102,{"TRH","TRM"}))</f>
        <v>0</v>
      </c>
      <c r="R9" s="1" cm="1">
        <f ca="1" t="array" ref="R9">SUM(SUMIFS(Assumptions!BR$3:BR$102,Assumptions!$B$3:$B$102,'Trucks-hdt'!$C9,Assumptions!$G$3:$G$102,{"TRH","TRM"}))</f>
        <v>0</v>
      </c>
      <c r="S9" s="1" cm="1">
        <f ca="1" t="array" ref="S9">SUM(SUMIFS(Assumptions!BS$3:BS$102,Assumptions!$B$3:$B$102,'Trucks-hdt'!$C9,Assumptions!$G$3:$G$102,{"TRH","TRM"}))</f>
        <v>0</v>
      </c>
      <c r="T9" s="1" cm="1">
        <f ca="1" t="array" ref="T9">SUM(SUMIFS(Assumptions!BT$3:BT$102,Assumptions!$B$3:$B$102,'Trucks-hdt'!$C9,Assumptions!$G$3:$G$102,{"TRH","TRM"}))</f>
        <v>0</v>
      </c>
      <c r="U9" s="1" cm="1">
        <f ca="1" t="array" ref="U9">SUM(SUMIFS(Assumptions!BU$3:BU$102,Assumptions!$B$3:$B$102,'Trucks-hdt'!$C9,Assumptions!$G$3:$G$102,{"TRH","TRM"}))</f>
        <v>0</v>
      </c>
      <c r="V9" s="1" cm="1">
        <f ca="1" t="array" ref="V9">SUM(SUMIFS(Assumptions!BV$3:BV$102,Assumptions!$B$3:$B$102,'Trucks-hdt'!$C9,Assumptions!$G$3:$G$102,{"TRH","TRM"}))</f>
        <v>0</v>
      </c>
      <c r="W9" s="1" cm="1">
        <f ca="1" t="array" ref="W9">SUM(SUMIFS(Assumptions!BW$3:BW$102,Assumptions!$B$3:$B$102,'Trucks-hdt'!$C9,Assumptions!$G$3:$G$102,{"TRH","TRM"}))</f>
        <v>0</v>
      </c>
      <c r="X9" s="1" cm="1">
        <f ca="1" t="array" ref="X9">SUM(SUMIFS(Assumptions!BX$3:BX$102,Assumptions!$B$3:$B$102,'Trucks-hdt'!$C9,Assumptions!$G$3:$G$102,{"TRH","TRM"}))</f>
        <v>0</v>
      </c>
      <c r="Y9" s="1" cm="1">
        <f ca="1" t="array" ref="Y9">SUM(SUMIFS(Assumptions!BY$3:BY$102,Assumptions!$B$3:$B$102,'Trucks-hdt'!$C9,Assumptions!$G$3:$G$102,{"TRH","TRM"}))</f>
        <v>0</v>
      </c>
      <c r="Z9" s="1" cm="1">
        <f ca="1" t="array" ref="Z9">SUM(SUMIFS(Assumptions!BZ$3:BZ$102,Assumptions!$B$3:$B$102,'Trucks-hdt'!$C9,Assumptions!$G$3:$G$102,{"TRH","TRM"}))</f>
        <v>0</v>
      </c>
      <c r="AA9" s="1" cm="1">
        <f ca="1" t="array" ref="AA9">SUM(SUMIFS(Assumptions!CA$3:CA$102,Assumptions!$B$3:$B$102,'Trucks-hdt'!$C9,Assumptions!$G$3:$G$102,{"TRH","TRM"}))</f>
        <v>0</v>
      </c>
      <c r="AB9" s="1" cm="1">
        <f ca="1" t="array" ref="AB9">SUM(SUMIFS(Assumptions!CB$3:CB$102,Assumptions!$B$3:$B$102,'Trucks-hdt'!$C9,Assumptions!$G$3:$G$102,{"TRH","TRM"}))</f>
        <v>0</v>
      </c>
      <c r="AC9" s="1" cm="1">
        <f ca="1" t="array" ref="AC9">SUM(SUMIFS(Assumptions!CC$3:CC$102,Assumptions!$B$3:$B$102,'Trucks-hdt'!$C9,Assumptions!$G$3:$G$102,{"TRH","TRM"}))</f>
        <v>0</v>
      </c>
      <c r="AD9" s="1" cm="1">
        <f ca="1" t="array" ref="AD9">SUM(SUMIFS(Assumptions!CD$3:CD$102,Assumptions!$B$3:$B$102,'Trucks-hdt'!$C9,Assumptions!$G$3:$G$102,{"TRH","TRM"}))</f>
        <v>0</v>
      </c>
      <c r="AE9" s="1" cm="1">
        <f ca="1" t="array" ref="AE9">SUM(SUMIFS(Assumptions!CE$3:CE$102,Assumptions!$B$3:$B$102,'Trucks-hdt'!$C9,Assumptions!$G$3:$G$102,{"TRH","TRM"}))</f>
        <v>0</v>
      </c>
      <c r="AF9" s="1" cm="1">
        <f ca="1" t="array" ref="AF9">SUM(SUMIFS(Assumptions!CF$3:CF$102,Assumptions!$B$3:$B$102,'Trucks-hdt'!$C9,Assumptions!$G$3:$G$102,{"TRH","TRM"}))</f>
        <v>0</v>
      </c>
      <c r="AG9" s="1" cm="1">
        <f ca="1" t="array" ref="AG9">SUM(SUMIFS(Assumptions!CG$3:CG$102,Assumptions!$B$3:$B$102,'Trucks-hdt'!$C9,Assumptions!$G$3:$G$102,{"TRH","TRM"}))</f>
        <v>0</v>
      </c>
      <c r="AH9" s="1" cm="1">
        <f ca="1" t="array" ref="AH9">SUM(SUMIFS(Assumptions!CH$3:CH$102,Assumptions!$B$3:$B$102,'Trucks-hdt'!$C9,Assumptions!$G$3:$G$102,{"TRH","TRM"}))</f>
        <v>0</v>
      </c>
      <c r="AI9" s="1" cm="1">
        <f ca="1" t="array" ref="AI9">SUM(SUMIFS(Assumptions!CI$3:CI$102,Assumptions!$B$3:$B$102,'Trucks-hdt'!$C9,Assumptions!$G$3:$G$102,{"TRH","TRM"}))</f>
        <v>0</v>
      </c>
      <c r="AJ9" s="1" cm="1">
        <f ca="1" t="array" ref="AJ9">SUM(SUMIFS(Assumptions!CJ$3:CJ$102,Assumptions!$B$3:$B$102,'Trucks-hdt'!$C9,Assumptions!$G$3:$G$102,{"TRH","TRM"}))</f>
        <v>0</v>
      </c>
      <c r="AK9" s="1" cm="1">
        <f ca="1" t="array" ref="AK9">SUM(SUMIFS(Assumptions!CK$3:CK$102,Assumptions!$B$3:$B$102,'Trucks-hdt'!$C9,Assumptions!$G$3:$G$102,{"TRH","TRM"}))</f>
        <v>0</v>
      </c>
      <c r="AL9" s="1" cm="1">
        <f ca="1" t="array" ref="AL9">SUM(SUMIFS(Assumptions!CL$3:CL$102,Assumptions!$B$3:$B$102,'Trucks-hdt'!$C9,Assumptions!$G$3:$G$102,{"TRH","TRM"}))</f>
        <v>0</v>
      </c>
      <c r="AM9" s="1" cm="1">
        <f ca="1" t="array" ref="AM9">SUM(SUMIFS(Assumptions!CM$3:CM$102,Assumptions!$B$3:$B$102,'Trucks-hdt'!$C9,Assumptions!$G$3:$G$102,{"TRH","TRM"}))</f>
        <v>0</v>
      </c>
      <c r="AN9" s="1" cm="1">
        <f ca="1" t="array" ref="AN9">SUM(SUMIFS(Assumptions!CN$3:CN$102,Assumptions!$B$3:$B$102,'Trucks-hdt'!$C9,Assumptions!$G$3:$G$102,{"TRH","TRM"}))</f>
        <v>0</v>
      </c>
      <c r="AO9" s="1" cm="1">
        <f ca="1" t="array" ref="AO9">SUM(SUMIFS(Assumptions!CO$3:CO$102,Assumptions!$B$3:$B$102,'Trucks-hdt'!$C9,Assumptions!$G$3:$G$102,{"TRH","TRM"}))</f>
        <v>0</v>
      </c>
      <c r="AP9" s="1" cm="1">
        <f ca="1" t="array" ref="AP9">SUM(SUMIFS(Assumptions!CP$3:CP$102,Assumptions!$B$3:$B$102,'Trucks-hdt'!$C9,Assumptions!$G$3:$G$102,{"TRH","TRM"}))</f>
        <v>0</v>
      </c>
      <c r="AQ9" s="1" cm="1">
        <f ca="1" t="array" ref="AQ9">SUM(SUMIFS(Assumptions!CQ$3:CQ$102,Assumptions!$B$3:$B$102,'Trucks-hdt'!$C9,Assumptions!$G$3:$G$102,{"TRH","TRM"}))</f>
        <v>0</v>
      </c>
      <c r="AR9" s="1" cm="1">
        <f ca="1" t="array" ref="AR9">SUM(SUMIFS(Assumptions!CR$3:CR$102,Assumptions!$B$3:$B$102,'Trucks-hdt'!$C9,Assumptions!$G$3:$G$102,{"TRH","TRM"}))</f>
        <v>0</v>
      </c>
      <c r="AS9" s="1" cm="1">
        <f ca="1" t="array" ref="AS9">SUM(SUMIFS(Assumptions!CS$3:CS$102,Assumptions!$B$3:$B$102,'Trucks-hdt'!$C9,Assumptions!$G$3:$G$102,{"TRH","TRM"}))</f>
        <v>0</v>
      </c>
      <c r="AT9" s="1" cm="1">
        <f ca="1" t="array" ref="AT9">SUM(SUMIFS(Assumptions!CT$3:CT$102,Assumptions!$B$3:$B$102,'Trucks-hdt'!$C9,Assumptions!$G$3:$G$102,{"TRH","TRM"}))</f>
        <v>0</v>
      </c>
      <c r="AU9" s="1" cm="1">
        <f ca="1" t="array" ref="AU9">SUM(SUMIFS(Assumptions!CU$3:CU$102,Assumptions!$B$3:$B$102,'Trucks-hdt'!$C9,Assumptions!$G$3:$G$102,{"TRH","TRM"}))</f>
        <v>0</v>
      </c>
      <c r="AV9" s="1" cm="1">
        <f ca="1" t="array" ref="AV9">SUM(SUMIFS(Assumptions!CV$3:CV$102,Assumptions!$B$3:$B$102,'Trucks-hdt'!$C9,Assumptions!$G$3:$G$102,{"TRH","TRM"}))</f>
        <v>0</v>
      </c>
      <c r="AW9" s="1" cm="1">
        <f ca="1" t="array" ref="AW9">SUM(SUMIFS(Assumptions!CW$3:CW$102,Assumptions!$B$3:$B$102,'Trucks-hdt'!$C9,Assumptions!$G$3:$G$102,{"TRH","TRM"}))</f>
        <v>0</v>
      </c>
      <c r="AX9" s="105" t="str">
        <f ca="1" t="shared" si="2"/>
        <v>zero</v>
      </c>
      <c r="AY9" t="s">
        <v>133</v>
      </c>
      <c r="BA9" t="str">
        <f t="shared" si="0"/>
        <v/>
      </c>
      <c r="BB9" t="str">
        <f t="shared" si="1"/>
        <v/>
      </c>
      <c r="BD9" t="str">
        <f t="shared" si="3"/>
        <v>*</v>
      </c>
      <c r="BE9">
        <f t="shared" si="4"/>
        <v>0</v>
      </c>
      <c r="BG9" t="s">
        <v>92</v>
      </c>
      <c r="BH9" t="s">
        <v>144</v>
      </c>
      <c r="BI9" t="s">
        <v>145</v>
      </c>
    </row>
    <row r="10" spans="1:61">
      <c r="A10" t="s">
        <v>78</v>
      </c>
      <c r="C10" s="43" t="s">
        <v>52</v>
      </c>
      <c r="D10" s="1" cm="1">
        <f ca="1" t="array" ref="D10">SUM(SUMIFS(Assumptions!BD$3:BD$102,Assumptions!$B$3:$B$102,'Trucks-hdt'!$C10,Assumptions!$G$3:$G$102,{"TRH","TRM"}))</f>
        <v>0</v>
      </c>
      <c r="E10" s="1" cm="1">
        <f ca="1" t="array" ref="E10">SUM(SUMIFS(Assumptions!BE$3:BE$102,Assumptions!$B$3:$B$102,'Trucks-hdt'!$C10,Assumptions!$G$3:$G$102,{"TRH","TRM"}))</f>
        <v>0</v>
      </c>
      <c r="F10" s="1" cm="1">
        <f ca="1" t="array" ref="F10">SUM(SUMIFS(Assumptions!BF$3:BF$102,Assumptions!$B$3:$B$102,'Trucks-hdt'!$C10,Assumptions!$G$3:$G$102,{"TRH","TRM"}))</f>
        <v>0</v>
      </c>
      <c r="G10" s="1" cm="1">
        <f ca="1" t="array" ref="G10">SUM(SUMIFS(Assumptions!BG$3:BG$102,Assumptions!$B$3:$B$102,'Trucks-hdt'!$C10,Assumptions!$G$3:$G$102,{"TRH","TRM"}))</f>
        <v>0</v>
      </c>
      <c r="H10" s="1" cm="1">
        <f ca="1" t="array" ref="H10">SUM(SUMIFS(Assumptions!BH$3:BH$102,Assumptions!$B$3:$B$102,'Trucks-hdt'!$C10,Assumptions!$G$3:$G$102,{"TRH","TRM"}))</f>
        <v>0</v>
      </c>
      <c r="I10" s="1" cm="1">
        <f ca="1" t="array" ref="I10">SUM(SUMIFS(Assumptions!BI$3:BI$102,Assumptions!$B$3:$B$102,'Trucks-hdt'!$C10,Assumptions!$G$3:$G$102,{"TRH","TRM"}))</f>
        <v>0</v>
      </c>
      <c r="J10" s="1" cm="1">
        <f ca="1" t="array" ref="J10">SUM(SUMIFS(Assumptions!BJ$3:BJ$102,Assumptions!$B$3:$B$102,'Trucks-hdt'!$C10,Assumptions!$G$3:$G$102,{"TRH","TRM"}))</f>
        <v>0</v>
      </c>
      <c r="K10" s="1" cm="1">
        <f ca="1" t="array" ref="K10">SUM(SUMIFS(Assumptions!BK$3:BK$102,Assumptions!$B$3:$B$102,'Trucks-hdt'!$C10,Assumptions!$G$3:$G$102,{"TRH","TRM"}))</f>
        <v>0</v>
      </c>
      <c r="L10" s="1" cm="1">
        <f ca="1" t="array" ref="L10">SUM(SUMIFS(Assumptions!BL$3:BL$102,Assumptions!$B$3:$B$102,'Trucks-hdt'!$C10,Assumptions!$G$3:$G$102,{"TRH","TRM"}))</f>
        <v>0</v>
      </c>
      <c r="M10" s="1" cm="1">
        <f ca="1" t="array" ref="M10">SUM(SUMIFS(Assumptions!BM$3:BM$102,Assumptions!$B$3:$B$102,'Trucks-hdt'!$C10,Assumptions!$G$3:$G$102,{"TRH","TRM"}))</f>
        <v>0</v>
      </c>
      <c r="N10" s="1" cm="1">
        <f ca="1" t="array" ref="N10">SUM(SUMIFS(Assumptions!BN$3:BN$102,Assumptions!$B$3:$B$102,'Trucks-hdt'!$C10,Assumptions!$G$3:$G$102,{"TRH","TRM"}))</f>
        <v>0</v>
      </c>
      <c r="O10" s="1" cm="1">
        <f ca="1" t="array" ref="O10">SUM(SUMIFS(Assumptions!BO$3:BO$102,Assumptions!$B$3:$B$102,'Trucks-hdt'!$C10,Assumptions!$G$3:$G$102,{"TRH","TRM"}))</f>
        <v>0</v>
      </c>
      <c r="P10" s="1" cm="1">
        <f ca="1" t="array" ref="P10">SUM(SUMIFS(Assumptions!BP$3:BP$102,Assumptions!$B$3:$B$102,'Trucks-hdt'!$C10,Assumptions!$G$3:$G$102,{"TRH","TRM"}))</f>
        <v>0</v>
      </c>
      <c r="Q10" s="1" cm="1">
        <f ca="1" t="array" ref="Q10">SUM(SUMIFS(Assumptions!BQ$3:BQ$102,Assumptions!$B$3:$B$102,'Trucks-hdt'!$C10,Assumptions!$G$3:$G$102,{"TRH","TRM"}))</f>
        <v>0</v>
      </c>
      <c r="R10" s="1" cm="1">
        <f ca="1" t="array" ref="R10">SUM(SUMIFS(Assumptions!BR$3:BR$102,Assumptions!$B$3:$B$102,'Trucks-hdt'!$C10,Assumptions!$G$3:$G$102,{"TRH","TRM"}))</f>
        <v>0</v>
      </c>
      <c r="S10" s="1" cm="1">
        <f ca="1" t="array" ref="S10">SUM(SUMIFS(Assumptions!BS$3:BS$102,Assumptions!$B$3:$B$102,'Trucks-hdt'!$C10,Assumptions!$G$3:$G$102,{"TRH","TRM"}))</f>
        <v>0</v>
      </c>
      <c r="T10" s="1" cm="1">
        <f ca="1" t="array" ref="T10">SUM(SUMIFS(Assumptions!BT$3:BT$102,Assumptions!$B$3:$B$102,'Trucks-hdt'!$C10,Assumptions!$G$3:$G$102,{"TRH","TRM"}))</f>
        <v>0</v>
      </c>
      <c r="U10" s="1" cm="1">
        <f ca="1" t="array" ref="U10">SUM(SUMIFS(Assumptions!BU$3:BU$102,Assumptions!$B$3:$B$102,'Trucks-hdt'!$C10,Assumptions!$G$3:$G$102,{"TRH","TRM"}))</f>
        <v>0</v>
      </c>
      <c r="V10" s="1" cm="1">
        <f ca="1" t="array" ref="V10">SUM(SUMIFS(Assumptions!BV$3:BV$102,Assumptions!$B$3:$B$102,'Trucks-hdt'!$C10,Assumptions!$G$3:$G$102,{"TRH","TRM"}))</f>
        <v>0</v>
      </c>
      <c r="W10" s="1" cm="1">
        <f ca="1" t="array" ref="W10">SUM(SUMIFS(Assumptions!BW$3:BW$102,Assumptions!$B$3:$B$102,'Trucks-hdt'!$C10,Assumptions!$G$3:$G$102,{"TRH","TRM"}))</f>
        <v>0</v>
      </c>
      <c r="X10" s="1" cm="1">
        <f ca="1" t="array" ref="X10">SUM(SUMIFS(Assumptions!BX$3:BX$102,Assumptions!$B$3:$B$102,'Trucks-hdt'!$C10,Assumptions!$G$3:$G$102,{"TRH","TRM"}))</f>
        <v>0</v>
      </c>
      <c r="Y10" s="1" cm="1">
        <f ca="1" t="array" ref="Y10">SUM(SUMIFS(Assumptions!BY$3:BY$102,Assumptions!$B$3:$B$102,'Trucks-hdt'!$C10,Assumptions!$G$3:$G$102,{"TRH","TRM"}))</f>
        <v>0</v>
      </c>
      <c r="Z10" s="1" cm="1">
        <f ca="1" t="array" ref="Z10">SUM(SUMIFS(Assumptions!BZ$3:BZ$102,Assumptions!$B$3:$B$102,'Trucks-hdt'!$C10,Assumptions!$G$3:$G$102,{"TRH","TRM"}))</f>
        <v>0</v>
      </c>
      <c r="AA10" s="1" cm="1">
        <f ca="1" t="array" ref="AA10">SUM(SUMIFS(Assumptions!CA$3:CA$102,Assumptions!$B$3:$B$102,'Trucks-hdt'!$C10,Assumptions!$G$3:$G$102,{"TRH","TRM"}))</f>
        <v>0</v>
      </c>
      <c r="AB10" s="1" cm="1">
        <f ca="1" t="array" ref="AB10">SUM(SUMIFS(Assumptions!CB$3:CB$102,Assumptions!$B$3:$B$102,'Trucks-hdt'!$C10,Assumptions!$G$3:$G$102,{"TRH","TRM"}))</f>
        <v>0</v>
      </c>
      <c r="AC10" s="1" cm="1">
        <f ca="1" t="array" ref="AC10">SUM(SUMIFS(Assumptions!CC$3:CC$102,Assumptions!$B$3:$B$102,'Trucks-hdt'!$C10,Assumptions!$G$3:$G$102,{"TRH","TRM"}))</f>
        <v>0</v>
      </c>
      <c r="AD10" s="1" cm="1">
        <f ca="1" t="array" ref="AD10">SUM(SUMIFS(Assumptions!CD$3:CD$102,Assumptions!$B$3:$B$102,'Trucks-hdt'!$C10,Assumptions!$G$3:$G$102,{"TRH","TRM"}))</f>
        <v>0</v>
      </c>
      <c r="AE10" s="1" cm="1">
        <f ca="1" t="array" ref="AE10">SUM(SUMIFS(Assumptions!CE$3:CE$102,Assumptions!$B$3:$B$102,'Trucks-hdt'!$C10,Assumptions!$G$3:$G$102,{"TRH","TRM"}))</f>
        <v>0</v>
      </c>
      <c r="AF10" s="1" cm="1">
        <f ca="1" t="array" ref="AF10">SUM(SUMIFS(Assumptions!CF$3:CF$102,Assumptions!$B$3:$B$102,'Trucks-hdt'!$C10,Assumptions!$G$3:$G$102,{"TRH","TRM"}))</f>
        <v>0</v>
      </c>
      <c r="AG10" s="1" cm="1">
        <f ca="1" t="array" ref="AG10">SUM(SUMIFS(Assumptions!CG$3:CG$102,Assumptions!$B$3:$B$102,'Trucks-hdt'!$C10,Assumptions!$G$3:$G$102,{"TRH","TRM"}))</f>
        <v>0</v>
      </c>
      <c r="AH10" s="1" cm="1">
        <f ca="1" t="array" ref="AH10">SUM(SUMIFS(Assumptions!CH$3:CH$102,Assumptions!$B$3:$B$102,'Trucks-hdt'!$C10,Assumptions!$G$3:$G$102,{"TRH","TRM"}))</f>
        <v>0</v>
      </c>
      <c r="AI10" s="1" cm="1">
        <f ca="1" t="array" ref="AI10">SUM(SUMIFS(Assumptions!CI$3:CI$102,Assumptions!$B$3:$B$102,'Trucks-hdt'!$C10,Assumptions!$G$3:$G$102,{"TRH","TRM"}))</f>
        <v>0</v>
      </c>
      <c r="AJ10" s="1" cm="1">
        <f ca="1" t="array" ref="AJ10">SUM(SUMIFS(Assumptions!CJ$3:CJ$102,Assumptions!$B$3:$B$102,'Trucks-hdt'!$C10,Assumptions!$G$3:$G$102,{"TRH","TRM"}))</f>
        <v>0</v>
      </c>
      <c r="AK10" s="1" cm="1">
        <f ca="1" t="array" ref="AK10">SUM(SUMIFS(Assumptions!CK$3:CK$102,Assumptions!$B$3:$B$102,'Trucks-hdt'!$C10,Assumptions!$G$3:$G$102,{"TRH","TRM"}))</f>
        <v>0</v>
      </c>
      <c r="AL10" s="1" cm="1">
        <f ca="1" t="array" ref="AL10">SUM(SUMIFS(Assumptions!CL$3:CL$102,Assumptions!$B$3:$B$102,'Trucks-hdt'!$C10,Assumptions!$G$3:$G$102,{"TRH","TRM"}))</f>
        <v>0</v>
      </c>
      <c r="AM10" s="1" cm="1">
        <f ca="1" t="array" ref="AM10">SUM(SUMIFS(Assumptions!CM$3:CM$102,Assumptions!$B$3:$B$102,'Trucks-hdt'!$C10,Assumptions!$G$3:$G$102,{"TRH","TRM"}))</f>
        <v>0</v>
      </c>
      <c r="AN10" s="1" cm="1">
        <f ca="1" t="array" ref="AN10">SUM(SUMIFS(Assumptions!CN$3:CN$102,Assumptions!$B$3:$B$102,'Trucks-hdt'!$C10,Assumptions!$G$3:$G$102,{"TRH","TRM"}))</f>
        <v>0</v>
      </c>
      <c r="AO10" s="1" cm="1">
        <f ca="1" t="array" ref="AO10">SUM(SUMIFS(Assumptions!CO$3:CO$102,Assumptions!$B$3:$B$102,'Trucks-hdt'!$C10,Assumptions!$G$3:$G$102,{"TRH","TRM"}))</f>
        <v>0</v>
      </c>
      <c r="AP10" s="1" cm="1">
        <f ca="1" t="array" ref="AP10">SUM(SUMIFS(Assumptions!CP$3:CP$102,Assumptions!$B$3:$B$102,'Trucks-hdt'!$C10,Assumptions!$G$3:$G$102,{"TRH","TRM"}))</f>
        <v>0</v>
      </c>
      <c r="AQ10" s="1" cm="1">
        <f ca="1" t="array" ref="AQ10">SUM(SUMIFS(Assumptions!CQ$3:CQ$102,Assumptions!$B$3:$B$102,'Trucks-hdt'!$C10,Assumptions!$G$3:$G$102,{"TRH","TRM"}))</f>
        <v>0</v>
      </c>
      <c r="AR10" s="1" cm="1">
        <f ca="1" t="array" ref="AR10">SUM(SUMIFS(Assumptions!CR$3:CR$102,Assumptions!$B$3:$B$102,'Trucks-hdt'!$C10,Assumptions!$G$3:$G$102,{"TRH","TRM"}))</f>
        <v>0</v>
      </c>
      <c r="AS10" s="1" cm="1">
        <f ca="1" t="array" ref="AS10">SUM(SUMIFS(Assumptions!CS$3:CS$102,Assumptions!$B$3:$B$102,'Trucks-hdt'!$C10,Assumptions!$G$3:$G$102,{"TRH","TRM"}))</f>
        <v>0</v>
      </c>
      <c r="AT10" s="1" cm="1">
        <f ca="1" t="array" ref="AT10">SUM(SUMIFS(Assumptions!CT$3:CT$102,Assumptions!$B$3:$B$102,'Trucks-hdt'!$C10,Assumptions!$G$3:$G$102,{"TRH","TRM"}))</f>
        <v>0</v>
      </c>
      <c r="AU10" s="1" cm="1">
        <f ca="1" t="array" ref="AU10">SUM(SUMIFS(Assumptions!CU$3:CU$102,Assumptions!$B$3:$B$102,'Trucks-hdt'!$C10,Assumptions!$G$3:$G$102,{"TRH","TRM"}))</f>
        <v>0</v>
      </c>
      <c r="AV10" s="1" cm="1">
        <f ca="1" t="array" ref="AV10">SUM(SUMIFS(Assumptions!CV$3:CV$102,Assumptions!$B$3:$B$102,'Trucks-hdt'!$C10,Assumptions!$G$3:$G$102,{"TRH","TRM"}))</f>
        <v>0</v>
      </c>
      <c r="AW10" s="1" cm="1">
        <f ca="1" t="array" ref="AW10">SUM(SUMIFS(Assumptions!CW$3:CW$102,Assumptions!$B$3:$B$102,'Trucks-hdt'!$C10,Assumptions!$G$3:$G$102,{"TRH","TRM"}))</f>
        <v>0</v>
      </c>
      <c r="AX10" s="105" t="str">
        <f ca="1" t="shared" si="2"/>
        <v>zero</v>
      </c>
      <c r="AY10" t="s">
        <v>133</v>
      </c>
      <c r="BA10" t="str">
        <f t="shared" si="0"/>
        <v/>
      </c>
      <c r="BB10" t="str">
        <f t="shared" si="1"/>
        <v/>
      </c>
      <c r="BD10" t="str">
        <f t="shared" si="3"/>
        <v>*</v>
      </c>
      <c r="BE10">
        <f t="shared" si="4"/>
        <v>0</v>
      </c>
      <c r="BG10" t="s">
        <v>92</v>
      </c>
      <c r="BH10" t="s">
        <v>144</v>
      </c>
      <c r="BI10" t="s">
        <v>145</v>
      </c>
    </row>
    <row r="11" spans="1:61">
      <c r="A11" s="101" t="s">
        <v>146</v>
      </c>
      <c r="B11" s="101"/>
      <c r="D11" s="102">
        <f ca="1">SUM(D$4:D$10)/SUM($D$4:$AJ$10)</f>
        <v>0.016815037415137</v>
      </c>
      <c r="E11" s="102">
        <f ca="1" t="shared" ref="E11:U11" si="5">SUM(E$4:E$10)/SUM($D$4:$AJ$10)</f>
        <v>0.0149431450955175</v>
      </c>
      <c r="F11" s="102">
        <f ca="1" t="shared" si="5"/>
        <v>0.0136913599323751</v>
      </c>
      <c r="G11" s="102">
        <f ca="1" t="shared" si="5"/>
        <v>0.00660641544262592</v>
      </c>
      <c r="H11" s="102">
        <f ca="1" t="shared" si="5"/>
        <v>0.00370070684083408</v>
      </c>
      <c r="I11" s="102">
        <f ca="1" t="shared" si="5"/>
        <v>0.0139825428366283</v>
      </c>
      <c r="J11" s="102">
        <f ca="1" t="shared" si="5"/>
        <v>0.0589795875406085</v>
      </c>
      <c r="K11" s="102">
        <f ca="1" t="shared" si="5"/>
        <v>0.0746746349553083</v>
      </c>
      <c r="L11" s="102">
        <f ca="1" t="shared" si="5"/>
        <v>0.00289840154385693</v>
      </c>
      <c r="M11" s="102">
        <f ca="1" t="shared" si="5"/>
        <v>0.00629193474127597</v>
      </c>
      <c r="N11" s="102">
        <f ca="1" t="shared" si="5"/>
        <v>0.0332645355620078</v>
      </c>
      <c r="O11" s="102">
        <f ca="1" t="shared" si="5"/>
        <v>0.0350868214142092</v>
      </c>
      <c r="P11" s="102">
        <f ca="1" t="shared" si="5"/>
        <v>0.00285579421767039</v>
      </c>
      <c r="Q11" s="102">
        <f ca="1" t="shared" si="5"/>
        <v>0.0098122409406454</v>
      </c>
      <c r="R11" s="102">
        <f ca="1" t="shared" si="5"/>
        <v>0.000199608914973704</v>
      </c>
      <c r="S11" s="102">
        <f ca="1" t="shared" si="5"/>
        <v>0.0340967511776634</v>
      </c>
      <c r="T11" s="102">
        <f ca="1" t="shared" si="5"/>
        <v>0.00310939271979849</v>
      </c>
      <c r="U11" s="102">
        <f ca="1" t="shared" si="5"/>
        <v>0.0227638278285961</v>
      </c>
      <c r="V11" s="102">
        <f ca="1" t="shared" ref="V11:AW11" si="6">SUM(V$4:V$10)/SUM($D$4:$AJ$10)</f>
        <v>0.0259292589732868</v>
      </c>
      <c r="W11" s="102">
        <f ca="1" t="shared" si="6"/>
        <v>0.0449309512909838</v>
      </c>
      <c r="X11" s="102">
        <f ca="1" t="shared" si="6"/>
        <v>0.0469970233603719</v>
      </c>
      <c r="Y11" s="102">
        <f ca="1" t="shared" si="6"/>
        <v>0.256699914971504</v>
      </c>
      <c r="Z11" s="102">
        <f ca="1" t="shared" si="6"/>
        <v>0.00253629665916202</v>
      </c>
      <c r="AA11" s="102">
        <f ca="1" t="shared" si="6"/>
        <v>0.0143556699417447</v>
      </c>
      <c r="AB11" s="102">
        <f ca="1" t="shared" si="6"/>
        <v>0.110787708268185</v>
      </c>
      <c r="AC11" s="102">
        <f ca="1" t="shared" si="6"/>
        <v>0.0268335647180948</v>
      </c>
      <c r="AD11" s="102">
        <f ca="1" t="shared" si="6"/>
        <v>0.0254632094399437</v>
      </c>
      <c r="AE11" s="102">
        <f ca="1" t="shared" si="6"/>
        <v>0.00524897990881188</v>
      </c>
      <c r="AF11" s="102">
        <f ca="1" t="shared" si="6"/>
        <v>0.0274260775945077</v>
      </c>
      <c r="AG11" s="102">
        <f ca="1" t="shared" si="6"/>
        <v>0.00941775149022235</v>
      </c>
      <c r="AH11" s="102">
        <f ca="1" t="shared" si="6"/>
        <v>0.0028695325960789</v>
      </c>
      <c r="AI11" s="102">
        <f ca="1" t="shared" si="6"/>
        <v>0.0212345857908641</v>
      </c>
      <c r="AJ11" s="102">
        <f ca="1" t="shared" si="6"/>
        <v>0.0254967358765062</v>
      </c>
      <c r="AK11" s="102">
        <f ca="1" t="shared" si="6"/>
        <v>0.00550416852071818</v>
      </c>
      <c r="AL11" s="102">
        <f ca="1" t="shared" si="6"/>
        <v>0.00437648416302067</v>
      </c>
      <c r="AM11" s="102">
        <f ca="1" t="shared" si="6"/>
        <v>0</v>
      </c>
      <c r="AN11" s="102">
        <f ca="1" t="shared" si="6"/>
        <v>0</v>
      </c>
      <c r="AO11" s="102">
        <f ca="1" t="shared" si="6"/>
        <v>0</v>
      </c>
      <c r="AP11" s="102">
        <f ca="1" t="shared" si="6"/>
        <v>0</v>
      </c>
      <c r="AQ11" s="102">
        <f ca="1" t="shared" si="6"/>
        <v>0</v>
      </c>
      <c r="AR11" s="102">
        <f ca="1" t="shared" si="6"/>
        <v>0</v>
      </c>
      <c r="AS11" s="102">
        <f ca="1" t="shared" si="6"/>
        <v>0</v>
      </c>
      <c r="AT11" s="102">
        <f ca="1" t="shared" si="6"/>
        <v>0</v>
      </c>
      <c r="AU11" s="102">
        <f ca="1" t="shared" si="6"/>
        <v>0</v>
      </c>
      <c r="AV11" s="102">
        <f ca="1" t="shared" si="6"/>
        <v>0</v>
      </c>
      <c r="AW11" s="102">
        <f ca="1" t="shared" si="6"/>
        <v>0</v>
      </c>
      <c r="AY11" t="s">
        <v>133</v>
      </c>
      <c r="BA11" t="str">
        <f t="shared" si="0"/>
        <v/>
      </c>
      <c r="BB11" t="str">
        <f t="shared" si="1"/>
        <v/>
      </c>
      <c r="BD11" t="str">
        <f t="shared" si="3"/>
        <v>*</v>
      </c>
      <c r="BE11">
        <f t="shared" si="4"/>
        <v>0</v>
      </c>
      <c r="BG11" t="s">
        <v>92</v>
      </c>
      <c r="BH11" t="s">
        <v>144</v>
      </c>
      <c r="BI11" t="s">
        <v>145</v>
      </c>
    </row>
    <row r="12" spans="1:61">
      <c r="C12" s="80"/>
      <c r="AY12" t="s">
        <v>133</v>
      </c>
      <c r="BA12" t="str">
        <f t="shared" si="0"/>
        <v/>
      </c>
      <c r="BB12" t="str">
        <f t="shared" si="1"/>
        <v/>
      </c>
      <c r="BD12" t="str">
        <f t="shared" si="3"/>
        <v>*</v>
      </c>
      <c r="BE12">
        <f t="shared" si="4"/>
        <v>0</v>
      </c>
      <c r="BG12" t="s">
        <v>92</v>
      </c>
      <c r="BH12" t="s">
        <v>144</v>
      </c>
      <c r="BI12" t="s">
        <v>145</v>
      </c>
    </row>
    <row r="13" spans="1:61">
      <c r="A13" s="101" t="s">
        <v>147</v>
      </c>
      <c r="B13" s="101"/>
      <c r="C13" s="80">
        <f ca="1">SUM(D13:AW13)</f>
        <v>39.905</v>
      </c>
      <c r="D13" s="3">
        <f ca="1">SUM(D19:D25)</f>
        <v>0.628</v>
      </c>
      <c r="E13" s="3">
        <f ca="1" t="shared" ref="E13:U13" si="7">SUM(E19:E25)</f>
        <v>0.558</v>
      </c>
      <c r="F13" s="3">
        <f ca="1" t="shared" si="7"/>
        <v>0.511</v>
      </c>
      <c r="G13" s="3">
        <f ca="1" t="shared" si="7"/>
        <v>0.247</v>
      </c>
      <c r="H13" s="3">
        <f ca="1" t="shared" si="7"/>
        <v>0.138</v>
      </c>
      <c r="I13" s="3">
        <f ca="1" t="shared" si="7"/>
        <v>0.522</v>
      </c>
      <c r="J13" s="3">
        <f ca="1" t="shared" si="7"/>
        <v>2.202</v>
      </c>
      <c r="K13" s="3">
        <f ca="1" t="shared" si="7"/>
        <v>2.788</v>
      </c>
      <c r="L13" s="3">
        <f ca="1" t="shared" si="7"/>
        <v>0.108</v>
      </c>
      <c r="M13" s="3">
        <f ca="1" t="shared" si="7"/>
        <v>0.235</v>
      </c>
      <c r="N13" s="3">
        <f ca="1" t="shared" si="7"/>
        <v>1.241</v>
      </c>
      <c r="O13" s="3">
        <f ca="1" t="shared" si="7"/>
        <v>1.31</v>
      </c>
      <c r="P13" s="3">
        <f ca="1" t="shared" si="7"/>
        <v>0.106</v>
      </c>
      <c r="Q13" s="3">
        <f ca="1" t="shared" si="7"/>
        <v>0.367</v>
      </c>
      <c r="R13" s="3">
        <f ca="1" t="shared" si="7"/>
        <v>0.008</v>
      </c>
      <c r="S13" s="3">
        <f ca="1" t="shared" si="7"/>
        <v>1.273</v>
      </c>
      <c r="T13" s="3">
        <f ca="1" t="shared" si="7"/>
        <v>0.116</v>
      </c>
      <c r="U13" s="3">
        <f ca="1" t="shared" si="7"/>
        <v>0.85</v>
      </c>
      <c r="V13" s="3">
        <f ca="1" t="shared" ref="V13:AW13" si="8">SUM(V19:V25)</f>
        <v>0.968</v>
      </c>
      <c r="W13" s="3">
        <f ca="1" t="shared" si="8"/>
        <v>1.677</v>
      </c>
      <c r="X13" s="3">
        <f ca="1" t="shared" si="8"/>
        <v>1.754</v>
      </c>
      <c r="Y13" s="3">
        <f ca="1" t="shared" si="8"/>
        <v>9.582</v>
      </c>
      <c r="Z13" s="3">
        <f ca="1" t="shared" si="8"/>
        <v>0.095</v>
      </c>
      <c r="AA13" s="3">
        <f ca="1" t="shared" si="8"/>
        <v>0.536</v>
      </c>
      <c r="AB13" s="3">
        <f ca="1" t="shared" si="8"/>
        <v>4.135</v>
      </c>
      <c r="AC13" s="3">
        <f ca="1" t="shared" si="8"/>
        <v>1.002</v>
      </c>
      <c r="AD13" s="3">
        <f ca="1" t="shared" si="8"/>
        <v>0.95</v>
      </c>
      <c r="AE13" s="3">
        <f ca="1" t="shared" si="8"/>
        <v>0.196</v>
      </c>
      <c r="AF13" s="3">
        <f ca="1" t="shared" si="8"/>
        <v>2.925</v>
      </c>
      <c r="AG13" s="3">
        <f ca="1" t="shared" si="8"/>
        <v>0.352</v>
      </c>
      <c r="AH13" s="3">
        <f ca="1" t="shared" si="8"/>
        <v>0.108</v>
      </c>
      <c r="AI13" s="3">
        <f ca="1" t="shared" si="8"/>
        <v>0.793</v>
      </c>
      <c r="AJ13" s="3">
        <f ca="1" t="shared" si="8"/>
        <v>0.952</v>
      </c>
      <c r="AK13" s="3">
        <f ca="1" t="shared" si="8"/>
        <v>0.206</v>
      </c>
      <c r="AL13" s="3">
        <f ca="1" t="shared" si="8"/>
        <v>0.466</v>
      </c>
      <c r="AM13" s="3">
        <f ca="1" t="shared" si="8"/>
        <v>0</v>
      </c>
      <c r="AN13" s="3">
        <f ca="1" t="shared" si="8"/>
        <v>0</v>
      </c>
      <c r="AO13" s="3">
        <f ca="1" t="shared" si="8"/>
        <v>0</v>
      </c>
      <c r="AP13" s="3">
        <f ca="1" t="shared" si="8"/>
        <v>0</v>
      </c>
      <c r="AQ13" s="3">
        <f ca="1" t="shared" si="8"/>
        <v>0</v>
      </c>
      <c r="AR13" s="3">
        <f ca="1" t="shared" si="8"/>
        <v>0</v>
      </c>
      <c r="AS13" s="3">
        <f ca="1" t="shared" si="8"/>
        <v>0</v>
      </c>
      <c r="AT13" s="3">
        <f ca="1" t="shared" si="8"/>
        <v>0</v>
      </c>
      <c r="AU13" s="3">
        <f ca="1" t="shared" si="8"/>
        <v>0</v>
      </c>
      <c r="AV13" s="3">
        <f ca="1" t="shared" si="8"/>
        <v>0</v>
      </c>
      <c r="AW13" s="3">
        <f ca="1" t="shared" si="8"/>
        <v>0</v>
      </c>
      <c r="AY13" t="s">
        <v>133</v>
      </c>
      <c r="BA13" t="str">
        <f t="shared" si="0"/>
        <v/>
      </c>
      <c r="BB13" t="str">
        <f t="shared" si="1"/>
        <v/>
      </c>
      <c r="BD13" t="str">
        <f t="shared" si="3"/>
        <v>*</v>
      </c>
      <c r="BE13">
        <f t="shared" si="4"/>
        <v>0</v>
      </c>
      <c r="BG13" t="s">
        <v>92</v>
      </c>
      <c r="BH13" t="s">
        <v>144</v>
      </c>
      <c r="BI13" t="s">
        <v>145</v>
      </c>
    </row>
    <row r="14" spans="1:61">
      <c r="A14" s="101" t="s">
        <v>148</v>
      </c>
      <c r="B14" s="101"/>
      <c r="D14" s="102">
        <f ca="1">D13/SUM($D$13:$AJ$13)</f>
        <v>0.0160069329391074</v>
      </c>
      <c r="E14" s="102">
        <f ca="1" t="shared" ref="E14:U14" si="9">E13/SUM($D$13:$AJ$13)</f>
        <v>0.0142227206688247</v>
      </c>
      <c r="F14" s="102">
        <f ca="1" t="shared" si="9"/>
        <v>0.0130247495730635</v>
      </c>
      <c r="G14" s="102">
        <f ca="1" t="shared" si="9"/>
        <v>0.006295720439426</v>
      </c>
      <c r="H14" s="102">
        <f ca="1" t="shared" si="9"/>
        <v>0.00351744704712869</v>
      </c>
      <c r="I14" s="102">
        <f ca="1" t="shared" si="9"/>
        <v>0.0133051257869651</v>
      </c>
      <c r="J14" s="102">
        <f ca="1" t="shared" si="9"/>
        <v>0.0561262202737492</v>
      </c>
      <c r="K14" s="102">
        <f ca="1" t="shared" si="9"/>
        <v>0.0710626258506869</v>
      </c>
      <c r="L14" s="102">
        <f ca="1" t="shared" si="9"/>
        <v>0.00275278464557898</v>
      </c>
      <c r="M14" s="102">
        <f ca="1" t="shared" si="9"/>
        <v>0.00598985547880611</v>
      </c>
      <c r="N14" s="102">
        <f ca="1" t="shared" si="9"/>
        <v>0.0316315346774399</v>
      </c>
      <c r="O14" s="102">
        <f ca="1" t="shared" si="9"/>
        <v>0.0333902582010043</v>
      </c>
      <c r="P14" s="102">
        <f ca="1" t="shared" si="9"/>
        <v>0.00270180715214233</v>
      </c>
      <c r="Q14" s="102">
        <f ca="1" t="shared" si="9"/>
        <v>0.00935437004562486</v>
      </c>
      <c r="R14" s="102">
        <f ca="1" t="shared" si="9"/>
        <v>0.000203909973746591</v>
      </c>
      <c r="S14" s="102">
        <f ca="1" t="shared" si="9"/>
        <v>0.0324471745724263</v>
      </c>
      <c r="T14" s="102">
        <f ca="1" t="shared" si="9"/>
        <v>0.00295669461932557</v>
      </c>
      <c r="U14" s="102">
        <f ca="1" t="shared" si="9"/>
        <v>0.0216654347105753</v>
      </c>
      <c r="V14" s="102">
        <f ca="1" t="shared" ref="V14:AJ14" si="10">V13/SUM($D$13:$AJ$13)</f>
        <v>0.0246731068233375</v>
      </c>
      <c r="W14" s="102">
        <f ca="1" t="shared" si="10"/>
        <v>0.0427446282466291</v>
      </c>
      <c r="X14" s="102">
        <f ca="1" t="shared" si="10"/>
        <v>0.0447072617439401</v>
      </c>
      <c r="Y14" s="102">
        <f ca="1" t="shared" si="10"/>
        <v>0.244233171054979</v>
      </c>
      <c r="Z14" s="102">
        <f ca="1" t="shared" si="10"/>
        <v>0.00242143093824077</v>
      </c>
      <c r="AA14" s="102">
        <f ca="1" t="shared" si="10"/>
        <v>0.0136619682410216</v>
      </c>
      <c r="AB14" s="102">
        <f ca="1" t="shared" si="10"/>
        <v>0.105395967680269</v>
      </c>
      <c r="AC14" s="102">
        <f ca="1" t="shared" si="10"/>
        <v>0.0255397242117605</v>
      </c>
      <c r="AD14" s="102">
        <f ca="1" t="shared" si="10"/>
        <v>0.0242143093824077</v>
      </c>
      <c r="AE14" s="102">
        <f ca="1" t="shared" si="10"/>
        <v>0.00499579435679148</v>
      </c>
      <c r="AF14" s="102">
        <f ca="1" t="shared" si="10"/>
        <v>0.0745545841510973</v>
      </c>
      <c r="AG14" s="102">
        <f ca="1" t="shared" ref="AG14" si="11">AG13/SUM($D$13:$AJ$13)</f>
        <v>0.00897203884485</v>
      </c>
      <c r="AH14" s="102">
        <f ca="1" t="shared" si="10"/>
        <v>0.00275278464557898</v>
      </c>
      <c r="AI14" s="102">
        <f ca="1" t="shared" si="10"/>
        <v>0.0202125761476308</v>
      </c>
      <c r="AJ14" s="102">
        <f ca="1" t="shared" si="10"/>
        <v>0.0242652868758443</v>
      </c>
      <c r="AK14" s="102">
        <f ca="1" t="shared" ref="AK14:AW14" si="12">AK13/SUM($D$13:$AJ$13)</f>
        <v>0.00525068182397472</v>
      </c>
      <c r="AL14" s="102">
        <f ca="1" t="shared" ref="AL14" si="13">AL13/SUM($D$13:$AJ$13)</f>
        <v>0.0118777559707389</v>
      </c>
      <c r="AM14" s="102">
        <f ca="1" t="shared" si="12"/>
        <v>0</v>
      </c>
      <c r="AN14" s="102">
        <f ca="1" t="shared" si="12"/>
        <v>0</v>
      </c>
      <c r="AO14" s="102">
        <f ca="1" t="shared" si="12"/>
        <v>0</v>
      </c>
      <c r="AP14" s="102">
        <f ca="1" t="shared" si="12"/>
        <v>0</v>
      </c>
      <c r="AQ14" s="102">
        <f ca="1" t="shared" si="12"/>
        <v>0</v>
      </c>
      <c r="AR14" s="102">
        <f ca="1" t="shared" si="12"/>
        <v>0</v>
      </c>
      <c r="AS14" s="102">
        <f ca="1" t="shared" si="12"/>
        <v>0</v>
      </c>
      <c r="AT14" s="102">
        <f ca="1" t="shared" si="12"/>
        <v>0</v>
      </c>
      <c r="AU14" s="102">
        <f ca="1" t="shared" si="12"/>
        <v>0</v>
      </c>
      <c r="AV14" s="102">
        <f ca="1" t="shared" si="12"/>
        <v>0</v>
      </c>
      <c r="AW14" s="102">
        <f ca="1" t="shared" si="12"/>
        <v>0</v>
      </c>
      <c r="AY14" t="s">
        <v>133</v>
      </c>
      <c r="BA14" t="str">
        <f t="shared" si="0"/>
        <v/>
      </c>
      <c r="BB14" t="str">
        <f t="shared" si="1"/>
        <v/>
      </c>
      <c r="BD14" t="str">
        <f t="shared" si="3"/>
        <v>*</v>
      </c>
      <c r="BE14">
        <f t="shared" si="4"/>
        <v>0</v>
      </c>
      <c r="BG14" t="s">
        <v>92</v>
      </c>
      <c r="BH14" t="s">
        <v>144</v>
      </c>
      <c r="BI14" t="s">
        <v>145</v>
      </c>
    </row>
    <row r="15" spans="1:61">
      <c r="A15" s="101"/>
      <c r="B15" s="101"/>
      <c r="D15" s="102">
        <f ca="1">D13/'non-road'!DB21</f>
        <v>0.0031655611146102</v>
      </c>
      <c r="E15" s="102">
        <f ca="1">E13/'non-road'!DC21</f>
        <v>0.000536973746397956</v>
      </c>
      <c r="F15" s="102">
        <f ca="1">F13/'non-road'!DD21</f>
        <v>0.020145314341808</v>
      </c>
      <c r="G15" s="102">
        <f ca="1">G13/'non-road'!DE21</f>
        <v>0.0278155659059992</v>
      </c>
      <c r="H15" s="102">
        <f ca="1">H13/'non-road'!DF21</f>
        <v>0.0228671419055289</v>
      </c>
      <c r="I15" s="102">
        <f ca="1">I13/'non-road'!DG21</f>
        <v>0.0177226099863648</v>
      </c>
      <c r="J15" s="102">
        <f ca="1">J13/'non-road'!DH21</f>
        <v>0.0104335465529495</v>
      </c>
      <c r="K15" s="102">
        <f ca="1">K13/'non-road'!DI21</f>
        <v>0.00199467704547406</v>
      </c>
      <c r="L15" s="102">
        <f ca="1">L13/'non-road'!DJ21</f>
        <v>0.0175505879446961</v>
      </c>
      <c r="M15" s="102">
        <f ca="1">M13/'non-road'!DK21</f>
        <v>0.0145726944912114</v>
      </c>
      <c r="N15" s="102">
        <f ca="1">N13/'non-road'!DL21</f>
        <v>0.0184538334456028</v>
      </c>
      <c r="O15" s="102">
        <f ca="1">O13/'non-road'!DM21</f>
        <v>0.0157654676085832</v>
      </c>
      <c r="P15" s="102">
        <f ca="1">P13/'non-road'!DN21</f>
        <v>0.00889249062723099</v>
      </c>
      <c r="Q15" s="102">
        <f ca="1">Q13/'non-road'!DO21</f>
        <v>0.0101609978265986</v>
      </c>
      <c r="R15" s="102">
        <f ca="1">R13/'non-road'!DP21</f>
        <v>0.0221875234009036</v>
      </c>
      <c r="S15" s="102">
        <f ca="1">S13/'non-road'!DQ21</f>
        <v>0.000931631562769866</v>
      </c>
      <c r="T15" s="102">
        <f ca="1">T13/'non-road'!DR21</f>
        <v>0.0235087164646133</v>
      </c>
      <c r="U15" s="102">
        <f ca="1">U13/'non-road'!DS21</f>
        <v>0.0141118276340864</v>
      </c>
      <c r="V15" s="102">
        <f ca="1">V13/'non-road'!DT21</f>
        <v>0.00766641587138162</v>
      </c>
      <c r="W15" s="102">
        <f ca="1">W13/'non-road'!DU21</f>
        <v>0.00543032154783983</v>
      </c>
      <c r="X15" s="102">
        <f ca="1">X13/'non-road'!DV21</f>
        <v>0.00788037465475625</v>
      </c>
      <c r="Y15" s="102">
        <f ca="1">Y13/'non-road'!DW21</f>
        <v>0.0194164369804705</v>
      </c>
      <c r="Z15" s="102">
        <f ca="1">Z13/'non-road'!DX21</f>
        <v>0.0177639821238243</v>
      </c>
      <c r="AA15" s="102">
        <f ca="1">AA13/'non-road'!DY21</f>
        <v>0.0141180808892284</v>
      </c>
      <c r="AB15" s="102">
        <f ca="1">AB13/'non-road'!DZ21</f>
        <v>0.003064183162689</v>
      </c>
      <c r="AC15" s="102">
        <f ca="1">AC13/'non-road'!EA21</f>
        <v>0.00651394435908346</v>
      </c>
      <c r="AD15" s="102">
        <f ca="1">AD13/'non-road'!EB21</f>
        <v>0.0277222522141325</v>
      </c>
      <c r="AE15" s="102">
        <f ca="1">AE13/'non-road'!EC21</f>
        <v>0.00334709170177413</v>
      </c>
      <c r="AF15" s="102">
        <f ca="1">AF13/'non-road'!ED21</f>
        <v>0.0509406163030871</v>
      </c>
      <c r="AG15" s="102">
        <f ca="1">AG13/'non-road'!EE21</f>
        <v>0.016285040016322</v>
      </c>
      <c r="AH15" s="102">
        <f ca="1">AH13/'non-road'!EF21</f>
        <v>0.012594340942803</v>
      </c>
      <c r="AI15" s="102">
        <f ca="1">AI13/'non-road'!EG21</f>
        <v>0.00950501980112574</v>
      </c>
      <c r="AJ15" s="102">
        <f ca="1">AJ13/'non-road'!EH21</f>
        <v>0.0142437567609218</v>
      </c>
      <c r="AK15" s="102">
        <f ca="1">AK13/'non-road'!EI21</f>
        <v>0.00437837211699605</v>
      </c>
      <c r="AL15" s="102">
        <f ca="1">AL13/'non-road'!EJ21</f>
        <v>0.0294826466154301</v>
      </c>
      <c r="AM15" s="102">
        <f ca="1">AM13/'non-road'!EK21</f>
        <v>0</v>
      </c>
      <c r="AN15" s="102">
        <f ca="1">AN13/'non-road'!EL21</f>
        <v>0</v>
      </c>
      <c r="AO15" s="102">
        <f ca="1">AO13/'non-road'!EM21</f>
        <v>0</v>
      </c>
      <c r="AP15" s="102">
        <f ca="1">AP13/'non-road'!EN21</f>
        <v>0</v>
      </c>
      <c r="AQ15" s="102">
        <f ca="1">AQ13/'non-road'!EO21</f>
        <v>0</v>
      </c>
      <c r="AR15" s="102">
        <f ca="1">AR13/'non-road'!EP21</f>
        <v>0</v>
      </c>
      <c r="AS15" s="102">
        <f ca="1">AS13/'non-road'!EQ21</f>
        <v>0</v>
      </c>
      <c r="AT15" s="102">
        <f ca="1">AT13/'non-road'!ER21</f>
        <v>0</v>
      </c>
      <c r="AU15" s="102">
        <f ca="1">AU13/'non-road'!ES21</f>
        <v>0</v>
      </c>
      <c r="AV15" s="102">
        <f ca="1">AV13/'non-road'!ET21</f>
        <v>0</v>
      </c>
      <c r="AW15" s="102" t="e">
        <f ca="1">AW13/'non-road'!EU21</f>
        <v>#VALUE!</v>
      </c>
      <c r="AY15" t="s">
        <v>133</v>
      </c>
      <c r="BA15" t="str">
        <f t="shared" si="0"/>
        <v/>
      </c>
      <c r="BB15" t="str">
        <f t="shared" si="1"/>
        <v/>
      </c>
      <c r="BD15" t="str">
        <f t="shared" si="3"/>
        <v>*</v>
      </c>
      <c r="BE15">
        <f t="shared" si="4"/>
        <v>0</v>
      </c>
      <c r="BG15" t="s">
        <v>92</v>
      </c>
      <c r="BH15" t="s">
        <v>144</v>
      </c>
      <c r="BI15" t="s">
        <v>145</v>
      </c>
    </row>
    <row r="16" spans="1:61">
      <c r="AY16" t="s">
        <v>133</v>
      </c>
      <c r="BA16" t="str">
        <f t="shared" si="0"/>
        <v/>
      </c>
      <c r="BB16" t="str">
        <f t="shared" si="1"/>
        <v/>
      </c>
      <c r="BD16" t="str">
        <f t="shared" si="3"/>
        <v>*</v>
      </c>
      <c r="BE16">
        <f t="shared" si="4"/>
        <v>0</v>
      </c>
      <c r="BG16" t="s">
        <v>92</v>
      </c>
      <c r="BH16" t="s">
        <v>144</v>
      </c>
      <c r="BI16" t="s">
        <v>145</v>
      </c>
    </row>
    <row r="17" spans="1:61">
      <c r="A17" s="101" t="s">
        <v>149</v>
      </c>
      <c r="B17" s="101"/>
      <c r="D17" s="3">
        <f ca="1">D11/D14</f>
        <v>1.05048465431221</v>
      </c>
      <c r="E17" s="3">
        <f ca="1" t="shared" ref="E17:U17" si="14">E11/E14</f>
        <v>1.05065306726244</v>
      </c>
      <c r="F17" s="3">
        <f ca="1" t="shared" si="14"/>
        <v>1.05118028224437</v>
      </c>
      <c r="G17" s="3">
        <f ca="1" t="shared" si="14"/>
        <v>1.04935019052851</v>
      </c>
      <c r="H17" s="3">
        <f ca="1" t="shared" si="14"/>
        <v>1.05210022816263</v>
      </c>
      <c r="I17" s="3">
        <f ca="1" t="shared" si="14"/>
        <v>1.05091399063111</v>
      </c>
      <c r="J17" s="3">
        <f ca="1" t="shared" si="14"/>
        <v>1.05083840053619</v>
      </c>
      <c r="K17" s="3">
        <f ca="1" t="shared" si="14"/>
        <v>1.05082853414692</v>
      </c>
      <c r="L17" s="3">
        <f ca="1" t="shared" si="14"/>
        <v>1.05289803490869</v>
      </c>
      <c r="M17" s="3">
        <f ca="1" t="shared" si="14"/>
        <v>1.05043181150843</v>
      </c>
      <c r="N17" s="3">
        <f ca="1" t="shared" si="14"/>
        <v>1.05162572417748</v>
      </c>
      <c r="O17" s="3">
        <f ca="1" t="shared" si="14"/>
        <v>1.05081012560585</v>
      </c>
      <c r="P17" s="3">
        <f ca="1" t="shared" si="14"/>
        <v>1.05699409945153</v>
      </c>
      <c r="Q17" s="3">
        <f ca="1" t="shared" si="14"/>
        <v>1.04894727200093</v>
      </c>
      <c r="R17" s="3">
        <f ca="1" t="shared" si="14"/>
        <v>0.978907070145415</v>
      </c>
      <c r="S17" s="3">
        <f ca="1" t="shared" si="14"/>
        <v>1.05083883656973</v>
      </c>
      <c r="T17" s="3">
        <f ca="1" t="shared" si="14"/>
        <v>1.05164486703322</v>
      </c>
      <c r="U17" s="3">
        <f ca="1" t="shared" si="14"/>
        <v>1.05069794964625</v>
      </c>
      <c r="V17" s="3">
        <f ca="1" t="shared" ref="V17:AJ17" si="15">V11/V14</f>
        <v>1.05091179473033</v>
      </c>
      <c r="W17" s="3">
        <f ca="1" t="shared" si="15"/>
        <v>1.05114848658269</v>
      </c>
      <c r="X17" s="3">
        <f ca="1" t="shared" si="15"/>
        <v>1.05121677166332</v>
      </c>
      <c r="Y17" s="3">
        <f ca="1" t="shared" si="15"/>
        <v>1.05104443373795</v>
      </c>
      <c r="Z17" s="3">
        <f ca="1" t="shared" si="15"/>
        <v>1.04743712451477</v>
      </c>
      <c r="AA17" s="3">
        <f ca="1" t="shared" si="15"/>
        <v>1.05077611720983</v>
      </c>
      <c r="AB17" s="3">
        <f ca="1" t="shared" si="15"/>
        <v>1.05115699116946</v>
      </c>
      <c r="AC17" s="3">
        <f ca="1" t="shared" si="15"/>
        <v>1.05065992473554</v>
      </c>
      <c r="AD17" s="3">
        <f ca="1" t="shared" si="15"/>
        <v>1.05157694311296</v>
      </c>
      <c r="AE17" s="3">
        <f ca="1" t="shared" si="15"/>
        <v>1.05067973858376</v>
      </c>
      <c r="AF17" s="3">
        <f ca="1" t="shared" si="15"/>
        <v>0.367865744364213</v>
      </c>
      <c r="AG17" s="3">
        <f ca="1" t="shared" ref="AG17" si="16">AG11/AG14</f>
        <v>1.04967796652242</v>
      </c>
      <c r="AH17" s="3">
        <f ca="1" t="shared" si="15"/>
        <v>1.04241085501818</v>
      </c>
      <c r="AI17" s="3">
        <f ca="1" t="shared" si="15"/>
        <v>1.05056305716642</v>
      </c>
      <c r="AJ17" s="3">
        <f ca="1" t="shared" si="15"/>
        <v>1.05074941033925</v>
      </c>
      <c r="AK17" s="3">
        <f ca="1" t="shared" ref="AK17:AW17" si="17">AK11/AK14</f>
        <v>1.04827691055018</v>
      </c>
      <c r="AL17" s="3">
        <f ca="1" t="shared" si="17"/>
        <v>0.368460521819291</v>
      </c>
      <c r="AM17" s="3" t="e">
        <f ca="1" t="shared" si="17"/>
        <v>#DIV/0!</v>
      </c>
      <c r="AN17" s="3" t="e">
        <f ca="1" t="shared" si="17"/>
        <v>#DIV/0!</v>
      </c>
      <c r="AO17" s="3" t="e">
        <f ca="1" t="shared" si="17"/>
        <v>#DIV/0!</v>
      </c>
      <c r="AP17" s="3" t="e">
        <f ca="1" t="shared" si="17"/>
        <v>#DIV/0!</v>
      </c>
      <c r="AQ17" s="3" t="e">
        <f ca="1" t="shared" si="17"/>
        <v>#DIV/0!</v>
      </c>
      <c r="AR17" s="3" t="e">
        <f ca="1" t="shared" si="17"/>
        <v>#DIV/0!</v>
      </c>
      <c r="AS17" s="3" t="e">
        <f ca="1" t="shared" si="17"/>
        <v>#DIV/0!</v>
      </c>
      <c r="AT17" s="3" t="e">
        <f ca="1" t="shared" si="17"/>
        <v>#DIV/0!</v>
      </c>
      <c r="AU17" s="3" t="e">
        <f ca="1" t="shared" si="17"/>
        <v>#DIV/0!</v>
      </c>
      <c r="AV17" s="3" t="e">
        <f ca="1" t="shared" si="17"/>
        <v>#DIV/0!</v>
      </c>
      <c r="AW17" s="3" t="e">
        <f ca="1" t="shared" si="17"/>
        <v>#DIV/0!</v>
      </c>
      <c r="AY17" t="s">
        <v>133</v>
      </c>
      <c r="BA17" t="str">
        <f t="shared" si="0"/>
        <v/>
      </c>
      <c r="BB17" t="str">
        <f t="shared" si="1"/>
        <v/>
      </c>
      <c r="BD17" t="str">
        <f t="shared" si="3"/>
        <v>*</v>
      </c>
      <c r="BE17">
        <f t="shared" si="4"/>
        <v>0</v>
      </c>
      <c r="BG17" t="s">
        <v>92</v>
      </c>
      <c r="BH17" t="s">
        <v>144</v>
      </c>
      <c r="BI17" t="s">
        <v>145</v>
      </c>
    </row>
    <row r="18" spans="1:61">
      <c r="AY18" t="s">
        <v>133</v>
      </c>
      <c r="BA18" t="str">
        <f t="shared" si="0"/>
        <v/>
      </c>
      <c r="BB18" t="str">
        <f t="shared" si="1"/>
        <v/>
      </c>
      <c r="BD18" t="str">
        <f t="shared" si="3"/>
        <v>*</v>
      </c>
      <c r="BE18">
        <f t="shared" si="4"/>
        <v>0</v>
      </c>
      <c r="BG18" t="s">
        <v>92</v>
      </c>
      <c r="BH18" t="s">
        <v>144</v>
      </c>
      <c r="BI18" t="s">
        <v>145</v>
      </c>
    </row>
    <row r="19" spans="1:61">
      <c r="A19" t="s">
        <v>150</v>
      </c>
      <c r="C19" t="str">
        <f t="shared" ref="C19:C25" si="18">C4</f>
        <v>TRABDS</v>
      </c>
      <c r="D19" s="78">
        <f ca="1">ROUND(D4*D28/D36,3)</f>
        <v>0</v>
      </c>
      <c r="E19" s="78">
        <f ca="1" t="shared" ref="E19:U19" si="19">ROUND(E4*E28/E36,3)</f>
        <v>0</v>
      </c>
      <c r="F19" s="78">
        <f ca="1" t="shared" si="19"/>
        <v>0</v>
      </c>
      <c r="G19" s="78">
        <f ca="1" t="shared" si="19"/>
        <v>0.016</v>
      </c>
      <c r="H19" s="78">
        <f ca="1" t="shared" si="19"/>
        <v>0.005</v>
      </c>
      <c r="I19" s="78">
        <f ca="1" t="shared" si="19"/>
        <v>0.033</v>
      </c>
      <c r="J19" s="78">
        <f ca="1" t="shared" si="19"/>
        <v>0.675</v>
      </c>
      <c r="K19" s="78">
        <f ca="1" t="shared" si="19"/>
        <v>0.026</v>
      </c>
      <c r="L19" s="78">
        <f ca="1" t="shared" si="19"/>
        <v>0.005</v>
      </c>
      <c r="M19" s="78">
        <f ca="1" t="shared" si="19"/>
        <v>0.014</v>
      </c>
      <c r="N19" s="78">
        <f ca="1" t="shared" si="19"/>
        <v>0.094</v>
      </c>
      <c r="O19" s="78">
        <f ca="1" t="shared" si="19"/>
        <v>0.071</v>
      </c>
      <c r="P19" s="78">
        <f ca="1" t="shared" si="19"/>
        <v>0.006</v>
      </c>
      <c r="Q19" s="78">
        <f ca="1" t="shared" si="19"/>
        <v>0.022</v>
      </c>
      <c r="R19" s="78">
        <f ca="1" t="shared" si="19"/>
        <v>0.001</v>
      </c>
      <c r="S19" s="78">
        <f ca="1" t="shared" si="19"/>
        <v>0.001</v>
      </c>
      <c r="T19" s="78">
        <f ca="1" t="shared" si="19"/>
        <v>0.006</v>
      </c>
      <c r="U19" s="78">
        <f ca="1" t="shared" si="19"/>
        <v>0.047</v>
      </c>
      <c r="V19" s="78">
        <f ca="1" t="shared" ref="V19:AW19" si="20">ROUND(V4*V28/V36,3)</f>
        <v>0.001</v>
      </c>
      <c r="W19" s="78">
        <f ca="1" t="shared" si="20"/>
        <v>0.077</v>
      </c>
      <c r="X19" s="78">
        <f ca="1" t="shared" si="20"/>
        <v>0</v>
      </c>
      <c r="Y19" s="78">
        <f ca="1" t="shared" si="20"/>
        <v>0.253</v>
      </c>
      <c r="Z19" s="78">
        <f ca="1" t="shared" si="20"/>
        <v>0.016</v>
      </c>
      <c r="AA19" s="78">
        <f ca="1" t="shared" si="20"/>
        <v>0.029</v>
      </c>
      <c r="AB19" s="78">
        <f ca="1" t="shared" si="20"/>
        <v>0.274</v>
      </c>
      <c r="AC19" s="78">
        <f ca="1" t="shared" si="20"/>
        <v>0</v>
      </c>
      <c r="AD19" s="78">
        <f ca="1" t="shared" si="20"/>
        <v>0</v>
      </c>
      <c r="AE19" s="78">
        <f ca="1" t="shared" si="20"/>
        <v>0</v>
      </c>
      <c r="AF19" s="78">
        <f ca="1" t="shared" si="20"/>
        <v>0.188</v>
      </c>
      <c r="AG19" s="78">
        <f ca="1" t="shared" si="20"/>
        <v>0.064</v>
      </c>
      <c r="AH19" s="78">
        <f ca="1" t="shared" si="20"/>
        <v>0.006</v>
      </c>
      <c r="AI19" s="78">
        <f ca="1" t="shared" si="20"/>
        <v>0.004</v>
      </c>
      <c r="AJ19" s="78">
        <f ca="1" t="shared" si="20"/>
        <v>0.047</v>
      </c>
      <c r="AK19" s="78">
        <f ca="1" t="shared" si="20"/>
        <v>0</v>
      </c>
      <c r="AL19" s="78">
        <f ca="1" t="shared" si="20"/>
        <v>0.012</v>
      </c>
      <c r="AM19" s="78">
        <f ca="1" t="shared" si="20"/>
        <v>0</v>
      </c>
      <c r="AN19" s="78">
        <f ca="1" t="shared" si="20"/>
        <v>0</v>
      </c>
      <c r="AO19" s="78">
        <f ca="1" t="shared" si="20"/>
        <v>0</v>
      </c>
      <c r="AP19" s="78">
        <f ca="1" t="shared" si="20"/>
        <v>0</v>
      </c>
      <c r="AQ19" s="78">
        <f ca="1" t="shared" si="20"/>
        <v>0</v>
      </c>
      <c r="AR19" s="78">
        <f ca="1" t="shared" si="20"/>
        <v>0</v>
      </c>
      <c r="AS19" s="78">
        <f ca="1" t="shared" si="20"/>
        <v>0</v>
      </c>
      <c r="AT19" s="78">
        <f ca="1" t="shared" si="20"/>
        <v>0</v>
      </c>
      <c r="AU19" s="78">
        <f ca="1" t="shared" si="20"/>
        <v>0</v>
      </c>
      <c r="AV19" s="78">
        <f ca="1" t="shared" si="20"/>
        <v>0</v>
      </c>
      <c r="AW19" s="78">
        <f ca="1" t="shared" si="20"/>
        <v>0</v>
      </c>
      <c r="AY19" t="s">
        <v>151</v>
      </c>
      <c r="AZ19" t="str">
        <f ca="1">IF(AX4="zero","\I:",$BA$45&amp;"_"&amp;VLOOKUP(C19,'TRA balance'!$BB$5:$BC$15,2,FALSE))</f>
        <v>Trd_hdt_bdl</v>
      </c>
      <c r="BA19" t="str">
        <f ca="1" t="shared" si="0"/>
        <v>Trd_hdt</v>
      </c>
      <c r="BB19">
        <f ca="1" t="shared" si="1"/>
        <v>25</v>
      </c>
      <c r="BD19" t="str">
        <f ca="1" t="shared" si="3"/>
        <v>DMD</v>
      </c>
      <c r="BE19" t="str">
        <f ca="1" t="shared" si="4"/>
        <v>Trd_hdt_bdl</v>
      </c>
      <c r="BG19" t="s">
        <v>92</v>
      </c>
      <c r="BH19" t="s">
        <v>144</v>
      </c>
      <c r="BI19" t="s">
        <v>145</v>
      </c>
    </row>
    <row r="20" spans="1:61">
      <c r="C20" t="str">
        <f t="shared" si="18"/>
        <v>TRABGS</v>
      </c>
      <c r="D20" s="78">
        <f ca="1" t="shared" ref="D20:AW25" si="21">ROUND(D5*D29/D37,3)</f>
        <v>0</v>
      </c>
      <c r="E20" s="78">
        <f ca="1" t="shared" ref="E20:U20" si="22">ROUND(E5*E29/E37,3)</f>
        <v>0</v>
      </c>
      <c r="F20" s="78">
        <f ca="1" t="shared" si="22"/>
        <v>0</v>
      </c>
      <c r="G20" s="78">
        <f ca="1" t="shared" si="22"/>
        <v>0</v>
      </c>
      <c r="H20" s="78">
        <f ca="1" t="shared" si="22"/>
        <v>0</v>
      </c>
      <c r="I20" s="78">
        <f ca="1" t="shared" si="22"/>
        <v>0</v>
      </c>
      <c r="J20" s="78">
        <f ca="1" t="shared" si="22"/>
        <v>0</v>
      </c>
      <c r="K20" s="78">
        <f ca="1" t="shared" si="22"/>
        <v>0</v>
      </c>
      <c r="L20" s="78">
        <f ca="1" t="shared" si="22"/>
        <v>0</v>
      </c>
      <c r="M20" s="78">
        <f ca="1" t="shared" si="22"/>
        <v>0</v>
      </c>
      <c r="N20" s="78">
        <f ca="1" t="shared" si="22"/>
        <v>0</v>
      </c>
      <c r="O20" s="78">
        <f ca="1" t="shared" si="22"/>
        <v>0</v>
      </c>
      <c r="P20" s="78">
        <f ca="1" t="shared" si="22"/>
        <v>0</v>
      </c>
      <c r="Q20" s="78">
        <f ca="1" t="shared" si="22"/>
        <v>0</v>
      </c>
      <c r="R20" s="78">
        <f ca="1" t="shared" si="22"/>
        <v>0</v>
      </c>
      <c r="S20" s="78">
        <f ca="1" t="shared" si="22"/>
        <v>0</v>
      </c>
      <c r="T20" s="78">
        <f ca="1" t="shared" si="22"/>
        <v>0</v>
      </c>
      <c r="U20" s="78">
        <f ca="1" t="shared" si="22"/>
        <v>0</v>
      </c>
      <c r="V20" s="78">
        <f ca="1" t="shared" si="21"/>
        <v>0</v>
      </c>
      <c r="W20" s="78">
        <f ca="1" t="shared" si="21"/>
        <v>0</v>
      </c>
      <c r="X20" s="78">
        <f ca="1" t="shared" si="21"/>
        <v>0</v>
      </c>
      <c r="Y20" s="78">
        <f ca="1" t="shared" si="21"/>
        <v>0</v>
      </c>
      <c r="Z20" s="78">
        <f ca="1" t="shared" si="21"/>
        <v>0</v>
      </c>
      <c r="AA20" s="78">
        <f ca="1" t="shared" si="21"/>
        <v>0</v>
      </c>
      <c r="AB20" s="78">
        <f ca="1" t="shared" si="21"/>
        <v>0</v>
      </c>
      <c r="AC20" s="78">
        <f ca="1" t="shared" si="21"/>
        <v>0</v>
      </c>
      <c r="AD20" s="78">
        <f ca="1" t="shared" si="21"/>
        <v>0</v>
      </c>
      <c r="AE20" s="78">
        <f ca="1" t="shared" si="21"/>
        <v>0</v>
      </c>
      <c r="AF20" s="78">
        <f ca="1" t="shared" si="21"/>
        <v>0</v>
      </c>
      <c r="AG20" s="78">
        <f ca="1" t="shared" si="21"/>
        <v>0</v>
      </c>
      <c r="AH20" s="78">
        <f ca="1" t="shared" si="21"/>
        <v>0</v>
      </c>
      <c r="AI20" s="78">
        <f ca="1" t="shared" si="21"/>
        <v>0</v>
      </c>
      <c r="AJ20" s="78">
        <f ca="1" t="shared" si="21"/>
        <v>0</v>
      </c>
      <c r="AK20" s="78">
        <f ca="1" t="shared" si="21"/>
        <v>0</v>
      </c>
      <c r="AL20" s="78">
        <f ca="1" t="shared" si="21"/>
        <v>0</v>
      </c>
      <c r="AM20" s="78">
        <f ca="1" t="shared" si="21"/>
        <v>0</v>
      </c>
      <c r="AN20" s="78">
        <f ca="1" t="shared" si="21"/>
        <v>0</v>
      </c>
      <c r="AO20" s="78">
        <f ca="1" t="shared" si="21"/>
        <v>0</v>
      </c>
      <c r="AP20" s="78">
        <f ca="1" t="shared" si="21"/>
        <v>0</v>
      </c>
      <c r="AQ20" s="78">
        <f ca="1" t="shared" si="21"/>
        <v>0</v>
      </c>
      <c r="AR20" s="78">
        <f ca="1" t="shared" si="21"/>
        <v>0</v>
      </c>
      <c r="AS20" s="78">
        <f ca="1" t="shared" si="21"/>
        <v>0</v>
      </c>
      <c r="AT20" s="78">
        <f ca="1" t="shared" si="21"/>
        <v>0</v>
      </c>
      <c r="AU20" s="78">
        <f ca="1" t="shared" si="21"/>
        <v>0</v>
      </c>
      <c r="AV20" s="78">
        <f ca="1" t="shared" si="21"/>
        <v>0</v>
      </c>
      <c r="AW20" s="78">
        <f ca="1" t="shared" si="21"/>
        <v>0</v>
      </c>
      <c r="AY20" t="s">
        <v>151</v>
      </c>
      <c r="AZ20" t="str">
        <f ca="1">IF(AX5="zero","\I:",$BA$45&amp;"_"&amp;VLOOKUP(C20,'TRA balance'!$BB$5:$BC$15,2,FALSE))</f>
        <v>\I:</v>
      </c>
      <c r="BA20" t="str">
        <f ca="1" t="shared" si="0"/>
        <v>Trd_hdt</v>
      </c>
      <c r="BB20">
        <f ca="1" t="shared" si="1"/>
        <v>25</v>
      </c>
      <c r="BD20" t="str">
        <f ca="1" t="shared" si="3"/>
        <v>DMD</v>
      </c>
      <c r="BE20" t="str">
        <f ca="1" t="shared" si="4"/>
        <v>\I:</v>
      </c>
      <c r="BG20" t="s">
        <v>92</v>
      </c>
      <c r="BH20" t="s">
        <v>144</v>
      </c>
      <c r="BI20" t="s">
        <v>145</v>
      </c>
    </row>
    <row r="21" spans="1:61">
      <c r="C21" t="str">
        <f t="shared" si="18"/>
        <v>TRADST</v>
      </c>
      <c r="D21" s="78">
        <f ca="1" t="shared" si="21"/>
        <v>0.628</v>
      </c>
      <c r="E21" s="78">
        <f ca="1" t="shared" ref="E21:U21" si="23">ROUND(E6*E30/E38,3)</f>
        <v>0.558</v>
      </c>
      <c r="F21" s="78">
        <f ca="1" t="shared" si="23"/>
        <v>0.511</v>
      </c>
      <c r="G21" s="78">
        <f ca="1" t="shared" si="23"/>
        <v>0.231</v>
      </c>
      <c r="H21" s="78">
        <f ca="1" t="shared" si="23"/>
        <v>0.128</v>
      </c>
      <c r="I21" s="78">
        <f ca="1" t="shared" si="23"/>
        <v>0.489</v>
      </c>
      <c r="J21" s="78">
        <f ca="1" t="shared" si="23"/>
        <v>1.489</v>
      </c>
      <c r="K21" s="78">
        <f ca="1" t="shared" si="23"/>
        <v>2.678</v>
      </c>
      <c r="L21" s="78">
        <f ca="1" t="shared" si="23"/>
        <v>0.101</v>
      </c>
      <c r="M21" s="78">
        <f ca="1" t="shared" si="23"/>
        <v>0.216</v>
      </c>
      <c r="N21" s="78">
        <f ca="1" t="shared" si="23"/>
        <v>1.147</v>
      </c>
      <c r="O21" s="78">
        <f ca="1" t="shared" si="23"/>
        <v>1.239</v>
      </c>
      <c r="P21" s="78">
        <f ca="1" t="shared" si="23"/>
        <v>0.1</v>
      </c>
      <c r="Q21" s="78">
        <f ca="1" t="shared" si="23"/>
        <v>0.337</v>
      </c>
      <c r="R21" s="78">
        <f ca="1" t="shared" si="23"/>
        <v>0.007</v>
      </c>
      <c r="S21" s="78">
        <f ca="1" t="shared" si="23"/>
        <v>1.272</v>
      </c>
      <c r="T21" s="78">
        <f ca="1" t="shared" si="23"/>
        <v>0.11</v>
      </c>
      <c r="U21" s="78">
        <f ca="1" t="shared" si="23"/>
        <v>0.803</v>
      </c>
      <c r="V21" s="78">
        <f ca="1" t="shared" si="21"/>
        <v>0.967</v>
      </c>
      <c r="W21" s="78">
        <f ca="1" t="shared" si="21"/>
        <v>1.529</v>
      </c>
      <c r="X21" s="78">
        <f ca="1" t="shared" si="21"/>
        <v>1.409</v>
      </c>
      <c r="Y21" s="78">
        <f ca="1" t="shared" si="21"/>
        <v>7.795</v>
      </c>
      <c r="Z21" s="78">
        <f ca="1" t="shared" si="21"/>
        <v>0.079</v>
      </c>
      <c r="AA21" s="78">
        <f ca="1" t="shared" si="21"/>
        <v>0.496</v>
      </c>
      <c r="AB21" s="78">
        <f ca="1" t="shared" si="21"/>
        <v>3.861</v>
      </c>
      <c r="AC21" s="78">
        <f ca="1" t="shared" si="21"/>
        <v>0.743</v>
      </c>
      <c r="AD21" s="78">
        <f ca="1" t="shared" si="21"/>
        <v>0.801</v>
      </c>
      <c r="AE21" s="78">
        <f ca="1" t="shared" si="21"/>
        <v>0.196</v>
      </c>
      <c r="AF21" s="78">
        <f ca="1" t="shared" si="21"/>
        <v>2.737</v>
      </c>
      <c r="AG21" s="78">
        <f ca="1" t="shared" si="21"/>
        <v>0.288</v>
      </c>
      <c r="AH21" s="78">
        <f ca="1" t="shared" si="21"/>
        <v>0.102</v>
      </c>
      <c r="AI21" s="78">
        <f ca="1" t="shared" si="21"/>
        <v>0.774</v>
      </c>
      <c r="AJ21" s="78">
        <f ca="1" t="shared" si="21"/>
        <v>0.905</v>
      </c>
      <c r="AK21" s="78">
        <f ca="1" t="shared" si="21"/>
        <v>0.193</v>
      </c>
      <c r="AL21" s="78">
        <f ca="1" t="shared" si="21"/>
        <v>0.448</v>
      </c>
      <c r="AM21" s="78">
        <f ca="1" t="shared" si="21"/>
        <v>0</v>
      </c>
      <c r="AN21" s="78">
        <f ca="1" t="shared" si="21"/>
        <v>0</v>
      </c>
      <c r="AO21" s="78">
        <f ca="1" t="shared" si="21"/>
        <v>0</v>
      </c>
      <c r="AP21" s="78">
        <f ca="1" t="shared" si="21"/>
        <v>0</v>
      </c>
      <c r="AQ21" s="78">
        <f ca="1" t="shared" si="21"/>
        <v>0</v>
      </c>
      <c r="AR21" s="78">
        <f ca="1" t="shared" si="21"/>
        <v>0</v>
      </c>
      <c r="AS21" s="78">
        <f ca="1" t="shared" si="21"/>
        <v>0</v>
      </c>
      <c r="AT21" s="78">
        <f ca="1" t="shared" si="21"/>
        <v>0</v>
      </c>
      <c r="AU21" s="78">
        <f ca="1" t="shared" si="21"/>
        <v>0</v>
      </c>
      <c r="AV21" s="78">
        <f ca="1" t="shared" si="21"/>
        <v>0</v>
      </c>
      <c r="AW21" s="78">
        <f ca="1" t="shared" si="21"/>
        <v>0</v>
      </c>
      <c r="AY21" t="s">
        <v>151</v>
      </c>
      <c r="AZ21" t="str">
        <f ca="1">IF(AX6="zero","\I:",$BA$45&amp;"_"&amp;VLOOKUP(C21,'TRA balance'!$BB$5:$BC$15,2,FALSE))</f>
        <v>Trd_hdt_dsl</v>
      </c>
      <c r="BA21" t="str">
        <f ca="1" t="shared" si="0"/>
        <v>Trd_hdt</v>
      </c>
      <c r="BB21">
        <f ca="1" t="shared" si="1"/>
        <v>25</v>
      </c>
      <c r="BD21" t="str">
        <f ca="1" t="shared" si="3"/>
        <v>DMD</v>
      </c>
      <c r="BE21" t="str">
        <f ca="1" t="shared" si="4"/>
        <v>Trd_hdt_dsl</v>
      </c>
      <c r="BG21" t="s">
        <v>92</v>
      </c>
      <c r="BH21" t="s">
        <v>144</v>
      </c>
      <c r="BI21" t="s">
        <v>145</v>
      </c>
    </row>
    <row r="22" spans="1:61">
      <c r="C22" t="str">
        <f t="shared" si="18"/>
        <v>TRAELC</v>
      </c>
      <c r="D22" s="78">
        <f ca="1" t="shared" si="21"/>
        <v>0</v>
      </c>
      <c r="E22" s="78">
        <f ca="1" t="shared" ref="E22:U22" si="24">ROUND(E7*E31/E39,3)</f>
        <v>0</v>
      </c>
      <c r="F22" s="78">
        <f ca="1" t="shared" si="24"/>
        <v>0</v>
      </c>
      <c r="G22" s="78">
        <f ca="1" t="shared" si="24"/>
        <v>0</v>
      </c>
      <c r="H22" s="78">
        <f ca="1" t="shared" si="24"/>
        <v>0</v>
      </c>
      <c r="I22" s="78">
        <f ca="1" t="shared" si="24"/>
        <v>0</v>
      </c>
      <c r="J22" s="78">
        <f ca="1" t="shared" si="24"/>
        <v>0</v>
      </c>
      <c r="K22" s="78">
        <f ca="1" t="shared" si="24"/>
        <v>0</v>
      </c>
      <c r="L22" s="78">
        <f ca="1" t="shared" si="24"/>
        <v>0</v>
      </c>
      <c r="M22" s="78">
        <f ca="1" t="shared" si="24"/>
        <v>0</v>
      </c>
      <c r="N22" s="78">
        <f ca="1" t="shared" si="24"/>
        <v>0</v>
      </c>
      <c r="O22" s="78">
        <f ca="1" t="shared" si="24"/>
        <v>0</v>
      </c>
      <c r="P22" s="78">
        <f ca="1" t="shared" si="24"/>
        <v>0</v>
      </c>
      <c r="Q22" s="78">
        <f ca="1" t="shared" si="24"/>
        <v>0</v>
      </c>
      <c r="R22" s="78">
        <f ca="1" t="shared" si="24"/>
        <v>0</v>
      </c>
      <c r="S22" s="78">
        <f ca="1" t="shared" si="24"/>
        <v>0</v>
      </c>
      <c r="T22" s="78">
        <f ca="1" t="shared" si="24"/>
        <v>0</v>
      </c>
      <c r="U22" s="78">
        <f ca="1" t="shared" si="24"/>
        <v>0</v>
      </c>
      <c r="V22" s="78">
        <f ca="1" t="shared" si="21"/>
        <v>0</v>
      </c>
      <c r="W22" s="78">
        <f ca="1" t="shared" si="21"/>
        <v>0</v>
      </c>
      <c r="X22" s="78">
        <f ca="1" t="shared" si="21"/>
        <v>0</v>
      </c>
      <c r="Y22" s="78">
        <f ca="1" t="shared" si="21"/>
        <v>0</v>
      </c>
      <c r="Z22" s="78">
        <f ca="1" t="shared" si="21"/>
        <v>0</v>
      </c>
      <c r="AA22" s="78">
        <f ca="1" t="shared" si="21"/>
        <v>0</v>
      </c>
      <c r="AB22" s="78">
        <f ca="1" t="shared" si="21"/>
        <v>0</v>
      </c>
      <c r="AC22" s="78">
        <f ca="1" t="shared" si="21"/>
        <v>0</v>
      </c>
      <c r="AD22" s="78">
        <f ca="1" t="shared" si="21"/>
        <v>0</v>
      </c>
      <c r="AE22" s="78">
        <f ca="1" t="shared" si="21"/>
        <v>0</v>
      </c>
      <c r="AF22" s="78">
        <f ca="1" t="shared" si="21"/>
        <v>0</v>
      </c>
      <c r="AG22" s="78">
        <f ca="1" t="shared" si="21"/>
        <v>0</v>
      </c>
      <c r="AH22" s="78">
        <f ca="1" t="shared" si="21"/>
        <v>0</v>
      </c>
      <c r="AI22" s="78">
        <f ca="1" t="shared" si="21"/>
        <v>0</v>
      </c>
      <c r="AJ22" s="78">
        <f ca="1" t="shared" si="21"/>
        <v>0</v>
      </c>
      <c r="AK22" s="78">
        <f ca="1" t="shared" si="21"/>
        <v>0</v>
      </c>
      <c r="AL22" s="78">
        <f ca="1" t="shared" si="21"/>
        <v>0</v>
      </c>
      <c r="AM22" s="78">
        <f ca="1" t="shared" si="21"/>
        <v>0</v>
      </c>
      <c r="AN22" s="78">
        <f ca="1" t="shared" si="21"/>
        <v>0</v>
      </c>
      <c r="AO22" s="78">
        <f ca="1" t="shared" si="21"/>
        <v>0</v>
      </c>
      <c r="AP22" s="78">
        <f ca="1" t="shared" si="21"/>
        <v>0</v>
      </c>
      <c r="AQ22" s="78">
        <f ca="1" t="shared" si="21"/>
        <v>0</v>
      </c>
      <c r="AR22" s="78">
        <f ca="1" t="shared" si="21"/>
        <v>0</v>
      </c>
      <c r="AS22" s="78">
        <f ca="1" t="shared" si="21"/>
        <v>0</v>
      </c>
      <c r="AT22" s="78">
        <f ca="1" t="shared" si="21"/>
        <v>0</v>
      </c>
      <c r="AU22" s="78">
        <f ca="1" t="shared" si="21"/>
        <v>0</v>
      </c>
      <c r="AV22" s="78">
        <f ca="1" t="shared" si="21"/>
        <v>0</v>
      </c>
      <c r="AW22" s="78">
        <f ca="1" t="shared" si="21"/>
        <v>0</v>
      </c>
      <c r="AY22" t="s">
        <v>151</v>
      </c>
      <c r="AZ22" t="str">
        <f ca="1">IF(AX7="zero","\I:",$BA$45&amp;"_"&amp;VLOOKUP(C22,'TRA balance'!$BB$5:$BC$15,2,FALSE))</f>
        <v>\I:</v>
      </c>
      <c r="BA22" t="str">
        <f ca="1" t="shared" si="0"/>
        <v>Trd_hdt</v>
      </c>
      <c r="BB22">
        <f ca="1" t="shared" si="1"/>
        <v>25</v>
      </c>
      <c r="BD22" t="str">
        <f ca="1" t="shared" si="3"/>
        <v>DMD</v>
      </c>
      <c r="BE22" t="str">
        <f ca="1" t="shared" si="4"/>
        <v>\I:</v>
      </c>
      <c r="BG22" t="s">
        <v>92</v>
      </c>
      <c r="BH22" t="s">
        <v>144</v>
      </c>
      <c r="BI22" t="s">
        <v>145</v>
      </c>
    </row>
    <row r="23" spans="1:61">
      <c r="C23" t="str">
        <f t="shared" si="18"/>
        <v>TRAGSL</v>
      </c>
      <c r="D23" s="78">
        <f ca="1" t="shared" si="21"/>
        <v>0</v>
      </c>
      <c r="E23" s="78">
        <f ca="1" t="shared" ref="E23:U23" si="25">ROUND(E8*E32/E40,3)</f>
        <v>0</v>
      </c>
      <c r="F23" s="78">
        <f ca="1" t="shared" si="25"/>
        <v>0</v>
      </c>
      <c r="G23" s="78">
        <f ca="1" t="shared" si="25"/>
        <v>0</v>
      </c>
      <c r="H23" s="78">
        <f ca="1" t="shared" si="25"/>
        <v>0.005</v>
      </c>
      <c r="I23" s="78">
        <f ca="1" t="shared" si="25"/>
        <v>0</v>
      </c>
      <c r="J23" s="78">
        <f ca="1" t="shared" si="25"/>
        <v>0.038</v>
      </c>
      <c r="K23" s="78">
        <f ca="1" t="shared" si="25"/>
        <v>0.084</v>
      </c>
      <c r="L23" s="78">
        <f ca="1" t="shared" si="25"/>
        <v>0.002</v>
      </c>
      <c r="M23" s="78">
        <f ca="1" t="shared" si="25"/>
        <v>0.005</v>
      </c>
      <c r="N23" s="78">
        <f ca="1" t="shared" si="25"/>
        <v>0</v>
      </c>
      <c r="O23" s="78">
        <f ca="1" t="shared" si="25"/>
        <v>0</v>
      </c>
      <c r="P23" s="78">
        <f ca="1" t="shared" si="25"/>
        <v>0</v>
      </c>
      <c r="Q23" s="78">
        <f ca="1" t="shared" si="25"/>
        <v>0.008</v>
      </c>
      <c r="R23" s="78">
        <f ca="1" t="shared" si="25"/>
        <v>0</v>
      </c>
      <c r="S23" s="78">
        <f ca="1" t="shared" si="25"/>
        <v>0</v>
      </c>
      <c r="T23" s="78">
        <f ca="1" t="shared" si="25"/>
        <v>0</v>
      </c>
      <c r="U23" s="78">
        <f ca="1" t="shared" si="25"/>
        <v>0</v>
      </c>
      <c r="V23" s="78">
        <f ca="1" t="shared" si="21"/>
        <v>0</v>
      </c>
      <c r="W23" s="78">
        <f ca="1" t="shared" si="21"/>
        <v>0.071</v>
      </c>
      <c r="X23" s="78">
        <f ca="1" t="shared" si="21"/>
        <v>0.345</v>
      </c>
      <c r="Y23" s="78">
        <f ca="1" t="shared" si="21"/>
        <v>1.534</v>
      </c>
      <c r="Z23" s="78">
        <f ca="1" t="shared" si="21"/>
        <v>0</v>
      </c>
      <c r="AA23" s="78">
        <f ca="1" t="shared" si="21"/>
        <v>0.011</v>
      </c>
      <c r="AB23" s="78">
        <f ca="1" t="shared" si="21"/>
        <v>0</v>
      </c>
      <c r="AC23" s="78">
        <f ca="1" t="shared" si="21"/>
        <v>0.259</v>
      </c>
      <c r="AD23" s="78">
        <f ca="1" t="shared" si="21"/>
        <v>0.149</v>
      </c>
      <c r="AE23" s="78">
        <f ca="1" t="shared" si="21"/>
        <v>0</v>
      </c>
      <c r="AF23" s="78">
        <f ca="1" t="shared" si="21"/>
        <v>0</v>
      </c>
      <c r="AG23" s="78">
        <f ca="1" t="shared" si="21"/>
        <v>0</v>
      </c>
      <c r="AH23" s="78">
        <f ca="1" t="shared" si="21"/>
        <v>0</v>
      </c>
      <c r="AI23" s="78">
        <f ca="1" t="shared" si="21"/>
        <v>0.015</v>
      </c>
      <c r="AJ23" s="78">
        <f ca="1" t="shared" si="21"/>
        <v>0</v>
      </c>
      <c r="AK23" s="78">
        <f ca="1" t="shared" si="21"/>
        <v>0.013</v>
      </c>
      <c r="AL23" s="78">
        <f ca="1" t="shared" si="21"/>
        <v>0.006</v>
      </c>
      <c r="AM23" s="78">
        <f ca="1" t="shared" si="21"/>
        <v>0</v>
      </c>
      <c r="AN23" s="78">
        <f ca="1" t="shared" si="21"/>
        <v>0</v>
      </c>
      <c r="AO23" s="78">
        <f ca="1" t="shared" si="21"/>
        <v>0</v>
      </c>
      <c r="AP23" s="78">
        <f ca="1" t="shared" si="21"/>
        <v>0</v>
      </c>
      <c r="AQ23" s="78">
        <f ca="1" t="shared" si="21"/>
        <v>0</v>
      </c>
      <c r="AR23" s="78">
        <f ca="1" t="shared" si="21"/>
        <v>0</v>
      </c>
      <c r="AS23" s="78">
        <f ca="1" t="shared" si="21"/>
        <v>0</v>
      </c>
      <c r="AT23" s="78">
        <f ca="1" t="shared" si="21"/>
        <v>0</v>
      </c>
      <c r="AU23" s="78">
        <f ca="1" t="shared" si="21"/>
        <v>0</v>
      </c>
      <c r="AV23" s="78">
        <f ca="1" t="shared" si="21"/>
        <v>0</v>
      </c>
      <c r="AW23" s="78">
        <f ca="1" t="shared" si="21"/>
        <v>0</v>
      </c>
      <c r="AY23" t="s">
        <v>151</v>
      </c>
      <c r="AZ23" t="str">
        <f ca="1">IF(AX8="zero","\I:",$BA$45&amp;"_"&amp;VLOOKUP(C23,'TRA balance'!$BB$5:$BC$15,2,FALSE))</f>
        <v>Trd_hdt_gsl</v>
      </c>
      <c r="BA23" t="str">
        <f ca="1" t="shared" si="0"/>
        <v>Trd_hdt</v>
      </c>
      <c r="BB23">
        <f ca="1" t="shared" si="1"/>
        <v>25</v>
      </c>
      <c r="BD23" t="str">
        <f ca="1" t="shared" si="3"/>
        <v>DMD</v>
      </c>
      <c r="BE23" t="str">
        <f ca="1" t="shared" si="4"/>
        <v>Trd_hdt_gsl</v>
      </c>
      <c r="BG23" t="s">
        <v>92</v>
      </c>
      <c r="BH23" t="s">
        <v>144</v>
      </c>
      <c r="BI23" t="s">
        <v>145</v>
      </c>
    </row>
    <row r="24" spans="1:61">
      <c r="C24" t="str">
        <f t="shared" si="18"/>
        <v>TRALPG</v>
      </c>
      <c r="D24" s="78">
        <f ca="1" t="shared" si="21"/>
        <v>0</v>
      </c>
      <c r="E24" s="78">
        <f ca="1" t="shared" ref="E24:U24" si="26">ROUND(E9*E33/E41,3)</f>
        <v>0</v>
      </c>
      <c r="F24" s="78">
        <f ca="1" t="shared" si="26"/>
        <v>0</v>
      </c>
      <c r="G24" s="78">
        <f ca="1" t="shared" si="26"/>
        <v>0</v>
      </c>
      <c r="H24" s="78">
        <f ca="1" t="shared" si="26"/>
        <v>0</v>
      </c>
      <c r="I24" s="78">
        <f ca="1" t="shared" si="26"/>
        <v>0</v>
      </c>
      <c r="J24" s="78">
        <f ca="1" t="shared" si="26"/>
        <v>0</v>
      </c>
      <c r="K24" s="78">
        <f ca="1" t="shared" si="26"/>
        <v>0</v>
      </c>
      <c r="L24" s="78">
        <f ca="1" t="shared" si="26"/>
        <v>0</v>
      </c>
      <c r="M24" s="78">
        <f ca="1" t="shared" si="26"/>
        <v>0</v>
      </c>
      <c r="N24" s="78">
        <f ca="1" t="shared" si="26"/>
        <v>0</v>
      </c>
      <c r="O24" s="78">
        <f ca="1" t="shared" si="26"/>
        <v>0</v>
      </c>
      <c r="P24" s="78">
        <f ca="1" t="shared" si="26"/>
        <v>0</v>
      </c>
      <c r="Q24" s="78">
        <f ca="1" t="shared" si="26"/>
        <v>0</v>
      </c>
      <c r="R24" s="78">
        <f ca="1" t="shared" si="26"/>
        <v>0</v>
      </c>
      <c r="S24" s="78">
        <f ca="1" t="shared" si="26"/>
        <v>0</v>
      </c>
      <c r="T24" s="78">
        <f ca="1" t="shared" si="26"/>
        <v>0</v>
      </c>
      <c r="U24" s="78">
        <f ca="1" t="shared" si="26"/>
        <v>0</v>
      </c>
      <c r="V24" s="78">
        <f ca="1" t="shared" si="21"/>
        <v>0</v>
      </c>
      <c r="W24" s="78">
        <f ca="1" t="shared" si="21"/>
        <v>0</v>
      </c>
      <c r="X24" s="78">
        <f ca="1" t="shared" si="21"/>
        <v>0</v>
      </c>
      <c r="Y24" s="78">
        <f ca="1" t="shared" si="21"/>
        <v>0</v>
      </c>
      <c r="Z24" s="78">
        <f ca="1" t="shared" si="21"/>
        <v>0</v>
      </c>
      <c r="AA24" s="78">
        <f ca="1" t="shared" si="21"/>
        <v>0</v>
      </c>
      <c r="AB24" s="78">
        <f ca="1" t="shared" si="21"/>
        <v>0</v>
      </c>
      <c r="AC24" s="78">
        <f ca="1" t="shared" si="21"/>
        <v>0</v>
      </c>
      <c r="AD24" s="78">
        <f ca="1" t="shared" si="21"/>
        <v>0</v>
      </c>
      <c r="AE24" s="78">
        <f ca="1" t="shared" si="21"/>
        <v>0</v>
      </c>
      <c r="AF24" s="78">
        <f ca="1" t="shared" si="21"/>
        <v>0</v>
      </c>
      <c r="AG24" s="78">
        <f ca="1" t="shared" si="21"/>
        <v>0</v>
      </c>
      <c r="AH24" s="78">
        <f ca="1" t="shared" si="21"/>
        <v>0</v>
      </c>
      <c r="AI24" s="78">
        <f ca="1" t="shared" si="21"/>
        <v>0</v>
      </c>
      <c r="AJ24" s="78">
        <f ca="1" t="shared" si="21"/>
        <v>0</v>
      </c>
      <c r="AK24" s="78">
        <f ca="1" t="shared" si="21"/>
        <v>0</v>
      </c>
      <c r="AL24" s="78">
        <f ca="1" t="shared" si="21"/>
        <v>0</v>
      </c>
      <c r="AM24" s="78">
        <f ca="1" t="shared" si="21"/>
        <v>0</v>
      </c>
      <c r="AN24" s="78">
        <f ca="1" t="shared" si="21"/>
        <v>0</v>
      </c>
      <c r="AO24" s="78">
        <f ca="1" t="shared" si="21"/>
        <v>0</v>
      </c>
      <c r="AP24" s="78">
        <f ca="1" t="shared" si="21"/>
        <v>0</v>
      </c>
      <c r="AQ24" s="78">
        <f ca="1" t="shared" si="21"/>
        <v>0</v>
      </c>
      <c r="AR24" s="78">
        <f ca="1" t="shared" si="21"/>
        <v>0</v>
      </c>
      <c r="AS24" s="78">
        <f ca="1" t="shared" si="21"/>
        <v>0</v>
      </c>
      <c r="AT24" s="78">
        <f ca="1" t="shared" si="21"/>
        <v>0</v>
      </c>
      <c r="AU24" s="78">
        <f ca="1" t="shared" si="21"/>
        <v>0</v>
      </c>
      <c r="AV24" s="78">
        <f ca="1" t="shared" si="21"/>
        <v>0</v>
      </c>
      <c r="AW24" s="78">
        <f ca="1" t="shared" si="21"/>
        <v>0</v>
      </c>
      <c r="AY24" t="s">
        <v>151</v>
      </c>
      <c r="AZ24" t="str">
        <f ca="1">IF(AX9="zero","\I:",$BA$45&amp;"_"&amp;VLOOKUP(C24,'TRA balance'!$BB$5:$BC$15,2,FALSE))</f>
        <v>\I:</v>
      </c>
      <c r="BA24" t="str">
        <f ca="1" t="shared" si="0"/>
        <v>Trd_hdt</v>
      </c>
      <c r="BB24">
        <f ca="1" t="shared" si="1"/>
        <v>25</v>
      </c>
      <c r="BD24" t="str">
        <f ca="1" t="shared" si="3"/>
        <v>DMD</v>
      </c>
      <c r="BE24" t="str">
        <f ca="1" t="shared" si="4"/>
        <v>\I:</v>
      </c>
      <c r="BG24" t="s">
        <v>92</v>
      </c>
      <c r="BH24" t="s">
        <v>144</v>
      </c>
      <c r="BI24" t="s">
        <v>145</v>
      </c>
    </row>
    <row r="25" spans="1:61">
      <c r="C25" t="str">
        <f t="shared" si="18"/>
        <v>TRANGA</v>
      </c>
      <c r="D25" s="78">
        <f ca="1" t="shared" si="21"/>
        <v>0</v>
      </c>
      <c r="E25" s="78">
        <f ca="1" t="shared" ref="E25:U25" si="27">ROUND(E10*E34/E42,3)</f>
        <v>0</v>
      </c>
      <c r="F25" s="78">
        <f ca="1" t="shared" si="27"/>
        <v>0</v>
      </c>
      <c r="G25" s="78">
        <f ca="1" t="shared" si="27"/>
        <v>0</v>
      </c>
      <c r="H25" s="78">
        <f ca="1" t="shared" si="27"/>
        <v>0</v>
      </c>
      <c r="I25" s="78">
        <f ca="1" t="shared" si="27"/>
        <v>0</v>
      </c>
      <c r="J25" s="78">
        <f ca="1" t="shared" si="27"/>
        <v>0</v>
      </c>
      <c r="K25" s="78">
        <f ca="1" t="shared" si="27"/>
        <v>0</v>
      </c>
      <c r="L25" s="78">
        <f ca="1" t="shared" si="27"/>
        <v>0</v>
      </c>
      <c r="M25" s="78">
        <f ca="1" t="shared" si="27"/>
        <v>0</v>
      </c>
      <c r="N25" s="78">
        <f ca="1" t="shared" si="27"/>
        <v>0</v>
      </c>
      <c r="O25" s="78">
        <f ca="1" t="shared" si="27"/>
        <v>0</v>
      </c>
      <c r="P25" s="78">
        <f ca="1" t="shared" si="27"/>
        <v>0</v>
      </c>
      <c r="Q25" s="78">
        <f ca="1" t="shared" si="27"/>
        <v>0</v>
      </c>
      <c r="R25" s="78">
        <f ca="1" t="shared" si="27"/>
        <v>0</v>
      </c>
      <c r="S25" s="78">
        <f ca="1" t="shared" si="27"/>
        <v>0</v>
      </c>
      <c r="T25" s="78">
        <f ca="1" t="shared" si="27"/>
        <v>0</v>
      </c>
      <c r="U25" s="78">
        <f ca="1" t="shared" si="27"/>
        <v>0</v>
      </c>
      <c r="V25" s="78">
        <f ca="1" t="shared" si="21"/>
        <v>0</v>
      </c>
      <c r="W25" s="78">
        <f ca="1" t="shared" si="21"/>
        <v>0</v>
      </c>
      <c r="X25" s="78">
        <f ca="1" t="shared" si="21"/>
        <v>0</v>
      </c>
      <c r="Y25" s="78">
        <f ca="1" t="shared" si="21"/>
        <v>0</v>
      </c>
      <c r="Z25" s="78">
        <f ca="1" t="shared" si="21"/>
        <v>0</v>
      </c>
      <c r="AA25" s="78">
        <f ca="1" t="shared" si="21"/>
        <v>0</v>
      </c>
      <c r="AB25" s="78">
        <f ca="1" t="shared" si="21"/>
        <v>0</v>
      </c>
      <c r="AC25" s="78">
        <f ca="1" t="shared" si="21"/>
        <v>0</v>
      </c>
      <c r="AD25" s="78">
        <f ca="1" t="shared" si="21"/>
        <v>0</v>
      </c>
      <c r="AE25" s="78">
        <f ca="1" t="shared" si="21"/>
        <v>0</v>
      </c>
      <c r="AF25" s="78">
        <f ca="1" t="shared" si="21"/>
        <v>0</v>
      </c>
      <c r="AG25" s="78">
        <f ca="1" t="shared" si="21"/>
        <v>0</v>
      </c>
      <c r="AH25" s="78">
        <f ca="1" t="shared" si="21"/>
        <v>0</v>
      </c>
      <c r="AI25" s="78">
        <f ca="1" t="shared" si="21"/>
        <v>0</v>
      </c>
      <c r="AJ25" s="78">
        <f ca="1" t="shared" si="21"/>
        <v>0</v>
      </c>
      <c r="AK25" s="78">
        <f ca="1" t="shared" si="21"/>
        <v>0</v>
      </c>
      <c r="AL25" s="78">
        <f ca="1" t="shared" si="21"/>
        <v>0</v>
      </c>
      <c r="AM25" s="78">
        <f ca="1" t="shared" si="21"/>
        <v>0</v>
      </c>
      <c r="AN25" s="78">
        <f ca="1" t="shared" si="21"/>
        <v>0</v>
      </c>
      <c r="AO25" s="78">
        <f ca="1" t="shared" si="21"/>
        <v>0</v>
      </c>
      <c r="AP25" s="78">
        <f ca="1" t="shared" si="21"/>
        <v>0</v>
      </c>
      <c r="AQ25" s="78">
        <f ca="1" t="shared" si="21"/>
        <v>0</v>
      </c>
      <c r="AR25" s="78">
        <f ca="1" t="shared" si="21"/>
        <v>0</v>
      </c>
      <c r="AS25" s="78">
        <f ca="1" t="shared" si="21"/>
        <v>0</v>
      </c>
      <c r="AT25" s="78">
        <f ca="1" t="shared" si="21"/>
        <v>0</v>
      </c>
      <c r="AU25" s="78">
        <f ca="1" t="shared" si="21"/>
        <v>0</v>
      </c>
      <c r="AV25" s="78">
        <f ca="1" t="shared" si="21"/>
        <v>0</v>
      </c>
      <c r="AW25" s="78">
        <f ca="1" t="shared" si="21"/>
        <v>0</v>
      </c>
      <c r="AY25" t="s">
        <v>151</v>
      </c>
      <c r="AZ25" t="str">
        <f ca="1">IF(AX10="zero","\I:",$BA$45&amp;"_"&amp;VLOOKUP(C25,'TRA balance'!$BB$5:$BC$15,2,FALSE))</f>
        <v>\I:</v>
      </c>
      <c r="BA25" t="str">
        <f ca="1" t="shared" si="0"/>
        <v>Trd_hdt</v>
      </c>
      <c r="BB25">
        <f ca="1" t="shared" si="1"/>
        <v>25</v>
      </c>
      <c r="BD25" t="str">
        <f ca="1" t="shared" si="3"/>
        <v>DMD</v>
      </c>
      <c r="BE25" t="str">
        <f ca="1" t="shared" si="4"/>
        <v>\I:</v>
      </c>
      <c r="BG25" t="s">
        <v>92</v>
      </c>
      <c r="BH25" t="s">
        <v>144</v>
      </c>
      <c r="BI25" t="s">
        <v>145</v>
      </c>
    </row>
    <row r="26" spans="1:61"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Y26" t="s">
        <v>133</v>
      </c>
      <c r="BA26" t="str">
        <f t="shared" si="0"/>
        <v/>
      </c>
      <c r="BB26" t="str">
        <f t="shared" si="1"/>
        <v/>
      </c>
      <c r="BD26" t="str">
        <f t="shared" si="3"/>
        <v>*</v>
      </c>
      <c r="BE26">
        <f t="shared" si="4"/>
        <v>0</v>
      </c>
      <c r="BG26" t="s">
        <v>92</v>
      </c>
      <c r="BH26" t="s">
        <v>144</v>
      </c>
      <c r="BI26" t="s">
        <v>145</v>
      </c>
    </row>
    <row r="27" spans="1:61"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Y27" t="s">
        <v>133</v>
      </c>
      <c r="BA27" t="str">
        <f t="shared" si="0"/>
        <v/>
      </c>
      <c r="BB27" t="str">
        <f t="shared" si="1"/>
        <v/>
      </c>
      <c r="BD27" t="str">
        <f t="shared" si="3"/>
        <v>*</v>
      </c>
      <c r="BE27">
        <f t="shared" si="4"/>
        <v>0</v>
      </c>
      <c r="BG27" t="s">
        <v>92</v>
      </c>
      <c r="BH27" t="s">
        <v>144</v>
      </c>
      <c r="BI27" t="s">
        <v>145</v>
      </c>
    </row>
    <row r="28" spans="1:61">
      <c r="A28" t="s">
        <v>152</v>
      </c>
      <c r="C28" t="str">
        <f>C19</f>
        <v>TRABDS</v>
      </c>
      <c r="D28">
        <f t="shared" ref="D28:AC34" si="28">$AX28*D$27</f>
        <v>0.139365903767697</v>
      </c>
      <c r="E28">
        <f t="shared" si="28"/>
        <v>0.139365903767697</v>
      </c>
      <c r="F28">
        <f t="shared" si="28"/>
        <v>0.139365903767697</v>
      </c>
      <c r="G28">
        <f t="shared" si="28"/>
        <v>0.139365903767697</v>
      </c>
      <c r="H28">
        <f t="shared" si="28"/>
        <v>0.139365903767697</v>
      </c>
      <c r="I28">
        <f t="shared" si="28"/>
        <v>0.139365903767697</v>
      </c>
      <c r="J28">
        <f t="shared" si="28"/>
        <v>0.139365903767697</v>
      </c>
      <c r="K28">
        <f t="shared" si="28"/>
        <v>0.139365903767697</v>
      </c>
      <c r="L28">
        <f t="shared" si="28"/>
        <v>0.139365903767697</v>
      </c>
      <c r="M28">
        <f t="shared" si="28"/>
        <v>0.139365903767697</v>
      </c>
      <c r="N28">
        <f t="shared" si="28"/>
        <v>0.139365903767697</v>
      </c>
      <c r="O28">
        <f t="shared" si="28"/>
        <v>0.139365903767697</v>
      </c>
      <c r="P28">
        <f t="shared" si="28"/>
        <v>0.139365903767697</v>
      </c>
      <c r="Q28">
        <f t="shared" si="28"/>
        <v>0.139365903767697</v>
      </c>
      <c r="R28">
        <f t="shared" si="28"/>
        <v>0.139365903767697</v>
      </c>
      <c r="S28">
        <f t="shared" si="28"/>
        <v>0.139365903767697</v>
      </c>
      <c r="T28">
        <f t="shared" si="28"/>
        <v>0.139365903767697</v>
      </c>
      <c r="U28">
        <f t="shared" si="28"/>
        <v>0.139365903767697</v>
      </c>
      <c r="V28">
        <f t="shared" si="28"/>
        <v>0.139365903767697</v>
      </c>
      <c r="W28">
        <f t="shared" si="28"/>
        <v>0.139365903767697</v>
      </c>
      <c r="X28">
        <f t="shared" si="28"/>
        <v>0.139365903767697</v>
      </c>
      <c r="Y28">
        <f t="shared" si="28"/>
        <v>0.139365903767697</v>
      </c>
      <c r="Z28">
        <f t="shared" si="28"/>
        <v>0.139365903767697</v>
      </c>
      <c r="AA28">
        <f t="shared" si="28"/>
        <v>0.139365903767697</v>
      </c>
      <c r="AB28">
        <f t="shared" si="28"/>
        <v>0.139365903767697</v>
      </c>
      <c r="AC28">
        <f t="shared" si="28"/>
        <v>0.139365903767697</v>
      </c>
      <c r="AD28">
        <f t="shared" ref="AD28:AS34" si="29">$AX28*AD$27</f>
        <v>0.139365903767697</v>
      </c>
      <c r="AE28">
        <f t="shared" si="29"/>
        <v>0.139365903767697</v>
      </c>
      <c r="AF28">
        <f t="shared" si="29"/>
        <v>0.139365903767697</v>
      </c>
      <c r="AG28">
        <f t="shared" si="29"/>
        <v>0.139365903767697</v>
      </c>
      <c r="AH28">
        <f t="shared" si="29"/>
        <v>0.139365903767697</v>
      </c>
      <c r="AI28">
        <f t="shared" si="29"/>
        <v>0.139365903767697</v>
      </c>
      <c r="AJ28">
        <f t="shared" si="29"/>
        <v>0.139365903767697</v>
      </c>
      <c r="AK28">
        <f t="shared" si="29"/>
        <v>0.139365903767697</v>
      </c>
      <c r="AL28">
        <f t="shared" si="29"/>
        <v>0.139365903767697</v>
      </c>
      <c r="AM28">
        <f t="shared" si="29"/>
        <v>0.139365903767697</v>
      </c>
      <c r="AN28">
        <f t="shared" si="29"/>
        <v>0.139365903767697</v>
      </c>
      <c r="AO28">
        <f t="shared" si="29"/>
        <v>0.139365903767697</v>
      </c>
      <c r="AP28">
        <f t="shared" si="29"/>
        <v>0.139365903767697</v>
      </c>
      <c r="AQ28">
        <f t="shared" si="29"/>
        <v>0.139365903767697</v>
      </c>
      <c r="AR28">
        <f t="shared" si="29"/>
        <v>0.139365903767697</v>
      </c>
      <c r="AS28">
        <f t="shared" si="29"/>
        <v>0.139365903767697</v>
      </c>
      <c r="AT28">
        <f t="shared" ref="AK28:AW34" si="30">$AX28*AT$27</f>
        <v>0.139365903767697</v>
      </c>
      <c r="AU28">
        <f t="shared" si="30"/>
        <v>0.139365903767697</v>
      </c>
      <c r="AV28">
        <f t="shared" si="30"/>
        <v>0.139365903767697</v>
      </c>
      <c r="AW28">
        <f t="shared" si="30"/>
        <v>0.139365903767697</v>
      </c>
      <c r="AX28" s="106">
        <f>AX30</f>
        <v>0.139365903767697</v>
      </c>
      <c r="AY28" t="s">
        <v>153</v>
      </c>
      <c r="AZ28" s="3" t="str">
        <f ca="1">AZ19</f>
        <v>Trd_hdt_bdl</v>
      </c>
      <c r="BA28" t="str">
        <f ca="1" t="shared" si="0"/>
        <v>Trd_hdt</v>
      </c>
      <c r="BB28">
        <f ca="1" t="shared" si="1"/>
        <v>25</v>
      </c>
      <c r="BD28" t="str">
        <f ca="1" t="shared" si="3"/>
        <v>DMD</v>
      </c>
      <c r="BE28" t="str">
        <f ca="1" t="shared" si="4"/>
        <v>Trd_hdt_bdl</v>
      </c>
      <c r="BG28" t="s">
        <v>92</v>
      </c>
      <c r="BH28" t="s">
        <v>144</v>
      </c>
      <c r="BI28" t="s">
        <v>145</v>
      </c>
    </row>
    <row r="29" spans="1:61">
      <c r="C29" t="str">
        <f t="shared" ref="C29:C34" si="31">C20</f>
        <v>TRABGS</v>
      </c>
      <c r="D29">
        <f t="shared" si="28"/>
        <v>0.139365903767697</v>
      </c>
      <c r="E29">
        <f t="shared" si="28"/>
        <v>0.139365903767697</v>
      </c>
      <c r="F29">
        <f t="shared" si="28"/>
        <v>0.139365903767697</v>
      </c>
      <c r="G29">
        <f t="shared" si="28"/>
        <v>0.139365903767697</v>
      </c>
      <c r="H29">
        <f t="shared" si="28"/>
        <v>0.139365903767697</v>
      </c>
      <c r="I29">
        <f t="shared" si="28"/>
        <v>0.139365903767697</v>
      </c>
      <c r="J29">
        <f t="shared" si="28"/>
        <v>0.139365903767697</v>
      </c>
      <c r="K29">
        <f t="shared" si="28"/>
        <v>0.139365903767697</v>
      </c>
      <c r="L29">
        <f t="shared" si="28"/>
        <v>0.139365903767697</v>
      </c>
      <c r="M29">
        <f t="shared" si="28"/>
        <v>0.139365903767697</v>
      </c>
      <c r="N29">
        <f t="shared" si="28"/>
        <v>0.139365903767697</v>
      </c>
      <c r="O29">
        <f t="shared" si="28"/>
        <v>0.139365903767697</v>
      </c>
      <c r="P29">
        <f t="shared" si="28"/>
        <v>0.139365903767697</v>
      </c>
      <c r="Q29">
        <f t="shared" si="28"/>
        <v>0.139365903767697</v>
      </c>
      <c r="R29">
        <f t="shared" si="28"/>
        <v>0.139365903767697</v>
      </c>
      <c r="S29">
        <f t="shared" si="28"/>
        <v>0.139365903767697</v>
      </c>
      <c r="T29">
        <f t="shared" si="28"/>
        <v>0.139365903767697</v>
      </c>
      <c r="U29">
        <f t="shared" si="28"/>
        <v>0.139365903767697</v>
      </c>
      <c r="V29">
        <f t="shared" si="28"/>
        <v>0.139365903767697</v>
      </c>
      <c r="W29">
        <f t="shared" si="28"/>
        <v>0.139365903767697</v>
      </c>
      <c r="X29">
        <f t="shared" si="28"/>
        <v>0.139365903767697</v>
      </c>
      <c r="Y29">
        <f t="shared" si="28"/>
        <v>0.139365903767697</v>
      </c>
      <c r="Z29">
        <f t="shared" si="28"/>
        <v>0.139365903767697</v>
      </c>
      <c r="AA29">
        <f t="shared" si="28"/>
        <v>0.139365903767697</v>
      </c>
      <c r="AB29">
        <f t="shared" si="28"/>
        <v>0.139365903767697</v>
      </c>
      <c r="AC29">
        <f t="shared" si="28"/>
        <v>0.139365903767697</v>
      </c>
      <c r="AD29">
        <f t="shared" si="29"/>
        <v>0.139365903767697</v>
      </c>
      <c r="AE29">
        <f t="shared" si="29"/>
        <v>0.139365903767697</v>
      </c>
      <c r="AF29">
        <f t="shared" si="29"/>
        <v>0.139365903767697</v>
      </c>
      <c r="AG29">
        <f t="shared" si="29"/>
        <v>0.139365903767697</v>
      </c>
      <c r="AH29">
        <f t="shared" si="29"/>
        <v>0.139365903767697</v>
      </c>
      <c r="AI29">
        <f t="shared" si="29"/>
        <v>0.139365903767697</v>
      </c>
      <c r="AJ29">
        <f t="shared" si="29"/>
        <v>0.139365903767697</v>
      </c>
      <c r="AK29">
        <f t="shared" si="30"/>
        <v>0.139365903767697</v>
      </c>
      <c r="AL29">
        <f t="shared" si="29"/>
        <v>0.139365903767697</v>
      </c>
      <c r="AM29">
        <f t="shared" si="30"/>
        <v>0.139365903767697</v>
      </c>
      <c r="AN29">
        <f t="shared" si="30"/>
        <v>0.139365903767697</v>
      </c>
      <c r="AO29">
        <f t="shared" si="30"/>
        <v>0.139365903767697</v>
      </c>
      <c r="AP29">
        <f t="shared" si="30"/>
        <v>0.139365903767697</v>
      </c>
      <c r="AQ29">
        <f t="shared" si="30"/>
        <v>0.139365903767697</v>
      </c>
      <c r="AR29">
        <f t="shared" si="30"/>
        <v>0.139365903767697</v>
      </c>
      <c r="AS29">
        <f t="shared" si="30"/>
        <v>0.139365903767697</v>
      </c>
      <c r="AT29">
        <f t="shared" si="30"/>
        <v>0.139365903767697</v>
      </c>
      <c r="AU29">
        <f t="shared" si="30"/>
        <v>0.139365903767697</v>
      </c>
      <c r="AV29">
        <f t="shared" si="30"/>
        <v>0.139365903767697</v>
      </c>
      <c r="AW29">
        <f t="shared" si="30"/>
        <v>0.139365903767697</v>
      </c>
      <c r="AX29" s="106">
        <f>AX32</f>
        <v>0.139365903767697</v>
      </c>
      <c r="AY29" t="s">
        <v>153</v>
      </c>
      <c r="AZ29" s="3" t="str">
        <f ca="1" t="shared" ref="AZ29:AZ34" si="32">AZ20</f>
        <v>\I:</v>
      </c>
      <c r="BA29" t="str">
        <f ca="1" t="shared" si="0"/>
        <v>Trd_hdt</v>
      </c>
      <c r="BB29">
        <f ca="1" t="shared" si="1"/>
        <v>25</v>
      </c>
      <c r="BD29" t="str">
        <f ca="1" t="shared" si="3"/>
        <v>DMD</v>
      </c>
      <c r="BE29" t="str">
        <f ca="1" t="shared" si="4"/>
        <v>\I:</v>
      </c>
      <c r="BG29" t="s">
        <v>92</v>
      </c>
      <c r="BH29" t="s">
        <v>144</v>
      </c>
      <c r="BI29" t="s">
        <v>145</v>
      </c>
    </row>
    <row r="30" spans="1:61">
      <c r="C30" t="str">
        <f t="shared" si="31"/>
        <v>TRADST</v>
      </c>
      <c r="D30">
        <f t="shared" si="28"/>
        <v>0.139365903767697</v>
      </c>
      <c r="E30">
        <f t="shared" si="28"/>
        <v>0.139365903767697</v>
      </c>
      <c r="F30">
        <f t="shared" si="28"/>
        <v>0.139365903767697</v>
      </c>
      <c r="G30">
        <f t="shared" si="28"/>
        <v>0.139365903767697</v>
      </c>
      <c r="H30">
        <f t="shared" si="28"/>
        <v>0.139365903767697</v>
      </c>
      <c r="I30">
        <f t="shared" si="28"/>
        <v>0.139365903767697</v>
      </c>
      <c r="J30">
        <f t="shared" si="28"/>
        <v>0.139365903767697</v>
      </c>
      <c r="K30">
        <f t="shared" si="28"/>
        <v>0.139365903767697</v>
      </c>
      <c r="L30">
        <f t="shared" si="28"/>
        <v>0.139365903767697</v>
      </c>
      <c r="M30">
        <f t="shared" si="28"/>
        <v>0.139365903767697</v>
      </c>
      <c r="N30">
        <f t="shared" si="28"/>
        <v>0.139365903767697</v>
      </c>
      <c r="O30">
        <f t="shared" si="28"/>
        <v>0.139365903767697</v>
      </c>
      <c r="P30">
        <f t="shared" si="28"/>
        <v>0.139365903767697</v>
      </c>
      <c r="Q30">
        <f t="shared" si="28"/>
        <v>0.139365903767697</v>
      </c>
      <c r="R30">
        <f t="shared" si="28"/>
        <v>0.139365903767697</v>
      </c>
      <c r="S30">
        <f t="shared" si="28"/>
        <v>0.139365903767697</v>
      </c>
      <c r="T30">
        <f t="shared" si="28"/>
        <v>0.139365903767697</v>
      </c>
      <c r="U30">
        <f t="shared" si="28"/>
        <v>0.139365903767697</v>
      </c>
      <c r="V30">
        <f t="shared" si="28"/>
        <v>0.139365903767697</v>
      </c>
      <c r="W30">
        <f t="shared" si="28"/>
        <v>0.139365903767697</v>
      </c>
      <c r="X30">
        <f t="shared" si="28"/>
        <v>0.139365903767697</v>
      </c>
      <c r="Y30">
        <f t="shared" si="28"/>
        <v>0.139365903767697</v>
      </c>
      <c r="Z30">
        <f t="shared" si="28"/>
        <v>0.139365903767697</v>
      </c>
      <c r="AA30">
        <f t="shared" si="28"/>
        <v>0.139365903767697</v>
      </c>
      <c r="AB30">
        <f t="shared" si="28"/>
        <v>0.139365903767697</v>
      </c>
      <c r="AC30">
        <f t="shared" si="28"/>
        <v>0.139365903767697</v>
      </c>
      <c r="AD30">
        <f t="shared" si="29"/>
        <v>0.139365903767697</v>
      </c>
      <c r="AE30">
        <f t="shared" si="29"/>
        <v>0.139365903767697</v>
      </c>
      <c r="AF30">
        <f t="shared" si="29"/>
        <v>0.139365903767697</v>
      </c>
      <c r="AG30">
        <f t="shared" si="29"/>
        <v>0.139365903767697</v>
      </c>
      <c r="AH30">
        <f t="shared" si="29"/>
        <v>0.139365903767697</v>
      </c>
      <c r="AI30">
        <f t="shared" si="29"/>
        <v>0.139365903767697</v>
      </c>
      <c r="AJ30">
        <f t="shared" si="29"/>
        <v>0.139365903767697</v>
      </c>
      <c r="AK30">
        <f t="shared" si="30"/>
        <v>0.139365903767697</v>
      </c>
      <c r="AL30">
        <f t="shared" si="29"/>
        <v>0.139365903767697</v>
      </c>
      <c r="AM30">
        <f t="shared" si="30"/>
        <v>0.139365903767697</v>
      </c>
      <c r="AN30">
        <f t="shared" si="30"/>
        <v>0.139365903767697</v>
      </c>
      <c r="AO30">
        <f t="shared" si="30"/>
        <v>0.139365903767697</v>
      </c>
      <c r="AP30">
        <f t="shared" si="30"/>
        <v>0.139365903767697</v>
      </c>
      <c r="AQ30">
        <f t="shared" si="30"/>
        <v>0.139365903767697</v>
      </c>
      <c r="AR30">
        <f t="shared" si="30"/>
        <v>0.139365903767697</v>
      </c>
      <c r="AS30">
        <f t="shared" si="30"/>
        <v>0.139365903767697</v>
      </c>
      <c r="AT30">
        <f t="shared" si="30"/>
        <v>0.139365903767697</v>
      </c>
      <c r="AU30">
        <f t="shared" si="30"/>
        <v>0.139365903767697</v>
      </c>
      <c r="AV30">
        <f t="shared" si="30"/>
        <v>0.139365903767697</v>
      </c>
      <c r="AW30">
        <f t="shared" si="30"/>
        <v>0.139365903767697</v>
      </c>
      <c r="AX30" s="106">
        <v>0.139365903767697</v>
      </c>
      <c r="AY30" t="s">
        <v>153</v>
      </c>
      <c r="AZ30" s="107" t="str">
        <f ca="1" t="shared" si="32"/>
        <v>Trd_hdt_dsl</v>
      </c>
      <c r="BA30" t="str">
        <f ca="1" t="shared" si="0"/>
        <v>Trd_hdt</v>
      </c>
      <c r="BB30">
        <f ca="1" t="shared" si="1"/>
        <v>25</v>
      </c>
      <c r="BD30" t="str">
        <f ca="1" t="shared" si="3"/>
        <v>DMD</v>
      </c>
      <c r="BE30" t="str">
        <f ca="1" t="shared" si="4"/>
        <v>Trd_hdt_dsl</v>
      </c>
      <c r="BG30" t="s">
        <v>92</v>
      </c>
      <c r="BH30" t="s">
        <v>144</v>
      </c>
      <c r="BI30" t="s">
        <v>145</v>
      </c>
    </row>
    <row r="31" spans="1:61">
      <c r="C31" t="str">
        <f t="shared" si="31"/>
        <v>TRAELC</v>
      </c>
      <c r="D31">
        <f t="shared" si="28"/>
        <v>0</v>
      </c>
      <c r="E31">
        <f t="shared" si="28"/>
        <v>0</v>
      </c>
      <c r="F31">
        <f t="shared" si="28"/>
        <v>0</v>
      </c>
      <c r="G31">
        <f t="shared" si="28"/>
        <v>0</v>
      </c>
      <c r="H31">
        <f t="shared" si="28"/>
        <v>0</v>
      </c>
      <c r="I31">
        <f t="shared" si="28"/>
        <v>0</v>
      </c>
      <c r="J31">
        <f t="shared" si="28"/>
        <v>0</v>
      </c>
      <c r="K31">
        <f t="shared" si="28"/>
        <v>0</v>
      </c>
      <c r="L31">
        <f t="shared" si="28"/>
        <v>0</v>
      </c>
      <c r="M31">
        <f t="shared" si="28"/>
        <v>0</v>
      </c>
      <c r="N31">
        <f t="shared" si="28"/>
        <v>0</v>
      </c>
      <c r="O31">
        <f t="shared" si="28"/>
        <v>0</v>
      </c>
      <c r="P31">
        <f t="shared" si="28"/>
        <v>0</v>
      </c>
      <c r="Q31">
        <f t="shared" si="28"/>
        <v>0</v>
      </c>
      <c r="R31">
        <f t="shared" si="28"/>
        <v>0</v>
      </c>
      <c r="S31">
        <f t="shared" si="28"/>
        <v>0</v>
      </c>
      <c r="T31">
        <f t="shared" si="28"/>
        <v>0</v>
      </c>
      <c r="U31">
        <f t="shared" si="28"/>
        <v>0</v>
      </c>
      <c r="V31">
        <f t="shared" si="28"/>
        <v>0</v>
      </c>
      <c r="W31">
        <f t="shared" si="28"/>
        <v>0</v>
      </c>
      <c r="X31">
        <f t="shared" si="28"/>
        <v>0</v>
      </c>
      <c r="Y31">
        <f t="shared" si="28"/>
        <v>0</v>
      </c>
      <c r="Z31">
        <f t="shared" si="28"/>
        <v>0</v>
      </c>
      <c r="AA31">
        <f t="shared" si="28"/>
        <v>0</v>
      </c>
      <c r="AB31">
        <f t="shared" si="28"/>
        <v>0</v>
      </c>
      <c r="AC31">
        <f t="shared" si="28"/>
        <v>0</v>
      </c>
      <c r="AD31">
        <f t="shared" si="29"/>
        <v>0</v>
      </c>
      <c r="AE31">
        <f t="shared" si="29"/>
        <v>0</v>
      </c>
      <c r="AF31">
        <f t="shared" si="29"/>
        <v>0</v>
      </c>
      <c r="AG31">
        <f t="shared" si="29"/>
        <v>0</v>
      </c>
      <c r="AH31">
        <f t="shared" si="29"/>
        <v>0</v>
      </c>
      <c r="AI31">
        <f t="shared" si="29"/>
        <v>0</v>
      </c>
      <c r="AJ31">
        <f t="shared" si="29"/>
        <v>0</v>
      </c>
      <c r="AK31">
        <f t="shared" si="30"/>
        <v>0</v>
      </c>
      <c r="AL31">
        <f t="shared" si="29"/>
        <v>0</v>
      </c>
      <c r="AM31">
        <f t="shared" si="30"/>
        <v>0</v>
      </c>
      <c r="AN31">
        <f t="shared" si="30"/>
        <v>0</v>
      </c>
      <c r="AO31">
        <f t="shared" si="30"/>
        <v>0</v>
      </c>
      <c r="AP31">
        <f t="shared" si="30"/>
        <v>0</v>
      </c>
      <c r="AQ31">
        <f t="shared" si="30"/>
        <v>0</v>
      </c>
      <c r="AR31">
        <f t="shared" si="30"/>
        <v>0</v>
      </c>
      <c r="AS31">
        <f t="shared" si="30"/>
        <v>0</v>
      </c>
      <c r="AT31">
        <f t="shared" si="30"/>
        <v>0</v>
      </c>
      <c r="AU31">
        <f t="shared" si="30"/>
        <v>0</v>
      </c>
      <c r="AV31">
        <f t="shared" si="30"/>
        <v>0</v>
      </c>
      <c r="AW31">
        <f t="shared" si="30"/>
        <v>0</v>
      </c>
      <c r="AX31" s="106"/>
      <c r="AY31" t="s">
        <v>153</v>
      </c>
      <c r="AZ31" s="3" t="str">
        <f ca="1" t="shared" si="32"/>
        <v>\I:</v>
      </c>
      <c r="BA31" t="str">
        <f ca="1" t="shared" si="0"/>
        <v>Trd_hdt</v>
      </c>
      <c r="BB31">
        <f ca="1" t="shared" si="1"/>
        <v>25</v>
      </c>
      <c r="BD31" t="str">
        <f ca="1" t="shared" si="3"/>
        <v>DMD</v>
      </c>
      <c r="BE31" t="str">
        <f ca="1" t="shared" si="4"/>
        <v>\I:</v>
      </c>
      <c r="BG31" t="s">
        <v>92</v>
      </c>
      <c r="BH31" t="s">
        <v>144</v>
      </c>
      <c r="BI31" t="s">
        <v>145</v>
      </c>
    </row>
    <row r="32" spans="1:61">
      <c r="C32" t="str">
        <f t="shared" si="31"/>
        <v>TRAGSL</v>
      </c>
      <c r="D32">
        <f t="shared" si="28"/>
        <v>0.139365903767697</v>
      </c>
      <c r="E32">
        <f t="shared" si="28"/>
        <v>0.139365903767697</v>
      </c>
      <c r="F32">
        <f t="shared" si="28"/>
        <v>0.139365903767697</v>
      </c>
      <c r="G32">
        <f t="shared" si="28"/>
        <v>0.139365903767697</v>
      </c>
      <c r="H32">
        <f t="shared" si="28"/>
        <v>0.139365903767697</v>
      </c>
      <c r="I32">
        <f t="shared" si="28"/>
        <v>0.139365903767697</v>
      </c>
      <c r="J32">
        <f t="shared" si="28"/>
        <v>0.139365903767697</v>
      </c>
      <c r="K32">
        <f t="shared" si="28"/>
        <v>0.139365903767697</v>
      </c>
      <c r="L32">
        <f t="shared" si="28"/>
        <v>0.139365903767697</v>
      </c>
      <c r="M32">
        <f t="shared" si="28"/>
        <v>0.139365903767697</v>
      </c>
      <c r="N32">
        <f t="shared" si="28"/>
        <v>0.139365903767697</v>
      </c>
      <c r="O32">
        <f t="shared" si="28"/>
        <v>0.139365903767697</v>
      </c>
      <c r="P32">
        <f t="shared" si="28"/>
        <v>0.139365903767697</v>
      </c>
      <c r="Q32">
        <f t="shared" si="28"/>
        <v>0.139365903767697</v>
      </c>
      <c r="R32">
        <f t="shared" si="28"/>
        <v>0.139365903767697</v>
      </c>
      <c r="S32">
        <f t="shared" si="28"/>
        <v>0.139365903767697</v>
      </c>
      <c r="T32">
        <f t="shared" si="28"/>
        <v>0.139365903767697</v>
      </c>
      <c r="U32">
        <f t="shared" si="28"/>
        <v>0.139365903767697</v>
      </c>
      <c r="V32">
        <f t="shared" si="28"/>
        <v>0.139365903767697</v>
      </c>
      <c r="W32">
        <f t="shared" si="28"/>
        <v>0.139365903767697</v>
      </c>
      <c r="X32">
        <f t="shared" si="28"/>
        <v>0.139365903767697</v>
      </c>
      <c r="Y32">
        <f t="shared" si="28"/>
        <v>0.139365903767697</v>
      </c>
      <c r="Z32">
        <f t="shared" si="28"/>
        <v>0.139365903767697</v>
      </c>
      <c r="AA32">
        <f t="shared" si="28"/>
        <v>0.139365903767697</v>
      </c>
      <c r="AB32">
        <f t="shared" si="28"/>
        <v>0.139365903767697</v>
      </c>
      <c r="AC32">
        <f t="shared" si="28"/>
        <v>0.139365903767697</v>
      </c>
      <c r="AD32">
        <f t="shared" si="29"/>
        <v>0.139365903767697</v>
      </c>
      <c r="AE32">
        <f t="shared" si="29"/>
        <v>0.139365903767697</v>
      </c>
      <c r="AF32">
        <f t="shared" si="29"/>
        <v>0.139365903767697</v>
      </c>
      <c r="AG32">
        <f t="shared" si="29"/>
        <v>0.139365903767697</v>
      </c>
      <c r="AH32">
        <f t="shared" si="29"/>
        <v>0.139365903767697</v>
      </c>
      <c r="AI32">
        <f t="shared" si="29"/>
        <v>0.139365903767697</v>
      </c>
      <c r="AJ32">
        <f t="shared" si="29"/>
        <v>0.139365903767697</v>
      </c>
      <c r="AK32">
        <f t="shared" si="30"/>
        <v>0.139365903767697</v>
      </c>
      <c r="AL32">
        <f t="shared" si="29"/>
        <v>0.139365903767697</v>
      </c>
      <c r="AM32">
        <f t="shared" si="30"/>
        <v>0.139365903767697</v>
      </c>
      <c r="AN32">
        <f t="shared" si="30"/>
        <v>0.139365903767697</v>
      </c>
      <c r="AO32">
        <f t="shared" si="30"/>
        <v>0.139365903767697</v>
      </c>
      <c r="AP32">
        <f t="shared" si="30"/>
        <v>0.139365903767697</v>
      </c>
      <c r="AQ32">
        <f t="shared" si="30"/>
        <v>0.139365903767697</v>
      </c>
      <c r="AR32">
        <f t="shared" si="30"/>
        <v>0.139365903767697</v>
      </c>
      <c r="AS32">
        <f t="shared" si="30"/>
        <v>0.139365903767697</v>
      </c>
      <c r="AT32">
        <f t="shared" si="30"/>
        <v>0.139365903767697</v>
      </c>
      <c r="AU32">
        <f t="shared" si="30"/>
        <v>0.139365903767697</v>
      </c>
      <c r="AV32">
        <f t="shared" si="30"/>
        <v>0.139365903767697</v>
      </c>
      <c r="AW32">
        <f t="shared" si="30"/>
        <v>0.139365903767697</v>
      </c>
      <c r="AX32" s="106">
        <v>0.139365903767697</v>
      </c>
      <c r="AY32" t="s">
        <v>153</v>
      </c>
      <c r="AZ32" s="3" t="str">
        <f ca="1" t="shared" si="32"/>
        <v>Trd_hdt_gsl</v>
      </c>
      <c r="BA32" t="str">
        <f ca="1" t="shared" si="0"/>
        <v>Trd_hdt</v>
      </c>
      <c r="BB32">
        <f ca="1" t="shared" si="1"/>
        <v>25</v>
      </c>
      <c r="BD32" t="str">
        <f ca="1" t="shared" si="3"/>
        <v>DMD</v>
      </c>
      <c r="BE32" t="str">
        <f ca="1" t="shared" si="4"/>
        <v>Trd_hdt_gsl</v>
      </c>
      <c r="BG32" t="s">
        <v>92</v>
      </c>
      <c r="BH32" t="s">
        <v>144</v>
      </c>
      <c r="BI32" t="s">
        <v>145</v>
      </c>
    </row>
    <row r="33" spans="1:61">
      <c r="C33" t="str">
        <f t="shared" si="31"/>
        <v>TRALPG</v>
      </c>
      <c r="D33">
        <f t="shared" si="28"/>
        <v>0</v>
      </c>
      <c r="E33">
        <f t="shared" si="28"/>
        <v>0</v>
      </c>
      <c r="F33">
        <f t="shared" si="28"/>
        <v>0</v>
      </c>
      <c r="G33">
        <f t="shared" si="28"/>
        <v>0</v>
      </c>
      <c r="H33">
        <f t="shared" si="28"/>
        <v>0</v>
      </c>
      <c r="I33">
        <f t="shared" si="28"/>
        <v>0</v>
      </c>
      <c r="J33">
        <f t="shared" si="28"/>
        <v>0</v>
      </c>
      <c r="K33">
        <f t="shared" si="28"/>
        <v>0</v>
      </c>
      <c r="L33">
        <f t="shared" si="28"/>
        <v>0</v>
      </c>
      <c r="M33">
        <f t="shared" si="28"/>
        <v>0</v>
      </c>
      <c r="N33">
        <f t="shared" si="28"/>
        <v>0</v>
      </c>
      <c r="O33">
        <f t="shared" si="28"/>
        <v>0</v>
      </c>
      <c r="P33">
        <f t="shared" si="28"/>
        <v>0</v>
      </c>
      <c r="Q33">
        <f t="shared" si="28"/>
        <v>0</v>
      </c>
      <c r="R33">
        <f t="shared" si="28"/>
        <v>0</v>
      </c>
      <c r="S33">
        <f t="shared" si="28"/>
        <v>0</v>
      </c>
      <c r="T33">
        <f t="shared" si="28"/>
        <v>0</v>
      </c>
      <c r="U33">
        <f t="shared" si="28"/>
        <v>0</v>
      </c>
      <c r="V33">
        <f t="shared" si="28"/>
        <v>0</v>
      </c>
      <c r="W33">
        <f t="shared" si="28"/>
        <v>0</v>
      </c>
      <c r="X33">
        <f t="shared" si="28"/>
        <v>0</v>
      </c>
      <c r="Y33">
        <f t="shared" si="28"/>
        <v>0</v>
      </c>
      <c r="Z33">
        <f t="shared" si="28"/>
        <v>0</v>
      </c>
      <c r="AA33">
        <f t="shared" si="28"/>
        <v>0</v>
      </c>
      <c r="AB33">
        <f t="shared" si="28"/>
        <v>0</v>
      </c>
      <c r="AC33">
        <f t="shared" si="28"/>
        <v>0</v>
      </c>
      <c r="AD33">
        <f t="shared" si="29"/>
        <v>0</v>
      </c>
      <c r="AE33">
        <f t="shared" si="29"/>
        <v>0</v>
      </c>
      <c r="AF33">
        <f t="shared" si="29"/>
        <v>0</v>
      </c>
      <c r="AG33">
        <f t="shared" si="29"/>
        <v>0</v>
      </c>
      <c r="AH33">
        <f t="shared" si="29"/>
        <v>0</v>
      </c>
      <c r="AI33">
        <f t="shared" si="29"/>
        <v>0</v>
      </c>
      <c r="AJ33">
        <f t="shared" si="29"/>
        <v>0</v>
      </c>
      <c r="AK33">
        <f t="shared" si="30"/>
        <v>0</v>
      </c>
      <c r="AL33">
        <f t="shared" si="29"/>
        <v>0</v>
      </c>
      <c r="AM33">
        <f t="shared" si="30"/>
        <v>0</v>
      </c>
      <c r="AN33">
        <f t="shared" si="30"/>
        <v>0</v>
      </c>
      <c r="AO33">
        <f t="shared" si="30"/>
        <v>0</v>
      </c>
      <c r="AP33">
        <f t="shared" si="30"/>
        <v>0</v>
      </c>
      <c r="AQ33">
        <f t="shared" si="30"/>
        <v>0</v>
      </c>
      <c r="AR33">
        <f t="shared" si="30"/>
        <v>0</v>
      </c>
      <c r="AS33">
        <f t="shared" si="30"/>
        <v>0</v>
      </c>
      <c r="AT33">
        <f t="shared" si="30"/>
        <v>0</v>
      </c>
      <c r="AU33">
        <f t="shared" si="30"/>
        <v>0</v>
      </c>
      <c r="AV33">
        <f t="shared" si="30"/>
        <v>0</v>
      </c>
      <c r="AW33">
        <f t="shared" si="30"/>
        <v>0</v>
      </c>
      <c r="AY33" t="s">
        <v>153</v>
      </c>
      <c r="AZ33" s="3" t="str">
        <f ca="1" t="shared" si="32"/>
        <v>\I:</v>
      </c>
      <c r="BA33" t="str">
        <f ca="1" t="shared" si="0"/>
        <v>Trd_hdt</v>
      </c>
      <c r="BB33">
        <f ca="1" t="shared" si="1"/>
        <v>25</v>
      </c>
      <c r="BD33" t="str">
        <f ca="1" t="shared" si="3"/>
        <v>DMD</v>
      </c>
      <c r="BE33" t="str">
        <f ca="1" t="shared" si="4"/>
        <v>\I:</v>
      </c>
      <c r="BG33" t="s">
        <v>92</v>
      </c>
      <c r="BH33" t="s">
        <v>144</v>
      </c>
      <c r="BI33" t="s">
        <v>145</v>
      </c>
    </row>
    <row r="34" spans="1:61">
      <c r="C34" t="str">
        <f t="shared" si="31"/>
        <v>TRANGA</v>
      </c>
      <c r="D34">
        <f t="shared" si="28"/>
        <v>0</v>
      </c>
      <c r="E34">
        <f t="shared" si="28"/>
        <v>0</v>
      </c>
      <c r="F34">
        <f t="shared" si="28"/>
        <v>0</v>
      </c>
      <c r="G34">
        <f t="shared" si="28"/>
        <v>0</v>
      </c>
      <c r="H34">
        <f t="shared" si="28"/>
        <v>0</v>
      </c>
      <c r="I34">
        <f t="shared" si="28"/>
        <v>0</v>
      </c>
      <c r="J34">
        <f t="shared" si="28"/>
        <v>0</v>
      </c>
      <c r="K34">
        <f t="shared" si="28"/>
        <v>0</v>
      </c>
      <c r="L34">
        <f t="shared" si="28"/>
        <v>0</v>
      </c>
      <c r="M34">
        <f t="shared" si="28"/>
        <v>0</v>
      </c>
      <c r="N34">
        <f t="shared" si="28"/>
        <v>0</v>
      </c>
      <c r="O34">
        <f t="shared" si="28"/>
        <v>0</v>
      </c>
      <c r="P34">
        <f t="shared" si="28"/>
        <v>0</v>
      </c>
      <c r="Q34">
        <f t="shared" si="28"/>
        <v>0</v>
      </c>
      <c r="R34">
        <f t="shared" si="28"/>
        <v>0</v>
      </c>
      <c r="S34">
        <f t="shared" si="28"/>
        <v>0</v>
      </c>
      <c r="T34">
        <f t="shared" si="28"/>
        <v>0</v>
      </c>
      <c r="U34">
        <f t="shared" si="28"/>
        <v>0</v>
      </c>
      <c r="V34">
        <f t="shared" si="28"/>
        <v>0</v>
      </c>
      <c r="W34">
        <f t="shared" si="28"/>
        <v>0</v>
      </c>
      <c r="X34">
        <f t="shared" si="28"/>
        <v>0</v>
      </c>
      <c r="Y34">
        <f t="shared" si="28"/>
        <v>0</v>
      </c>
      <c r="Z34">
        <f t="shared" si="28"/>
        <v>0</v>
      </c>
      <c r="AA34">
        <f t="shared" si="28"/>
        <v>0</v>
      </c>
      <c r="AB34">
        <f t="shared" si="28"/>
        <v>0</v>
      </c>
      <c r="AC34">
        <f t="shared" si="28"/>
        <v>0</v>
      </c>
      <c r="AD34">
        <f t="shared" si="29"/>
        <v>0</v>
      </c>
      <c r="AE34">
        <f t="shared" si="29"/>
        <v>0</v>
      </c>
      <c r="AF34">
        <f t="shared" si="29"/>
        <v>0</v>
      </c>
      <c r="AG34">
        <f t="shared" si="29"/>
        <v>0</v>
      </c>
      <c r="AH34">
        <f t="shared" si="29"/>
        <v>0</v>
      </c>
      <c r="AI34">
        <f t="shared" si="29"/>
        <v>0</v>
      </c>
      <c r="AJ34">
        <f t="shared" si="29"/>
        <v>0</v>
      </c>
      <c r="AK34">
        <f t="shared" si="30"/>
        <v>0</v>
      </c>
      <c r="AL34">
        <f t="shared" si="29"/>
        <v>0</v>
      </c>
      <c r="AM34">
        <f t="shared" si="30"/>
        <v>0</v>
      </c>
      <c r="AN34">
        <f t="shared" si="30"/>
        <v>0</v>
      </c>
      <c r="AO34">
        <f t="shared" si="30"/>
        <v>0</v>
      </c>
      <c r="AP34">
        <f t="shared" si="30"/>
        <v>0</v>
      </c>
      <c r="AQ34">
        <f t="shared" si="30"/>
        <v>0</v>
      </c>
      <c r="AR34">
        <f t="shared" si="30"/>
        <v>0</v>
      </c>
      <c r="AS34">
        <f t="shared" si="30"/>
        <v>0</v>
      </c>
      <c r="AT34">
        <f t="shared" si="30"/>
        <v>0</v>
      </c>
      <c r="AU34">
        <f t="shared" si="30"/>
        <v>0</v>
      </c>
      <c r="AV34">
        <f t="shared" si="30"/>
        <v>0</v>
      </c>
      <c r="AW34">
        <f t="shared" si="30"/>
        <v>0</v>
      </c>
      <c r="AY34" t="s">
        <v>153</v>
      </c>
      <c r="AZ34" s="3" t="str">
        <f ca="1" t="shared" si="32"/>
        <v>\I:</v>
      </c>
      <c r="BA34" t="str">
        <f ca="1" t="shared" si="0"/>
        <v>Trd_hdt</v>
      </c>
      <c r="BB34">
        <f ca="1" t="shared" si="1"/>
        <v>25</v>
      </c>
      <c r="BD34" t="str">
        <f ca="1" t="shared" si="3"/>
        <v>DMD</v>
      </c>
      <c r="BE34" t="str">
        <f ca="1" t="shared" si="4"/>
        <v>\I:</v>
      </c>
      <c r="BG34" t="s">
        <v>92</v>
      </c>
      <c r="BH34" t="s">
        <v>144</v>
      </c>
      <c r="BI34" t="s">
        <v>145</v>
      </c>
    </row>
    <row r="35" spans="1:61">
      <c r="AY35" t="s">
        <v>133</v>
      </c>
      <c r="BA35" t="str">
        <f t="shared" si="0"/>
        <v/>
      </c>
      <c r="BB35" t="str">
        <f t="shared" si="1"/>
        <v/>
      </c>
      <c r="BD35" t="str">
        <f t="shared" si="3"/>
        <v>*</v>
      </c>
      <c r="BE35">
        <f t="shared" si="4"/>
        <v>0</v>
      </c>
      <c r="BG35" t="s">
        <v>92</v>
      </c>
      <c r="BH35" t="s">
        <v>144</v>
      </c>
      <c r="BI35" t="s">
        <v>145</v>
      </c>
    </row>
    <row r="36" spans="1:61">
      <c r="A36" t="s">
        <v>154</v>
      </c>
      <c r="C36" t="str">
        <f>C28</f>
        <v>TRABDS</v>
      </c>
      <c r="D36" s="78">
        <f>62.5*1.6</f>
        <v>100</v>
      </c>
      <c r="E36" s="78">
        <f t="shared" ref="E36:U42" si="33">62.5*1.6</f>
        <v>100</v>
      </c>
      <c r="F36" s="78">
        <f t="shared" si="33"/>
        <v>100</v>
      </c>
      <c r="G36" s="78">
        <f t="shared" si="33"/>
        <v>100</v>
      </c>
      <c r="H36" s="78">
        <f t="shared" si="33"/>
        <v>100</v>
      </c>
      <c r="I36" s="78">
        <f t="shared" si="33"/>
        <v>100</v>
      </c>
      <c r="J36" s="78">
        <f t="shared" si="33"/>
        <v>100</v>
      </c>
      <c r="K36" s="78">
        <f t="shared" si="33"/>
        <v>100</v>
      </c>
      <c r="L36" s="78">
        <f t="shared" si="33"/>
        <v>100</v>
      </c>
      <c r="M36" s="78">
        <f t="shared" si="33"/>
        <v>100</v>
      </c>
      <c r="N36" s="78">
        <f t="shared" si="33"/>
        <v>100</v>
      </c>
      <c r="O36" s="78">
        <f t="shared" si="33"/>
        <v>100</v>
      </c>
      <c r="P36" s="78">
        <f t="shared" si="33"/>
        <v>100</v>
      </c>
      <c r="Q36" s="78">
        <f t="shared" si="33"/>
        <v>100</v>
      </c>
      <c r="R36" s="78">
        <f t="shared" si="33"/>
        <v>100</v>
      </c>
      <c r="S36" s="78">
        <f t="shared" si="33"/>
        <v>100</v>
      </c>
      <c r="T36" s="78">
        <f t="shared" si="33"/>
        <v>100</v>
      </c>
      <c r="U36" s="78">
        <f t="shared" si="33"/>
        <v>100</v>
      </c>
      <c r="V36" s="78">
        <f t="shared" ref="V36:AJ42" si="34">62.5*1.6</f>
        <v>100</v>
      </c>
      <c r="W36" s="78">
        <f t="shared" si="34"/>
        <v>100</v>
      </c>
      <c r="X36" s="78">
        <f t="shared" si="34"/>
        <v>100</v>
      </c>
      <c r="Y36" s="78">
        <f t="shared" si="34"/>
        <v>100</v>
      </c>
      <c r="Z36" s="78">
        <f t="shared" si="34"/>
        <v>100</v>
      </c>
      <c r="AA36" s="78">
        <f t="shared" si="34"/>
        <v>100</v>
      </c>
      <c r="AB36" s="78">
        <f t="shared" si="34"/>
        <v>100</v>
      </c>
      <c r="AC36" s="78">
        <f t="shared" si="34"/>
        <v>100</v>
      </c>
      <c r="AD36" s="78">
        <f t="shared" si="34"/>
        <v>100</v>
      </c>
      <c r="AE36" s="78">
        <f t="shared" si="34"/>
        <v>100</v>
      </c>
      <c r="AF36" s="78">
        <v>35</v>
      </c>
      <c r="AG36" s="78">
        <f t="shared" si="34"/>
        <v>100</v>
      </c>
      <c r="AH36" s="78">
        <f t="shared" si="34"/>
        <v>100</v>
      </c>
      <c r="AI36" s="78">
        <f t="shared" si="34"/>
        <v>100</v>
      </c>
      <c r="AJ36" s="78">
        <f t="shared" si="34"/>
        <v>100</v>
      </c>
      <c r="AK36" s="78">
        <f t="shared" ref="AK36:AW42" si="35">62.5*1.6</f>
        <v>100</v>
      </c>
      <c r="AL36" s="78">
        <v>35</v>
      </c>
      <c r="AM36" s="78">
        <f t="shared" si="35"/>
        <v>100</v>
      </c>
      <c r="AN36" s="78">
        <f t="shared" si="35"/>
        <v>100</v>
      </c>
      <c r="AO36" s="78">
        <f t="shared" si="35"/>
        <v>100</v>
      </c>
      <c r="AP36" s="78">
        <f t="shared" si="35"/>
        <v>100</v>
      </c>
      <c r="AQ36" s="78">
        <f t="shared" si="35"/>
        <v>100</v>
      </c>
      <c r="AR36" s="78">
        <f t="shared" si="35"/>
        <v>100</v>
      </c>
      <c r="AS36" s="78">
        <f t="shared" si="35"/>
        <v>100</v>
      </c>
      <c r="AT36" s="78">
        <f t="shared" si="35"/>
        <v>100</v>
      </c>
      <c r="AU36" s="78">
        <f t="shared" si="35"/>
        <v>100</v>
      </c>
      <c r="AV36" s="78">
        <f t="shared" si="35"/>
        <v>100</v>
      </c>
      <c r="AW36" s="78">
        <f t="shared" si="35"/>
        <v>100</v>
      </c>
      <c r="AY36" t="s">
        <v>155</v>
      </c>
      <c r="AZ36" s="3" t="str">
        <f ca="1">AZ28</f>
        <v>Trd_hdt_bdl</v>
      </c>
      <c r="BA36" t="str">
        <f ca="1" t="shared" si="0"/>
        <v>Trd_hdt</v>
      </c>
      <c r="BB36">
        <f ca="1" t="shared" si="1"/>
        <v>25</v>
      </c>
      <c r="BD36" t="str">
        <f ca="1" t="shared" si="3"/>
        <v>DMD</v>
      </c>
      <c r="BE36" t="str">
        <f ca="1" t="shared" si="4"/>
        <v>Trd_hdt_bdl</v>
      </c>
      <c r="BG36" t="s">
        <v>92</v>
      </c>
      <c r="BH36" t="s">
        <v>144</v>
      </c>
      <c r="BI36" t="s">
        <v>145</v>
      </c>
    </row>
    <row r="37" spans="1:61">
      <c r="C37" t="str">
        <f t="shared" ref="C37:C42" si="36">C29</f>
        <v>TRABGS</v>
      </c>
      <c r="D37" s="78">
        <f t="shared" ref="D37:S42" si="37">62.5*1.6</f>
        <v>100</v>
      </c>
      <c r="E37" s="78">
        <f t="shared" si="37"/>
        <v>100</v>
      </c>
      <c r="F37" s="78">
        <f t="shared" si="37"/>
        <v>100</v>
      </c>
      <c r="G37" s="78">
        <f t="shared" si="37"/>
        <v>100</v>
      </c>
      <c r="H37" s="78">
        <f t="shared" si="37"/>
        <v>100</v>
      </c>
      <c r="I37" s="78">
        <f t="shared" si="37"/>
        <v>100</v>
      </c>
      <c r="J37" s="78">
        <f t="shared" si="37"/>
        <v>100</v>
      </c>
      <c r="K37" s="78">
        <f t="shared" si="37"/>
        <v>100</v>
      </c>
      <c r="L37" s="78">
        <f t="shared" si="37"/>
        <v>100</v>
      </c>
      <c r="M37" s="78">
        <f t="shared" si="37"/>
        <v>100</v>
      </c>
      <c r="N37" s="78">
        <f t="shared" si="37"/>
        <v>100</v>
      </c>
      <c r="O37" s="78">
        <f t="shared" si="37"/>
        <v>100</v>
      </c>
      <c r="P37" s="78">
        <f t="shared" si="37"/>
        <v>100</v>
      </c>
      <c r="Q37" s="78">
        <f t="shared" si="37"/>
        <v>100</v>
      </c>
      <c r="R37" s="78">
        <f t="shared" si="37"/>
        <v>100</v>
      </c>
      <c r="S37" s="78">
        <f t="shared" si="37"/>
        <v>100</v>
      </c>
      <c r="T37" s="78">
        <f t="shared" si="33"/>
        <v>100</v>
      </c>
      <c r="U37" s="78">
        <f t="shared" si="33"/>
        <v>100</v>
      </c>
      <c r="V37" s="78">
        <f t="shared" si="34"/>
        <v>100</v>
      </c>
      <c r="W37" s="78">
        <f t="shared" si="34"/>
        <v>100</v>
      </c>
      <c r="X37" s="78">
        <f t="shared" si="34"/>
        <v>100</v>
      </c>
      <c r="Y37" s="78">
        <f t="shared" si="34"/>
        <v>100</v>
      </c>
      <c r="Z37" s="78">
        <f t="shared" si="34"/>
        <v>100</v>
      </c>
      <c r="AA37" s="78">
        <f t="shared" si="34"/>
        <v>100</v>
      </c>
      <c r="AB37" s="78">
        <f t="shared" si="34"/>
        <v>100</v>
      </c>
      <c r="AC37" s="78">
        <f t="shared" si="34"/>
        <v>100</v>
      </c>
      <c r="AD37" s="78">
        <f t="shared" si="34"/>
        <v>100</v>
      </c>
      <c r="AE37" s="78">
        <f t="shared" si="34"/>
        <v>100</v>
      </c>
      <c r="AF37" s="78">
        <v>35</v>
      </c>
      <c r="AG37" s="78">
        <f t="shared" si="34"/>
        <v>100</v>
      </c>
      <c r="AH37" s="78">
        <f t="shared" si="34"/>
        <v>100</v>
      </c>
      <c r="AI37" s="78">
        <f t="shared" si="34"/>
        <v>100</v>
      </c>
      <c r="AJ37" s="78">
        <f t="shared" si="34"/>
        <v>100</v>
      </c>
      <c r="AK37" s="78">
        <f t="shared" si="35"/>
        <v>100</v>
      </c>
      <c r="AL37" s="78">
        <v>35</v>
      </c>
      <c r="AM37" s="78">
        <f t="shared" si="35"/>
        <v>100</v>
      </c>
      <c r="AN37" s="78">
        <f t="shared" si="35"/>
        <v>100</v>
      </c>
      <c r="AO37" s="78">
        <f t="shared" si="35"/>
        <v>100</v>
      </c>
      <c r="AP37" s="78">
        <f t="shared" si="35"/>
        <v>100</v>
      </c>
      <c r="AQ37" s="78">
        <f t="shared" si="35"/>
        <v>100</v>
      </c>
      <c r="AR37" s="78">
        <f t="shared" si="35"/>
        <v>100</v>
      </c>
      <c r="AS37" s="78">
        <f t="shared" si="35"/>
        <v>100</v>
      </c>
      <c r="AT37" s="78">
        <f t="shared" si="35"/>
        <v>100</v>
      </c>
      <c r="AU37" s="78">
        <f t="shared" si="35"/>
        <v>100</v>
      </c>
      <c r="AV37" s="78">
        <f t="shared" si="35"/>
        <v>100</v>
      </c>
      <c r="AW37" s="78">
        <f t="shared" si="35"/>
        <v>100</v>
      </c>
      <c r="AY37" t="s">
        <v>155</v>
      </c>
      <c r="AZ37" s="3" t="str">
        <f ca="1" t="shared" ref="AZ37:AZ42" si="38">AZ29</f>
        <v>\I:</v>
      </c>
      <c r="BA37" t="str">
        <f ca="1" t="shared" si="0"/>
        <v>Trd_hdt</v>
      </c>
      <c r="BB37">
        <f ca="1" t="shared" si="1"/>
        <v>25</v>
      </c>
      <c r="BD37" t="str">
        <f ca="1" t="shared" si="3"/>
        <v>DMD</v>
      </c>
      <c r="BE37" t="str">
        <f ca="1" t="shared" si="4"/>
        <v>\I:</v>
      </c>
      <c r="BG37" t="s">
        <v>92</v>
      </c>
      <c r="BH37" t="s">
        <v>144</v>
      </c>
      <c r="BI37" t="s">
        <v>145</v>
      </c>
    </row>
    <row r="38" spans="1:61">
      <c r="C38" t="str">
        <f t="shared" si="36"/>
        <v>TRADST</v>
      </c>
      <c r="D38" s="78">
        <f t="shared" si="37"/>
        <v>100</v>
      </c>
      <c r="E38" s="78">
        <f t="shared" si="33"/>
        <v>100</v>
      </c>
      <c r="F38" s="78">
        <f t="shared" si="33"/>
        <v>100</v>
      </c>
      <c r="G38" s="78">
        <f t="shared" si="33"/>
        <v>100</v>
      </c>
      <c r="H38" s="78">
        <f t="shared" si="33"/>
        <v>100</v>
      </c>
      <c r="I38" s="78">
        <f t="shared" si="33"/>
        <v>100</v>
      </c>
      <c r="J38" s="78">
        <f t="shared" si="33"/>
        <v>100</v>
      </c>
      <c r="K38" s="78">
        <f t="shared" si="33"/>
        <v>100</v>
      </c>
      <c r="L38" s="78">
        <f t="shared" si="33"/>
        <v>100</v>
      </c>
      <c r="M38" s="78">
        <f t="shared" si="33"/>
        <v>100</v>
      </c>
      <c r="N38" s="78">
        <f t="shared" si="33"/>
        <v>100</v>
      </c>
      <c r="O38" s="78">
        <f t="shared" si="33"/>
        <v>100</v>
      </c>
      <c r="P38" s="78">
        <f t="shared" si="33"/>
        <v>100</v>
      </c>
      <c r="Q38" s="78">
        <f t="shared" si="33"/>
        <v>100</v>
      </c>
      <c r="R38" s="78">
        <f t="shared" si="33"/>
        <v>100</v>
      </c>
      <c r="S38" s="78">
        <f t="shared" si="33"/>
        <v>100</v>
      </c>
      <c r="T38" s="78">
        <f t="shared" si="33"/>
        <v>100</v>
      </c>
      <c r="U38" s="78">
        <f t="shared" si="33"/>
        <v>100</v>
      </c>
      <c r="V38" s="78">
        <f t="shared" si="34"/>
        <v>100</v>
      </c>
      <c r="W38" s="78">
        <f t="shared" si="34"/>
        <v>100</v>
      </c>
      <c r="X38" s="78">
        <f t="shared" si="34"/>
        <v>100</v>
      </c>
      <c r="Y38" s="78">
        <f t="shared" si="34"/>
        <v>100</v>
      </c>
      <c r="Z38" s="78">
        <f t="shared" si="34"/>
        <v>100</v>
      </c>
      <c r="AA38" s="78">
        <f t="shared" si="34"/>
        <v>100</v>
      </c>
      <c r="AB38" s="78">
        <f t="shared" si="34"/>
        <v>100</v>
      </c>
      <c r="AC38" s="78">
        <f t="shared" si="34"/>
        <v>100</v>
      </c>
      <c r="AD38" s="78">
        <f t="shared" si="34"/>
        <v>100</v>
      </c>
      <c r="AE38" s="78">
        <f t="shared" si="34"/>
        <v>100</v>
      </c>
      <c r="AF38" s="78">
        <v>35</v>
      </c>
      <c r="AG38" s="78">
        <f t="shared" si="34"/>
        <v>100</v>
      </c>
      <c r="AH38" s="78">
        <f t="shared" si="34"/>
        <v>100</v>
      </c>
      <c r="AI38" s="78">
        <f t="shared" si="34"/>
        <v>100</v>
      </c>
      <c r="AJ38" s="78">
        <f t="shared" si="34"/>
        <v>100</v>
      </c>
      <c r="AK38" s="78">
        <f t="shared" si="35"/>
        <v>100</v>
      </c>
      <c r="AL38" s="78">
        <v>35</v>
      </c>
      <c r="AM38" s="78">
        <f t="shared" si="35"/>
        <v>100</v>
      </c>
      <c r="AN38" s="78">
        <f t="shared" si="35"/>
        <v>100</v>
      </c>
      <c r="AO38" s="78">
        <f t="shared" si="35"/>
        <v>100</v>
      </c>
      <c r="AP38" s="78">
        <f t="shared" si="35"/>
        <v>100</v>
      </c>
      <c r="AQ38" s="78">
        <f t="shared" si="35"/>
        <v>100</v>
      </c>
      <c r="AR38" s="78">
        <f t="shared" si="35"/>
        <v>100</v>
      </c>
      <c r="AS38" s="78">
        <f t="shared" si="35"/>
        <v>100</v>
      </c>
      <c r="AT38" s="78">
        <f t="shared" si="35"/>
        <v>100</v>
      </c>
      <c r="AU38" s="78">
        <f t="shared" si="35"/>
        <v>100</v>
      </c>
      <c r="AV38" s="78">
        <f t="shared" si="35"/>
        <v>100</v>
      </c>
      <c r="AW38" s="78">
        <f t="shared" si="35"/>
        <v>100</v>
      </c>
      <c r="AY38" t="s">
        <v>155</v>
      </c>
      <c r="AZ38" s="3" t="str">
        <f ca="1" t="shared" si="38"/>
        <v>Trd_hdt_dsl</v>
      </c>
      <c r="BA38" t="str">
        <f ca="1" t="shared" si="0"/>
        <v>Trd_hdt</v>
      </c>
      <c r="BB38">
        <f ca="1" t="shared" si="1"/>
        <v>25</v>
      </c>
      <c r="BD38" t="str">
        <f ca="1" t="shared" si="3"/>
        <v>DMD</v>
      </c>
      <c r="BE38" t="str">
        <f ca="1" t="shared" si="4"/>
        <v>Trd_hdt_dsl</v>
      </c>
      <c r="BG38" t="s">
        <v>92</v>
      </c>
      <c r="BH38" t="s">
        <v>144</v>
      </c>
      <c r="BI38" t="s">
        <v>145</v>
      </c>
    </row>
    <row r="39" spans="1:61">
      <c r="C39" t="str">
        <f t="shared" si="36"/>
        <v>TRAELC</v>
      </c>
      <c r="D39" s="78">
        <f t="shared" si="37"/>
        <v>100</v>
      </c>
      <c r="E39" s="78">
        <f t="shared" si="33"/>
        <v>100</v>
      </c>
      <c r="F39" s="78">
        <f t="shared" si="33"/>
        <v>100</v>
      </c>
      <c r="G39" s="78">
        <f t="shared" si="33"/>
        <v>100</v>
      </c>
      <c r="H39" s="78">
        <f t="shared" si="33"/>
        <v>100</v>
      </c>
      <c r="I39" s="78">
        <f t="shared" si="33"/>
        <v>100</v>
      </c>
      <c r="J39" s="78">
        <f t="shared" si="33"/>
        <v>100</v>
      </c>
      <c r="K39" s="78">
        <f t="shared" si="33"/>
        <v>100</v>
      </c>
      <c r="L39" s="78">
        <f t="shared" si="33"/>
        <v>100</v>
      </c>
      <c r="M39" s="78">
        <f t="shared" si="33"/>
        <v>100</v>
      </c>
      <c r="N39" s="78">
        <f t="shared" si="33"/>
        <v>100</v>
      </c>
      <c r="O39" s="78">
        <f t="shared" si="33"/>
        <v>100</v>
      </c>
      <c r="P39" s="78">
        <f t="shared" si="33"/>
        <v>100</v>
      </c>
      <c r="Q39" s="78">
        <f t="shared" si="33"/>
        <v>100</v>
      </c>
      <c r="R39" s="78">
        <f t="shared" si="33"/>
        <v>100</v>
      </c>
      <c r="S39" s="78">
        <f t="shared" si="33"/>
        <v>100</v>
      </c>
      <c r="T39" s="78">
        <f t="shared" si="33"/>
        <v>100</v>
      </c>
      <c r="U39" s="78">
        <f t="shared" si="33"/>
        <v>100</v>
      </c>
      <c r="V39" s="78">
        <f t="shared" si="34"/>
        <v>100</v>
      </c>
      <c r="W39" s="78">
        <f t="shared" si="34"/>
        <v>100</v>
      </c>
      <c r="X39" s="78">
        <f t="shared" si="34"/>
        <v>100</v>
      </c>
      <c r="Y39" s="78">
        <f t="shared" si="34"/>
        <v>100</v>
      </c>
      <c r="Z39" s="78">
        <f t="shared" si="34"/>
        <v>100</v>
      </c>
      <c r="AA39" s="78">
        <f t="shared" si="34"/>
        <v>100</v>
      </c>
      <c r="AB39" s="78">
        <f t="shared" si="34"/>
        <v>100</v>
      </c>
      <c r="AC39" s="78">
        <f t="shared" si="34"/>
        <v>100</v>
      </c>
      <c r="AD39" s="78">
        <f t="shared" si="34"/>
        <v>100</v>
      </c>
      <c r="AE39" s="78">
        <f t="shared" si="34"/>
        <v>100</v>
      </c>
      <c r="AF39" s="78">
        <v>35</v>
      </c>
      <c r="AG39" s="78">
        <f t="shared" si="34"/>
        <v>100</v>
      </c>
      <c r="AH39" s="78">
        <f t="shared" si="34"/>
        <v>100</v>
      </c>
      <c r="AI39" s="78">
        <f t="shared" si="34"/>
        <v>100</v>
      </c>
      <c r="AJ39" s="78">
        <f t="shared" si="34"/>
        <v>100</v>
      </c>
      <c r="AK39" s="78">
        <f t="shared" si="35"/>
        <v>100</v>
      </c>
      <c r="AL39" s="78">
        <v>35</v>
      </c>
      <c r="AM39" s="78">
        <f t="shared" si="35"/>
        <v>100</v>
      </c>
      <c r="AN39" s="78">
        <f t="shared" si="35"/>
        <v>100</v>
      </c>
      <c r="AO39" s="78">
        <f t="shared" si="35"/>
        <v>100</v>
      </c>
      <c r="AP39" s="78">
        <f t="shared" si="35"/>
        <v>100</v>
      </c>
      <c r="AQ39" s="78">
        <f t="shared" si="35"/>
        <v>100</v>
      </c>
      <c r="AR39" s="78">
        <f t="shared" si="35"/>
        <v>100</v>
      </c>
      <c r="AS39" s="78">
        <f t="shared" si="35"/>
        <v>100</v>
      </c>
      <c r="AT39" s="78">
        <f t="shared" si="35"/>
        <v>100</v>
      </c>
      <c r="AU39" s="78">
        <f t="shared" si="35"/>
        <v>100</v>
      </c>
      <c r="AV39" s="78">
        <f t="shared" si="35"/>
        <v>100</v>
      </c>
      <c r="AW39" s="78">
        <f t="shared" si="35"/>
        <v>100</v>
      </c>
      <c r="AY39" t="s">
        <v>155</v>
      </c>
      <c r="AZ39" s="3" t="str">
        <f ca="1" t="shared" si="38"/>
        <v>\I:</v>
      </c>
      <c r="BA39" t="str">
        <f ca="1" t="shared" si="0"/>
        <v>Trd_hdt</v>
      </c>
      <c r="BB39">
        <f ca="1" t="shared" si="1"/>
        <v>25</v>
      </c>
      <c r="BD39" t="str">
        <f ca="1" t="shared" si="3"/>
        <v>DMD</v>
      </c>
      <c r="BE39" t="str">
        <f ca="1" t="shared" si="4"/>
        <v>\I:</v>
      </c>
      <c r="BG39" t="s">
        <v>92</v>
      </c>
      <c r="BH39" t="s">
        <v>144</v>
      </c>
      <c r="BI39" t="s">
        <v>145</v>
      </c>
    </row>
    <row r="40" spans="1:61">
      <c r="C40" t="str">
        <f t="shared" si="36"/>
        <v>TRAGSL</v>
      </c>
      <c r="D40" s="78">
        <f t="shared" si="37"/>
        <v>100</v>
      </c>
      <c r="E40" s="78">
        <f t="shared" si="33"/>
        <v>100</v>
      </c>
      <c r="F40" s="78">
        <f t="shared" si="33"/>
        <v>100</v>
      </c>
      <c r="G40" s="78">
        <f t="shared" si="33"/>
        <v>100</v>
      </c>
      <c r="H40" s="78">
        <f t="shared" si="33"/>
        <v>100</v>
      </c>
      <c r="I40" s="78">
        <f t="shared" si="33"/>
        <v>100</v>
      </c>
      <c r="J40" s="78">
        <f t="shared" si="33"/>
        <v>100</v>
      </c>
      <c r="K40" s="78">
        <f t="shared" si="33"/>
        <v>100</v>
      </c>
      <c r="L40" s="78">
        <f t="shared" si="33"/>
        <v>100</v>
      </c>
      <c r="M40" s="78">
        <f t="shared" si="33"/>
        <v>100</v>
      </c>
      <c r="N40" s="78">
        <f t="shared" si="33"/>
        <v>100</v>
      </c>
      <c r="O40" s="78">
        <f t="shared" si="33"/>
        <v>100</v>
      </c>
      <c r="P40" s="78">
        <f t="shared" si="33"/>
        <v>100</v>
      </c>
      <c r="Q40" s="78">
        <f t="shared" si="33"/>
        <v>100</v>
      </c>
      <c r="R40" s="78">
        <f t="shared" si="33"/>
        <v>100</v>
      </c>
      <c r="S40" s="78">
        <f t="shared" si="33"/>
        <v>100</v>
      </c>
      <c r="T40" s="78">
        <f t="shared" si="33"/>
        <v>100</v>
      </c>
      <c r="U40" s="78">
        <f t="shared" si="33"/>
        <v>100</v>
      </c>
      <c r="V40" s="78">
        <f t="shared" si="34"/>
        <v>100</v>
      </c>
      <c r="W40" s="78">
        <f t="shared" si="34"/>
        <v>100</v>
      </c>
      <c r="X40" s="78">
        <f t="shared" si="34"/>
        <v>100</v>
      </c>
      <c r="Y40" s="78">
        <f t="shared" si="34"/>
        <v>100</v>
      </c>
      <c r="Z40" s="78">
        <f t="shared" si="34"/>
        <v>100</v>
      </c>
      <c r="AA40" s="78">
        <f t="shared" si="34"/>
        <v>100</v>
      </c>
      <c r="AB40" s="78">
        <f t="shared" si="34"/>
        <v>100</v>
      </c>
      <c r="AC40" s="78">
        <f t="shared" si="34"/>
        <v>100</v>
      </c>
      <c r="AD40" s="78">
        <f t="shared" si="34"/>
        <v>100</v>
      </c>
      <c r="AE40" s="78">
        <f t="shared" si="34"/>
        <v>100</v>
      </c>
      <c r="AF40" s="78">
        <v>35</v>
      </c>
      <c r="AG40" s="78">
        <f t="shared" si="34"/>
        <v>100</v>
      </c>
      <c r="AH40" s="78">
        <f t="shared" si="34"/>
        <v>100</v>
      </c>
      <c r="AI40" s="78">
        <f t="shared" si="34"/>
        <v>100</v>
      </c>
      <c r="AJ40" s="78">
        <f t="shared" si="34"/>
        <v>100</v>
      </c>
      <c r="AK40" s="78">
        <f t="shared" si="35"/>
        <v>100</v>
      </c>
      <c r="AL40" s="78">
        <v>35</v>
      </c>
      <c r="AM40" s="78">
        <f t="shared" si="35"/>
        <v>100</v>
      </c>
      <c r="AN40" s="78">
        <f t="shared" si="35"/>
        <v>100</v>
      </c>
      <c r="AO40" s="78">
        <f t="shared" si="35"/>
        <v>100</v>
      </c>
      <c r="AP40" s="78">
        <f t="shared" si="35"/>
        <v>100</v>
      </c>
      <c r="AQ40" s="78">
        <f t="shared" si="35"/>
        <v>100</v>
      </c>
      <c r="AR40" s="78">
        <f t="shared" si="35"/>
        <v>100</v>
      </c>
      <c r="AS40" s="78">
        <f t="shared" si="35"/>
        <v>100</v>
      </c>
      <c r="AT40" s="78">
        <f t="shared" si="35"/>
        <v>100</v>
      </c>
      <c r="AU40" s="78">
        <f t="shared" si="35"/>
        <v>100</v>
      </c>
      <c r="AV40" s="78">
        <f t="shared" si="35"/>
        <v>100</v>
      </c>
      <c r="AW40" s="78">
        <f t="shared" si="35"/>
        <v>100</v>
      </c>
      <c r="AY40" t="s">
        <v>155</v>
      </c>
      <c r="AZ40" s="3" t="str">
        <f ca="1" t="shared" si="38"/>
        <v>Trd_hdt_gsl</v>
      </c>
      <c r="BA40" t="str">
        <f ca="1" t="shared" si="0"/>
        <v>Trd_hdt</v>
      </c>
      <c r="BB40">
        <f ca="1" t="shared" si="1"/>
        <v>25</v>
      </c>
      <c r="BD40" t="str">
        <f ca="1" t="shared" si="3"/>
        <v>DMD</v>
      </c>
      <c r="BE40" t="str">
        <f ca="1" t="shared" si="4"/>
        <v>Trd_hdt_gsl</v>
      </c>
      <c r="BG40" t="s">
        <v>92</v>
      </c>
      <c r="BH40" t="s">
        <v>144</v>
      </c>
      <c r="BI40" t="s">
        <v>145</v>
      </c>
    </row>
    <row r="41" spans="1:61">
      <c r="C41" t="str">
        <f t="shared" si="36"/>
        <v>TRALPG</v>
      </c>
      <c r="D41" s="78">
        <f t="shared" si="37"/>
        <v>100</v>
      </c>
      <c r="E41" s="78">
        <f t="shared" si="33"/>
        <v>100</v>
      </c>
      <c r="F41" s="78">
        <f t="shared" si="33"/>
        <v>100</v>
      </c>
      <c r="G41" s="78">
        <f t="shared" si="33"/>
        <v>100</v>
      </c>
      <c r="H41" s="78">
        <f t="shared" si="33"/>
        <v>100</v>
      </c>
      <c r="I41" s="78">
        <f t="shared" si="33"/>
        <v>100</v>
      </c>
      <c r="J41" s="78">
        <f t="shared" si="33"/>
        <v>100</v>
      </c>
      <c r="K41" s="78">
        <f t="shared" si="33"/>
        <v>100</v>
      </c>
      <c r="L41" s="78">
        <f t="shared" si="33"/>
        <v>100</v>
      </c>
      <c r="M41" s="78">
        <f t="shared" si="33"/>
        <v>100</v>
      </c>
      <c r="N41" s="78">
        <f t="shared" si="33"/>
        <v>100</v>
      </c>
      <c r="O41" s="78">
        <f t="shared" si="33"/>
        <v>100</v>
      </c>
      <c r="P41" s="78">
        <f t="shared" si="33"/>
        <v>100</v>
      </c>
      <c r="Q41" s="78">
        <f t="shared" si="33"/>
        <v>100</v>
      </c>
      <c r="R41" s="78">
        <f t="shared" si="33"/>
        <v>100</v>
      </c>
      <c r="S41" s="78">
        <f t="shared" si="33"/>
        <v>100</v>
      </c>
      <c r="T41" s="78">
        <f t="shared" si="33"/>
        <v>100</v>
      </c>
      <c r="U41" s="78">
        <f t="shared" si="33"/>
        <v>100</v>
      </c>
      <c r="V41" s="78">
        <f t="shared" si="34"/>
        <v>100</v>
      </c>
      <c r="W41" s="78">
        <f t="shared" si="34"/>
        <v>100</v>
      </c>
      <c r="X41" s="78">
        <f t="shared" si="34"/>
        <v>100</v>
      </c>
      <c r="Y41" s="78">
        <f t="shared" si="34"/>
        <v>100</v>
      </c>
      <c r="Z41" s="78">
        <f t="shared" si="34"/>
        <v>100</v>
      </c>
      <c r="AA41" s="78">
        <f t="shared" si="34"/>
        <v>100</v>
      </c>
      <c r="AB41" s="78">
        <f t="shared" si="34"/>
        <v>100</v>
      </c>
      <c r="AC41" s="78">
        <f t="shared" si="34"/>
        <v>100</v>
      </c>
      <c r="AD41" s="78">
        <f t="shared" si="34"/>
        <v>100</v>
      </c>
      <c r="AE41" s="78">
        <f t="shared" si="34"/>
        <v>100</v>
      </c>
      <c r="AF41" s="78">
        <v>35</v>
      </c>
      <c r="AG41" s="78">
        <f t="shared" si="34"/>
        <v>100</v>
      </c>
      <c r="AH41" s="78">
        <f t="shared" si="34"/>
        <v>100</v>
      </c>
      <c r="AI41" s="78">
        <f t="shared" si="34"/>
        <v>100</v>
      </c>
      <c r="AJ41" s="78">
        <f t="shared" si="34"/>
        <v>100</v>
      </c>
      <c r="AK41" s="78">
        <f t="shared" si="35"/>
        <v>100</v>
      </c>
      <c r="AL41" s="78">
        <v>35</v>
      </c>
      <c r="AM41" s="78">
        <f t="shared" si="35"/>
        <v>100</v>
      </c>
      <c r="AN41" s="78">
        <f t="shared" si="35"/>
        <v>100</v>
      </c>
      <c r="AO41" s="78">
        <f t="shared" si="35"/>
        <v>100</v>
      </c>
      <c r="AP41" s="78">
        <f t="shared" si="35"/>
        <v>100</v>
      </c>
      <c r="AQ41" s="78">
        <f t="shared" si="35"/>
        <v>100</v>
      </c>
      <c r="AR41" s="78">
        <f t="shared" si="35"/>
        <v>100</v>
      </c>
      <c r="AS41" s="78">
        <f t="shared" si="35"/>
        <v>100</v>
      </c>
      <c r="AT41" s="78">
        <f t="shared" si="35"/>
        <v>100</v>
      </c>
      <c r="AU41" s="78">
        <f t="shared" si="35"/>
        <v>100</v>
      </c>
      <c r="AV41" s="78">
        <f t="shared" si="35"/>
        <v>100</v>
      </c>
      <c r="AW41" s="78">
        <f t="shared" si="35"/>
        <v>100</v>
      </c>
      <c r="AY41" t="s">
        <v>155</v>
      </c>
      <c r="AZ41" s="3" t="str">
        <f ca="1" t="shared" si="38"/>
        <v>\I:</v>
      </c>
      <c r="BA41" t="str">
        <f ca="1" t="shared" si="0"/>
        <v>Trd_hdt</v>
      </c>
      <c r="BB41">
        <f ca="1" t="shared" si="1"/>
        <v>25</v>
      </c>
      <c r="BD41" t="str">
        <f ca="1" t="shared" si="3"/>
        <v>DMD</v>
      </c>
      <c r="BE41" t="str">
        <f ca="1" t="shared" si="4"/>
        <v>\I:</v>
      </c>
      <c r="BG41" t="s">
        <v>92</v>
      </c>
      <c r="BH41" t="s">
        <v>144</v>
      </c>
      <c r="BI41" t="s">
        <v>145</v>
      </c>
    </row>
    <row r="42" spans="1:61">
      <c r="C42" t="str">
        <f t="shared" si="36"/>
        <v>TRANGA</v>
      </c>
      <c r="D42" s="78">
        <f t="shared" si="37"/>
        <v>100</v>
      </c>
      <c r="E42" s="78">
        <f t="shared" si="33"/>
        <v>100</v>
      </c>
      <c r="F42" s="78">
        <f t="shared" si="33"/>
        <v>100</v>
      </c>
      <c r="G42" s="78">
        <f t="shared" si="33"/>
        <v>100</v>
      </c>
      <c r="H42" s="78">
        <f t="shared" si="33"/>
        <v>100</v>
      </c>
      <c r="I42" s="78">
        <f t="shared" si="33"/>
        <v>100</v>
      </c>
      <c r="J42" s="78">
        <f t="shared" si="33"/>
        <v>100</v>
      </c>
      <c r="K42" s="78">
        <f t="shared" si="33"/>
        <v>100</v>
      </c>
      <c r="L42" s="78">
        <f t="shared" si="33"/>
        <v>100</v>
      </c>
      <c r="M42" s="78">
        <f t="shared" si="33"/>
        <v>100</v>
      </c>
      <c r="N42" s="78">
        <f t="shared" si="33"/>
        <v>100</v>
      </c>
      <c r="O42" s="78">
        <f t="shared" si="33"/>
        <v>100</v>
      </c>
      <c r="P42" s="78">
        <f t="shared" si="33"/>
        <v>100</v>
      </c>
      <c r="Q42" s="78">
        <f t="shared" si="33"/>
        <v>100</v>
      </c>
      <c r="R42" s="78">
        <f t="shared" si="33"/>
        <v>100</v>
      </c>
      <c r="S42" s="78">
        <f t="shared" si="33"/>
        <v>100</v>
      </c>
      <c r="T42" s="78">
        <f t="shared" si="33"/>
        <v>100</v>
      </c>
      <c r="U42" s="78">
        <f t="shared" si="33"/>
        <v>100</v>
      </c>
      <c r="V42" s="78">
        <f t="shared" si="34"/>
        <v>100</v>
      </c>
      <c r="W42" s="78">
        <f t="shared" si="34"/>
        <v>100</v>
      </c>
      <c r="X42" s="78">
        <f t="shared" si="34"/>
        <v>100</v>
      </c>
      <c r="Y42" s="78">
        <f t="shared" si="34"/>
        <v>100</v>
      </c>
      <c r="Z42" s="78">
        <f t="shared" si="34"/>
        <v>100</v>
      </c>
      <c r="AA42" s="78">
        <f t="shared" si="34"/>
        <v>100</v>
      </c>
      <c r="AB42" s="78">
        <f t="shared" si="34"/>
        <v>100</v>
      </c>
      <c r="AC42" s="78">
        <f t="shared" si="34"/>
        <v>100</v>
      </c>
      <c r="AD42" s="78">
        <f t="shared" si="34"/>
        <v>100</v>
      </c>
      <c r="AE42" s="78">
        <f t="shared" si="34"/>
        <v>100</v>
      </c>
      <c r="AF42" s="78">
        <v>35</v>
      </c>
      <c r="AG42" s="78">
        <f t="shared" si="34"/>
        <v>100</v>
      </c>
      <c r="AH42" s="78">
        <f t="shared" si="34"/>
        <v>100</v>
      </c>
      <c r="AI42" s="78">
        <f t="shared" si="34"/>
        <v>100</v>
      </c>
      <c r="AJ42" s="78">
        <f t="shared" si="34"/>
        <v>100</v>
      </c>
      <c r="AK42" s="78">
        <f t="shared" si="35"/>
        <v>100</v>
      </c>
      <c r="AL42" s="78">
        <v>35</v>
      </c>
      <c r="AM42" s="78">
        <f t="shared" si="35"/>
        <v>100</v>
      </c>
      <c r="AN42" s="78">
        <f t="shared" si="35"/>
        <v>100</v>
      </c>
      <c r="AO42" s="78">
        <f t="shared" si="35"/>
        <v>100</v>
      </c>
      <c r="AP42" s="78">
        <f t="shared" si="35"/>
        <v>100</v>
      </c>
      <c r="AQ42" s="78">
        <f t="shared" si="35"/>
        <v>100</v>
      </c>
      <c r="AR42" s="78">
        <f t="shared" si="35"/>
        <v>100</v>
      </c>
      <c r="AS42" s="78">
        <f t="shared" si="35"/>
        <v>100</v>
      </c>
      <c r="AT42" s="78">
        <f t="shared" si="35"/>
        <v>100</v>
      </c>
      <c r="AU42" s="78">
        <f t="shared" si="35"/>
        <v>100</v>
      </c>
      <c r="AV42" s="78">
        <f t="shared" si="35"/>
        <v>100</v>
      </c>
      <c r="AW42" s="78">
        <f t="shared" si="35"/>
        <v>100</v>
      </c>
      <c r="AY42" t="s">
        <v>155</v>
      </c>
      <c r="AZ42" s="3" t="str">
        <f ca="1" t="shared" si="38"/>
        <v>\I:</v>
      </c>
      <c r="BA42" t="str">
        <f ca="1" t="shared" si="0"/>
        <v>Trd_hdt</v>
      </c>
      <c r="BB42">
        <f ca="1" t="shared" si="1"/>
        <v>25</v>
      </c>
      <c r="BD42" t="str">
        <f ca="1" t="shared" si="3"/>
        <v>DMD</v>
      </c>
      <c r="BE42" t="str">
        <f ca="1" t="shared" si="4"/>
        <v>\I:</v>
      </c>
      <c r="BG42" t="s">
        <v>92</v>
      </c>
      <c r="BH42" t="s">
        <v>144</v>
      </c>
      <c r="BI42" t="s">
        <v>145</v>
      </c>
    </row>
    <row r="43" spans="1:61">
      <c r="AY43" t="s">
        <v>133</v>
      </c>
      <c r="BB43" t="str">
        <f t="shared" si="1"/>
        <v/>
      </c>
    </row>
    <row r="44" spans="1:61">
      <c r="D44" s="78" t="str">
        <f>D3</f>
        <v>Africa_North</v>
      </c>
      <c r="E44" s="78" t="str">
        <f t="shared" ref="E44:U44" si="39">E3</f>
        <v>Africa_Other</v>
      </c>
      <c r="F44" s="78" t="str">
        <f t="shared" si="39"/>
        <v>Australia</v>
      </c>
      <c r="G44" s="78" t="str">
        <f t="shared" si="39"/>
        <v>Austria</v>
      </c>
      <c r="H44" s="78" t="str">
        <f t="shared" si="39"/>
        <v>Baltics</v>
      </c>
      <c r="I44" s="78" t="str">
        <f t="shared" si="39"/>
        <v>BeNeLux</v>
      </c>
      <c r="J44" s="78" t="str">
        <f t="shared" si="39"/>
        <v>Brazil</v>
      </c>
      <c r="K44" s="78" t="str">
        <f t="shared" si="39"/>
        <v>China</v>
      </c>
      <c r="L44" s="78" t="str">
        <f t="shared" si="39"/>
        <v>CroSloven</v>
      </c>
      <c r="M44" s="78" t="str">
        <f t="shared" si="39"/>
        <v>CzechSlovak</v>
      </c>
      <c r="N44" s="78" t="str">
        <f t="shared" si="39"/>
        <v>France</v>
      </c>
      <c r="O44" s="78" t="str">
        <f t="shared" si="39"/>
        <v>Germany</v>
      </c>
      <c r="P44" s="78" t="str">
        <f t="shared" si="39"/>
        <v>GreeceCyp</v>
      </c>
      <c r="Q44" s="78" t="str">
        <f t="shared" si="39"/>
        <v>HunRomBul</v>
      </c>
      <c r="R44" s="78" t="str">
        <f t="shared" si="39"/>
        <v>Iceland</v>
      </c>
      <c r="S44" s="78" t="str">
        <f t="shared" si="39"/>
        <v>India</v>
      </c>
      <c r="T44" s="78" t="str">
        <f t="shared" si="39"/>
        <v>Ireland</v>
      </c>
      <c r="U44" s="78" t="str">
        <f t="shared" si="39"/>
        <v>ItalyMal</v>
      </c>
      <c r="V44" s="78" t="str">
        <f t="shared" ref="V44:AJ44" si="40">V3</f>
        <v>Japan</v>
      </c>
      <c r="W44" s="78" t="str">
        <f t="shared" si="40"/>
        <v>LatAm</v>
      </c>
      <c r="X44" s="78" t="str">
        <f t="shared" si="40"/>
        <v>MidEast</v>
      </c>
      <c r="Y44" s="78" t="str">
        <f t="shared" si="40"/>
        <v>NorthAm</v>
      </c>
      <c r="Z44" s="78" t="str">
        <f t="shared" si="40"/>
        <v>Norway</v>
      </c>
      <c r="AA44" s="78" t="str">
        <f t="shared" si="40"/>
        <v>Poland</v>
      </c>
      <c r="AB44" s="78" t="str">
        <f t="shared" si="40"/>
        <v>ROW</v>
      </c>
      <c r="AC44" s="78" t="str">
        <f t="shared" si="40"/>
        <v>Russia</v>
      </c>
      <c r="AD44" s="78" t="str">
        <f t="shared" si="40"/>
        <v>SaudiArabia</v>
      </c>
      <c r="AE44" s="78" t="str">
        <f t="shared" si="40"/>
        <v>SouthAfrica</v>
      </c>
      <c r="AF44" s="78" t="str">
        <f t="shared" si="40"/>
        <v>SpainPor</v>
      </c>
      <c r="AG44" s="78" t="str">
        <f t="shared" ref="AG44" si="41">AG3</f>
        <v>SweFinDen</v>
      </c>
      <c r="AH44" s="78" t="str">
        <f t="shared" si="40"/>
        <v>Switzerland</v>
      </c>
      <c r="AI44" s="78" t="str">
        <f t="shared" si="40"/>
        <v>Turkey</v>
      </c>
      <c r="AJ44" s="78" t="str">
        <f t="shared" si="40"/>
        <v>UK</v>
      </c>
      <c r="AK44" s="78" t="str">
        <f t="shared" ref="AK44:AW44" si="42">AK3</f>
        <v>Ukraine</v>
      </c>
      <c r="AL44" s="78" t="str">
        <f t="shared" si="42"/>
        <v>WestBalkans</v>
      </c>
      <c r="AM44" s="78" t="str">
        <f t="shared" si="42"/>
        <v>\I:</v>
      </c>
      <c r="AN44" s="78" t="str">
        <f t="shared" si="42"/>
        <v>\I:</v>
      </c>
      <c r="AO44" s="78" t="str">
        <f t="shared" si="42"/>
        <v>\I:</v>
      </c>
      <c r="AP44" s="78" t="str">
        <f t="shared" si="42"/>
        <v>\I:</v>
      </c>
      <c r="AQ44" s="78" t="str">
        <f t="shared" si="42"/>
        <v>\I:</v>
      </c>
      <c r="AR44" s="78" t="str">
        <f t="shared" si="42"/>
        <v>\I:</v>
      </c>
      <c r="AS44" s="78" t="str">
        <f t="shared" si="42"/>
        <v>\I:</v>
      </c>
      <c r="AT44" s="78" t="str">
        <f t="shared" si="42"/>
        <v>\I:</v>
      </c>
      <c r="AU44" s="78" t="str">
        <f t="shared" si="42"/>
        <v>\I:</v>
      </c>
      <c r="AV44" s="78" t="str">
        <f t="shared" si="42"/>
        <v>\I:</v>
      </c>
      <c r="AW44" s="78" t="str">
        <f t="shared" si="42"/>
        <v>\I:</v>
      </c>
      <c r="AY44" t="s">
        <v>133</v>
      </c>
      <c r="BB44" t="str">
        <f t="shared" si="1"/>
        <v/>
      </c>
    </row>
    <row r="45" spans="1:61">
      <c r="A45" t="s">
        <v>156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Y45" t="s">
        <v>157</v>
      </c>
      <c r="BA45" t="s">
        <v>170</v>
      </c>
      <c r="BB45" t="str">
        <f t="shared" si="1"/>
        <v/>
      </c>
    </row>
    <row r="47" spans="1:61">
      <c r="AY47" t="s">
        <v>159</v>
      </c>
    </row>
    <row r="48" spans="1:61">
      <c r="AY48" t="s">
        <v>160</v>
      </c>
      <c r="AZ48" t="s">
        <v>161</v>
      </c>
      <c r="BA48" t="s">
        <v>162</v>
      </c>
      <c r="BB48" t="s">
        <v>163</v>
      </c>
    </row>
    <row r="49" spans="51:54">
      <c r="AY49" t="s">
        <v>164</v>
      </c>
      <c r="AZ49" t="str">
        <f>BA45</f>
        <v>Trd_hdt</v>
      </c>
      <c r="BB49" t="s">
        <v>92</v>
      </c>
    </row>
  </sheetData>
  <conditionalFormatting sqref="AG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:AJ17 D17:AF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:AW17 AK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X40"/>
  <sheetViews>
    <sheetView zoomScale="53" zoomScaleNormal="53" workbookViewId="0">
      <selection activeCell="I49" sqref="I49"/>
    </sheetView>
  </sheetViews>
  <sheetFormatPr defaultColWidth="9" defaultRowHeight="14.5"/>
  <cols>
    <col min="2" max="2" width="2" customWidth="1"/>
    <col min="4" max="20" width="6.13636363636364" customWidth="1"/>
    <col min="21" max="22" width="8.13636363636364" customWidth="1"/>
    <col min="23" max="23" width="7.4" customWidth="1"/>
    <col min="24" max="24" width="8.86363636363636" customWidth="1"/>
    <col min="25" max="25" width="5.86363636363636" customWidth="1"/>
    <col min="26" max="26" width="7.4" customWidth="1"/>
    <col min="27" max="27" width="6" customWidth="1"/>
    <col min="28" max="29" width="5.6" customWidth="1"/>
    <col min="30" max="30" width="7.26363636363636" customWidth="1"/>
    <col min="31" max="31" width="6.6" customWidth="1"/>
    <col min="32" max="32" width="5.4" customWidth="1"/>
    <col min="33" max="33" width="7.4" customWidth="1"/>
    <col min="34" max="34" width="8" customWidth="1"/>
    <col min="35" max="49" width="6.6" customWidth="1"/>
  </cols>
  <sheetData>
    <row r="3" spans="1:50">
      <c r="D3" t="str">
        <f>'TRA balance'!E4</f>
        <v>Africa_North</v>
      </c>
      <c r="E3" t="str">
        <f>'TRA balance'!F4</f>
        <v>Africa_Other</v>
      </c>
      <c r="F3" t="str">
        <f>'TRA balance'!G4</f>
        <v>Australia</v>
      </c>
      <c r="G3" t="str">
        <f>'TRA balance'!H4</f>
        <v>Austria</v>
      </c>
      <c r="H3" t="str">
        <f>'TRA balance'!I4</f>
        <v>Baltics</v>
      </c>
      <c r="I3" t="str">
        <f>'TRA balance'!J4</f>
        <v>BeNeLux</v>
      </c>
      <c r="J3" t="str">
        <f>'TRA balance'!K4</f>
        <v>Brazil</v>
      </c>
      <c r="K3" t="str">
        <f>'TRA balance'!L4</f>
        <v>China</v>
      </c>
      <c r="L3" t="str">
        <f>'TRA balance'!M4</f>
        <v>CroSloven</v>
      </c>
      <c r="M3" t="str">
        <f>'TRA balance'!N4</f>
        <v>CzechSlovak</v>
      </c>
      <c r="N3" t="str">
        <f>'TRA balance'!O4</f>
        <v>France</v>
      </c>
      <c r="O3" t="str">
        <f>'TRA balance'!P4</f>
        <v>Germany</v>
      </c>
      <c r="P3" t="str">
        <f>'TRA balance'!Q4</f>
        <v>GreeceCyp</v>
      </c>
      <c r="Q3" t="str">
        <f>'TRA balance'!R4</f>
        <v>HunRomBul</v>
      </c>
      <c r="R3" t="str">
        <f>'TRA balance'!S4</f>
        <v>Iceland</v>
      </c>
      <c r="S3" t="str">
        <f>'TRA balance'!T4</f>
        <v>India</v>
      </c>
      <c r="T3" t="str">
        <f>'TRA balance'!U4</f>
        <v>Ireland</v>
      </c>
      <c r="U3" t="str">
        <f>'TRA balance'!V4</f>
        <v>ItalyMal</v>
      </c>
      <c r="V3" t="str">
        <f>'TRA balance'!W4</f>
        <v>Japan</v>
      </c>
      <c r="W3" t="str">
        <f>'TRA balance'!X4</f>
        <v>LatAm</v>
      </c>
      <c r="X3" t="str">
        <f>'TRA balance'!Y4</f>
        <v>MidEast</v>
      </c>
      <c r="Y3" t="str">
        <f>'TRA balance'!Z4</f>
        <v>NorthAm</v>
      </c>
      <c r="Z3" t="str">
        <f>'TRA balance'!AA4</f>
        <v>Norway</v>
      </c>
      <c r="AA3" t="str">
        <f>'TRA balance'!AB4</f>
        <v>Poland</v>
      </c>
      <c r="AB3" t="str">
        <f>'TRA balance'!AC4</f>
        <v>ROW</v>
      </c>
      <c r="AC3" t="str">
        <f>'TRA balance'!AD4</f>
        <v>Russia</v>
      </c>
      <c r="AD3" t="str">
        <f>'TRA balance'!AE4</f>
        <v>SaudiArabia</v>
      </c>
      <c r="AE3" t="str">
        <f>'TRA balance'!AF4</f>
        <v>SouthAfrica</v>
      </c>
      <c r="AF3" t="str">
        <f>'TRA balance'!AG4</f>
        <v>SpainPor</v>
      </c>
      <c r="AG3" t="str">
        <f>'TRA balance'!AH4</f>
        <v>SweFinDen</v>
      </c>
      <c r="AH3" t="str">
        <f>'TRA balance'!AI4</f>
        <v>Switzerland</v>
      </c>
      <c r="AI3" t="str">
        <f>'TRA balance'!AJ4</f>
        <v>Turkey</v>
      </c>
      <c r="AJ3" t="str">
        <f>'TRA balance'!AK4</f>
        <v>UK</v>
      </c>
      <c r="AK3" t="str">
        <f>'TRA balance'!AL4</f>
        <v>Ukraine</v>
      </c>
      <c r="AL3" t="str">
        <f>'TRA balance'!AM4</f>
        <v>WestBalkans</v>
      </c>
      <c r="AM3" t="str">
        <f>'TRA balance'!AN4</f>
        <v>\I:</v>
      </c>
      <c r="AN3" t="str">
        <f>'TRA balance'!AO4</f>
        <v>\I:</v>
      </c>
      <c r="AO3" t="str">
        <f>'TRA balance'!AP4</f>
        <v>\I:</v>
      </c>
      <c r="AP3" t="str">
        <f>'TRA balance'!AQ4</f>
        <v>\I:</v>
      </c>
      <c r="AQ3" t="str">
        <f>'TRA balance'!AR4</f>
        <v>\I:</v>
      </c>
      <c r="AR3" t="str">
        <f>'TRA balance'!AS4</f>
        <v>\I:</v>
      </c>
      <c r="AS3" t="str">
        <f>'TRA balance'!AT4</f>
        <v>\I:</v>
      </c>
      <c r="AT3" t="str">
        <f>'TRA balance'!AU4</f>
        <v>\I:</v>
      </c>
      <c r="AU3" t="str">
        <f>'TRA balance'!AV4</f>
        <v>\I:</v>
      </c>
      <c r="AV3" t="str">
        <f>'TRA balance'!AW4</f>
        <v>\I:</v>
      </c>
      <c r="AW3" t="str">
        <f>'TRA balance'!AX4</f>
        <v>\I:</v>
      </c>
    </row>
    <row r="4" spans="1:50">
      <c r="A4" t="s">
        <v>78</v>
      </c>
      <c r="C4" s="43" t="s">
        <v>44</v>
      </c>
      <c r="D4" s="1" cm="1">
        <f ca="1" t="array" ref="D4">SUM(SUMIFS(Assumptions!BD$3:BD$102,Assumptions!$B$3:$B$102,Trucks!$C4,Assumptions!$G$3:$G$102,{"TRH","TRM","TRC"}))</f>
        <v>0</v>
      </c>
      <c r="E4" s="1" cm="1">
        <f ca="1" t="array" ref="E4">SUM(SUMIFS(Assumptions!BE$3:BE$102,Assumptions!$B$3:$B$102,Trucks!$C4,Assumptions!$G$3:$G$102,{"TRH","TRM","TRC"}))</f>
        <v>0</v>
      </c>
      <c r="F4" s="1" cm="1">
        <f ca="1" t="array" ref="F4">SUM(SUMIFS(Assumptions!BF$3:BF$102,Assumptions!$B$3:$B$102,Trucks!$C4,Assumptions!$G$3:$G$102,{"TRH","TRM","TRC"}))</f>
        <v>0.030656042676</v>
      </c>
      <c r="G4" s="1" cm="1">
        <f ca="1" t="array" ref="G4">SUM(SUMIFS(Assumptions!BG$3:BG$102,Assumptions!$B$3:$B$102,Trucks!$C4,Assumptions!$G$3:$G$102,{"TRH","TRM","TRC"}))</f>
        <v>13.546605094272</v>
      </c>
      <c r="H4" s="1" cm="1">
        <f ca="1" t="array" ref="H4">SUM(SUMIFS(Assumptions!BH$3:BH$102,Assumptions!$B$3:$B$102,Trucks!$C4,Assumptions!$G$3:$G$102,{"TRH","TRM","TRC"}))</f>
        <v>3.918755872368</v>
      </c>
      <c r="I4" s="1" cm="1">
        <f ca="1" t="array" ref="I4">SUM(SUMIFS(Assumptions!BI$3:BI$102,Assumptions!$B$3:$B$102,Trucks!$C4,Assumptions!$G$3:$G$102,{"TRH","TRM","TRC"}))</f>
        <v>28.066730116176</v>
      </c>
      <c r="J4" s="1" cm="1">
        <f ca="1" t="array" ref="J4">SUM(SUMIFS(Assumptions!BJ$3:BJ$102,Assumptions!$B$3:$B$102,Trucks!$C4,Assumptions!$G$3:$G$102,{"TRH","TRM","TRC"}))</f>
        <v>544.912046636422</v>
      </c>
      <c r="K4" s="1" cm="1">
        <f ca="1" t="array" ref="K4">SUM(SUMIFS(Assumptions!BK$3:BK$102,Assumptions!$B$3:$B$102,Trucks!$C4,Assumptions!$G$3:$G$102,{"TRH","TRM","TRC"}))</f>
        <v>22.17384032877</v>
      </c>
      <c r="L4" s="1" cm="1">
        <f ca="1" t="array" ref="L4">SUM(SUMIFS(Assumptions!BL$3:BL$102,Assumptions!$B$3:$B$102,Trucks!$C4,Assumptions!$G$3:$G$102,{"TRH","TRM","TRC"}))</f>
        <v>4.595972949504</v>
      </c>
      <c r="M4" s="1" cm="1">
        <f ca="1" t="array" ref="M4">SUM(SUMIFS(Assumptions!BM$3:BM$102,Assumptions!$B$3:$B$102,Trucks!$C4,Assumptions!$G$3:$G$102,{"TRH","TRM","TRC"}))</f>
        <v>12.045491928576</v>
      </c>
      <c r="N4" s="1" cm="1">
        <f ca="1" t="array" ref="N4">SUM(SUMIFS(Assumptions!BN$3:BN$102,Assumptions!$B$3:$B$102,Trucks!$C4,Assumptions!$G$3:$G$102,{"TRH","TRM","TRC"}))</f>
        <v>80.334474700752</v>
      </c>
      <c r="O4" s="1" cm="1">
        <f ca="1" t="array" ref="O4">SUM(SUMIFS(Assumptions!BO$3:BO$102,Assumptions!$B$3:$B$102,Trucks!$C4,Assumptions!$G$3:$G$102,{"TRH","TRM","TRC"}))</f>
        <v>60.111356161968</v>
      </c>
      <c r="P4" s="1" cm="1">
        <f ca="1" t="array" ref="P4">SUM(SUMIFS(Assumptions!BP$3:BP$102,Assumptions!$B$3:$B$102,Trucks!$C4,Assumptions!$G$3:$G$102,{"TRH","TRM","TRC"}))</f>
        <v>5.445957323808</v>
      </c>
      <c r="Q4" s="1" cm="1">
        <f ca="1" t="array" ref="Q4">SUM(SUMIFS(Assumptions!BQ$3:BQ$102,Assumptions!$B$3:$B$102,Trucks!$C4,Assumptions!$G$3:$G$102,{"TRH","TRM","TRC"}))</f>
        <v>18.656381134944</v>
      </c>
      <c r="R4" s="1" cm="1">
        <f ca="1" t="array" ref="R4">SUM(SUMIFS(Assumptions!BR$3:BR$102,Assumptions!$B$3:$B$102,Trucks!$C4,Assumptions!$G$3:$G$102,{"TRH","TRM","TRC"}))</f>
        <v>0.49318913016</v>
      </c>
      <c r="S4" s="1" cm="1">
        <f ca="1" t="array" ref="S4">SUM(SUMIFS(Assumptions!BS$3:BS$102,Assumptions!$B$3:$B$102,Trucks!$C4,Assumptions!$G$3:$G$102,{"TRH","TRM","TRC"}))</f>
        <v>0.9207778032</v>
      </c>
      <c r="T4" s="1" cm="1">
        <f ca="1" t="array" ref="T4">SUM(SUMIFS(Assumptions!BT$3:BT$102,Assumptions!$B$3:$B$102,Trucks!$C4,Assumptions!$G$3:$G$102,{"TRH","TRM","TRC"}))</f>
        <v>5.15418358608</v>
      </c>
      <c r="U4" s="1" cm="1">
        <f ca="1" t="array" ref="U4">SUM(SUMIFS(Assumptions!BU$3:BU$102,Assumptions!$B$3:$B$102,Trucks!$C4,Assumptions!$G$3:$G$102,{"TRH","TRM","TRC"}))</f>
        <v>39.983053905648</v>
      </c>
      <c r="V4" s="1" cm="1">
        <f ca="1" t="array" ref="V4">SUM(SUMIFS(Assumptions!BV$3:BV$102,Assumptions!$B$3:$B$102,Trucks!$C4,Assumptions!$G$3:$G$102,{"TRH","TRM","TRC"}))</f>
        <v>0.46862035974</v>
      </c>
      <c r="W4" s="1" cm="1">
        <f ca="1" t="array" ref="W4">SUM(SUMIFS(Assumptions!BW$3:BW$102,Assumptions!$B$3:$B$102,Trucks!$C4,Assumptions!$G$3:$G$102,{"TRH","TRM","TRC"}))</f>
        <v>62.1585731747124</v>
      </c>
      <c r="X4" s="1" cm="1">
        <f ca="1" t="array" ref="X4">SUM(SUMIFS(Assumptions!BX$3:BX$102,Assumptions!$B$3:$B$102,Trucks!$C4,Assumptions!$G$3:$G$102,{"TRH","TRM","TRC"}))</f>
        <v>0</v>
      </c>
      <c r="Y4" s="1" cm="1">
        <f ca="1" t="array" ref="Y4">SUM(SUMIFS(Assumptions!BY$3:BY$102,Assumptions!$B$3:$B$102,Trucks!$C4,Assumptions!$G$3:$G$102,{"TRH","TRM","TRC"}))</f>
        <v>191.284490108778</v>
      </c>
      <c r="Z4" s="1" cm="1">
        <f ca="1" t="array" ref="Z4">SUM(SUMIFS(Assumptions!BZ$3:BZ$102,Assumptions!$B$3:$B$102,Trucks!$C4,Assumptions!$G$3:$G$102,{"TRH","TRM","TRC"}))</f>
        <v>13.33231864128</v>
      </c>
      <c r="AA4" s="1" cm="1">
        <f ca="1" t="array" ref="AA4">SUM(SUMIFS(Assumptions!CA$3:CA$102,Assumptions!$B$3:$B$102,Trucks!$C4,Assumptions!$G$3:$G$102,{"TRH","TRM","TRC"}))</f>
        <v>25.255013400576</v>
      </c>
      <c r="AB4" s="1" cm="1">
        <f ca="1" t="array" ref="AB4">SUM(SUMIFS(Assumptions!CB$3:CB$102,Assumptions!$B$3:$B$102,Trucks!$C4,Assumptions!$G$3:$G$102,{"TRH","TRM","TRC"}))</f>
        <v>222.920510705021</v>
      </c>
      <c r="AC4" s="1" cm="1">
        <f ca="1" t="array" ref="AC4">SUM(SUMIFS(Assumptions!CC$3:CC$102,Assumptions!$B$3:$B$102,Trucks!$C4,Assumptions!$G$3:$G$102,{"TRH","TRM","TRC"}))</f>
        <v>0.061560341658</v>
      </c>
      <c r="AD4" s="1" cm="1">
        <f ca="1" t="array" ref="AD4">SUM(SUMIFS(Assumptions!CD$3:CD$102,Assumptions!$B$3:$B$102,Trucks!$C4,Assumptions!$G$3:$G$102,{"TRH","TRM","TRC"}))</f>
        <v>0</v>
      </c>
      <c r="AE4" s="1" cm="1">
        <f ca="1" t="array" ref="AE4">SUM(SUMIFS(Assumptions!CE$3:CE$102,Assumptions!$B$3:$B$102,Trucks!$C4,Assumptions!$G$3:$G$102,{"TRH","TRM","TRC"}))</f>
        <v>0</v>
      </c>
      <c r="AF4" s="1" cm="1">
        <f ca="1" t="array" ref="AF4">SUM(SUMIFS(Assumptions!CF$3:CF$102,Assumptions!$B$3:$B$102,Trucks!$C4,Assumptions!$G$3:$G$102,{"TRH","TRM","TRC"}))</f>
        <v>55.924350841296</v>
      </c>
      <c r="AG4" s="1" cm="1">
        <f ca="1" t="array" ref="AG4">SUM(SUMIFS(Assumptions!CG$3:CG$102,Assumptions!$B$3:$B$102,Trucks!$C4,Assumptions!$G$3:$G$102,{"TRH","TRM","TRC"}))</f>
        <v>54.465437605104</v>
      </c>
      <c r="AH4" s="1" cm="1">
        <f ca="1" t="array" ref="AH4">SUM(SUMIFS(Assumptions!CH$3:CH$102,Assumptions!$B$3:$B$102,Trucks!$C4,Assumptions!$G$3:$G$102,{"TRH","TRM","TRC"}))</f>
        <v>4.76766993312</v>
      </c>
      <c r="AI4" s="1" cm="1">
        <f ca="1" t="array" ref="AI4">SUM(SUMIFS(Assumptions!CI$3:CI$102,Assumptions!$B$3:$B$102,Trucks!$C4,Assumptions!$G$3:$G$102,{"TRH","TRM","TRC"}))</f>
        <v>3.871395125712</v>
      </c>
      <c r="AJ4" s="1" cm="1">
        <f ca="1" t="array" ref="AJ4">SUM(SUMIFS(Assumptions!CJ$3:CJ$102,Assumptions!$B$3:$B$102,Trucks!$C4,Assumptions!$G$3:$G$102,{"TRH","TRM","TRC"}))</f>
        <v>40.193057429712</v>
      </c>
      <c r="AK4" s="1" cm="1">
        <f ca="1" t="array" ref="AK4">SUM(SUMIFS(Assumptions!CK$3:CK$102,Assumptions!$B$3:$B$102,Trucks!$C4,Assumptions!$G$3:$G$102,{"TRH","TRM","TRC"}))</f>
        <v>0</v>
      </c>
      <c r="AL4" s="1" cm="1">
        <f ca="1" t="array" ref="AL4">SUM(SUMIFS(Assumptions!CL$3:CL$102,Assumptions!$B$3:$B$102,Trucks!$C4,Assumptions!$G$3:$G$102,{"TRH","TRM","TRC"}))</f>
        <v>3.625386628896</v>
      </c>
      <c r="AM4" s="1" cm="1">
        <f ca="1" t="array" ref="AM4">SUM(SUMIFS(Assumptions!CM$3:CM$102,Assumptions!$B$3:$B$102,Trucks!$C4,Assumptions!$G$3:$G$102,{"TRH","TRM","TRC"}))</f>
        <v>0</v>
      </c>
      <c r="AN4" s="1" cm="1">
        <f ca="1" t="array" ref="AN4">SUM(SUMIFS(Assumptions!CN$3:CN$102,Assumptions!$B$3:$B$102,Trucks!$C4,Assumptions!$G$3:$G$102,{"TRH","TRM","TRC"}))</f>
        <v>0</v>
      </c>
      <c r="AO4" s="1" cm="1">
        <f ca="1" t="array" ref="AO4">SUM(SUMIFS(Assumptions!CO$3:CO$102,Assumptions!$B$3:$B$102,Trucks!$C4,Assumptions!$G$3:$G$102,{"TRH","TRM","TRC"}))</f>
        <v>0</v>
      </c>
      <c r="AP4" s="1" cm="1">
        <f ca="1" t="array" ref="AP4">SUM(SUMIFS(Assumptions!CP$3:CP$102,Assumptions!$B$3:$B$102,Trucks!$C4,Assumptions!$G$3:$G$102,{"TRH","TRM","TRC"}))</f>
        <v>0</v>
      </c>
      <c r="AQ4" s="1" cm="1">
        <f ca="1" t="array" ref="AQ4">SUM(SUMIFS(Assumptions!CQ$3:CQ$102,Assumptions!$B$3:$B$102,Trucks!$C4,Assumptions!$G$3:$G$102,{"TRH","TRM","TRC"}))</f>
        <v>0</v>
      </c>
      <c r="AR4" s="1" cm="1">
        <f ca="1" t="array" ref="AR4">SUM(SUMIFS(Assumptions!CR$3:CR$102,Assumptions!$B$3:$B$102,Trucks!$C4,Assumptions!$G$3:$G$102,{"TRH","TRM","TRC"}))</f>
        <v>0</v>
      </c>
      <c r="AS4" s="1" cm="1">
        <f ca="1" t="array" ref="AS4">SUM(SUMIFS(Assumptions!CS$3:CS$102,Assumptions!$B$3:$B$102,Trucks!$C4,Assumptions!$G$3:$G$102,{"TRH","TRM","TRC"}))</f>
        <v>0</v>
      </c>
      <c r="AT4" s="1" cm="1">
        <f ca="1" t="array" ref="AT4">SUM(SUMIFS(Assumptions!CT$3:CT$102,Assumptions!$B$3:$B$102,Trucks!$C4,Assumptions!$G$3:$G$102,{"TRH","TRM","TRC"}))</f>
        <v>0</v>
      </c>
      <c r="AU4" s="1" cm="1">
        <f ca="1" t="array" ref="AU4">SUM(SUMIFS(Assumptions!CU$3:CU$102,Assumptions!$B$3:$B$102,Trucks!$C4,Assumptions!$G$3:$G$102,{"TRH","TRM","TRC"}))</f>
        <v>0</v>
      </c>
      <c r="AV4" s="1" cm="1">
        <f ca="1" t="array" ref="AV4">SUM(SUMIFS(Assumptions!CV$3:CV$102,Assumptions!$B$3:$B$102,Trucks!$C4,Assumptions!$G$3:$G$102,{"TRH","TRM","TRC"}))</f>
        <v>0</v>
      </c>
      <c r="AW4" s="1" cm="1">
        <f ca="1" t="array" ref="AW4">SUM(SUMIFS(Assumptions!CW$3:CW$102,Assumptions!$B$3:$B$102,Trucks!$C4,Assumptions!$G$3:$G$102,{"TRH","TRM","TRC"}))</f>
        <v>0</v>
      </c>
    </row>
    <row r="5" spans="1:50">
      <c r="A5" t="s">
        <v>78</v>
      </c>
      <c r="C5" s="43" t="s">
        <v>48</v>
      </c>
      <c r="D5" s="1" cm="1">
        <f ca="1" t="array" ref="D5">SUM(SUMIFS(Assumptions!BD$3:BD$102,Assumptions!$B$3:$B$102,Trucks!$C5,Assumptions!$G$3:$G$102,{"TRH","TRM","TRC"}))</f>
        <v>0</v>
      </c>
      <c r="E5" s="1" cm="1">
        <f ca="1" t="array" ref="E5">SUM(SUMIFS(Assumptions!BE$3:BE$102,Assumptions!$B$3:$B$102,Trucks!$C5,Assumptions!$G$3:$G$102,{"TRH","TRM","TRC"}))</f>
        <v>0</v>
      </c>
      <c r="F5" s="1" cm="1">
        <f ca="1" t="array" ref="F5">SUM(SUMIFS(Assumptions!BF$3:BF$102,Assumptions!$B$3:$B$102,Trucks!$C5,Assumptions!$G$3:$G$102,{"TRH","TRM","TRC"}))</f>
        <v>0</v>
      </c>
      <c r="G5" s="1" cm="1">
        <f ca="1" t="array" ref="G5">SUM(SUMIFS(Assumptions!BG$3:BG$102,Assumptions!$B$3:$B$102,Trucks!$C5,Assumptions!$G$3:$G$102,{"TRH","TRM","TRC"}))</f>
        <v>0</v>
      </c>
      <c r="H5" s="1" cm="1">
        <f ca="1" t="array" ref="H5">SUM(SUMIFS(Assumptions!BH$3:BH$102,Assumptions!$B$3:$B$102,Trucks!$C5,Assumptions!$G$3:$G$102,{"TRH","TRM","TRC"}))</f>
        <v>0</v>
      </c>
      <c r="I5" s="1" cm="1">
        <f ca="1" t="array" ref="I5">SUM(SUMIFS(Assumptions!BI$3:BI$102,Assumptions!$B$3:$B$102,Trucks!$C5,Assumptions!$G$3:$G$102,{"TRH","TRM","TRC"}))</f>
        <v>0</v>
      </c>
      <c r="J5" s="1" cm="1">
        <f ca="1" t="array" ref="J5">SUM(SUMIFS(Assumptions!BJ$3:BJ$102,Assumptions!$B$3:$B$102,Trucks!$C5,Assumptions!$G$3:$G$102,{"TRH","TRM","TRC"}))</f>
        <v>0</v>
      </c>
      <c r="K5" s="1" cm="1">
        <f ca="1" t="array" ref="K5">SUM(SUMIFS(Assumptions!BK$3:BK$102,Assumptions!$B$3:$B$102,Trucks!$C5,Assumptions!$G$3:$G$102,{"TRH","TRM","TRC"}))</f>
        <v>0</v>
      </c>
      <c r="L5" s="1" cm="1">
        <f ca="1" t="array" ref="L5">SUM(SUMIFS(Assumptions!BL$3:BL$102,Assumptions!$B$3:$B$102,Trucks!$C5,Assumptions!$G$3:$G$102,{"TRH","TRM","TRC"}))</f>
        <v>0</v>
      </c>
      <c r="M5" s="1" cm="1">
        <f ca="1" t="array" ref="M5">SUM(SUMIFS(Assumptions!BM$3:BM$102,Assumptions!$B$3:$B$102,Trucks!$C5,Assumptions!$G$3:$G$102,{"TRH","TRM","TRC"}))</f>
        <v>0</v>
      </c>
      <c r="N5" s="1" cm="1">
        <f ca="1" t="array" ref="N5">SUM(SUMIFS(Assumptions!BN$3:BN$102,Assumptions!$B$3:$B$102,Trucks!$C5,Assumptions!$G$3:$G$102,{"TRH","TRM","TRC"}))</f>
        <v>0</v>
      </c>
      <c r="O5" s="1" cm="1">
        <f ca="1" t="array" ref="O5">SUM(SUMIFS(Assumptions!BO$3:BO$102,Assumptions!$B$3:$B$102,Trucks!$C5,Assumptions!$G$3:$G$102,{"TRH","TRM","TRC"}))</f>
        <v>0</v>
      </c>
      <c r="P5" s="1" cm="1">
        <f ca="1" t="array" ref="P5">SUM(SUMIFS(Assumptions!BP$3:BP$102,Assumptions!$B$3:$B$102,Trucks!$C5,Assumptions!$G$3:$G$102,{"TRH","TRM","TRC"}))</f>
        <v>0</v>
      </c>
      <c r="Q5" s="1" cm="1">
        <f ca="1" t="array" ref="Q5">SUM(SUMIFS(Assumptions!BQ$3:BQ$102,Assumptions!$B$3:$B$102,Trucks!$C5,Assumptions!$G$3:$G$102,{"TRH","TRM","TRC"}))</f>
        <v>0</v>
      </c>
      <c r="R5" s="1" cm="1">
        <f ca="1" t="array" ref="R5">SUM(SUMIFS(Assumptions!BR$3:BR$102,Assumptions!$B$3:$B$102,Trucks!$C5,Assumptions!$G$3:$G$102,{"TRH","TRM","TRC"}))</f>
        <v>0</v>
      </c>
      <c r="S5" s="1" cm="1">
        <f ca="1" t="array" ref="S5">SUM(SUMIFS(Assumptions!BS$3:BS$102,Assumptions!$B$3:$B$102,Trucks!$C5,Assumptions!$G$3:$G$102,{"TRH","TRM","TRC"}))</f>
        <v>0</v>
      </c>
      <c r="T5" s="1" cm="1">
        <f ca="1" t="array" ref="T5">SUM(SUMIFS(Assumptions!BT$3:BT$102,Assumptions!$B$3:$B$102,Trucks!$C5,Assumptions!$G$3:$G$102,{"TRH","TRM","TRC"}))</f>
        <v>0</v>
      </c>
      <c r="U5" s="1" cm="1">
        <f ca="1" t="array" ref="U5">SUM(SUMIFS(Assumptions!BU$3:BU$102,Assumptions!$B$3:$B$102,Trucks!$C5,Assumptions!$G$3:$G$102,{"TRH","TRM","TRC"}))</f>
        <v>0</v>
      </c>
      <c r="V5" s="1" cm="1">
        <f ca="1" t="array" ref="V5">SUM(SUMIFS(Assumptions!BV$3:BV$102,Assumptions!$B$3:$B$102,Trucks!$C5,Assumptions!$G$3:$G$102,{"TRH","TRM","TRC"}))</f>
        <v>0</v>
      </c>
      <c r="W5" s="1" cm="1">
        <f ca="1" t="array" ref="W5">SUM(SUMIFS(Assumptions!BW$3:BW$102,Assumptions!$B$3:$B$102,Trucks!$C5,Assumptions!$G$3:$G$102,{"TRH","TRM","TRC"}))</f>
        <v>0</v>
      </c>
      <c r="X5" s="1" cm="1">
        <f ca="1" t="array" ref="X5">SUM(SUMIFS(Assumptions!BX$3:BX$102,Assumptions!$B$3:$B$102,Trucks!$C5,Assumptions!$G$3:$G$102,{"TRH","TRM","TRC"}))</f>
        <v>0</v>
      </c>
      <c r="Y5" s="1" cm="1">
        <f ca="1" t="array" ref="Y5">SUM(SUMIFS(Assumptions!BY$3:BY$102,Assumptions!$B$3:$B$102,Trucks!$C5,Assumptions!$G$3:$G$102,{"TRH","TRM","TRC"}))</f>
        <v>0</v>
      </c>
      <c r="Z5" s="1" cm="1">
        <f ca="1" t="array" ref="Z5">SUM(SUMIFS(Assumptions!BZ$3:BZ$102,Assumptions!$B$3:$B$102,Trucks!$C5,Assumptions!$G$3:$G$102,{"TRH","TRM","TRC"}))</f>
        <v>0</v>
      </c>
      <c r="AA5" s="1" cm="1">
        <f ca="1" t="array" ref="AA5">SUM(SUMIFS(Assumptions!CA$3:CA$102,Assumptions!$B$3:$B$102,Trucks!$C5,Assumptions!$G$3:$G$102,{"TRH","TRM","TRC"}))</f>
        <v>0</v>
      </c>
      <c r="AB5" s="1" cm="1">
        <f ca="1" t="array" ref="AB5">SUM(SUMIFS(Assumptions!CB$3:CB$102,Assumptions!$B$3:$B$102,Trucks!$C5,Assumptions!$G$3:$G$102,{"TRH","TRM","TRC"}))</f>
        <v>0</v>
      </c>
      <c r="AC5" s="1" cm="1">
        <f ca="1" t="array" ref="AC5">SUM(SUMIFS(Assumptions!CC$3:CC$102,Assumptions!$B$3:$B$102,Trucks!$C5,Assumptions!$G$3:$G$102,{"TRH","TRM","TRC"}))</f>
        <v>0</v>
      </c>
      <c r="AD5" s="1" cm="1">
        <f ca="1" t="array" ref="AD5">SUM(SUMIFS(Assumptions!CD$3:CD$102,Assumptions!$B$3:$B$102,Trucks!$C5,Assumptions!$G$3:$G$102,{"TRH","TRM","TRC"}))</f>
        <v>0</v>
      </c>
      <c r="AE5" s="1" cm="1">
        <f ca="1" t="array" ref="AE5">SUM(SUMIFS(Assumptions!CE$3:CE$102,Assumptions!$B$3:$B$102,Trucks!$C5,Assumptions!$G$3:$G$102,{"TRH","TRM","TRC"}))</f>
        <v>0</v>
      </c>
      <c r="AF5" s="1" cm="1">
        <f ca="1" t="array" ref="AF5">SUM(SUMIFS(Assumptions!CF$3:CF$102,Assumptions!$B$3:$B$102,Trucks!$C5,Assumptions!$G$3:$G$102,{"TRH","TRM","TRC"}))</f>
        <v>0</v>
      </c>
      <c r="AG5" s="1" cm="1">
        <f ca="1" t="array" ref="AG5">SUM(SUMIFS(Assumptions!CG$3:CG$102,Assumptions!$B$3:$B$102,Trucks!$C5,Assumptions!$G$3:$G$102,{"TRH","TRM","TRC"}))</f>
        <v>0</v>
      </c>
      <c r="AH5" s="1" cm="1">
        <f ca="1" t="array" ref="AH5">SUM(SUMIFS(Assumptions!CH$3:CH$102,Assumptions!$B$3:$B$102,Trucks!$C5,Assumptions!$G$3:$G$102,{"TRH","TRM","TRC"}))</f>
        <v>0</v>
      </c>
      <c r="AI5" s="1" cm="1">
        <f ca="1" t="array" ref="AI5">SUM(SUMIFS(Assumptions!CI$3:CI$102,Assumptions!$B$3:$B$102,Trucks!$C5,Assumptions!$G$3:$G$102,{"TRH","TRM","TRC"}))</f>
        <v>0</v>
      </c>
      <c r="AJ5" s="1" cm="1">
        <f ca="1" t="array" ref="AJ5">SUM(SUMIFS(Assumptions!CJ$3:CJ$102,Assumptions!$B$3:$B$102,Trucks!$C5,Assumptions!$G$3:$G$102,{"TRH","TRM","TRC"}))</f>
        <v>0</v>
      </c>
      <c r="AK5" s="1" cm="1">
        <f ca="1" t="array" ref="AK5">SUM(SUMIFS(Assumptions!CK$3:CK$102,Assumptions!$B$3:$B$102,Trucks!$C5,Assumptions!$G$3:$G$102,{"TRH","TRM","TRC"}))</f>
        <v>0</v>
      </c>
      <c r="AL5" s="1" cm="1">
        <f ca="1" t="array" ref="AL5">SUM(SUMIFS(Assumptions!CL$3:CL$102,Assumptions!$B$3:$B$102,Trucks!$C5,Assumptions!$G$3:$G$102,{"TRH","TRM","TRC"}))</f>
        <v>0</v>
      </c>
      <c r="AM5" s="1" cm="1">
        <f ca="1" t="array" ref="AM5">SUM(SUMIFS(Assumptions!CM$3:CM$102,Assumptions!$B$3:$B$102,Trucks!$C5,Assumptions!$G$3:$G$102,{"TRH","TRM","TRC"}))</f>
        <v>0</v>
      </c>
      <c r="AN5" s="1" cm="1">
        <f ca="1" t="array" ref="AN5">SUM(SUMIFS(Assumptions!CN$3:CN$102,Assumptions!$B$3:$B$102,Trucks!$C5,Assumptions!$G$3:$G$102,{"TRH","TRM","TRC"}))</f>
        <v>0</v>
      </c>
      <c r="AO5" s="1" cm="1">
        <f ca="1" t="array" ref="AO5">SUM(SUMIFS(Assumptions!CO$3:CO$102,Assumptions!$B$3:$B$102,Trucks!$C5,Assumptions!$G$3:$G$102,{"TRH","TRM","TRC"}))</f>
        <v>0</v>
      </c>
      <c r="AP5" s="1" cm="1">
        <f ca="1" t="array" ref="AP5">SUM(SUMIFS(Assumptions!CP$3:CP$102,Assumptions!$B$3:$B$102,Trucks!$C5,Assumptions!$G$3:$G$102,{"TRH","TRM","TRC"}))</f>
        <v>0</v>
      </c>
      <c r="AQ5" s="1" cm="1">
        <f ca="1" t="array" ref="AQ5">SUM(SUMIFS(Assumptions!CQ$3:CQ$102,Assumptions!$B$3:$B$102,Trucks!$C5,Assumptions!$G$3:$G$102,{"TRH","TRM","TRC"}))</f>
        <v>0</v>
      </c>
      <c r="AR5" s="1" cm="1">
        <f ca="1" t="array" ref="AR5">SUM(SUMIFS(Assumptions!CR$3:CR$102,Assumptions!$B$3:$B$102,Trucks!$C5,Assumptions!$G$3:$G$102,{"TRH","TRM","TRC"}))</f>
        <v>0</v>
      </c>
      <c r="AS5" s="1" cm="1">
        <f ca="1" t="array" ref="AS5">SUM(SUMIFS(Assumptions!CS$3:CS$102,Assumptions!$B$3:$B$102,Trucks!$C5,Assumptions!$G$3:$G$102,{"TRH","TRM","TRC"}))</f>
        <v>0</v>
      </c>
      <c r="AT5" s="1" cm="1">
        <f ca="1" t="array" ref="AT5">SUM(SUMIFS(Assumptions!CT$3:CT$102,Assumptions!$B$3:$B$102,Trucks!$C5,Assumptions!$G$3:$G$102,{"TRH","TRM","TRC"}))</f>
        <v>0</v>
      </c>
      <c r="AU5" s="1" cm="1">
        <f ca="1" t="array" ref="AU5">SUM(SUMIFS(Assumptions!CU$3:CU$102,Assumptions!$B$3:$B$102,Trucks!$C5,Assumptions!$G$3:$G$102,{"TRH","TRM","TRC"}))</f>
        <v>0</v>
      </c>
      <c r="AV5" s="1" cm="1">
        <f ca="1" t="array" ref="AV5">SUM(SUMIFS(Assumptions!CV$3:CV$102,Assumptions!$B$3:$B$102,Trucks!$C5,Assumptions!$G$3:$G$102,{"TRH","TRM","TRC"}))</f>
        <v>0</v>
      </c>
      <c r="AW5" s="1" cm="1">
        <f ca="1" t="array" ref="AW5">SUM(SUMIFS(Assumptions!CW$3:CW$102,Assumptions!$B$3:$B$102,Trucks!$C5,Assumptions!$G$3:$G$102,{"TRH","TRM","TRC"}))</f>
        <v>0</v>
      </c>
    </row>
    <row r="6" spans="1:50">
      <c r="A6" t="s">
        <v>78</v>
      </c>
      <c r="C6" s="43" t="s">
        <v>60</v>
      </c>
      <c r="D6" s="1" cm="1">
        <f ca="1" t="array" ref="D6">SUM(SUMIFS(Assumptions!BD$3:BD$102,Assumptions!$B$3:$B$102,Trucks!$C6,Assumptions!$G$3:$G$102,{"TRH","TRM","TRC"}))</f>
        <v>650.53202093451</v>
      </c>
      <c r="E6" s="1" cm="1">
        <f ca="1" t="array" ref="E6">SUM(SUMIFS(Assumptions!BE$3:BE$102,Assumptions!$B$3:$B$102,Trucks!$C6,Assumptions!$G$3:$G$102,{"TRH","TRM","TRC"}))</f>
        <v>578.113157771136</v>
      </c>
      <c r="F6" s="1" cm="1">
        <f ca="1" t="array" ref="F6">SUM(SUMIFS(Assumptions!BF$3:BF$102,Assumptions!$B$3:$B$102,Trucks!$C6,Assumptions!$G$3:$G$102,{"TRH","TRM","TRC"}))</f>
        <v>479.506379913313</v>
      </c>
      <c r="G6" s="1" cm="1">
        <f ca="1" t="array" ref="G6">SUM(SUMIFS(Assumptions!BG$3:BG$102,Assumptions!$B$3:$B$102,Trucks!$C6,Assumptions!$G$3:$G$102,{"TRH","TRM","TRC"}))</f>
        <v>196.574413138128</v>
      </c>
      <c r="H6" s="1" cm="1">
        <f ca="1" t="array" ref="H6">SUM(SUMIFS(Assumptions!BH$3:BH$102,Assumptions!$B$3:$B$102,Trucks!$C6,Assumptions!$G$3:$G$102,{"TRH","TRM","TRC"}))</f>
        <v>103.68589695147</v>
      </c>
      <c r="I6" s="1" cm="1">
        <f ca="1" t="array" ref="I6">SUM(SUMIFS(Assumptions!BI$3:BI$102,Assumptions!$B$3:$B$102,Trucks!$C6,Assumptions!$G$3:$G$102,{"TRH","TRM","TRC"}))</f>
        <v>416.656458097776</v>
      </c>
      <c r="J6" s="1" cm="1">
        <f ca="1" t="array" ref="J6">SUM(SUMIFS(Assumptions!BJ$3:BJ$102,Assumptions!$B$3:$B$102,Trucks!$C6,Assumptions!$G$3:$G$102,{"TRH","TRM","TRC"}))</f>
        <v>1201.92499284893</v>
      </c>
      <c r="K6" s="1" cm="1">
        <f ca="1" t="array" ref="K6">SUM(SUMIFS(Assumptions!BK$3:BK$102,Assumptions!$B$3:$B$102,Trucks!$C6,Assumptions!$G$3:$G$102,{"TRH","TRM","TRC"}))</f>
        <v>2270.60239347887</v>
      </c>
      <c r="L6" s="1" cm="1">
        <f ca="1" t="array" ref="L6">SUM(SUMIFS(Assumptions!BL$3:BL$102,Assumptions!$B$3:$B$102,Trucks!$C6,Assumptions!$G$3:$G$102,{"TRH","TRM","TRC"}))</f>
        <v>86.75570270448</v>
      </c>
      <c r="M6" s="1" cm="1">
        <f ca="1" t="array" ref="M6">SUM(SUMIFS(Assumptions!BM$3:BM$102,Assumptions!$B$3:$B$102,Trucks!$C6,Assumptions!$G$3:$G$102,{"TRH","TRM","TRC"}))</f>
        <v>185.902991623296</v>
      </c>
      <c r="N6" s="1" cm="1">
        <f ca="1" t="array" ref="N6">SUM(SUMIFS(Assumptions!BN$3:BN$102,Assumptions!$B$3:$B$102,Trucks!$C6,Assumptions!$G$3:$G$102,{"TRH","TRM","TRC"}))</f>
        <v>977.664094117488</v>
      </c>
      <c r="O6" s="1" cm="1">
        <f ca="1" t="array" ref="O6">SUM(SUMIFS(Assumptions!BO$3:BO$102,Assumptions!$B$3:$B$102,Trucks!$C6,Assumptions!$G$3:$G$102,{"TRH","TRM","TRC"}))</f>
        <v>1055.8461106548</v>
      </c>
      <c r="P6" s="1" cm="1">
        <f ca="1" t="array" ref="P6">SUM(SUMIFS(Assumptions!BP$3:BP$102,Assumptions!$B$3:$B$102,Trucks!$C6,Assumptions!$G$3:$G$102,{"TRH","TRM","TRC"}))</f>
        <v>85.384296100368</v>
      </c>
      <c r="Q6" s="1" cm="1">
        <f ca="1" t="array" ref="Q6">SUM(SUMIFS(Assumptions!BQ$3:BQ$102,Assumptions!$B$3:$B$102,Trucks!$C6,Assumptions!$G$3:$G$102,{"TRH","TRM","TRC"}))</f>
        <v>290.047302039456</v>
      </c>
      <c r="R6" s="1" cm="1">
        <f ca="1" t="array" ref="R6">SUM(SUMIFS(Assumptions!BR$3:BR$102,Assumptions!$B$3:$B$102,Trucks!$C6,Assumptions!$G$3:$G$102,{"TRH","TRM","TRC"}))</f>
        <v>5.855492515248</v>
      </c>
      <c r="S6" s="1" cm="1">
        <f ca="1" t="array" ref="S6">SUM(SUMIFS(Assumptions!BS$3:BS$102,Assumptions!$B$3:$B$102,Trucks!$C6,Assumptions!$G$3:$G$102,{"TRH","TRM","TRC"}))</f>
        <v>1368.93314289353</v>
      </c>
      <c r="T6" s="1" cm="1">
        <f ca="1" t="array" ref="T6">SUM(SUMIFS(Assumptions!BT$3:BT$102,Assumptions!$B$3:$B$102,Trucks!$C6,Assumptions!$G$3:$G$102,{"TRH","TRM","TRC"}))</f>
        <v>93.74192278848</v>
      </c>
      <c r="U6" s="1" cm="1">
        <f ca="1" t="array" ref="U6">SUM(SUMIFS(Assumptions!BU$3:BU$102,Assumptions!$B$3:$B$102,Trucks!$C6,Assumptions!$G$3:$G$102,{"TRH","TRM","TRC"}))</f>
        <v>684.034187176368</v>
      </c>
      <c r="V6" s="1" cm="1">
        <f ca="1" t="array" ref="V6">SUM(SUMIFS(Assumptions!BV$3:BV$102,Assumptions!$B$3:$B$102,Trucks!$C6,Assumptions!$G$3:$G$102,{"TRH","TRM","TRC"}))</f>
        <v>824.227062918849</v>
      </c>
      <c r="W6" s="1" cm="1">
        <f ca="1" t="array" ref="W6">SUM(SUMIFS(Assumptions!BW$3:BW$102,Assumptions!$B$3:$B$102,Trucks!$C6,Assumptions!$G$3:$G$102,{"TRH","TRM","TRC"}))</f>
        <v>1234.04596371897</v>
      </c>
      <c r="X6" s="1" cm="1">
        <f ca="1" t="array" ref="X6">SUM(SUMIFS(Assumptions!BX$3:BX$102,Assumptions!$B$3:$B$102,Trucks!$C6,Assumptions!$G$3:$G$102,{"TRH","TRM","TRC"}))</f>
        <v>1213.19040164177</v>
      </c>
      <c r="Y6" s="1" cm="1">
        <f ca="1" t="array" ref="Y6">SUM(SUMIFS(Assumptions!BY$3:BY$102,Assumptions!$B$3:$B$102,Trucks!$C6,Assumptions!$G$3:$G$102,{"TRH","TRM","TRC"}))</f>
        <v>5900.52681273191</v>
      </c>
      <c r="Z6" s="1" cm="1">
        <f ca="1" t="array" ref="Z6">SUM(SUMIFS(Assumptions!BZ$3:BZ$102,Assumptions!$B$3:$B$102,Trucks!$C6,Assumptions!$G$3:$G$102,{"TRH","TRM","TRC"}))</f>
        <v>67.33612269288</v>
      </c>
      <c r="AA6" s="1" cm="1">
        <f ca="1" t="array" ref="AA6">SUM(SUMIFS(Assumptions!CA$3:CA$102,Assumptions!$B$3:$B$102,Trucks!$C6,Assumptions!$G$3:$G$102,{"TRH","TRM","TRC"}))</f>
        <v>426.814714254816</v>
      </c>
      <c r="AB6" s="1" cm="1">
        <f ca="1" t="array" ref="AB6">SUM(SUMIFS(Assumptions!CB$3:CB$102,Assumptions!$B$3:$B$102,Trucks!$C6,Assumptions!$G$3:$G$102,{"TRH","TRM","TRC"}))</f>
        <v>3140.02041736422</v>
      </c>
      <c r="AC6" s="1" cm="1">
        <f ca="1" t="array" ref="AC6">SUM(SUMIFS(Assumptions!CC$3:CC$102,Assumptions!$B$3:$B$102,Trucks!$C6,Assumptions!$G$3:$G$102,{"TRH","TRM","TRC"}))</f>
        <v>599.63674663152</v>
      </c>
      <c r="AD6" s="1" cm="1">
        <f ca="1" t="array" ref="AD6">SUM(SUMIFS(Assumptions!CD$3:CD$102,Assumptions!$B$3:$B$102,Trucks!$C6,Assumptions!$G$3:$G$102,{"TRH","TRM","TRC"}))</f>
        <v>689.95696650804</v>
      </c>
      <c r="AE6" s="1" cm="1">
        <f ca="1" t="array" ref="AE6">SUM(SUMIFS(Assumptions!CE$3:CE$102,Assumptions!$B$3:$B$102,Trucks!$C6,Assumptions!$G$3:$G$102,{"TRH","TRM","TRC"}))</f>
        <v>203.069991676032</v>
      </c>
      <c r="AF6" s="1" cm="1">
        <f ca="1" t="array" ref="AF6">SUM(SUMIFS(Assumptions!CF$3:CF$102,Assumptions!$B$3:$B$102,Trucks!$C6,Assumptions!$G$3:$G$102,{"TRH","TRM","TRC"}))</f>
        <v>816.37854932088</v>
      </c>
      <c r="AG6" s="1" cm="1">
        <f ca="1" t="array" ref="AG6">SUM(SUMIFS(Assumptions!CG$3:CG$102,Assumptions!$B$3:$B$102,Trucks!$C6,Assumptions!$G$3:$G$102,{"TRH","TRM","TRC"}))</f>
        <v>245.071815201792</v>
      </c>
      <c r="AH6" s="1" cm="1">
        <f ca="1" t="array" ref="AH6">SUM(SUMIFS(Assumptions!CH$3:CH$102,Assumptions!$B$3:$B$102,Trucks!$C6,Assumptions!$G$3:$G$102,{"TRH","TRM","TRC"}))</f>
        <v>86.49954088272</v>
      </c>
      <c r="AI6" s="1" cm="1">
        <f ca="1" t="array" ref="AI6">SUM(SUMIFS(Assumptions!CI$3:CI$102,Assumptions!$B$3:$B$102,Trucks!$C6,Assumptions!$G$3:$G$102,{"TRH","TRM","TRC"}))</f>
        <v>666.103825254852</v>
      </c>
      <c r="AJ6" s="1" cm="1">
        <f ca="1" t="array" ref="AJ6">SUM(SUMIFS(Assumptions!CJ$3:CJ$102,Assumptions!$B$3:$B$102,Trucks!$C6,Assumptions!$G$3:$G$102,{"TRH","TRM","TRC"}))</f>
        <v>770.745968506656</v>
      </c>
      <c r="AK6" s="1" cm="1">
        <f ca="1" t="array" ref="AK6">SUM(SUMIFS(Assumptions!CK$3:CK$102,Assumptions!$B$3:$B$102,Trucks!$C6,Assumptions!$G$3:$G$102,{"TRH","TRM","TRC"}))</f>
        <v>155.434213897758</v>
      </c>
      <c r="AL6" s="1" cm="1">
        <f ca="1" t="array" ref="AL6">SUM(SUMIFS(Assumptions!CL$3:CL$102,Assumptions!$B$3:$B$102,Trucks!$C6,Assumptions!$G$3:$G$102,{"TRH","TRM","TRC"}))</f>
        <v>135.15883193232</v>
      </c>
      <c r="AM6" s="1" cm="1">
        <f ca="1" t="array" ref="AM6">SUM(SUMIFS(Assumptions!CM$3:CM$102,Assumptions!$B$3:$B$102,Trucks!$C6,Assumptions!$G$3:$G$102,{"TRH","TRM","TRC"}))</f>
        <v>0</v>
      </c>
      <c r="AN6" s="1" cm="1">
        <f ca="1" t="array" ref="AN6">SUM(SUMIFS(Assumptions!CN$3:CN$102,Assumptions!$B$3:$B$102,Trucks!$C6,Assumptions!$G$3:$G$102,{"TRH","TRM","TRC"}))</f>
        <v>0</v>
      </c>
      <c r="AO6" s="1" cm="1">
        <f ca="1" t="array" ref="AO6">SUM(SUMIFS(Assumptions!CO$3:CO$102,Assumptions!$B$3:$B$102,Trucks!$C6,Assumptions!$G$3:$G$102,{"TRH","TRM","TRC"}))</f>
        <v>0</v>
      </c>
      <c r="AP6" s="1" cm="1">
        <f ca="1" t="array" ref="AP6">SUM(SUMIFS(Assumptions!CP$3:CP$102,Assumptions!$B$3:$B$102,Trucks!$C6,Assumptions!$G$3:$G$102,{"TRH","TRM","TRC"}))</f>
        <v>0</v>
      </c>
      <c r="AQ6" s="1" cm="1">
        <f ca="1" t="array" ref="AQ6">SUM(SUMIFS(Assumptions!CQ$3:CQ$102,Assumptions!$B$3:$B$102,Trucks!$C6,Assumptions!$G$3:$G$102,{"TRH","TRM","TRC"}))</f>
        <v>0</v>
      </c>
      <c r="AR6" s="1" cm="1">
        <f ca="1" t="array" ref="AR6">SUM(SUMIFS(Assumptions!CR$3:CR$102,Assumptions!$B$3:$B$102,Trucks!$C6,Assumptions!$G$3:$G$102,{"TRH","TRM","TRC"}))</f>
        <v>0</v>
      </c>
      <c r="AS6" s="1" cm="1">
        <f ca="1" t="array" ref="AS6">SUM(SUMIFS(Assumptions!CS$3:CS$102,Assumptions!$B$3:$B$102,Trucks!$C6,Assumptions!$G$3:$G$102,{"TRH","TRM","TRC"}))</f>
        <v>0</v>
      </c>
      <c r="AT6" s="1" cm="1">
        <f ca="1" t="array" ref="AT6">SUM(SUMIFS(Assumptions!CT$3:CT$102,Assumptions!$B$3:$B$102,Trucks!$C6,Assumptions!$G$3:$G$102,{"TRH","TRM","TRC"}))</f>
        <v>0</v>
      </c>
      <c r="AU6" s="1" cm="1">
        <f ca="1" t="array" ref="AU6">SUM(SUMIFS(Assumptions!CU$3:CU$102,Assumptions!$B$3:$B$102,Trucks!$C6,Assumptions!$G$3:$G$102,{"TRH","TRM","TRC"}))</f>
        <v>0</v>
      </c>
      <c r="AV6" s="1" cm="1">
        <f ca="1" t="array" ref="AV6">SUM(SUMIFS(Assumptions!CV$3:CV$102,Assumptions!$B$3:$B$102,Trucks!$C6,Assumptions!$G$3:$G$102,{"TRH","TRM","TRC"}))</f>
        <v>0</v>
      </c>
      <c r="AW6" s="1" cm="1">
        <f ca="1" t="array" ref="AW6">SUM(SUMIFS(Assumptions!CW$3:CW$102,Assumptions!$B$3:$B$102,Trucks!$C6,Assumptions!$G$3:$G$102,{"TRH","TRM","TRC"}))</f>
        <v>0</v>
      </c>
    </row>
    <row r="7" spans="1:50">
      <c r="A7" t="s">
        <v>78</v>
      </c>
      <c r="C7" s="43" t="s">
        <v>64</v>
      </c>
      <c r="D7" s="1" cm="1">
        <f ca="1" t="array" ref="D7">SUM(SUMIFS(Assumptions!BD$3:BD$102,Assumptions!$B$3:$B$102,Trucks!$C7,Assumptions!$G$3:$G$102,{"TRH","TRM","TRC"}))</f>
        <v>0</v>
      </c>
      <c r="E7" s="1" cm="1">
        <f ca="1" t="array" ref="E7">SUM(SUMIFS(Assumptions!BE$3:BE$102,Assumptions!$B$3:$B$102,Trucks!$C7,Assumptions!$G$3:$G$102,{"TRH","TRM","TRC"}))</f>
        <v>0</v>
      </c>
      <c r="F7" s="1" cm="1">
        <f ca="1" t="array" ref="F7">SUM(SUMIFS(Assumptions!BF$3:BF$102,Assumptions!$B$3:$B$102,Trucks!$C7,Assumptions!$G$3:$G$102,{"TRH","TRM","TRC"}))</f>
        <v>0</v>
      </c>
      <c r="G7" s="1" cm="1">
        <f ca="1" t="array" ref="G7">SUM(SUMIFS(Assumptions!BG$3:BG$102,Assumptions!$B$3:$B$102,Trucks!$C7,Assumptions!$G$3:$G$102,{"TRH","TRM","TRC"}))</f>
        <v>0</v>
      </c>
      <c r="H7" s="1" cm="1">
        <f ca="1" t="array" ref="H7">SUM(SUMIFS(Assumptions!BH$3:BH$102,Assumptions!$B$3:$B$102,Trucks!$C7,Assumptions!$G$3:$G$102,{"TRH","TRM","TRC"}))</f>
        <v>0</v>
      </c>
      <c r="I7" s="1" cm="1">
        <f ca="1" t="array" ref="I7">SUM(SUMIFS(Assumptions!BI$3:BI$102,Assumptions!$B$3:$B$102,Trucks!$C7,Assumptions!$G$3:$G$102,{"TRH","TRM","TRC"}))</f>
        <v>0</v>
      </c>
      <c r="J7" s="1" cm="1">
        <f ca="1" t="array" ref="J7">SUM(SUMIFS(Assumptions!BJ$3:BJ$102,Assumptions!$B$3:$B$102,Trucks!$C7,Assumptions!$G$3:$G$102,{"TRH","TRM","TRC"}))</f>
        <v>0</v>
      </c>
      <c r="K7" s="1" cm="1">
        <f ca="1" t="array" ref="K7">SUM(SUMIFS(Assumptions!BK$3:BK$102,Assumptions!$B$3:$B$102,Trucks!$C7,Assumptions!$G$3:$G$102,{"TRH","TRM","TRC"}))</f>
        <v>24.53630136732</v>
      </c>
      <c r="L7" s="1" cm="1">
        <f ca="1" t="array" ref="L7">SUM(SUMIFS(Assumptions!BL$3:BL$102,Assumptions!$B$3:$B$102,Trucks!$C7,Assumptions!$G$3:$G$102,{"TRH","TRM","TRC"}))</f>
        <v>0</v>
      </c>
      <c r="M7" s="1" cm="1">
        <f ca="1" t="array" ref="M7">SUM(SUMIFS(Assumptions!BM$3:BM$102,Assumptions!$B$3:$B$102,Trucks!$C7,Assumptions!$G$3:$G$102,{"TRH","TRM","TRC"}))</f>
        <v>0</v>
      </c>
      <c r="N7" s="1" cm="1">
        <f ca="1" t="array" ref="N7">SUM(SUMIFS(Assumptions!BN$3:BN$102,Assumptions!$B$3:$B$102,Trucks!$C7,Assumptions!$G$3:$G$102,{"TRH","TRM","TRC"}))</f>
        <v>0</v>
      </c>
      <c r="O7" s="1" cm="1">
        <f ca="1" t="array" ref="O7">SUM(SUMIFS(Assumptions!BO$3:BO$102,Assumptions!$B$3:$B$102,Trucks!$C7,Assumptions!$G$3:$G$102,{"TRH","TRM","TRC"}))</f>
        <v>0</v>
      </c>
      <c r="P7" s="1" cm="1">
        <f ca="1" t="array" ref="P7">SUM(SUMIFS(Assumptions!BP$3:BP$102,Assumptions!$B$3:$B$102,Trucks!$C7,Assumptions!$G$3:$G$102,{"TRH","TRM","TRC"}))</f>
        <v>0</v>
      </c>
      <c r="Q7" s="1" cm="1">
        <f ca="1" t="array" ref="Q7">SUM(SUMIFS(Assumptions!BQ$3:BQ$102,Assumptions!$B$3:$B$102,Trucks!$C7,Assumptions!$G$3:$G$102,{"TRH","TRM","TRC"}))</f>
        <v>0</v>
      </c>
      <c r="R7" s="1" cm="1">
        <f ca="1" t="array" ref="R7">SUM(SUMIFS(Assumptions!BR$3:BR$102,Assumptions!$B$3:$B$102,Trucks!$C7,Assumptions!$G$3:$G$102,{"TRH","TRM","TRC"}))</f>
        <v>0</v>
      </c>
      <c r="S7" s="1" cm="1">
        <f ca="1" t="array" ref="S7">SUM(SUMIFS(Assumptions!BS$3:BS$102,Assumptions!$B$3:$B$102,Trucks!$C7,Assumptions!$G$3:$G$102,{"TRH","TRM","TRC"}))</f>
        <v>0</v>
      </c>
      <c r="T7" s="1" cm="1">
        <f ca="1" t="array" ref="T7">SUM(SUMIFS(Assumptions!BT$3:BT$102,Assumptions!$B$3:$B$102,Trucks!$C7,Assumptions!$G$3:$G$102,{"TRH","TRM","TRC"}))</f>
        <v>0</v>
      </c>
      <c r="U7" s="1" cm="1">
        <f ca="1" t="array" ref="U7">SUM(SUMIFS(Assumptions!BU$3:BU$102,Assumptions!$B$3:$B$102,Trucks!$C7,Assumptions!$G$3:$G$102,{"TRH","TRM","TRC"}))</f>
        <v>0</v>
      </c>
      <c r="V7" s="1" cm="1">
        <f ca="1" t="array" ref="V7">SUM(SUMIFS(Assumptions!BV$3:BV$102,Assumptions!$B$3:$B$102,Trucks!$C7,Assumptions!$G$3:$G$102,{"TRH","TRM","TRC"}))</f>
        <v>0</v>
      </c>
      <c r="W7" s="1" cm="1">
        <f ca="1" t="array" ref="W7">SUM(SUMIFS(Assumptions!BW$3:BW$102,Assumptions!$B$3:$B$102,Trucks!$C7,Assumptions!$G$3:$G$102,{"TRH","TRM","TRC"}))</f>
        <v>0</v>
      </c>
      <c r="X7" s="1" cm="1">
        <f ca="1" t="array" ref="X7">SUM(SUMIFS(Assumptions!BX$3:BX$102,Assumptions!$B$3:$B$102,Trucks!$C7,Assumptions!$G$3:$G$102,{"TRH","TRM","TRC"}))</f>
        <v>0</v>
      </c>
      <c r="Y7" s="1" cm="1">
        <f ca="1" t="array" ref="Y7">SUM(SUMIFS(Assumptions!BY$3:BY$102,Assumptions!$B$3:$B$102,Trucks!$C7,Assumptions!$G$3:$G$102,{"TRH","TRM","TRC"}))</f>
        <v>0</v>
      </c>
      <c r="Z7" s="1" cm="1">
        <f ca="1" t="array" ref="Z7">SUM(SUMIFS(Assumptions!BZ$3:BZ$102,Assumptions!$B$3:$B$102,Trucks!$C7,Assumptions!$G$3:$G$102,{"TRH","TRM","TRC"}))</f>
        <v>0</v>
      </c>
      <c r="AA7" s="1" cm="1">
        <f ca="1" t="array" ref="AA7">SUM(SUMIFS(Assumptions!CA$3:CA$102,Assumptions!$B$3:$B$102,Trucks!$C7,Assumptions!$G$3:$G$102,{"TRH","TRM","TRC"}))</f>
        <v>0</v>
      </c>
      <c r="AB7" s="1" cm="1">
        <f ca="1" t="array" ref="AB7">SUM(SUMIFS(Assumptions!CB$3:CB$102,Assumptions!$B$3:$B$102,Trucks!$C7,Assumptions!$G$3:$G$102,{"TRH","TRM","TRC"}))</f>
        <v>0</v>
      </c>
      <c r="AC7" s="1" cm="1">
        <f ca="1" t="array" ref="AC7">SUM(SUMIFS(Assumptions!CC$3:CC$102,Assumptions!$B$3:$B$102,Trucks!$C7,Assumptions!$G$3:$G$102,{"TRH","TRM","TRC"}))</f>
        <v>0</v>
      </c>
      <c r="AD7" s="1" cm="1">
        <f ca="1" t="array" ref="AD7">SUM(SUMIFS(Assumptions!CD$3:CD$102,Assumptions!$B$3:$B$102,Trucks!$C7,Assumptions!$G$3:$G$102,{"TRH","TRM","TRC"}))</f>
        <v>0</v>
      </c>
      <c r="AE7" s="1" cm="1">
        <f ca="1" t="array" ref="AE7">SUM(SUMIFS(Assumptions!CE$3:CE$102,Assumptions!$B$3:$B$102,Trucks!$C7,Assumptions!$G$3:$G$102,{"TRH","TRM","TRC"}))</f>
        <v>0</v>
      </c>
      <c r="AF7" s="1" cm="1">
        <f ca="1" t="array" ref="AF7">SUM(SUMIFS(Assumptions!CF$3:CF$102,Assumptions!$B$3:$B$102,Trucks!$C7,Assumptions!$G$3:$G$102,{"TRH","TRM","TRC"}))</f>
        <v>0</v>
      </c>
      <c r="AG7" s="1" cm="1">
        <f ca="1" t="array" ref="AG7">SUM(SUMIFS(Assumptions!CG$3:CG$102,Assumptions!$B$3:$B$102,Trucks!$C7,Assumptions!$G$3:$G$102,{"TRH","TRM","TRC"}))</f>
        <v>0</v>
      </c>
      <c r="AH7" s="1" cm="1">
        <f ca="1" t="array" ref="AH7">SUM(SUMIFS(Assumptions!CH$3:CH$102,Assumptions!$B$3:$B$102,Trucks!$C7,Assumptions!$G$3:$G$102,{"TRH","TRM","TRC"}))</f>
        <v>0</v>
      </c>
      <c r="AI7" s="1" cm="1">
        <f ca="1" t="array" ref="AI7">SUM(SUMIFS(Assumptions!CI$3:CI$102,Assumptions!$B$3:$B$102,Trucks!$C7,Assumptions!$G$3:$G$102,{"TRH","TRM","TRC"}))</f>
        <v>0</v>
      </c>
      <c r="AJ7" s="1" cm="1">
        <f ca="1" t="array" ref="AJ7">SUM(SUMIFS(Assumptions!CJ$3:CJ$102,Assumptions!$B$3:$B$102,Trucks!$C7,Assumptions!$G$3:$G$102,{"TRH","TRM","TRC"}))</f>
        <v>0</v>
      </c>
      <c r="AK7" s="1" cm="1">
        <f ca="1" t="array" ref="AK7">SUM(SUMIFS(Assumptions!CK$3:CK$102,Assumptions!$B$3:$B$102,Trucks!$C7,Assumptions!$G$3:$G$102,{"TRH","TRM","TRC"}))</f>
        <v>0</v>
      </c>
      <c r="AL7" s="1" cm="1">
        <f ca="1" t="array" ref="AL7">SUM(SUMIFS(Assumptions!CL$3:CL$102,Assumptions!$B$3:$B$102,Trucks!$C7,Assumptions!$G$3:$G$102,{"TRH","TRM","TRC"}))</f>
        <v>0</v>
      </c>
      <c r="AM7" s="1" cm="1">
        <f ca="1" t="array" ref="AM7">SUM(SUMIFS(Assumptions!CM$3:CM$102,Assumptions!$B$3:$B$102,Trucks!$C7,Assumptions!$G$3:$G$102,{"TRH","TRM","TRC"}))</f>
        <v>0</v>
      </c>
      <c r="AN7" s="1" cm="1">
        <f ca="1" t="array" ref="AN7">SUM(SUMIFS(Assumptions!CN$3:CN$102,Assumptions!$B$3:$B$102,Trucks!$C7,Assumptions!$G$3:$G$102,{"TRH","TRM","TRC"}))</f>
        <v>0</v>
      </c>
      <c r="AO7" s="1" cm="1">
        <f ca="1" t="array" ref="AO7">SUM(SUMIFS(Assumptions!CO$3:CO$102,Assumptions!$B$3:$B$102,Trucks!$C7,Assumptions!$G$3:$G$102,{"TRH","TRM","TRC"}))</f>
        <v>0</v>
      </c>
      <c r="AP7" s="1" cm="1">
        <f ca="1" t="array" ref="AP7">SUM(SUMIFS(Assumptions!CP$3:CP$102,Assumptions!$B$3:$B$102,Trucks!$C7,Assumptions!$G$3:$G$102,{"TRH","TRM","TRC"}))</f>
        <v>0</v>
      </c>
      <c r="AQ7" s="1" cm="1">
        <f ca="1" t="array" ref="AQ7">SUM(SUMIFS(Assumptions!CQ$3:CQ$102,Assumptions!$B$3:$B$102,Trucks!$C7,Assumptions!$G$3:$G$102,{"TRH","TRM","TRC"}))</f>
        <v>0</v>
      </c>
      <c r="AR7" s="1" cm="1">
        <f ca="1" t="array" ref="AR7">SUM(SUMIFS(Assumptions!CR$3:CR$102,Assumptions!$B$3:$B$102,Trucks!$C7,Assumptions!$G$3:$G$102,{"TRH","TRM","TRC"}))</f>
        <v>0</v>
      </c>
      <c r="AS7" s="1" cm="1">
        <f ca="1" t="array" ref="AS7">SUM(SUMIFS(Assumptions!CS$3:CS$102,Assumptions!$B$3:$B$102,Trucks!$C7,Assumptions!$G$3:$G$102,{"TRH","TRM","TRC"}))</f>
        <v>0</v>
      </c>
      <c r="AT7" s="1" cm="1">
        <f ca="1" t="array" ref="AT7">SUM(SUMIFS(Assumptions!CT$3:CT$102,Assumptions!$B$3:$B$102,Trucks!$C7,Assumptions!$G$3:$G$102,{"TRH","TRM","TRC"}))</f>
        <v>0</v>
      </c>
      <c r="AU7" s="1" cm="1">
        <f ca="1" t="array" ref="AU7">SUM(SUMIFS(Assumptions!CU$3:CU$102,Assumptions!$B$3:$B$102,Trucks!$C7,Assumptions!$G$3:$G$102,{"TRH","TRM","TRC"}))</f>
        <v>0</v>
      </c>
      <c r="AV7" s="1" cm="1">
        <f ca="1" t="array" ref="AV7">SUM(SUMIFS(Assumptions!CV$3:CV$102,Assumptions!$B$3:$B$102,Trucks!$C7,Assumptions!$G$3:$G$102,{"TRH","TRM","TRC"}))</f>
        <v>0</v>
      </c>
      <c r="AW7" s="1" cm="1">
        <f ca="1" t="array" ref="AW7">SUM(SUMIFS(Assumptions!CW$3:CW$102,Assumptions!$B$3:$B$102,Trucks!$C7,Assumptions!$G$3:$G$102,{"TRH","TRM","TRC"}))</f>
        <v>0</v>
      </c>
    </row>
    <row r="8" spans="1:50">
      <c r="A8" t="s">
        <v>78</v>
      </c>
      <c r="C8" s="43" t="s">
        <v>66</v>
      </c>
      <c r="D8" s="1" cm="1">
        <f ca="1" t="array" ref="D8">SUM(SUMIFS(Assumptions!BD$3:BD$102,Assumptions!$B$3:$B$102,Trucks!$C8,Assumptions!$G$3:$G$102,{"TRH","TRM","TRC"}))</f>
        <v>0</v>
      </c>
      <c r="E8" s="1" cm="1">
        <f ca="1" t="array" ref="E8">SUM(SUMIFS(Assumptions!BE$3:BE$102,Assumptions!$B$3:$B$102,Trucks!$C8,Assumptions!$G$3:$G$102,{"TRH","TRM","TRC"}))</f>
        <v>0</v>
      </c>
      <c r="F8" s="1" cm="1">
        <f ca="1" t="array" ref="F8">SUM(SUMIFS(Assumptions!BF$3:BF$102,Assumptions!$B$3:$B$102,Trucks!$C8,Assumptions!$G$3:$G$102,{"TRH","TRM","TRC"}))</f>
        <v>54.047574407916</v>
      </c>
      <c r="G8" s="1" cm="1">
        <f ca="1" t="array" ref="G8">SUM(SUMIFS(Assumptions!BG$3:BG$102,Assumptions!$B$3:$B$102,Trucks!$C8,Assumptions!$G$3:$G$102,{"TRH","TRM","TRC"}))</f>
        <v>1.9734588605268</v>
      </c>
      <c r="H8" s="1" cm="1">
        <f ca="1" t="array" ref="H8">SUM(SUMIFS(Assumptions!BH$3:BH$102,Assumptions!$B$3:$B$102,Trucks!$C8,Assumptions!$G$3:$G$102,{"TRH","TRM","TRC"}))</f>
        <v>8.241037391862</v>
      </c>
      <c r="I8" s="1" cm="1">
        <f ca="1" t="array" ref="I8">SUM(SUMIFS(Assumptions!BI$3:BI$102,Assumptions!$B$3:$B$102,Trucks!$C8,Assumptions!$G$3:$G$102,{"TRH","TRM","TRC"}))</f>
        <v>7.63549309094581</v>
      </c>
      <c r="J8" s="1" cm="1">
        <f ca="1" t="array" ref="J8">SUM(SUMIFS(Assumptions!BJ$3:BJ$102,Assumptions!$B$3:$B$102,Trucks!$C8,Assumptions!$G$3:$G$102,{"TRH","TRM","TRC"}))</f>
        <v>79.0400019534048</v>
      </c>
      <c r="K8" s="1" cm="1">
        <f ca="1" t="array" ref="K8">SUM(SUMIFS(Assumptions!BK$3:BK$102,Assumptions!$B$3:$B$102,Trucks!$C8,Assumptions!$G$3:$G$102,{"TRH","TRM","TRC"}))</f>
        <v>540.17052635916</v>
      </c>
      <c r="L8" s="1" cm="1">
        <f ca="1" t="array" ref="L8">SUM(SUMIFS(Assumptions!BL$3:BL$102,Assumptions!$B$3:$B$102,Trucks!$C8,Assumptions!$G$3:$G$102,{"TRH","TRM","TRC"}))</f>
        <v>3.382691439996</v>
      </c>
      <c r="M8" s="1" cm="1">
        <f ca="1" t="array" ref="M8">SUM(SUMIFS(Assumptions!BM$3:BM$102,Assumptions!$B$3:$B$102,Trucks!$C8,Assumptions!$G$3:$G$102,{"TRH","TRM","TRC"}))</f>
        <v>8.01900023004</v>
      </c>
      <c r="N8" s="1" cm="1">
        <f ca="1" t="array" ref="N8">SUM(SUMIFS(Assumptions!BN$3:BN$102,Assumptions!$B$3:$B$102,Trucks!$C8,Assumptions!$G$3:$G$102,{"TRH","TRM","TRC"}))</f>
        <v>9.37944216807661</v>
      </c>
      <c r="O8" s="1" cm="1">
        <f ca="1" t="array" ref="O8">SUM(SUMIFS(Assumptions!BO$3:BO$102,Assumptions!$B$3:$B$102,Trucks!$C8,Assumptions!$G$3:$G$102,{"TRH","TRM","TRC"}))</f>
        <v>20.5944419935818</v>
      </c>
      <c r="P8" s="1" cm="1">
        <f ca="1" t="array" ref="P8">SUM(SUMIFS(Assumptions!BP$3:BP$102,Assumptions!$B$3:$B$102,Trucks!$C8,Assumptions!$G$3:$G$102,{"TRH","TRM","TRC"}))</f>
        <v>3.220936567731</v>
      </c>
      <c r="Q8" s="1" cm="1">
        <f ca="1" t="array" ref="Q8">SUM(SUMIFS(Assumptions!BQ$3:BQ$102,Assumptions!$B$3:$B$102,Trucks!$C8,Assumptions!$G$3:$G$102,{"TRH","TRM","TRC"}))</f>
        <v>12.498077053656</v>
      </c>
      <c r="R8" s="1" cm="1">
        <f ca="1" t="array" ref="R8">SUM(SUMIFS(Assumptions!BR$3:BR$102,Assumptions!$B$3:$B$102,Trucks!$C8,Assumptions!$G$3:$G$102,{"TRH","TRM","TRC"}))</f>
        <v>0.1489050052866</v>
      </c>
      <c r="S8" s="1" cm="1">
        <f ca="1" t="array" ref="S8">SUM(SUMIFS(Assumptions!BS$3:BS$102,Assumptions!$B$3:$B$102,Trucks!$C8,Assumptions!$G$3:$G$102,{"TRH","TRM","TRC"}))</f>
        <v>0</v>
      </c>
      <c r="T8" s="1" cm="1">
        <f ca="1" t="array" ref="T8">SUM(SUMIFS(Assumptions!BT$3:BT$102,Assumptions!$B$3:$B$102,Trucks!$C8,Assumptions!$G$3:$G$102,{"TRH","TRM","TRC"}))</f>
        <v>0.918631456927201</v>
      </c>
      <c r="U8" s="1" cm="1">
        <f ca="1" t="array" ref="U8">SUM(SUMIFS(Assumptions!BU$3:BU$102,Assumptions!$B$3:$B$102,Trucks!$C8,Assumptions!$G$3:$G$102,{"TRH","TRM","TRC"}))</f>
        <v>9.30467244311101</v>
      </c>
      <c r="V8" s="1" cm="1">
        <f ca="1" t="array" ref="V8">SUM(SUMIFS(Assumptions!BV$3:BV$102,Assumptions!$B$3:$B$102,Trucks!$C8,Assumptions!$G$3:$G$102,{"TRH","TRM","TRC"}))</f>
        <v>158.45382288072</v>
      </c>
      <c r="W8" s="1" cm="1">
        <f ca="1" t="array" ref="W8">SUM(SUMIFS(Assumptions!BW$3:BW$102,Assumptions!$B$3:$B$102,Trucks!$C8,Assumptions!$G$3:$G$102,{"TRH","TRM","TRC"}))</f>
        <v>150.28557423359</v>
      </c>
      <c r="X8" s="1" cm="1">
        <f ca="1" t="array" ref="X8">SUM(SUMIFS(Assumptions!BX$3:BX$102,Assumptions!$B$3:$B$102,Trucks!$C8,Assumptions!$G$3:$G$102,{"TRH","TRM","TRC"}))</f>
        <v>637.09845175746</v>
      </c>
      <c r="Y8" s="1" cm="1">
        <f ca="1" t="array" ref="Y8">SUM(SUMIFS(Assumptions!BY$3:BY$102,Assumptions!$B$3:$B$102,Trucks!$C8,Assumptions!$G$3:$G$102,{"TRH","TRM","TRC"}))</f>
        <v>3651.10261261072</v>
      </c>
      <c r="Z8" s="1" cm="1">
        <f ca="1" t="array" ref="Z8">SUM(SUMIFS(Assumptions!BZ$3:BZ$102,Assumptions!$B$3:$B$102,Trucks!$C8,Assumptions!$G$3:$G$102,{"TRH","TRM","TRC"}))</f>
        <v>0.795032285173201</v>
      </c>
      <c r="AA8" s="1" cm="1">
        <f ca="1" t="array" ref="AA8">SUM(SUMIFS(Assumptions!CA$3:CA$102,Assumptions!$B$3:$B$102,Trucks!$C8,Assumptions!$G$3:$G$102,{"TRH","TRM","TRC"}))</f>
        <v>17.488520167104</v>
      </c>
      <c r="AB8" s="1" cm="1">
        <f ca="1" t="array" ref="AB8">SUM(SUMIFS(Assumptions!CB$3:CB$102,Assumptions!$B$3:$B$102,Trucks!$C8,Assumptions!$G$3:$G$102,{"TRH","TRM","TRC"}))</f>
        <v>0</v>
      </c>
      <c r="AC8" s="1" cm="1">
        <f ca="1" t="array" ref="AC8">SUM(SUMIFS(Assumptions!CC$3:CC$102,Assumptions!$B$3:$B$102,Trucks!$C8,Assumptions!$G$3:$G$102,{"TRH","TRM","TRC"}))</f>
        <v>440.885584060218</v>
      </c>
      <c r="AD8" s="1" cm="1">
        <f ca="1" t="array" ref="AD8">SUM(SUMIFS(Assumptions!CD$3:CD$102,Assumptions!$B$3:$B$102,Trucks!$C8,Assumptions!$G$3:$G$102,{"TRH","TRM","TRC"}))</f>
        <v>275.230085792616</v>
      </c>
      <c r="AE8" s="1" cm="1">
        <f ca="1" t="array" ref="AE8">SUM(SUMIFS(Assumptions!CE$3:CE$102,Assumptions!$B$3:$B$102,Trucks!$C8,Assumptions!$G$3:$G$102,{"TRH","TRM","TRC"}))</f>
        <v>0</v>
      </c>
      <c r="AF8" s="1" cm="1">
        <f ca="1" t="array" ref="AF8">SUM(SUMIFS(Assumptions!CF$3:CF$102,Assumptions!$B$3:$B$102,Trucks!$C8,Assumptions!$G$3:$G$102,{"TRH","TRM","TRC"}))</f>
        <v>7.72745272186321</v>
      </c>
      <c r="AG8" s="1" cm="1">
        <f ca="1" t="array" ref="AG8">SUM(SUMIFS(Assumptions!CG$3:CG$102,Assumptions!$B$3:$B$102,Trucks!$C8,Assumptions!$G$3:$G$102,{"TRH","TRM","TRC"}))</f>
        <v>5.419647619146</v>
      </c>
      <c r="AH8" s="1" cm="1">
        <f ca="1" t="array" ref="AH8">SUM(SUMIFS(Assumptions!CH$3:CH$102,Assumptions!$B$3:$B$102,Trucks!$C8,Assumptions!$G$3:$G$102,{"TRH","TRM","TRC"}))</f>
        <v>2.8463894213778</v>
      </c>
      <c r="AI8" s="1" cm="1">
        <f ca="1" t="array" ref="AI8">SUM(SUMIFS(Assumptions!CI$3:CI$102,Assumptions!$B$3:$B$102,Trucks!$C8,Assumptions!$G$3:$G$102,{"TRH","TRM","TRC"}))</f>
        <v>26.813159658288</v>
      </c>
      <c r="AJ8" s="1" cm="1">
        <f ca="1" t="array" ref="AJ8">SUM(SUMIFS(Assumptions!CJ$3:CJ$102,Assumptions!$B$3:$B$102,Trucks!$C8,Assumptions!$G$3:$G$102,{"TRH","TRM","TRC"}))</f>
        <v>14.6886411721428</v>
      </c>
      <c r="AK8" s="1" cm="1">
        <f ca="1" t="array" ref="AK8">SUM(SUMIFS(Assumptions!CK$3:CK$102,Assumptions!$B$3:$B$102,Trucks!$C8,Assumptions!$G$3:$G$102,{"TRH","TRM","TRC"}))</f>
        <v>21.987887312088</v>
      </c>
      <c r="AL8" s="1" cm="1">
        <f ca="1" t="array" ref="AL8">SUM(SUMIFS(Assumptions!CL$3:CL$102,Assumptions!$B$3:$B$102,Trucks!$C8,Assumptions!$G$3:$G$102,{"TRH","TRM","TRC"}))</f>
        <v>3.520728979956</v>
      </c>
      <c r="AM8" s="1" cm="1">
        <f ca="1" t="array" ref="AM8">SUM(SUMIFS(Assumptions!CM$3:CM$102,Assumptions!$B$3:$B$102,Trucks!$C8,Assumptions!$G$3:$G$102,{"TRH","TRM","TRC"}))</f>
        <v>0</v>
      </c>
      <c r="AN8" s="1" cm="1">
        <f ca="1" t="array" ref="AN8">SUM(SUMIFS(Assumptions!CN$3:CN$102,Assumptions!$B$3:$B$102,Trucks!$C8,Assumptions!$G$3:$G$102,{"TRH","TRM","TRC"}))</f>
        <v>0</v>
      </c>
      <c r="AO8" s="1" cm="1">
        <f ca="1" t="array" ref="AO8">SUM(SUMIFS(Assumptions!CO$3:CO$102,Assumptions!$B$3:$B$102,Trucks!$C8,Assumptions!$G$3:$G$102,{"TRH","TRM","TRC"}))</f>
        <v>0</v>
      </c>
      <c r="AP8" s="1" cm="1">
        <f ca="1" t="array" ref="AP8">SUM(SUMIFS(Assumptions!CP$3:CP$102,Assumptions!$B$3:$B$102,Trucks!$C8,Assumptions!$G$3:$G$102,{"TRH","TRM","TRC"}))</f>
        <v>0</v>
      </c>
      <c r="AQ8" s="1" cm="1">
        <f ca="1" t="array" ref="AQ8">SUM(SUMIFS(Assumptions!CQ$3:CQ$102,Assumptions!$B$3:$B$102,Trucks!$C8,Assumptions!$G$3:$G$102,{"TRH","TRM","TRC"}))</f>
        <v>0</v>
      </c>
      <c r="AR8" s="1" cm="1">
        <f ca="1" t="array" ref="AR8">SUM(SUMIFS(Assumptions!CR$3:CR$102,Assumptions!$B$3:$B$102,Trucks!$C8,Assumptions!$G$3:$G$102,{"TRH","TRM","TRC"}))</f>
        <v>0</v>
      </c>
      <c r="AS8" s="1" cm="1">
        <f ca="1" t="array" ref="AS8">SUM(SUMIFS(Assumptions!CS$3:CS$102,Assumptions!$B$3:$B$102,Trucks!$C8,Assumptions!$G$3:$G$102,{"TRH","TRM","TRC"}))</f>
        <v>0</v>
      </c>
      <c r="AT8" s="1" cm="1">
        <f ca="1" t="array" ref="AT8">SUM(SUMIFS(Assumptions!CT$3:CT$102,Assumptions!$B$3:$B$102,Trucks!$C8,Assumptions!$G$3:$G$102,{"TRH","TRM","TRC"}))</f>
        <v>0</v>
      </c>
      <c r="AU8" s="1" cm="1">
        <f ca="1" t="array" ref="AU8">SUM(SUMIFS(Assumptions!CU$3:CU$102,Assumptions!$B$3:$B$102,Trucks!$C8,Assumptions!$G$3:$G$102,{"TRH","TRM","TRC"}))</f>
        <v>0</v>
      </c>
      <c r="AV8" s="1" cm="1">
        <f ca="1" t="array" ref="AV8">SUM(SUMIFS(Assumptions!CV$3:CV$102,Assumptions!$B$3:$B$102,Trucks!$C8,Assumptions!$G$3:$G$102,{"TRH","TRM","TRC"}))</f>
        <v>0</v>
      </c>
      <c r="AW8" s="1" cm="1">
        <f ca="1" t="array" ref="AW8">SUM(SUMIFS(Assumptions!CW$3:CW$102,Assumptions!$B$3:$B$102,Trucks!$C8,Assumptions!$G$3:$G$102,{"TRH","TRM","TRC"}))</f>
        <v>0</v>
      </c>
    </row>
    <row r="9" spans="1:50">
      <c r="A9" t="s">
        <v>78</v>
      </c>
      <c r="C9" s="43" t="s">
        <v>74</v>
      </c>
      <c r="D9" s="1" cm="1">
        <f ca="1" t="array" ref="D9">SUM(SUMIFS(Assumptions!BD$3:BD$102,Assumptions!$B$3:$B$102,Trucks!$C9,Assumptions!$G$3:$G$102,{"TRH","TRM","TRC"}))</f>
        <v>12.023197888464</v>
      </c>
      <c r="E9" s="1" cm="1">
        <f ca="1" t="array" ref="E9">SUM(SUMIFS(Assumptions!BE$3:BE$102,Assumptions!$B$3:$B$102,Trucks!$C9,Assumptions!$G$3:$G$102,{"TRH","TRM","TRC"}))</f>
        <v>0.006900181344</v>
      </c>
      <c r="F9" s="1" cm="1">
        <f ca="1" t="array" ref="F9">SUM(SUMIFS(Assumptions!BF$3:BF$102,Assumptions!$B$3:$B$102,Trucks!$C9,Assumptions!$G$3:$G$102,{"TRH","TRM","TRC"}))</f>
        <v>2.28116395422</v>
      </c>
      <c r="G9" s="1" cm="1">
        <f ca="1" t="array" ref="G9">SUM(SUMIFS(Assumptions!BG$3:BG$102,Assumptions!$B$3:$B$102,Trucks!$C9,Assumptions!$G$3:$G$102,{"TRH","TRM","TRC"}))</f>
        <v>0.0548439399</v>
      </c>
      <c r="H9" s="1" cm="1">
        <f ca="1" t="array" ref="H9">SUM(SUMIFS(Assumptions!BH$3:BH$102,Assumptions!$B$3:$B$102,Trucks!$C9,Assumptions!$G$3:$G$102,{"TRH","TRM","TRC"}))</f>
        <v>2.974851776952</v>
      </c>
      <c r="I9" s="1" cm="1">
        <f ca="1" t="array" ref="I9">SUM(SUMIFS(Assumptions!BI$3:BI$102,Assumptions!$B$3:$B$102,Trucks!$C9,Assumptions!$G$3:$G$102,{"TRH","TRM","TRC"}))</f>
        <v>2.0472415767</v>
      </c>
      <c r="J9" s="1" cm="1">
        <f ca="1" t="array" ref="J9">SUM(SUMIFS(Assumptions!BJ$3:BJ$102,Assumptions!$B$3:$B$102,Trucks!$C9,Assumptions!$G$3:$G$102,{"TRH","TRM","TRC"}))</f>
        <v>0</v>
      </c>
      <c r="K9" s="1" cm="1">
        <f ca="1" t="array" ref="K9">SUM(SUMIFS(Assumptions!BK$3:BK$102,Assumptions!$B$3:$B$102,Trucks!$C9,Assumptions!$G$3:$G$102,{"TRH","TRM","TRC"}))</f>
        <v>9.396258891984</v>
      </c>
      <c r="L9" s="1" cm="1">
        <f ca="1" t="array" ref="L9">SUM(SUMIFS(Assumptions!BL$3:BL$102,Assumptions!$B$3:$B$102,Trucks!$C9,Assumptions!$G$3:$G$102,{"TRH","TRM","TRC"}))</f>
        <v>1.586672349624</v>
      </c>
      <c r="M9" s="1" cm="1">
        <f ca="1" t="array" ref="M9">SUM(SUMIFS(Assumptions!BM$3:BM$102,Assumptions!$B$3:$B$102,Trucks!$C9,Assumptions!$G$3:$G$102,{"TRH","TRM","TRC"}))</f>
        <v>1.740639658752</v>
      </c>
      <c r="N9" s="1" cm="1">
        <f ca="1" t="array" ref="N9">SUM(SUMIFS(Assumptions!BN$3:BN$102,Assumptions!$B$3:$B$102,Trucks!$C9,Assumptions!$G$3:$G$102,{"TRH","TRM","TRC"}))</f>
        <v>0.6051412314</v>
      </c>
      <c r="O9" s="1" cm="1">
        <f ca="1" t="array" ref="O9">SUM(SUMIFS(Assumptions!BO$3:BO$102,Assumptions!$B$3:$B$102,Trucks!$C9,Assumptions!$G$3:$G$102,{"TRH","TRM","TRC"}))</f>
        <v>3.8985000921</v>
      </c>
      <c r="P9" s="1" cm="1">
        <f ca="1" t="array" ref="P9">SUM(SUMIFS(Assumptions!BP$3:BP$102,Assumptions!$B$3:$B$102,Trucks!$C9,Assumptions!$G$3:$G$102,{"TRH","TRM","TRC"}))</f>
        <v>2.5211507022</v>
      </c>
      <c r="Q9" s="1" cm="1">
        <f ca="1" t="array" ref="Q9">SUM(SUMIFS(Assumptions!BQ$3:BQ$102,Assumptions!$B$3:$B$102,Trucks!$C9,Assumptions!$G$3:$G$102,{"TRH","TRM","TRC"}))</f>
        <v>10.026214993908</v>
      </c>
      <c r="R9" s="1" cm="1">
        <f ca="1" t="array" ref="R9">SUM(SUMIFS(Assumptions!BR$3:BR$102,Assumptions!$B$3:$B$102,Trucks!$C9,Assumptions!$G$3:$G$102,{"TRH","TRM","TRC"}))</f>
        <v>0</v>
      </c>
      <c r="S9" s="1" cm="1">
        <f ca="1" t="array" ref="S9">SUM(SUMIFS(Assumptions!BS$3:BS$102,Assumptions!$B$3:$B$102,Trucks!$C9,Assumptions!$G$3:$G$102,{"TRH","TRM","TRC"}))</f>
        <v>1.2196305405</v>
      </c>
      <c r="T9" s="1" cm="1">
        <f ca="1" t="array" ref="T9">SUM(SUMIFS(Assumptions!BT$3:BT$102,Assumptions!$B$3:$B$102,Trucks!$C9,Assumptions!$G$3:$G$102,{"TRH","TRM","TRC"}))</f>
        <v>0.0166289229</v>
      </c>
      <c r="U9" s="1" cm="1">
        <f ca="1" t="array" ref="U9">SUM(SUMIFS(Assumptions!BU$3:BU$102,Assumptions!$B$3:$B$102,Trucks!$C9,Assumptions!$G$3:$G$102,{"TRH","TRM","TRC"}))</f>
        <v>19.0179413343</v>
      </c>
      <c r="V9" s="1" cm="1">
        <f ca="1" t="array" ref="V9">SUM(SUMIFS(Assumptions!BV$3:BV$102,Assumptions!$B$3:$B$102,Trucks!$C9,Assumptions!$G$3:$G$102,{"TRH","TRM","TRC"}))</f>
        <v>12.834758240712</v>
      </c>
      <c r="W9" s="1" cm="1">
        <f ca="1" t="array" ref="W9">SUM(SUMIFS(Assumptions!BW$3:BW$102,Assumptions!$B$3:$B$102,Trucks!$C9,Assumptions!$G$3:$G$102,{"TRH","TRM","TRC"}))</f>
        <v>0</v>
      </c>
      <c r="X9" s="1" cm="1">
        <f ca="1" t="array" ref="X9">SUM(SUMIFS(Assumptions!BX$3:BX$102,Assumptions!$B$3:$B$102,Trucks!$C9,Assumptions!$G$3:$G$102,{"TRH","TRM","TRC"}))</f>
        <v>0.786389729328</v>
      </c>
      <c r="Y9" s="1" cm="1">
        <f ca="1" t="array" ref="Y9">SUM(SUMIFS(Assumptions!BY$3:BY$102,Assumptions!$B$3:$B$102,Trucks!$C9,Assumptions!$G$3:$G$102,{"TRH","TRM","TRC"}))</f>
        <v>20.3148084176951</v>
      </c>
      <c r="Z9" s="1" cm="1">
        <f ca="1" t="array" ref="Z9">SUM(SUMIFS(Assumptions!BZ$3:BZ$102,Assumptions!$B$3:$B$102,Trucks!$C9,Assumptions!$G$3:$G$102,{"TRH","TRM","TRC"}))</f>
        <v>0.0536821029</v>
      </c>
      <c r="AA9" s="1" cm="1">
        <f ca="1" t="array" ref="AA9">SUM(SUMIFS(Assumptions!CA$3:CA$102,Assumptions!$B$3:$B$102,Trucks!$C9,Assumptions!$G$3:$G$102,{"TRH","TRM","TRC"}))</f>
        <v>38.274299534052</v>
      </c>
      <c r="AB9" s="1" cm="1">
        <f ca="1" t="array" ref="AB9">SUM(SUMIFS(Assumptions!CB$3:CB$102,Assumptions!$B$3:$B$102,Trucks!$C9,Assumptions!$G$3:$G$102,{"TRH","TRM","TRC"}))</f>
        <v>20.900857668012</v>
      </c>
      <c r="AC9" s="1" cm="1">
        <f ca="1" t="array" ref="AC9">SUM(SUMIFS(Assumptions!CC$3:CC$102,Assumptions!$B$3:$B$102,Trucks!$C9,Assumptions!$G$3:$G$102,{"TRH","TRM","TRC"}))</f>
        <v>25.594925457456</v>
      </c>
      <c r="AD9" s="1" cm="1">
        <f ca="1" t="array" ref="AD9">SUM(SUMIFS(Assumptions!CD$3:CD$102,Assumptions!$B$3:$B$102,Trucks!$C9,Assumptions!$G$3:$G$102,{"TRH","TRM","TRC"}))</f>
        <v>0</v>
      </c>
      <c r="AE9" s="1" cm="1">
        <f ca="1" t="array" ref="AE9">SUM(SUMIFS(Assumptions!CE$3:CE$102,Assumptions!$B$3:$B$102,Trucks!$C9,Assumptions!$G$3:$G$102,{"TRH","TRM","TRC"}))</f>
        <v>0.1831431924</v>
      </c>
      <c r="AF9" s="1" cm="1">
        <f ca="1" t="array" ref="AF9">SUM(SUMIFS(Assumptions!CF$3:CF$102,Assumptions!$B$3:$B$102,Trucks!$C9,Assumptions!$G$3:$G$102,{"TRH","TRM","TRC"}))</f>
        <v>1.4164656156</v>
      </c>
      <c r="AG9" s="1" cm="1">
        <f ca="1" t="array" ref="AG9">SUM(SUMIFS(Assumptions!CG$3:CG$102,Assumptions!$B$3:$B$102,Trucks!$C9,Assumptions!$G$3:$G$102,{"TRH","TRM","TRC"}))</f>
        <v>0</v>
      </c>
      <c r="AH9" s="1" cm="1">
        <f ca="1" t="array" ref="AH9">SUM(SUMIFS(Assumptions!CH$3:CH$102,Assumptions!$B$3:$B$102,Trucks!$C9,Assumptions!$G$3:$G$102,{"TRH","TRM","TRC"}))</f>
        <v>0.0176871366</v>
      </c>
      <c r="AI9" s="1" cm="1">
        <f ca="1" t="array" ref="AI9">SUM(SUMIFS(Assumptions!CI$3:CI$102,Assumptions!$B$3:$B$102,Trucks!$C9,Assumptions!$G$3:$G$102,{"TRH","TRM","TRC"}))</f>
        <v>43.1995196304</v>
      </c>
      <c r="AJ9" s="1" cm="1">
        <f ca="1" t="array" ref="AJ9">SUM(SUMIFS(Assumptions!CJ$3:CJ$102,Assumptions!$B$3:$B$102,Trucks!$C9,Assumptions!$G$3:$G$102,{"TRH","TRM","TRC"}))</f>
        <v>0.7244995725</v>
      </c>
      <c r="AK9" s="1" cm="1">
        <f ca="1" t="array" ref="AK9">SUM(SUMIFS(Assumptions!CK$3:CK$102,Assumptions!$B$3:$B$102,Trucks!$C9,Assumptions!$G$3:$G$102,{"TRH","TRM","TRC"}))</f>
        <v>35.83376591706</v>
      </c>
      <c r="AL9" s="1" cm="1">
        <f ca="1" t="array" ref="AL9">SUM(SUMIFS(Assumptions!CL$3:CL$102,Assumptions!$B$3:$B$102,Trucks!$C9,Assumptions!$G$3:$G$102,{"TRH","TRM","TRC"}))</f>
        <v>4.5069761097</v>
      </c>
      <c r="AM9" s="1" cm="1">
        <f ca="1" t="array" ref="AM9">SUM(SUMIFS(Assumptions!CM$3:CM$102,Assumptions!$B$3:$B$102,Trucks!$C9,Assumptions!$G$3:$G$102,{"TRH","TRM","TRC"}))</f>
        <v>0</v>
      </c>
      <c r="AN9" s="1" cm="1">
        <f ca="1" t="array" ref="AN9">SUM(SUMIFS(Assumptions!CN$3:CN$102,Assumptions!$B$3:$B$102,Trucks!$C9,Assumptions!$G$3:$G$102,{"TRH","TRM","TRC"}))</f>
        <v>0</v>
      </c>
      <c r="AO9" s="1" cm="1">
        <f ca="1" t="array" ref="AO9">SUM(SUMIFS(Assumptions!CO$3:CO$102,Assumptions!$B$3:$B$102,Trucks!$C9,Assumptions!$G$3:$G$102,{"TRH","TRM","TRC"}))</f>
        <v>0</v>
      </c>
      <c r="AP9" s="1" cm="1">
        <f ca="1" t="array" ref="AP9">SUM(SUMIFS(Assumptions!CP$3:CP$102,Assumptions!$B$3:$B$102,Trucks!$C9,Assumptions!$G$3:$G$102,{"TRH","TRM","TRC"}))</f>
        <v>0</v>
      </c>
      <c r="AQ9" s="1" cm="1">
        <f ca="1" t="array" ref="AQ9">SUM(SUMIFS(Assumptions!CQ$3:CQ$102,Assumptions!$B$3:$B$102,Trucks!$C9,Assumptions!$G$3:$G$102,{"TRH","TRM","TRC"}))</f>
        <v>0</v>
      </c>
      <c r="AR9" s="1" cm="1">
        <f ca="1" t="array" ref="AR9">SUM(SUMIFS(Assumptions!CR$3:CR$102,Assumptions!$B$3:$B$102,Trucks!$C9,Assumptions!$G$3:$G$102,{"TRH","TRM","TRC"}))</f>
        <v>0</v>
      </c>
      <c r="AS9" s="1" cm="1">
        <f ca="1" t="array" ref="AS9">SUM(SUMIFS(Assumptions!CS$3:CS$102,Assumptions!$B$3:$B$102,Trucks!$C9,Assumptions!$G$3:$G$102,{"TRH","TRM","TRC"}))</f>
        <v>0</v>
      </c>
      <c r="AT9" s="1" cm="1">
        <f ca="1" t="array" ref="AT9">SUM(SUMIFS(Assumptions!CT$3:CT$102,Assumptions!$B$3:$B$102,Trucks!$C9,Assumptions!$G$3:$G$102,{"TRH","TRM","TRC"}))</f>
        <v>0</v>
      </c>
      <c r="AU9" s="1" cm="1">
        <f ca="1" t="array" ref="AU9">SUM(SUMIFS(Assumptions!CU$3:CU$102,Assumptions!$B$3:$B$102,Trucks!$C9,Assumptions!$G$3:$G$102,{"TRH","TRM","TRC"}))</f>
        <v>0</v>
      </c>
      <c r="AV9" s="1" cm="1">
        <f ca="1" t="array" ref="AV9">SUM(SUMIFS(Assumptions!CV$3:CV$102,Assumptions!$B$3:$B$102,Trucks!$C9,Assumptions!$G$3:$G$102,{"TRH","TRM","TRC"}))</f>
        <v>0</v>
      </c>
      <c r="AW9" s="1" cm="1">
        <f ca="1" t="array" ref="AW9">SUM(SUMIFS(Assumptions!CW$3:CW$102,Assumptions!$B$3:$B$102,Trucks!$C9,Assumptions!$G$3:$G$102,{"TRH","TRM","TRC"}))</f>
        <v>0</v>
      </c>
    </row>
    <row r="10" spans="1:50">
      <c r="A10" t="s">
        <v>78</v>
      </c>
      <c r="C10" s="43" t="s">
        <v>52</v>
      </c>
      <c r="D10" s="1" cm="1">
        <f ca="1" t="array" ref="D10">SUM(SUMIFS(Assumptions!BD$3:BD$102,Assumptions!$B$3:$B$102,Trucks!$C10,Assumptions!$G$3:$G$102,{"TRH","TRM","TRC"}))</f>
        <v>3.05220797298</v>
      </c>
      <c r="E10" s="1" cm="1">
        <f ca="1" t="array" ref="E10">SUM(SUMIFS(Assumptions!BE$3:BE$102,Assumptions!$B$3:$B$102,Trucks!$C10,Assumptions!$G$3:$G$102,{"TRH","TRM","TRC"}))</f>
        <v>0.01120324878</v>
      </c>
      <c r="F10" s="1" cm="1">
        <f ca="1" t="array" ref="F10">SUM(SUMIFS(Assumptions!BF$3:BF$102,Assumptions!$B$3:$B$102,Trucks!$C10,Assumptions!$G$3:$G$102,{"TRH","TRM","TRC"}))</f>
        <v>0.46851799248</v>
      </c>
      <c r="G10" s="1" cm="1">
        <f ca="1" t="array" ref="G10">SUM(SUMIFS(Assumptions!BG$3:BG$102,Assumptions!$B$3:$B$102,Trucks!$C10,Assumptions!$G$3:$G$102,{"TRH","TRM","TRC"}))</f>
        <v>0</v>
      </c>
      <c r="H10" s="1" cm="1">
        <f ca="1" t="array" ref="H10">SUM(SUMIFS(Assumptions!BH$3:BH$102,Assumptions!$B$3:$B$102,Trucks!$C10,Assumptions!$G$3:$G$102,{"TRH","TRM","TRC"}))</f>
        <v>0.24127523568</v>
      </c>
      <c r="I10" s="1" cm="1">
        <f ca="1" t="array" ref="I10">SUM(SUMIFS(Assumptions!BI$3:BI$102,Assumptions!$B$3:$B$102,Trucks!$C10,Assumptions!$G$3:$G$102,{"TRH","TRM","TRC"}))</f>
        <v>0</v>
      </c>
      <c r="J10" s="1" cm="1">
        <f ca="1" t="array" ref="J10">SUM(SUMIFS(Assumptions!BJ$3:BJ$102,Assumptions!$B$3:$B$102,Trucks!$C10,Assumptions!$G$3:$G$102,{"TRH","TRM","TRC"}))</f>
        <v>16.83461368512</v>
      </c>
      <c r="K10" s="1" cm="1">
        <f ca="1" t="array" ref="K10">SUM(SUMIFS(Assumptions!BK$3:BK$102,Assumptions!$B$3:$B$102,Trucks!$C10,Assumptions!$G$3:$G$102,{"TRH","TRM","TRC"}))</f>
        <v>123.400839521088</v>
      </c>
      <c r="L10" s="1" cm="1">
        <f ca="1" t="array" ref="L10">SUM(SUMIFS(Assumptions!BL$3:BL$102,Assumptions!$B$3:$B$102,Trucks!$C10,Assumptions!$G$3:$G$102,{"TRH","TRM","TRC"}))</f>
        <v>0</v>
      </c>
      <c r="M10" s="1" cm="1">
        <f ca="1" t="array" ref="M10">SUM(SUMIFS(Assumptions!BM$3:BM$102,Assumptions!$B$3:$B$102,Trucks!$C10,Assumptions!$G$3:$G$102,{"TRH","TRM","TRC"}))</f>
        <v>0</v>
      </c>
      <c r="N10" s="1" cm="1">
        <f ca="1" t="array" ref="N10">SUM(SUMIFS(Assumptions!BN$3:BN$102,Assumptions!$B$3:$B$102,Trucks!$C10,Assumptions!$G$3:$G$102,{"TRH","TRM","TRC"}))</f>
        <v>0</v>
      </c>
      <c r="O10" s="1" cm="1">
        <f ca="1" t="array" ref="O10">SUM(SUMIFS(Assumptions!BO$3:BO$102,Assumptions!$B$3:$B$102,Trucks!$C10,Assumptions!$G$3:$G$102,{"TRH","TRM","TRC"}))</f>
        <v>0</v>
      </c>
      <c r="P10" s="1" cm="1">
        <f ca="1" t="array" ref="P10">SUM(SUMIFS(Assumptions!BP$3:BP$102,Assumptions!$B$3:$B$102,Trucks!$C10,Assumptions!$G$3:$G$102,{"TRH","TRM","TRC"}))</f>
        <v>0</v>
      </c>
      <c r="Q10" s="1" cm="1">
        <f ca="1" t="array" ref="Q10">SUM(SUMIFS(Assumptions!BQ$3:BQ$102,Assumptions!$B$3:$B$102,Trucks!$C10,Assumptions!$G$3:$G$102,{"TRH","TRM","TRC"}))</f>
        <v>0</v>
      </c>
      <c r="R10" s="1" cm="1">
        <f ca="1" t="array" ref="R10">SUM(SUMIFS(Assumptions!BR$3:BR$102,Assumptions!$B$3:$B$102,Trucks!$C10,Assumptions!$G$3:$G$102,{"TRH","TRM","TRC"}))</f>
        <v>0</v>
      </c>
      <c r="S10" s="1" cm="1">
        <f ca="1" t="array" ref="S10">SUM(SUMIFS(Assumptions!BS$3:BS$102,Assumptions!$B$3:$B$102,Trucks!$C10,Assumptions!$G$3:$G$102,{"TRH","TRM","TRC"}))</f>
        <v>18.50711133168</v>
      </c>
      <c r="T10" s="1" cm="1">
        <f ca="1" t="array" ref="T10">SUM(SUMIFS(Assumptions!BT$3:BT$102,Assumptions!$B$3:$B$102,Trucks!$C10,Assumptions!$G$3:$G$102,{"TRH","TRM","TRC"}))</f>
        <v>0</v>
      </c>
      <c r="U10" s="1" cm="1">
        <f ca="1" t="array" ref="U10">SUM(SUMIFS(Assumptions!BU$3:BU$102,Assumptions!$B$3:$B$102,Trucks!$C10,Assumptions!$G$3:$G$102,{"TRH","TRM","TRC"}))</f>
        <v>0</v>
      </c>
      <c r="V10" s="1" cm="1">
        <f ca="1" t="array" ref="V10">SUM(SUMIFS(Assumptions!BV$3:BV$102,Assumptions!$B$3:$B$102,Trucks!$C10,Assumptions!$G$3:$G$102,{"TRH","TRM","TRC"}))</f>
        <v>0.0699503329800001</v>
      </c>
      <c r="W10" s="1" cm="1">
        <f ca="1" t="array" ref="W10">SUM(SUMIFS(Assumptions!BW$3:BW$102,Assumptions!$B$3:$B$102,Trucks!$C10,Assumptions!$G$3:$G$102,{"TRH","TRM","TRC"}))</f>
        <v>32.37639209712</v>
      </c>
      <c r="X10" s="1" cm="1">
        <f ca="1" t="array" ref="X10">SUM(SUMIFS(Assumptions!BX$3:BX$102,Assumptions!$B$3:$B$102,Trucks!$C10,Assumptions!$G$3:$G$102,{"TRH","TRM","TRC"}))</f>
        <v>0</v>
      </c>
      <c r="Y10" s="1" cm="1">
        <f ca="1" t="array" ref="Y10">SUM(SUMIFS(Assumptions!BY$3:BY$102,Assumptions!$B$3:$B$102,Trucks!$C10,Assumptions!$G$3:$G$102,{"TRH","TRM","TRC"}))</f>
        <v>1.10944748268765</v>
      </c>
      <c r="Z10" s="1" cm="1">
        <f ca="1" t="array" ref="Z10">SUM(SUMIFS(Assumptions!BZ$3:BZ$102,Assumptions!$B$3:$B$102,Trucks!$C10,Assumptions!$G$3:$G$102,{"TRH","TRM","TRC"}))</f>
        <v>0</v>
      </c>
      <c r="AA10" s="1" cm="1">
        <f ca="1" t="array" ref="AA10">SUM(SUMIFS(Assumptions!CA$3:CA$102,Assumptions!$B$3:$B$102,Trucks!$C10,Assumptions!$G$3:$G$102,{"TRH","TRM","TRC"}))</f>
        <v>0</v>
      </c>
      <c r="AB10" s="1" cm="1">
        <f ca="1" t="array" ref="AB10">SUM(SUMIFS(Assumptions!CB$3:CB$102,Assumptions!$B$3:$B$102,Trucks!$C10,Assumptions!$G$3:$G$102,{"TRH","TRM","TRC"}))</f>
        <v>10.946851073928</v>
      </c>
      <c r="AC10" s="1" cm="1">
        <f ca="1" t="array" ref="AC10">SUM(SUMIFS(Assumptions!CC$3:CC$102,Assumptions!$B$3:$B$102,Trucks!$C10,Assumptions!$G$3:$G$102,{"TRH","TRM","TRC"}))</f>
        <v>2.6716850028</v>
      </c>
      <c r="AD10" s="1" cm="1">
        <f ca="1" t="array" ref="AD10">SUM(SUMIFS(Assumptions!CD$3:CD$102,Assumptions!$B$3:$B$102,Trucks!$C10,Assumptions!$G$3:$G$102,{"TRH","TRM","TRC"}))</f>
        <v>0</v>
      </c>
      <c r="AE10" s="1" cm="1">
        <f ca="1" t="array" ref="AE10">SUM(SUMIFS(Assumptions!CE$3:CE$102,Assumptions!$B$3:$B$102,Trucks!$C10,Assumptions!$G$3:$G$102,{"TRH","TRM","TRC"}))</f>
        <v>0.00109966302</v>
      </c>
      <c r="AF10" s="1" cm="1">
        <f ca="1" t="array" ref="AF10">SUM(SUMIFS(Assumptions!CF$3:CF$102,Assumptions!$B$3:$B$102,Trucks!$C10,Assumptions!$G$3:$G$102,{"TRH","TRM","TRC"}))</f>
        <v>0</v>
      </c>
      <c r="AG10" s="1" cm="1">
        <f ca="1" t="array" ref="AG10">SUM(SUMIFS(Assumptions!CG$3:CG$102,Assumptions!$B$3:$B$102,Trucks!$C10,Assumptions!$G$3:$G$102,{"TRH","TRM","TRC"}))</f>
        <v>0</v>
      </c>
      <c r="AH10" s="1" cm="1">
        <f ca="1" t="array" ref="AH10">SUM(SUMIFS(Assumptions!CH$3:CH$102,Assumptions!$B$3:$B$102,Trucks!$C10,Assumptions!$G$3:$G$102,{"TRH","TRM","TRC"}))</f>
        <v>0</v>
      </c>
      <c r="AI10" s="1" cm="1">
        <f ca="1" t="array" ref="AI10">SUM(SUMIFS(Assumptions!CI$3:CI$102,Assumptions!$B$3:$B$102,Trucks!$C10,Assumptions!$G$3:$G$102,{"TRH","TRM","TRC"}))</f>
        <v>0</v>
      </c>
      <c r="AJ10" s="1" cm="1">
        <f ca="1" t="array" ref="AJ10">SUM(SUMIFS(Assumptions!CJ$3:CJ$102,Assumptions!$B$3:$B$102,Trucks!$C10,Assumptions!$G$3:$G$102,{"TRH","TRM","TRC"}))</f>
        <v>0</v>
      </c>
      <c r="AK10" s="1" cm="1">
        <f ca="1" t="array" ref="AK10">SUM(SUMIFS(Assumptions!CK$3:CK$102,Assumptions!$B$3:$B$102,Trucks!$C10,Assumptions!$G$3:$G$102,{"TRH","TRM","TRC"}))</f>
        <v>0.40364980668</v>
      </c>
      <c r="AL10" s="1" cm="1">
        <f ca="1" t="array" ref="AL10">SUM(SUMIFS(Assumptions!CL$3:CL$102,Assumptions!$B$3:$B$102,Trucks!$C10,Assumptions!$G$3:$G$102,{"TRH","TRM","TRC"}))</f>
        <v>0</v>
      </c>
      <c r="AM10" s="1" cm="1">
        <f ca="1" t="array" ref="AM10">SUM(SUMIFS(Assumptions!CM$3:CM$102,Assumptions!$B$3:$B$102,Trucks!$C10,Assumptions!$G$3:$G$102,{"TRH","TRM","TRC"}))</f>
        <v>0</v>
      </c>
      <c r="AN10" s="1" cm="1">
        <f ca="1" t="array" ref="AN10">SUM(SUMIFS(Assumptions!CN$3:CN$102,Assumptions!$B$3:$B$102,Trucks!$C10,Assumptions!$G$3:$G$102,{"TRH","TRM","TRC"}))</f>
        <v>0</v>
      </c>
      <c r="AO10" s="1" cm="1">
        <f ca="1" t="array" ref="AO10">SUM(SUMIFS(Assumptions!CO$3:CO$102,Assumptions!$B$3:$B$102,Trucks!$C10,Assumptions!$G$3:$G$102,{"TRH","TRM","TRC"}))</f>
        <v>0</v>
      </c>
      <c r="AP10" s="1" cm="1">
        <f ca="1" t="array" ref="AP10">SUM(SUMIFS(Assumptions!CP$3:CP$102,Assumptions!$B$3:$B$102,Trucks!$C10,Assumptions!$G$3:$G$102,{"TRH","TRM","TRC"}))</f>
        <v>0</v>
      </c>
      <c r="AQ10" s="1" cm="1">
        <f ca="1" t="array" ref="AQ10">SUM(SUMIFS(Assumptions!CQ$3:CQ$102,Assumptions!$B$3:$B$102,Trucks!$C10,Assumptions!$G$3:$G$102,{"TRH","TRM","TRC"}))</f>
        <v>0</v>
      </c>
      <c r="AR10" s="1" cm="1">
        <f ca="1" t="array" ref="AR10">SUM(SUMIFS(Assumptions!CR$3:CR$102,Assumptions!$B$3:$B$102,Trucks!$C10,Assumptions!$G$3:$G$102,{"TRH","TRM","TRC"}))</f>
        <v>0</v>
      </c>
      <c r="AS10" s="1" cm="1">
        <f ca="1" t="array" ref="AS10">SUM(SUMIFS(Assumptions!CS$3:CS$102,Assumptions!$B$3:$B$102,Trucks!$C10,Assumptions!$G$3:$G$102,{"TRH","TRM","TRC"}))</f>
        <v>0</v>
      </c>
      <c r="AT10" s="1" cm="1">
        <f ca="1" t="array" ref="AT10">SUM(SUMIFS(Assumptions!CT$3:CT$102,Assumptions!$B$3:$B$102,Trucks!$C10,Assumptions!$G$3:$G$102,{"TRH","TRM","TRC"}))</f>
        <v>0</v>
      </c>
      <c r="AU10" s="1" cm="1">
        <f ca="1" t="array" ref="AU10">SUM(SUMIFS(Assumptions!CU$3:CU$102,Assumptions!$B$3:$B$102,Trucks!$C10,Assumptions!$G$3:$G$102,{"TRH","TRM","TRC"}))</f>
        <v>0</v>
      </c>
      <c r="AV10" s="1" cm="1">
        <f ca="1" t="array" ref="AV10">SUM(SUMIFS(Assumptions!CV$3:CV$102,Assumptions!$B$3:$B$102,Trucks!$C10,Assumptions!$G$3:$G$102,{"TRH","TRM","TRC"}))</f>
        <v>0</v>
      </c>
      <c r="AW10" s="1" cm="1">
        <f ca="1" t="array" ref="AW10">SUM(SUMIFS(Assumptions!CW$3:CW$102,Assumptions!$B$3:$B$102,Trucks!$C10,Assumptions!$G$3:$G$102,{"TRH","TRM","TRC"}))</f>
        <v>0</v>
      </c>
    </row>
    <row r="11" spans="1:50">
      <c r="A11" s="101" t="s">
        <v>146</v>
      </c>
      <c r="B11" s="101"/>
      <c r="D11" s="102">
        <f ca="1">SUM(D$4:D$10)/SUM($D$4:$AJ$10)</f>
        <v>0.0186205595978358</v>
      </c>
      <c r="E11" s="102">
        <f ca="1" t="shared" ref="E11:U11" si="0">SUM(E$4:E$10)/SUM($D$4:$AJ$10)</f>
        <v>0.0161733886540153</v>
      </c>
      <c r="F11" s="102">
        <f ca="1" t="shared" si="0"/>
        <v>0.0150041064030889</v>
      </c>
      <c r="G11" s="102">
        <f ca="1" t="shared" si="0"/>
        <v>0.00593493839897184</v>
      </c>
      <c r="H11" s="102">
        <f ca="1" t="shared" si="0"/>
        <v>0.00333078865150106</v>
      </c>
      <c r="I11" s="102">
        <f ca="1" t="shared" si="0"/>
        <v>0.0127121366559214</v>
      </c>
      <c r="J11" s="102">
        <f ca="1" t="shared" si="0"/>
        <v>0.0515503896358708</v>
      </c>
      <c r="K11" s="102">
        <f ca="1" t="shared" si="0"/>
        <v>0.08365394929644</v>
      </c>
      <c r="L11" s="102">
        <f ca="1" t="shared" si="0"/>
        <v>0.00269460883890489</v>
      </c>
      <c r="M11" s="102">
        <f ca="1" t="shared" si="0"/>
        <v>0.00581069461634352</v>
      </c>
      <c r="N11" s="102">
        <f ca="1" t="shared" si="0"/>
        <v>0.0298771364843121</v>
      </c>
      <c r="O11" s="102">
        <f ca="1" t="shared" si="0"/>
        <v>0.0319044288756925</v>
      </c>
      <c r="P11" s="102">
        <f ca="1" t="shared" si="0"/>
        <v>0.00270163906381468</v>
      </c>
      <c r="Q11" s="102">
        <f ca="1" t="shared" si="0"/>
        <v>0.00926619806930397</v>
      </c>
      <c r="R11" s="102">
        <f ca="1" t="shared" si="0"/>
        <v>0.000181771859208011</v>
      </c>
      <c r="S11" s="102">
        <f ca="1" t="shared" si="0"/>
        <v>0.0388739195232815</v>
      </c>
      <c r="T11" s="102">
        <f ca="1" t="shared" si="0"/>
        <v>0.00279281125712759</v>
      </c>
      <c r="U11" s="102">
        <f ca="1" t="shared" si="0"/>
        <v>0.0210469242698694</v>
      </c>
      <c r="V11" s="102">
        <f ca="1" t="shared" ref="V11:AW11" si="1">SUM(V$4:V$10)/SUM($D$4:$AJ$10)</f>
        <v>0.0278649037276999</v>
      </c>
      <c r="W11" s="102">
        <f ca="1" t="shared" si="1"/>
        <v>0.0413717166484901</v>
      </c>
      <c r="X11" s="102">
        <f ca="1" t="shared" si="1"/>
        <v>0.0517843634207525</v>
      </c>
      <c r="Y11" s="102">
        <f ca="1" t="shared" si="1"/>
        <v>0.273160174501502</v>
      </c>
      <c r="Z11" s="102">
        <f ca="1" t="shared" si="1"/>
        <v>0.00228046592520552</v>
      </c>
      <c r="AA11" s="102">
        <f ca="1" t="shared" si="1"/>
        <v>0.0142067618735754</v>
      </c>
      <c r="AB11" s="102">
        <f ca="1" t="shared" si="1"/>
        <v>0.0949701905191878</v>
      </c>
      <c r="AC11" s="102">
        <f ca="1" t="shared" si="1"/>
        <v>0.0299014008302832</v>
      </c>
      <c r="AD11" s="102">
        <f ca="1" t="shared" si="1"/>
        <v>0.0270013859624997</v>
      </c>
      <c r="AE11" s="102">
        <f ca="1" t="shared" si="1"/>
        <v>0.00568609579046301</v>
      </c>
      <c r="AF11" s="102">
        <f ca="1" t="shared" si="1"/>
        <v>0.0246587287873318</v>
      </c>
      <c r="AG11" s="102">
        <f ca="1" t="shared" si="1"/>
        <v>0.00853125718036069</v>
      </c>
      <c r="AH11" s="102">
        <f ca="1" t="shared" si="1"/>
        <v>0.0026333498936491</v>
      </c>
      <c r="AI11" s="102">
        <f ca="1" t="shared" si="1"/>
        <v>0.020701374763495</v>
      </c>
      <c r="AJ11" s="102">
        <f ca="1" t="shared" si="1"/>
        <v>0.0231174400240001</v>
      </c>
      <c r="AK11" s="102">
        <f ca="1" t="shared" si="1"/>
        <v>0.00597718656454574</v>
      </c>
      <c r="AL11" s="102">
        <f ca="1" t="shared" si="1"/>
        <v>0.00410710587646735</v>
      </c>
      <c r="AM11" s="102">
        <f ca="1" t="shared" si="1"/>
        <v>0</v>
      </c>
      <c r="AN11" s="102">
        <f ca="1" t="shared" si="1"/>
        <v>0</v>
      </c>
      <c r="AO11" s="102">
        <f ca="1" t="shared" si="1"/>
        <v>0</v>
      </c>
      <c r="AP11" s="102">
        <f ca="1" t="shared" si="1"/>
        <v>0</v>
      </c>
      <c r="AQ11" s="102">
        <f ca="1" t="shared" si="1"/>
        <v>0</v>
      </c>
      <c r="AR11" s="102">
        <f ca="1" t="shared" si="1"/>
        <v>0</v>
      </c>
      <c r="AS11" s="102">
        <f ca="1" t="shared" si="1"/>
        <v>0</v>
      </c>
      <c r="AT11" s="102">
        <f ca="1" t="shared" si="1"/>
        <v>0</v>
      </c>
      <c r="AU11" s="102">
        <f ca="1" t="shared" si="1"/>
        <v>0</v>
      </c>
      <c r="AV11" s="102">
        <f ca="1" t="shared" si="1"/>
        <v>0</v>
      </c>
      <c r="AW11" s="102">
        <f ca="1" t="shared" si="1"/>
        <v>0</v>
      </c>
    </row>
    <row r="12" spans="1:50">
      <c r="C12" s="103">
        <f ca="1">SUM(D12:AW12)</f>
        <v>126.814</v>
      </c>
      <c r="D12" s="103">
        <f ca="1">'Trucks-hdt'!D13+'Trucks-lcv'!D13</f>
        <v>2.685</v>
      </c>
      <c r="E12" s="103">
        <f ca="1">'Trucks-hdt'!E13+'Trucks-lcv'!E13</f>
        <v>2.246</v>
      </c>
      <c r="F12" s="103">
        <f ca="1">'Trucks-hdt'!F13+'Trucks-lcv'!F13</f>
        <v>2.115</v>
      </c>
      <c r="G12" s="103">
        <f ca="1">'Trucks-hdt'!G13+'Trucks-lcv'!G13</f>
        <v>0.581</v>
      </c>
      <c r="H12" s="103">
        <f ca="1">'Trucks-hdt'!H13+'Trucks-lcv'!H13</f>
        <v>0.33</v>
      </c>
      <c r="I12" s="103">
        <f ca="1">'Trucks-hdt'!I13+'Trucks-lcv'!I13</f>
        <v>1.282</v>
      </c>
      <c r="J12" s="103">
        <f ca="1">'Trucks-hdt'!J13+'Trucks-lcv'!J13</f>
        <v>4.668</v>
      </c>
      <c r="K12" s="103">
        <f ca="1">'Trucks-hdt'!K13+'Trucks-lcv'!K13</f>
        <v>12.186</v>
      </c>
      <c r="L12" s="103">
        <f ca="1">'Trucks-hdt'!L13+'Trucks-lcv'!L13</f>
        <v>0.287</v>
      </c>
      <c r="M12" s="103">
        <f ca="1">'Trucks-hdt'!M13+'Trucks-lcv'!M13</f>
        <v>0.609</v>
      </c>
      <c r="N12" s="103">
        <f ca="1">'Trucks-hdt'!N13+'Trucks-lcv'!N13</f>
        <v>2.92</v>
      </c>
      <c r="O12" s="103">
        <f ca="1">'Trucks-hdt'!O13+'Trucks-lcv'!O13</f>
        <v>3.217</v>
      </c>
      <c r="P12" s="103">
        <f ca="1">'Trucks-hdt'!P13+'Trucks-lcv'!P13</f>
        <v>0.3</v>
      </c>
      <c r="Q12" s="103">
        <f ca="1">'Trucks-hdt'!Q13+'Trucks-lcv'!Q13</f>
        <v>1.031</v>
      </c>
      <c r="R12" s="103">
        <f ca="1">'Trucks-hdt'!R13+'Trucks-lcv'!R13</f>
        <v>0.019</v>
      </c>
      <c r="S12" s="103">
        <f ca="1">'Trucks-hdt'!S13+'Trucks-lcv'!S13</f>
        <v>5.772</v>
      </c>
      <c r="T12" s="103">
        <f ca="1">'Trucks-hdt'!T13+'Trucks-lcv'!T13</f>
        <v>0.273</v>
      </c>
      <c r="U12" s="103">
        <f ca="1">'Trucks-hdt'!U13+'Trucks-lcv'!U13</f>
        <v>2.232</v>
      </c>
      <c r="V12" s="103">
        <f ca="1">'Trucks-hdt'!V13+'Trucks-lcv'!V13</f>
        <v>3.822</v>
      </c>
      <c r="W12" s="103">
        <f ca="1">'Trucks-hdt'!W13+'Trucks-lcv'!W13</f>
        <v>4.234</v>
      </c>
      <c r="X12" s="103">
        <f ca="1">'Trucks-hdt'!X13+'Trucks-lcv'!X13</f>
        <v>7.31</v>
      </c>
      <c r="Y12" s="103">
        <f ca="1">'Trucks-hdt'!Y13+'Trucks-lcv'!Y13</f>
        <v>36.59</v>
      </c>
      <c r="Z12" s="103">
        <f ca="1">'Trucks-hdt'!Z13+'Trucks-lcv'!Z13</f>
        <v>0.224</v>
      </c>
      <c r="AA12" s="103">
        <f ca="1">'Trucks-hdt'!AA13+'Trucks-lcv'!AA13</f>
        <v>1.764</v>
      </c>
      <c r="AB12" s="103">
        <f ca="1">'Trucks-hdt'!AB13+'Trucks-lcv'!AB13</f>
        <v>8.21</v>
      </c>
      <c r="AC12" s="103">
        <f ca="1">'Trucks-hdt'!AC13+'Trucks-lcv'!AC13</f>
        <v>4.316</v>
      </c>
      <c r="AD12" s="103">
        <f ca="1">'Trucks-hdt'!AD13+'Trucks-lcv'!AD13</f>
        <v>3.608</v>
      </c>
      <c r="AE12" s="103">
        <f ca="1">'Trucks-hdt'!AE13+'Trucks-lcv'!AE13</f>
        <v>0.791</v>
      </c>
      <c r="AF12" s="103">
        <f ca="1">'Trucks-hdt'!AF13+'Trucks-lcv'!AF13</f>
        <v>5.156</v>
      </c>
      <c r="AG12" s="103">
        <f ca="1">'Trucks-hdt'!AG13+'Trucks-lcv'!AG13</f>
        <v>0.851</v>
      </c>
      <c r="AH12" s="103">
        <f ca="1">'Trucks-hdt'!AH13+'Trucks-lcv'!AH13</f>
        <v>0.272</v>
      </c>
      <c r="AI12" s="103">
        <f ca="1">'Trucks-hdt'!AI13+'Trucks-lcv'!AI13</f>
        <v>2.482</v>
      </c>
      <c r="AJ12" s="103">
        <f ca="1">'Trucks-hdt'!AJ13+'Trucks-lcv'!AJ13</f>
        <v>2.312</v>
      </c>
      <c r="AK12" s="103">
        <f ca="1">'Trucks-hdt'!AK13+'Trucks-lcv'!AK13</f>
        <v>0.887</v>
      </c>
      <c r="AL12" s="103">
        <f ca="1">'Trucks-hdt'!AL13+'Trucks-lcv'!AL13</f>
        <v>1.232</v>
      </c>
      <c r="AM12" s="103">
        <f ca="1">'Trucks-hdt'!AM13+'Trucks-lcv'!AM13</f>
        <v>0</v>
      </c>
      <c r="AN12" s="103">
        <f ca="1">'Trucks-hdt'!AN13+'Trucks-lcv'!AN13</f>
        <v>0</v>
      </c>
      <c r="AO12" s="103">
        <f ca="1">'Trucks-hdt'!AO13+'Trucks-lcv'!AO13</f>
        <v>0</v>
      </c>
      <c r="AP12" s="103">
        <f ca="1">'Trucks-hdt'!AP13+'Trucks-lcv'!AP13</f>
        <v>0</v>
      </c>
      <c r="AQ12" s="103">
        <f ca="1">'Trucks-hdt'!AQ13+'Trucks-lcv'!AQ13</f>
        <v>0</v>
      </c>
      <c r="AR12" s="103">
        <f ca="1">'Trucks-hdt'!AR13+'Trucks-lcv'!AR13</f>
        <v>0</v>
      </c>
      <c r="AS12" s="103">
        <f ca="1">'Trucks-hdt'!AS13+'Trucks-lcv'!AS13</f>
        <v>0</v>
      </c>
      <c r="AT12" s="103">
        <f ca="1">'Trucks-hdt'!AT13+'Trucks-lcv'!AT13</f>
        <v>0</v>
      </c>
      <c r="AU12" s="103">
        <f ca="1">'Trucks-hdt'!AU13+'Trucks-lcv'!AU13</f>
        <v>0</v>
      </c>
      <c r="AV12" s="103">
        <f ca="1">'Trucks-hdt'!AV13+'Trucks-lcv'!AV13</f>
        <v>0</v>
      </c>
      <c r="AW12" s="103">
        <f ca="1">'Trucks-hdt'!AW13+'Trucks-lcv'!AW13</f>
        <v>0</v>
      </c>
    </row>
    <row r="13" spans="1:50">
      <c r="A13" s="101" t="s">
        <v>147</v>
      </c>
      <c r="B13" s="101"/>
      <c r="C13" s="104">
        <f ca="1">SUM(D13:AW13)</f>
        <v>380.524673199998</v>
      </c>
      <c r="D13" s="104">
        <f ca="1">IFERROR(OFFSET('vehicle population data'!$F$59,0,MATCH(Trucks!D$3,'vehicle population data'!$G$32:$AM$32,0)),0)</f>
        <v>6.24214080000002</v>
      </c>
      <c r="E13" s="104">
        <f ca="1">IFERROR(OFFSET('vehicle population data'!$F$59,0,MATCH(Trucks!E$3,'vehicle population data'!$G$32:$AM$32,0)),0)</f>
        <v>6.19534899999996</v>
      </c>
      <c r="F13" s="104">
        <f ca="1">IFERROR(OFFSET('vehicle population data'!$F$59,0,MATCH(Trucks!F$3,'vehicle population data'!$G$32:$AM$32,0)),0)</f>
        <v>4.6003116</v>
      </c>
      <c r="G13" s="104">
        <f ca="1">IFERROR(OFFSET('vehicle population data'!$F$59,0,MATCH(Trucks!G$3,'vehicle population data'!$G$32:$AM$32,0)),0)</f>
        <v>0.490248999999999</v>
      </c>
      <c r="H13" s="104">
        <f ca="1">IFERROR(OFFSET('vehicle population data'!$F$59,0,MATCH(Trucks!H$3,'vehicle population data'!$G$32:$AM$32,0)),0)</f>
        <v>0.287562799999998</v>
      </c>
      <c r="I13" s="104">
        <f ca="1">IFERROR(OFFSET('vehicle population data'!$F$59,0,MATCH(Trucks!I$3,'vehicle population data'!$G$32:$AM$32,0)),0)</f>
        <v>1.9828478</v>
      </c>
      <c r="J13" s="104">
        <f ca="1">IFERROR(OFFSET('vehicle population data'!$F$59,0,MATCH(Trucks!J$3,'vehicle population data'!$G$32:$AM$32,0)),0)</f>
        <v>8.95854040000006</v>
      </c>
      <c r="K13" s="104">
        <f ca="1">IFERROR(OFFSET('vehicle population data'!$F$59,0,MATCH(Trucks!K$3,'vehicle population data'!$G$32:$AM$32,0)),0)</f>
        <v>38.2723055999995</v>
      </c>
      <c r="L13" s="104">
        <f ca="1">IFERROR(OFFSET('vehicle population data'!$F$59,0,MATCH(Trucks!L$3,'vehicle population data'!$G$32:$AM$32,0)),0)</f>
        <v>0.2620626</v>
      </c>
      <c r="M13" s="104">
        <f ca="1">IFERROR(OFFSET('vehicle population data'!$F$59,0,MATCH(Trucks!M$3,'vehicle population data'!$G$32:$AM$32,0)),0)</f>
        <v>1.1218526</v>
      </c>
      <c r="N13" s="104">
        <f ca="1">IFERROR(OFFSET('vehicle population data'!$F$59,0,MATCH(Trucks!N$3,'vehicle population data'!$G$32:$AM$32,0)),0)</f>
        <v>6.77700000000001</v>
      </c>
      <c r="O13" s="104">
        <f ca="1">IFERROR(OFFSET('vehicle population data'!$F$59,0,MATCH(Trucks!O$3,'vehicle population data'!$G$32:$AM$32,0)),0)</f>
        <v>3.62769839999999</v>
      </c>
      <c r="P13" s="104">
        <f ca="1">IFERROR(OFFSET('vehicle population data'!$F$59,0,MATCH(Trucks!P$3,'vehicle population data'!$G$32:$AM$32,0)),0)</f>
        <v>1.07086839999999</v>
      </c>
      <c r="Q13" s="104">
        <f ca="1">IFERROR(OFFSET('vehicle population data'!$F$59,0,MATCH(Trucks!Q$3,'vehicle population data'!$G$32:$AM$32,0)),0)</f>
        <v>2.0582398</v>
      </c>
      <c r="R13" s="104">
        <f ca="1">IFERROR(OFFSET('vehicle population data'!$F$59,0,MATCH(Trucks!R$3,'vehicle population data'!$G$32:$AM$32,0)),0)</f>
        <v>0.0379449999999999</v>
      </c>
      <c r="S13" s="104">
        <f ca="1">IFERROR(OFFSET('vehicle population data'!$F$59,0,MATCH(Trucks!S$3,'vehicle population data'!$G$32:$AM$32,0)),0)</f>
        <v>7.60839999999996</v>
      </c>
      <c r="T13" s="104">
        <f ca="1">IFERROR(OFFSET('vehicle population data'!$F$59,0,MATCH(Trucks!T$3,'vehicle population data'!$G$32:$AM$32,0)),0)</f>
        <v>0.335576</v>
      </c>
      <c r="U13" s="104">
        <f ca="1">IFERROR(OFFSET('vehicle population data'!$F$59,0,MATCH(Trucks!U$3,'vehicle population data'!$G$32:$AM$32,0)),0)</f>
        <v>4.841329</v>
      </c>
      <c r="V13" s="104">
        <f ca="1">IFERROR(OFFSET('vehicle population data'!$F$59,0,MATCH(Trucks!V$3,'vehicle population data'!$G$32:$AM$32,0)),0)</f>
        <v>15.9909876</v>
      </c>
      <c r="W13" s="104">
        <f ca="1">IFERROR(OFFSET('vehicle population data'!$F$59,0,MATCH(Trucks!W$3,'vehicle population data'!$G$32:$AM$32,0)),0)</f>
        <v>17.217967</v>
      </c>
      <c r="X13" s="104">
        <f ca="1">IFERROR(OFFSET('vehicle population data'!$F$59,0,MATCH(Trucks!X$3,'vehicle population data'!$G$32:$AM$32,0)),0)</f>
        <v>9.47848419999991</v>
      </c>
      <c r="Y13" s="104">
        <f ca="1">IFERROR(OFFSET('vehicle population data'!$F$59,0,MATCH(Trucks!Y$3,'vehicle population data'!$G$32:$AM$32,0)),0)</f>
        <v>173.730662399999</v>
      </c>
      <c r="Z13" s="104">
        <f ca="1">IFERROR(OFFSET('vehicle population data'!$F$59,0,MATCH(Trucks!Z$3,'vehicle population data'!$G$32:$AM$32,0)),0)</f>
        <v>0.622397399999999</v>
      </c>
      <c r="AA13" s="104">
        <f ca="1">IFERROR(OFFSET('vehicle population data'!$F$59,0,MATCH(Trucks!AA$3,'vehicle population data'!$G$32:$AM$32,0)),0)</f>
        <v>3.7112898</v>
      </c>
      <c r="AB13" s="104">
        <f ca="1">IFERROR(OFFSET('vehicle population data'!$F$59,0,MATCH(Trucks!AB$3,'vehicle population data'!$G$32:$AM$32,0)),0)</f>
        <v>32.4439487999998</v>
      </c>
      <c r="AC13" s="104">
        <f ca="1">IFERROR(OFFSET('vehicle population data'!$F$59,0,MATCH(Trucks!AC$3,'vehicle population data'!$G$32:$AM$32,0)),0)</f>
        <v>8.29090739999998</v>
      </c>
      <c r="AD13" s="104">
        <f ca="1">IFERROR(OFFSET('vehicle population data'!$F$59,0,MATCH(Trucks!AD$3,'vehicle population data'!$G$32:$AM$32,0)),0)</f>
        <v>2.52494439999998</v>
      </c>
      <c r="AE13" s="104">
        <f ca="1">IFERROR(OFFSET('vehicle population data'!$F$59,0,MATCH(Trucks!AE$3,'vehicle population data'!$G$32:$AM$32,0)),0)</f>
        <v>3.53298860000001</v>
      </c>
      <c r="AF13" s="104">
        <f ca="1">IFERROR(OFFSET('vehicle population data'!$F$59,0,MATCH(Trucks!AF$3,'vehicle population data'!$G$32:$AM$32,0)),0)</f>
        <v>6.003287</v>
      </c>
      <c r="AG13" s="104">
        <f ca="1">IFERROR(OFFSET('vehicle population data'!$F$59,0,MATCH(Trucks!AG$3,'vehicle population data'!$G$32:$AM$32,0)),0)</f>
        <v>1.1573004</v>
      </c>
      <c r="AH13" s="104">
        <f ca="1">IFERROR(OFFSET('vehicle population data'!$F$59,0,MATCH(Trucks!AH$3,'vehicle population data'!$G$32:$AM$32,0)),0)</f>
        <v>0.463274800000001</v>
      </c>
      <c r="AI13" s="104">
        <f ca="1">IFERROR(OFFSET('vehicle population data'!$F$59,0,MATCH(Trucks!AI$3,'vehicle population data'!$G$32:$AM$32,0)),0)</f>
        <v>5.5457644</v>
      </c>
      <c r="AJ13" s="104">
        <f ca="1">IFERROR(OFFSET('vehicle population data'!$F$59,0,MATCH(Trucks!AJ$3,'vehicle population data'!$G$32:$AM$32,0)),0)</f>
        <v>5.04019020000001</v>
      </c>
      <c r="AK13" s="104">
        <f ca="1">IFERROR(OFFSET('vehicle population data'!$F$59,0,MATCH(Trucks!AK$3,'vehicle population data'!$G$32:$AM$32,0)),0)</f>
        <v>0</v>
      </c>
      <c r="AL13" s="104">
        <f ca="1">IFERROR(OFFSET('vehicle population data'!$F$59,0,MATCH(Trucks!AL$3,'vehicle population data'!$G$32:$AM$32,0)),0)</f>
        <v>0</v>
      </c>
      <c r="AM13" s="104">
        <f ca="1">IFERROR(OFFSET('vehicle population data'!$F$59,0,MATCH(Trucks!AM$3,'vehicle population data'!$G$32:$AM$32,0)),0)</f>
        <v>0</v>
      </c>
      <c r="AN13" s="104">
        <f ca="1">IFERROR(OFFSET('vehicle population data'!$F$59,0,MATCH(Trucks!AN$3,'vehicle population data'!$G$32:$AM$32,0)),0)</f>
        <v>0</v>
      </c>
      <c r="AO13" s="104">
        <f ca="1">IFERROR(OFFSET('vehicle population data'!$F$59,0,MATCH(Trucks!AO$3,'vehicle population data'!$G$32:$AM$32,0)),0)</f>
        <v>0</v>
      </c>
      <c r="AP13" s="104">
        <f ca="1">IFERROR(OFFSET('vehicle population data'!$F$59,0,MATCH(Trucks!AP$3,'vehicle population data'!$G$32:$AM$32,0)),0)</f>
        <v>0</v>
      </c>
      <c r="AQ13" s="104">
        <f ca="1">IFERROR(OFFSET('vehicle population data'!$F$59,0,MATCH(Trucks!AQ$3,'vehicle population data'!$G$32:$AM$32,0)),0)</f>
        <v>0</v>
      </c>
      <c r="AR13" s="104">
        <f ca="1">IFERROR(OFFSET('vehicle population data'!$F$59,0,MATCH(Trucks!AR$3,'vehicle population data'!$G$32:$AM$32,0)),0)</f>
        <v>0</v>
      </c>
      <c r="AS13" s="104">
        <f ca="1">IFERROR(OFFSET('vehicle population data'!$F$59,0,MATCH(Trucks!AS$3,'vehicle population data'!$G$32:$AM$32,0)),0)</f>
        <v>0</v>
      </c>
      <c r="AT13" s="104">
        <f ca="1">IFERROR(OFFSET('vehicle population data'!$F$59,0,MATCH(Trucks!AT$3,'vehicle population data'!$G$32:$AM$32,0)),0)</f>
        <v>0</v>
      </c>
      <c r="AU13" s="104">
        <f ca="1">IFERROR(OFFSET('vehicle population data'!$F$59,0,MATCH(Trucks!AU$3,'vehicle population data'!$G$32:$AM$32,0)),0)</f>
        <v>0</v>
      </c>
      <c r="AV13" s="104">
        <f ca="1">IFERROR(OFFSET('vehicle population data'!$F$59,0,MATCH(Trucks!AV$3,'vehicle population data'!$G$32:$AM$32,0)),0)</f>
        <v>0</v>
      </c>
      <c r="AW13" s="104">
        <f ca="1">IFERROR(OFFSET('vehicle population data'!$F$59,0,MATCH(Trucks!AW$3,'vehicle population data'!$G$32:$AM$32,0)),0)</f>
        <v>0</v>
      </c>
      <c r="AX13" s="3"/>
    </row>
    <row r="14" spans="1:50">
      <c r="A14" s="101" t="s">
        <v>148</v>
      </c>
      <c r="B14" s="101"/>
      <c r="D14" s="102">
        <f ca="1">D13/SUM($D$13:$AW$13)</f>
        <v>0.0164040369511578</v>
      </c>
      <c r="E14" s="102">
        <f ca="1" t="shared" ref="E14:AW14" si="2">E13/SUM($D$13:$AW$13)</f>
        <v>0.016281070417591</v>
      </c>
      <c r="F14" s="102">
        <f ca="1" t="shared" si="2"/>
        <v>0.0120893911065319</v>
      </c>
      <c r="G14" s="102">
        <f ca="1" t="shared" si="2"/>
        <v>0.0012883500979773</v>
      </c>
      <c r="H14" s="102">
        <f ca="1" t="shared" si="2"/>
        <v>0.000755700800113057</v>
      </c>
      <c r="I14" s="102">
        <f ca="1" t="shared" si="2"/>
        <v>0.00521082584034661</v>
      </c>
      <c r="J14" s="102">
        <f ca="1" t="shared" si="2"/>
        <v>0.0235426006010695</v>
      </c>
      <c r="K14" s="102">
        <f ca="1" t="shared" si="2"/>
        <v>0.100577724114841</v>
      </c>
      <c r="L14" s="102">
        <f ca="1" t="shared" si="2"/>
        <v>0.000688687537121315</v>
      </c>
      <c r="M14" s="102">
        <f ca="1" t="shared" si="2"/>
        <v>0.0029481730857709</v>
      </c>
      <c r="N14" s="102">
        <f ca="1" t="shared" si="2"/>
        <v>0.0178096204459208</v>
      </c>
      <c r="O14" s="102">
        <f ca="1" t="shared" si="2"/>
        <v>0.00953341177457191</v>
      </c>
      <c r="P14" s="102">
        <f ca="1" t="shared" si="2"/>
        <v>0.00281418913258525</v>
      </c>
      <c r="Q14" s="102">
        <f ca="1" t="shared" si="2"/>
        <v>0.0054089522834127</v>
      </c>
      <c r="R14" s="102">
        <f ca="1" t="shared" si="2"/>
        <v>9.97175812041407e-5</v>
      </c>
      <c r="S14" s="102">
        <f ca="1" t="shared" si="2"/>
        <v>0.0199944984802631</v>
      </c>
      <c r="T14" s="102">
        <f ca="1" t="shared" si="2"/>
        <v>0.000881877112403763</v>
      </c>
      <c r="U14" s="102">
        <f ca="1" t="shared" si="2"/>
        <v>0.0127227729000781</v>
      </c>
      <c r="V14" s="102">
        <f ca="1" t="shared" si="2"/>
        <v>0.0420235236404641</v>
      </c>
      <c r="W14" s="102">
        <f ca="1" t="shared" si="2"/>
        <v>0.0452479647514223</v>
      </c>
      <c r="X14" s="102">
        <f ca="1" t="shared" si="2"/>
        <v>0.0249089871631482</v>
      </c>
      <c r="Y14" s="102">
        <f ca="1" t="shared" si="2"/>
        <v>0.456555578746109</v>
      </c>
      <c r="Z14" s="102">
        <f ca="1" t="shared" si="2"/>
        <v>0.00163562955002625</v>
      </c>
      <c r="AA14" s="102">
        <f ca="1" t="shared" si="2"/>
        <v>0.00975308583485571</v>
      </c>
      <c r="AB14" s="102">
        <f ca="1" t="shared" si="2"/>
        <v>0.0852610910277236</v>
      </c>
      <c r="AC14" s="102">
        <f ca="1" t="shared" si="2"/>
        <v>0.0217880941340232</v>
      </c>
      <c r="AD14" s="102">
        <f ca="1" t="shared" si="2"/>
        <v>0.00663542886395939</v>
      </c>
      <c r="AE14" s="102">
        <f ca="1" t="shared" si="2"/>
        <v>0.00928451910960087</v>
      </c>
      <c r="AF14" s="102">
        <f ca="1" t="shared" si="2"/>
        <v>0.0157763409912838</v>
      </c>
      <c r="AG14" s="102">
        <f ca="1" t="shared" si="2"/>
        <v>0.00304132814902055</v>
      </c>
      <c r="AH14" s="102">
        <f ca="1" t="shared" si="2"/>
        <v>0.0012174632359687</v>
      </c>
      <c r="AI14" s="102">
        <f ca="1" t="shared" si="2"/>
        <v>0.0145739942521026</v>
      </c>
      <c r="AJ14" s="102">
        <f ca="1" t="shared" si="2"/>
        <v>0.0132453702873321</v>
      </c>
      <c r="AK14" s="102">
        <f ca="1" t="shared" si="2"/>
        <v>0</v>
      </c>
      <c r="AL14" s="102">
        <f ca="1" t="shared" si="2"/>
        <v>0</v>
      </c>
      <c r="AM14" s="102">
        <f ca="1" t="shared" si="2"/>
        <v>0</v>
      </c>
      <c r="AN14" s="102">
        <f ca="1" t="shared" si="2"/>
        <v>0</v>
      </c>
      <c r="AO14" s="102">
        <f ca="1" t="shared" si="2"/>
        <v>0</v>
      </c>
      <c r="AP14" s="102">
        <f ca="1" t="shared" si="2"/>
        <v>0</v>
      </c>
      <c r="AQ14" s="102">
        <f ca="1" t="shared" si="2"/>
        <v>0</v>
      </c>
      <c r="AR14" s="102">
        <f ca="1" t="shared" si="2"/>
        <v>0</v>
      </c>
      <c r="AS14" s="102">
        <f ca="1" t="shared" si="2"/>
        <v>0</v>
      </c>
      <c r="AT14" s="102">
        <f ca="1" t="shared" si="2"/>
        <v>0</v>
      </c>
      <c r="AU14" s="102">
        <f ca="1" t="shared" si="2"/>
        <v>0</v>
      </c>
      <c r="AV14" s="102">
        <f ca="1" t="shared" si="2"/>
        <v>0</v>
      </c>
      <c r="AW14" s="102">
        <f ca="1" t="shared" si="2"/>
        <v>0</v>
      </c>
    </row>
    <row r="16" spans="1:50">
      <c r="A16" s="101" t="s">
        <v>149</v>
      </c>
      <c r="B16" s="101"/>
      <c r="D16" s="3">
        <f ca="1">D11/D14</f>
        <v>1.13512055924267</v>
      </c>
      <c r="E16" s="3">
        <f ca="1" t="shared" ref="E16:U16" si="3">E11/E14</f>
        <v>0.993386075926599</v>
      </c>
      <c r="F16" s="3">
        <f ca="1" t="shared" si="3"/>
        <v>1.24109694780097</v>
      </c>
      <c r="G16" s="3">
        <f ca="1" t="shared" si="3"/>
        <v>4.60661927863368</v>
      </c>
      <c r="H16" s="3">
        <f ca="1" t="shared" si="3"/>
        <v>4.40754945740795</v>
      </c>
      <c r="I16" s="3">
        <f ca="1" t="shared" si="3"/>
        <v>2.43956275749868</v>
      </c>
      <c r="J16" s="3">
        <f ca="1" t="shared" si="3"/>
        <v>2.18966419680623</v>
      </c>
      <c r="K16" s="3">
        <f ca="1" t="shared" si="3"/>
        <v>0.831734362978055</v>
      </c>
      <c r="L16" s="3">
        <f ca="1" t="shared" si="3"/>
        <v>3.91267257451506</v>
      </c>
      <c r="M16" s="3">
        <f ca="1" t="shared" si="3"/>
        <v>1.97094758255149</v>
      </c>
      <c r="N16" s="3">
        <f ca="1" t="shared" si="3"/>
        <v>1.67758412230258</v>
      </c>
      <c r="O16" s="3">
        <f ca="1" t="shared" si="3"/>
        <v>3.34659087744326</v>
      </c>
      <c r="P16" s="3">
        <f ca="1" t="shared" si="3"/>
        <v>0.960006217255491</v>
      </c>
      <c r="Q16" s="3">
        <f ca="1" t="shared" si="3"/>
        <v>1.71312253903959</v>
      </c>
      <c r="R16" s="3">
        <f ca="1" t="shared" si="3"/>
        <v>1.82286671029345</v>
      </c>
      <c r="S16" s="3">
        <f ca="1" t="shared" si="3"/>
        <v>1.94423078736657</v>
      </c>
      <c r="T16" s="3">
        <f ca="1" t="shared" si="3"/>
        <v>3.16689391055305</v>
      </c>
      <c r="U16" s="3">
        <f ca="1" t="shared" si="3"/>
        <v>1.65427178769655</v>
      </c>
      <c r="V16" s="3">
        <f ca="1" t="shared" ref="V16:AJ16" si="4">V11/V14</f>
        <v>0.663078707204577</v>
      </c>
      <c r="W16" s="3">
        <f ca="1" t="shared" si="4"/>
        <v>0.914333205388859</v>
      </c>
      <c r="X16" s="3">
        <f ca="1" t="shared" si="4"/>
        <v>2.07894295667571</v>
      </c>
      <c r="Y16" s="3">
        <f ca="1" t="shared" si="4"/>
        <v>0.598306509038206</v>
      </c>
      <c r="Z16" s="3">
        <f ca="1" t="shared" si="4"/>
        <v>1.39424353464935</v>
      </c>
      <c r="AA16" s="3">
        <f ca="1" t="shared" si="4"/>
        <v>1.456642760469</v>
      </c>
      <c r="AB16" s="3">
        <f ca="1" t="shared" si="4"/>
        <v>1.11387491497508</v>
      </c>
      <c r="AC16" s="3">
        <f ca="1" t="shared" si="4"/>
        <v>1.37237340018605</v>
      </c>
      <c r="AD16" s="3">
        <f ca="1" t="shared" si="4"/>
        <v>4.0692751766444</v>
      </c>
      <c r="AE16" s="3">
        <f ca="1" t="shared" si="4"/>
        <v>0.61242760377144</v>
      </c>
      <c r="AF16" s="3">
        <f ca="1" t="shared" si="4"/>
        <v>1.5630195113655</v>
      </c>
      <c r="AG16" s="3">
        <f ca="1" t="shared" ref="AG16" si="5">AG11/AG14</f>
        <v>2.80510907154434</v>
      </c>
      <c r="AH16" s="3">
        <f ca="1" t="shared" si="4"/>
        <v>2.16298103782479</v>
      </c>
      <c r="AI16" s="3">
        <f ca="1" t="shared" si="4"/>
        <v>1.42043247756245</v>
      </c>
      <c r="AJ16" s="3">
        <f ca="1" t="shared" si="4"/>
        <v>1.74532229167724</v>
      </c>
      <c r="AK16" s="3" t="e">
        <f ca="1" t="shared" ref="AK16:AW16" si="6">AK11/AK14</f>
        <v>#DIV/0!</v>
      </c>
      <c r="AL16" s="3" t="e">
        <f ca="1" t="shared" si="6"/>
        <v>#DIV/0!</v>
      </c>
      <c r="AM16" s="3" t="e">
        <f ca="1" t="shared" si="6"/>
        <v>#DIV/0!</v>
      </c>
      <c r="AN16" s="3" t="e">
        <f ca="1" t="shared" si="6"/>
        <v>#DIV/0!</v>
      </c>
      <c r="AO16" s="3" t="e">
        <f ca="1" t="shared" si="6"/>
        <v>#DIV/0!</v>
      </c>
      <c r="AP16" s="3" t="e">
        <f ca="1" t="shared" si="6"/>
        <v>#DIV/0!</v>
      </c>
      <c r="AQ16" s="3" t="e">
        <f ca="1" t="shared" si="6"/>
        <v>#DIV/0!</v>
      </c>
      <c r="AR16" s="3" t="e">
        <f ca="1" t="shared" si="6"/>
        <v>#DIV/0!</v>
      </c>
      <c r="AS16" s="3" t="e">
        <f ca="1" t="shared" si="6"/>
        <v>#DIV/0!</v>
      </c>
      <c r="AT16" s="3" t="e">
        <f ca="1" t="shared" si="6"/>
        <v>#DIV/0!</v>
      </c>
      <c r="AU16" s="3" t="e">
        <f ca="1" t="shared" si="6"/>
        <v>#DIV/0!</v>
      </c>
      <c r="AV16" s="3" t="e">
        <f ca="1" t="shared" si="6"/>
        <v>#DIV/0!</v>
      </c>
      <c r="AW16" s="3" t="e">
        <f ca="1" t="shared" si="6"/>
        <v>#DIV/0!</v>
      </c>
    </row>
    <row r="18" spans="1:49">
      <c r="A18" t="s">
        <v>150</v>
      </c>
      <c r="C18" t="str">
        <f>C4</f>
        <v>TRABDS</v>
      </c>
      <c r="D18" s="78">
        <f ca="1">D4/SUM(D$4:D$10)*D$13</f>
        <v>0</v>
      </c>
      <c r="E18" s="78">
        <f ca="1" t="shared" ref="E18:U18" si="7">E4/SUM(E$4:E$10)*E$13</f>
        <v>0</v>
      </c>
      <c r="F18" s="78">
        <f ca="1" t="shared" si="7"/>
        <v>0.000262946730713287</v>
      </c>
      <c r="G18" s="78">
        <f ca="1" t="shared" si="7"/>
        <v>0.0313044112916775</v>
      </c>
      <c r="H18" s="78">
        <f ca="1" t="shared" si="7"/>
        <v>0.00946473384505358</v>
      </c>
      <c r="I18" s="78">
        <f ca="1" t="shared" si="7"/>
        <v>0.122472114164221</v>
      </c>
      <c r="J18" s="78">
        <f ca="1" t="shared" si="7"/>
        <v>2.64914837362926</v>
      </c>
      <c r="K18" s="78">
        <f ca="1" t="shared" si="7"/>
        <v>0.283800830689812</v>
      </c>
      <c r="L18" s="78">
        <f ca="1" t="shared" si="7"/>
        <v>0.0125043565521516</v>
      </c>
      <c r="M18" s="78">
        <f ca="1" t="shared" si="7"/>
        <v>0.0650589212136055</v>
      </c>
      <c r="N18" s="78">
        <f ca="1" t="shared" si="7"/>
        <v>0.509770902206154</v>
      </c>
      <c r="O18" s="78">
        <f ca="1" t="shared" si="7"/>
        <v>0.191210305041202</v>
      </c>
      <c r="P18" s="78">
        <f ca="1" t="shared" si="7"/>
        <v>0.0603889640025094</v>
      </c>
      <c r="Q18" s="78">
        <f ca="1" t="shared" si="7"/>
        <v>0.115930141921674</v>
      </c>
      <c r="R18" s="78">
        <f ca="1" t="shared" si="7"/>
        <v>0.00288015574858407</v>
      </c>
      <c r="S18" s="78">
        <f ca="1" t="shared" si="7"/>
        <v>0.00504155392096172</v>
      </c>
      <c r="T18" s="78">
        <f ca="1" t="shared" si="7"/>
        <v>0.0173254195280901</v>
      </c>
      <c r="U18" s="78">
        <f ca="1" t="shared" si="7"/>
        <v>0.257292122877294</v>
      </c>
      <c r="V18" s="78">
        <f ca="1" t="shared" ref="V18:AJ18" si="8">V4/SUM(V$4:V$10)*V$13</f>
        <v>0.00752338803537779</v>
      </c>
      <c r="W18" s="78">
        <f ca="1" t="shared" si="8"/>
        <v>0.723692273343006</v>
      </c>
      <c r="X18" s="78">
        <f ca="1" t="shared" si="8"/>
        <v>0</v>
      </c>
      <c r="Y18" s="78">
        <f ca="1" t="shared" si="8"/>
        <v>3.40340334288559</v>
      </c>
      <c r="Z18" s="78">
        <f ca="1" t="shared" si="8"/>
        <v>0.101794528829972</v>
      </c>
      <c r="AA18" s="78">
        <f ca="1" t="shared" si="8"/>
        <v>0.184566101799329</v>
      </c>
      <c r="AB18" s="78">
        <f ca="1" t="shared" si="8"/>
        <v>2.13044828692991</v>
      </c>
      <c r="AC18" s="78">
        <f ca="1" t="shared" si="8"/>
        <v>0.000477514012937824</v>
      </c>
      <c r="AD18" s="78">
        <f ca="1" t="shared" si="8"/>
        <v>0</v>
      </c>
      <c r="AE18" s="78">
        <f ca="1" t="shared" si="8"/>
        <v>0</v>
      </c>
      <c r="AF18" s="78">
        <f ca="1" t="shared" si="8"/>
        <v>0.380885064581045</v>
      </c>
      <c r="AG18" s="78">
        <f ca="1" t="shared" ref="AG18" si="9">AG4/SUM(AG$4:AG$10)*AG$13</f>
        <v>0.206694364477411</v>
      </c>
      <c r="AH18" s="78">
        <f ca="1" t="shared" si="8"/>
        <v>0.0234644760138119</v>
      </c>
      <c r="AI18" s="78">
        <f ca="1" t="shared" si="8"/>
        <v>0.0290137788416586</v>
      </c>
      <c r="AJ18" s="78">
        <f ca="1" t="shared" si="8"/>
        <v>0.24515050886709</v>
      </c>
      <c r="AK18" s="78">
        <f ca="1" t="shared" ref="AK18:AW18" si="10">AK4/SUM(AK$4:AK$10)*AK$13</f>
        <v>0</v>
      </c>
      <c r="AL18" s="78">
        <f ca="1" t="shared" si="10"/>
        <v>0</v>
      </c>
      <c r="AM18" s="78" t="e">
        <f ca="1" t="shared" si="10"/>
        <v>#DIV/0!</v>
      </c>
      <c r="AN18" s="78" t="e">
        <f ca="1" t="shared" si="10"/>
        <v>#DIV/0!</v>
      </c>
      <c r="AO18" s="78" t="e">
        <f ca="1" t="shared" si="10"/>
        <v>#DIV/0!</v>
      </c>
      <c r="AP18" s="78" t="e">
        <f ca="1" t="shared" si="10"/>
        <v>#DIV/0!</v>
      </c>
      <c r="AQ18" s="78" t="e">
        <f ca="1" t="shared" si="10"/>
        <v>#DIV/0!</v>
      </c>
      <c r="AR18" s="78" t="e">
        <f ca="1" t="shared" si="10"/>
        <v>#DIV/0!</v>
      </c>
      <c r="AS18" s="78" t="e">
        <f ca="1" t="shared" si="10"/>
        <v>#DIV/0!</v>
      </c>
      <c r="AT18" s="78" t="e">
        <f ca="1" t="shared" si="10"/>
        <v>#DIV/0!</v>
      </c>
      <c r="AU18" s="78" t="e">
        <f ca="1" t="shared" si="10"/>
        <v>#DIV/0!</v>
      </c>
      <c r="AV18" s="78" t="e">
        <f ca="1" t="shared" si="10"/>
        <v>#DIV/0!</v>
      </c>
      <c r="AW18" s="78" t="e">
        <f ca="1" t="shared" si="10"/>
        <v>#DIV/0!</v>
      </c>
    </row>
    <row r="19" spans="1:49">
      <c r="C19" t="str">
        <f t="shared" ref="C19:C24" si="11">C5</f>
        <v>TRABGS</v>
      </c>
      <c r="D19" s="78">
        <f ca="1" t="shared" ref="D19:AJ24" si="12">D5/SUM(D$4:D$10)*D$13</f>
        <v>0</v>
      </c>
      <c r="E19" s="78">
        <f ca="1" t="shared" ref="E19:U19" si="13">E5/SUM(E$4:E$10)*E$13</f>
        <v>0</v>
      </c>
      <c r="F19" s="78">
        <f ca="1" t="shared" si="13"/>
        <v>0</v>
      </c>
      <c r="G19" s="78">
        <f ca="1" t="shared" si="13"/>
        <v>0</v>
      </c>
      <c r="H19" s="78">
        <f ca="1" t="shared" si="13"/>
        <v>0</v>
      </c>
      <c r="I19" s="78">
        <f ca="1" t="shared" si="13"/>
        <v>0</v>
      </c>
      <c r="J19" s="78">
        <f ca="1" t="shared" si="13"/>
        <v>0</v>
      </c>
      <c r="K19" s="78">
        <f ca="1" t="shared" si="13"/>
        <v>0</v>
      </c>
      <c r="L19" s="78">
        <f ca="1" t="shared" si="13"/>
        <v>0</v>
      </c>
      <c r="M19" s="78">
        <f ca="1" t="shared" si="13"/>
        <v>0</v>
      </c>
      <c r="N19" s="78">
        <f ca="1" t="shared" si="13"/>
        <v>0</v>
      </c>
      <c r="O19" s="78">
        <f ca="1" t="shared" si="13"/>
        <v>0</v>
      </c>
      <c r="P19" s="78">
        <f ca="1" t="shared" si="13"/>
        <v>0</v>
      </c>
      <c r="Q19" s="78">
        <f ca="1" t="shared" si="13"/>
        <v>0</v>
      </c>
      <c r="R19" s="78">
        <f ca="1" t="shared" si="13"/>
        <v>0</v>
      </c>
      <c r="S19" s="78">
        <f ca="1" t="shared" si="13"/>
        <v>0</v>
      </c>
      <c r="T19" s="78">
        <f ca="1" t="shared" si="13"/>
        <v>0</v>
      </c>
      <c r="U19" s="78">
        <f ca="1" t="shared" si="13"/>
        <v>0</v>
      </c>
      <c r="V19" s="78">
        <f ca="1" t="shared" si="12"/>
        <v>0</v>
      </c>
      <c r="W19" s="78">
        <f ca="1" t="shared" si="12"/>
        <v>0</v>
      </c>
      <c r="X19" s="78">
        <f ca="1" t="shared" si="12"/>
        <v>0</v>
      </c>
      <c r="Y19" s="78">
        <f ca="1" t="shared" si="12"/>
        <v>0</v>
      </c>
      <c r="Z19" s="78">
        <f ca="1" t="shared" si="12"/>
        <v>0</v>
      </c>
      <c r="AA19" s="78">
        <f ca="1" t="shared" si="12"/>
        <v>0</v>
      </c>
      <c r="AB19" s="78">
        <f ca="1" t="shared" si="12"/>
        <v>0</v>
      </c>
      <c r="AC19" s="78">
        <f ca="1" t="shared" si="12"/>
        <v>0</v>
      </c>
      <c r="AD19" s="78">
        <f ca="1" t="shared" si="12"/>
        <v>0</v>
      </c>
      <c r="AE19" s="78">
        <f ca="1" t="shared" si="12"/>
        <v>0</v>
      </c>
      <c r="AF19" s="78">
        <f ca="1" t="shared" si="12"/>
        <v>0</v>
      </c>
      <c r="AG19" s="78">
        <f ca="1" t="shared" ref="AG19" si="14">AG5/SUM(AG$4:AG$10)*AG$13</f>
        <v>0</v>
      </c>
      <c r="AH19" s="78">
        <f ca="1" t="shared" si="12"/>
        <v>0</v>
      </c>
      <c r="AI19" s="78">
        <f ca="1" t="shared" si="12"/>
        <v>0</v>
      </c>
      <c r="AJ19" s="78">
        <f ca="1" t="shared" si="12"/>
        <v>0</v>
      </c>
      <c r="AK19" s="78">
        <f ca="1" t="shared" ref="AK19:AW19" si="15">AK5/SUM(AK$4:AK$10)*AK$13</f>
        <v>0</v>
      </c>
      <c r="AL19" s="78">
        <f ca="1" t="shared" si="15"/>
        <v>0</v>
      </c>
      <c r="AM19" s="78" t="e">
        <f ca="1" t="shared" si="15"/>
        <v>#DIV/0!</v>
      </c>
      <c r="AN19" s="78" t="e">
        <f ca="1" t="shared" si="15"/>
        <v>#DIV/0!</v>
      </c>
      <c r="AO19" s="78" t="e">
        <f ca="1" t="shared" si="15"/>
        <v>#DIV/0!</v>
      </c>
      <c r="AP19" s="78" t="e">
        <f ca="1" t="shared" si="15"/>
        <v>#DIV/0!</v>
      </c>
      <c r="AQ19" s="78" t="e">
        <f ca="1" t="shared" si="15"/>
        <v>#DIV/0!</v>
      </c>
      <c r="AR19" s="78" t="e">
        <f ca="1" t="shared" si="15"/>
        <v>#DIV/0!</v>
      </c>
      <c r="AS19" s="78" t="e">
        <f ca="1" t="shared" si="15"/>
        <v>#DIV/0!</v>
      </c>
      <c r="AT19" s="78" t="e">
        <f ca="1" t="shared" si="15"/>
        <v>#DIV/0!</v>
      </c>
      <c r="AU19" s="78" t="e">
        <f ca="1" t="shared" si="15"/>
        <v>#DIV/0!</v>
      </c>
      <c r="AV19" s="78" t="e">
        <f ca="1" t="shared" si="15"/>
        <v>#DIV/0!</v>
      </c>
      <c r="AW19" s="78" t="e">
        <f ca="1" t="shared" si="15"/>
        <v>#DIV/0!</v>
      </c>
    </row>
    <row r="20" spans="1:49">
      <c r="C20" t="str">
        <f t="shared" si="11"/>
        <v>TRADST</v>
      </c>
      <c r="D20" s="78">
        <f ca="1" t="shared" si="12"/>
        <v>6.10076195983704</v>
      </c>
      <c r="E20" s="78">
        <f ca="1" t="shared" ref="E20:U20" si="16">E6/SUM(E$4:E$10)*E$13</f>
        <v>6.19515500068658</v>
      </c>
      <c r="F20" s="78">
        <f ca="1" t="shared" si="16"/>
        <v>4.11288033119415</v>
      </c>
      <c r="G20" s="78">
        <f ca="1" t="shared" si="16"/>
        <v>0.45425744941056</v>
      </c>
      <c r="H20" s="78">
        <f ca="1" t="shared" si="16"/>
        <v>0.25042627050363</v>
      </c>
      <c r="I20" s="78">
        <f ca="1" t="shared" si="16"/>
        <v>1.81812405977428</v>
      </c>
      <c r="J20" s="78">
        <f ca="1" t="shared" si="16"/>
        <v>5.84328729688481</v>
      </c>
      <c r="K20" s="78">
        <f ca="1" t="shared" si="16"/>
        <v>29.0612197021861</v>
      </c>
      <c r="L20" s="78">
        <f ca="1" t="shared" si="16"/>
        <v>0.236037994885579</v>
      </c>
      <c r="M20" s="78">
        <f ca="1" t="shared" si="16"/>
        <v>1.0040808758255</v>
      </c>
      <c r="N20" s="78">
        <f ca="1" t="shared" si="16"/>
        <v>6.20387086825836</v>
      </c>
      <c r="O20" s="78">
        <f ca="1" t="shared" si="16"/>
        <v>3.35857764298128</v>
      </c>
      <c r="P20" s="78">
        <f ca="1" t="shared" si="16"/>
        <v>0.946806755360192</v>
      </c>
      <c r="Q20" s="78">
        <f ca="1" t="shared" si="16"/>
        <v>1.8023444443066</v>
      </c>
      <c r="R20" s="78">
        <f ca="1" t="shared" si="16"/>
        <v>0.0341952597842358</v>
      </c>
      <c r="S20" s="78">
        <f ca="1" t="shared" si="16"/>
        <v>7.49534820464197</v>
      </c>
      <c r="T20" s="78">
        <f ca="1" t="shared" si="16"/>
        <v>0.315106769589374</v>
      </c>
      <c r="U20" s="78">
        <f ca="1" t="shared" si="16"/>
        <v>4.40178002797306</v>
      </c>
      <c r="V20" s="78">
        <f ca="1" t="shared" si="12"/>
        <v>13.2324170188395</v>
      </c>
      <c r="W20" s="78">
        <f ca="1" t="shared" si="12"/>
        <v>14.3676002083147</v>
      </c>
      <c r="X20" s="78">
        <f ca="1" t="shared" si="12"/>
        <v>6.21217646135113</v>
      </c>
      <c r="Y20" s="78">
        <f ca="1" t="shared" si="12"/>
        <v>104.984322920368</v>
      </c>
      <c r="Z20" s="78">
        <f ca="1" t="shared" si="12"/>
        <v>0.514122791930274</v>
      </c>
      <c r="AA20" s="78">
        <f ca="1" t="shared" si="12"/>
        <v>3.11920357162864</v>
      </c>
      <c r="AB20" s="78">
        <f ca="1" t="shared" si="12"/>
        <v>30.0091323940605</v>
      </c>
      <c r="AC20" s="78">
        <f ca="1" t="shared" si="12"/>
        <v>4.65128914942901</v>
      </c>
      <c r="AD20" s="78">
        <f ca="1" t="shared" si="12"/>
        <v>1.80493819790983</v>
      </c>
      <c r="AE20" s="78">
        <f ca="1" t="shared" si="12"/>
        <v>3.52978606938936</v>
      </c>
      <c r="AF20" s="78">
        <f ca="1" t="shared" si="12"/>
        <v>5.56012527285434</v>
      </c>
      <c r="AG20" s="78">
        <f ca="1" t="shared" ref="AG20" si="17">AG6/SUM(AG$4:AG$10)*AG$13</f>
        <v>0.93003866895789</v>
      </c>
      <c r="AH20" s="78">
        <f ca="1" t="shared" si="12"/>
        <v>0.425714537860237</v>
      </c>
      <c r="AI20" s="78">
        <f ca="1" t="shared" si="12"/>
        <v>4.99204768409496</v>
      </c>
      <c r="AJ20" s="78">
        <f ca="1" t="shared" si="12"/>
        <v>4.70102994073269</v>
      </c>
      <c r="AK20" s="78">
        <f ca="1" t="shared" ref="AK20:AW20" si="18">AK6/SUM(AK$4:AK$10)*AK$13</f>
        <v>0</v>
      </c>
      <c r="AL20" s="78">
        <f ca="1" t="shared" si="18"/>
        <v>0</v>
      </c>
      <c r="AM20" s="78" t="e">
        <f ca="1" t="shared" si="18"/>
        <v>#DIV/0!</v>
      </c>
      <c r="AN20" s="78" t="e">
        <f ca="1" t="shared" si="18"/>
        <v>#DIV/0!</v>
      </c>
      <c r="AO20" s="78" t="e">
        <f ca="1" t="shared" si="18"/>
        <v>#DIV/0!</v>
      </c>
      <c r="AP20" s="78" t="e">
        <f ca="1" t="shared" si="18"/>
        <v>#DIV/0!</v>
      </c>
      <c r="AQ20" s="78" t="e">
        <f ca="1" t="shared" si="18"/>
        <v>#DIV/0!</v>
      </c>
      <c r="AR20" s="78" t="e">
        <f ca="1" t="shared" si="18"/>
        <v>#DIV/0!</v>
      </c>
      <c r="AS20" s="78" t="e">
        <f ca="1" t="shared" si="18"/>
        <v>#DIV/0!</v>
      </c>
      <c r="AT20" s="78" t="e">
        <f ca="1" t="shared" si="18"/>
        <v>#DIV/0!</v>
      </c>
      <c r="AU20" s="78" t="e">
        <f ca="1" t="shared" si="18"/>
        <v>#DIV/0!</v>
      </c>
      <c r="AV20" s="78" t="e">
        <f ca="1" t="shared" si="18"/>
        <v>#DIV/0!</v>
      </c>
      <c r="AW20" s="78" t="e">
        <f ca="1" t="shared" si="18"/>
        <v>#DIV/0!</v>
      </c>
    </row>
    <row r="21" spans="1:49">
      <c r="C21" t="str">
        <f t="shared" si="11"/>
        <v>TRAELC</v>
      </c>
      <c r="D21" s="78">
        <f ca="1" t="shared" si="12"/>
        <v>0</v>
      </c>
      <c r="E21" s="78">
        <f ca="1" t="shared" ref="E21:U21" si="19">E7/SUM(E$4:E$10)*E$13</f>
        <v>0</v>
      </c>
      <c r="F21" s="78">
        <f ca="1" t="shared" si="19"/>
        <v>0</v>
      </c>
      <c r="G21" s="78">
        <f ca="1" t="shared" si="19"/>
        <v>0</v>
      </c>
      <c r="H21" s="78">
        <f ca="1" t="shared" si="19"/>
        <v>0</v>
      </c>
      <c r="I21" s="78">
        <f ca="1" t="shared" si="19"/>
        <v>0</v>
      </c>
      <c r="J21" s="78">
        <f ca="1" t="shared" si="19"/>
        <v>0</v>
      </c>
      <c r="K21" s="78">
        <f ca="1" t="shared" si="19"/>
        <v>0.314037740276596</v>
      </c>
      <c r="L21" s="78">
        <f ca="1" t="shared" si="19"/>
        <v>0</v>
      </c>
      <c r="M21" s="78">
        <f ca="1" t="shared" si="19"/>
        <v>0</v>
      </c>
      <c r="N21" s="78">
        <f ca="1" t="shared" si="19"/>
        <v>0</v>
      </c>
      <c r="O21" s="78">
        <f ca="1" t="shared" si="19"/>
        <v>0</v>
      </c>
      <c r="P21" s="78">
        <f ca="1" t="shared" si="19"/>
        <v>0</v>
      </c>
      <c r="Q21" s="78">
        <f ca="1" t="shared" si="19"/>
        <v>0</v>
      </c>
      <c r="R21" s="78">
        <f ca="1" t="shared" si="19"/>
        <v>0</v>
      </c>
      <c r="S21" s="78">
        <f ca="1" t="shared" si="19"/>
        <v>0</v>
      </c>
      <c r="T21" s="78">
        <f ca="1" t="shared" si="19"/>
        <v>0</v>
      </c>
      <c r="U21" s="78">
        <f ca="1" t="shared" si="19"/>
        <v>0</v>
      </c>
      <c r="V21" s="78">
        <f ca="1" t="shared" si="12"/>
        <v>0</v>
      </c>
      <c r="W21" s="78">
        <f ca="1" t="shared" si="12"/>
        <v>0</v>
      </c>
      <c r="X21" s="78">
        <f ca="1" t="shared" si="12"/>
        <v>0</v>
      </c>
      <c r="Y21" s="78">
        <f ca="1" t="shared" si="12"/>
        <v>0</v>
      </c>
      <c r="Z21" s="78">
        <f ca="1" t="shared" si="12"/>
        <v>0</v>
      </c>
      <c r="AA21" s="78">
        <f ca="1" t="shared" si="12"/>
        <v>0</v>
      </c>
      <c r="AB21" s="78">
        <f ca="1" t="shared" si="12"/>
        <v>0</v>
      </c>
      <c r="AC21" s="78">
        <f ca="1" t="shared" si="12"/>
        <v>0</v>
      </c>
      <c r="AD21" s="78">
        <f ca="1" t="shared" si="12"/>
        <v>0</v>
      </c>
      <c r="AE21" s="78">
        <f ca="1" t="shared" si="12"/>
        <v>0</v>
      </c>
      <c r="AF21" s="78">
        <f ca="1" t="shared" si="12"/>
        <v>0</v>
      </c>
      <c r="AG21" s="78">
        <f ca="1" t="shared" ref="AG21" si="20">AG7/SUM(AG$4:AG$10)*AG$13</f>
        <v>0</v>
      </c>
      <c r="AH21" s="78">
        <f ca="1" t="shared" si="12"/>
        <v>0</v>
      </c>
      <c r="AI21" s="78">
        <f ca="1" t="shared" si="12"/>
        <v>0</v>
      </c>
      <c r="AJ21" s="78">
        <f ca="1" t="shared" si="12"/>
        <v>0</v>
      </c>
      <c r="AK21" s="78">
        <f ca="1" t="shared" ref="AK21:AW21" si="21">AK7/SUM(AK$4:AK$10)*AK$13</f>
        <v>0</v>
      </c>
      <c r="AL21" s="78">
        <f ca="1" t="shared" si="21"/>
        <v>0</v>
      </c>
      <c r="AM21" s="78" t="e">
        <f ca="1" t="shared" si="21"/>
        <v>#DIV/0!</v>
      </c>
      <c r="AN21" s="78" t="e">
        <f ca="1" t="shared" si="21"/>
        <v>#DIV/0!</v>
      </c>
      <c r="AO21" s="78" t="e">
        <f ca="1" t="shared" si="21"/>
        <v>#DIV/0!</v>
      </c>
      <c r="AP21" s="78" t="e">
        <f ca="1" t="shared" si="21"/>
        <v>#DIV/0!</v>
      </c>
      <c r="AQ21" s="78" t="e">
        <f ca="1" t="shared" si="21"/>
        <v>#DIV/0!</v>
      </c>
      <c r="AR21" s="78" t="e">
        <f ca="1" t="shared" si="21"/>
        <v>#DIV/0!</v>
      </c>
      <c r="AS21" s="78" t="e">
        <f ca="1" t="shared" si="21"/>
        <v>#DIV/0!</v>
      </c>
      <c r="AT21" s="78" t="e">
        <f ca="1" t="shared" si="21"/>
        <v>#DIV/0!</v>
      </c>
      <c r="AU21" s="78" t="e">
        <f ca="1" t="shared" si="21"/>
        <v>#DIV/0!</v>
      </c>
      <c r="AV21" s="78" t="e">
        <f ca="1" t="shared" si="21"/>
        <v>#DIV/0!</v>
      </c>
      <c r="AW21" s="78" t="e">
        <f ca="1" t="shared" si="21"/>
        <v>#DIV/0!</v>
      </c>
    </row>
    <row r="22" spans="1:49">
      <c r="C22" t="str">
        <f t="shared" si="11"/>
        <v>TRAGSL</v>
      </c>
      <c r="D22" s="78">
        <f ca="1" t="shared" si="12"/>
        <v>0</v>
      </c>
      <c r="E22" s="78">
        <f ca="1" t="shared" ref="E22:U22" si="22">E8/SUM(E$4:E$10)*E$13</f>
        <v>0</v>
      </c>
      <c r="F22" s="78">
        <f ca="1" t="shared" si="22"/>
        <v>0.463583416285841</v>
      </c>
      <c r="G22" s="78">
        <f ca="1" t="shared" si="22"/>
        <v>0.00456040221200943</v>
      </c>
      <c r="H22" s="78">
        <f ca="1" t="shared" si="22"/>
        <v>0.0199040787590515</v>
      </c>
      <c r="I22" s="78">
        <f ca="1" t="shared" si="22"/>
        <v>0.0333182731890624</v>
      </c>
      <c r="J22" s="78">
        <f ca="1" t="shared" si="22"/>
        <v>0.384261449015505</v>
      </c>
      <c r="K22" s="78">
        <f ca="1" t="shared" si="22"/>
        <v>6.91359015046116</v>
      </c>
      <c r="L22" s="78">
        <f ca="1" t="shared" si="22"/>
        <v>0.00920335701196547</v>
      </c>
      <c r="M22" s="78">
        <f ca="1" t="shared" si="22"/>
        <v>0.0433114319673727</v>
      </c>
      <c r="N22" s="78">
        <f ca="1" t="shared" si="22"/>
        <v>0.0595182418758766</v>
      </c>
      <c r="O22" s="78">
        <f ca="1" t="shared" si="22"/>
        <v>0.0655095773440157</v>
      </c>
      <c r="P22" s="78">
        <f ca="1" t="shared" si="22"/>
        <v>0.0357162223054415</v>
      </c>
      <c r="Q22" s="78">
        <f ca="1" t="shared" si="22"/>
        <v>0.0776626418649065</v>
      </c>
      <c r="R22" s="78">
        <f ca="1" t="shared" si="22"/>
        <v>0.000869584467179982</v>
      </c>
      <c r="S22" s="78">
        <f ca="1" t="shared" si="22"/>
        <v>0</v>
      </c>
      <c r="T22" s="78">
        <f ca="1" t="shared" si="22"/>
        <v>0.00308791394740927</v>
      </c>
      <c r="U22" s="78">
        <f ca="1" t="shared" si="22"/>
        <v>0.0598758396798626</v>
      </c>
      <c r="V22" s="78">
        <f ca="1" t="shared" si="12"/>
        <v>2.54387068432555</v>
      </c>
      <c r="W22" s="78">
        <f ca="1" t="shared" si="12"/>
        <v>1.74972659945181</v>
      </c>
      <c r="X22" s="78">
        <f ca="1" t="shared" si="12"/>
        <v>3.26228100734644</v>
      </c>
      <c r="Y22" s="78">
        <f ca="1" t="shared" si="12"/>
        <v>64.9617479697974</v>
      </c>
      <c r="Z22" s="78">
        <f ca="1" t="shared" si="12"/>
        <v>0.00607020721986375</v>
      </c>
      <c r="AA22" s="78">
        <f ca="1" t="shared" si="12"/>
        <v>0.127807811553476</v>
      </c>
      <c r="AB22" s="78">
        <f ca="1" t="shared" si="12"/>
        <v>0</v>
      </c>
      <c r="AC22" s="78">
        <f ca="1" t="shared" si="12"/>
        <v>3.41988102763676</v>
      </c>
      <c r="AD22" s="78">
        <f ca="1" t="shared" si="12"/>
        <v>0.720006202090148</v>
      </c>
      <c r="AE22" s="78">
        <f ca="1" t="shared" si="12"/>
        <v>0</v>
      </c>
      <c r="AF22" s="78">
        <f ca="1" t="shared" si="12"/>
        <v>0.052629512631561</v>
      </c>
      <c r="AG22" s="78">
        <f ca="1" t="shared" ref="AG22" si="23">AG8/SUM(AG$4:AG$10)*AG$13</f>
        <v>0.0205673665646987</v>
      </c>
      <c r="AH22" s="78">
        <f ca="1" t="shared" si="12"/>
        <v>0.0140087374421451</v>
      </c>
      <c r="AI22" s="78">
        <f ca="1" t="shared" si="12"/>
        <v>0.200948510578231</v>
      </c>
      <c r="AJ22" s="78">
        <f ca="1" t="shared" si="12"/>
        <v>0.0895907922460006</v>
      </c>
      <c r="AK22" s="78">
        <f ca="1" t="shared" ref="AK22:AW22" si="24">AK8/SUM(AK$4:AK$10)*AK$13</f>
        <v>0</v>
      </c>
      <c r="AL22" s="78">
        <f ca="1" t="shared" si="24"/>
        <v>0</v>
      </c>
      <c r="AM22" s="78" t="e">
        <f ca="1" t="shared" si="24"/>
        <v>#DIV/0!</v>
      </c>
      <c r="AN22" s="78" t="e">
        <f ca="1" t="shared" si="24"/>
        <v>#DIV/0!</v>
      </c>
      <c r="AO22" s="78" t="e">
        <f ca="1" t="shared" si="24"/>
        <v>#DIV/0!</v>
      </c>
      <c r="AP22" s="78" t="e">
        <f ca="1" t="shared" si="24"/>
        <v>#DIV/0!</v>
      </c>
      <c r="AQ22" s="78" t="e">
        <f ca="1" t="shared" si="24"/>
        <v>#DIV/0!</v>
      </c>
      <c r="AR22" s="78" t="e">
        <f ca="1" t="shared" si="24"/>
        <v>#DIV/0!</v>
      </c>
      <c r="AS22" s="78" t="e">
        <f ca="1" t="shared" si="24"/>
        <v>#DIV/0!</v>
      </c>
      <c r="AT22" s="78" t="e">
        <f ca="1" t="shared" si="24"/>
        <v>#DIV/0!</v>
      </c>
      <c r="AU22" s="78" t="e">
        <f ca="1" t="shared" si="24"/>
        <v>#DIV/0!</v>
      </c>
      <c r="AV22" s="78" t="e">
        <f ca="1" t="shared" si="24"/>
        <v>#DIV/0!</v>
      </c>
      <c r="AW22" s="78" t="e">
        <f ca="1" t="shared" si="24"/>
        <v>#DIV/0!</v>
      </c>
    </row>
    <row r="23" spans="1:49">
      <c r="C23" t="str">
        <f t="shared" si="11"/>
        <v>TRALPG</v>
      </c>
      <c r="D23" s="78">
        <f ca="1" t="shared" si="12"/>
        <v>0.112754892846264</v>
      </c>
      <c r="E23" s="78">
        <f ca="1" t="shared" ref="E23:U23" si="25">E9/SUM(E$4:E$10)*E$13</f>
        <v>7.39434700357553e-5</v>
      </c>
      <c r="F23" s="78">
        <f ca="1" t="shared" si="25"/>
        <v>0.0195662763887243</v>
      </c>
      <c r="G23" s="78">
        <f ca="1" t="shared" si="25"/>
        <v>0.000126737085752326</v>
      </c>
      <c r="H23" s="78">
        <f ca="1" t="shared" si="25"/>
        <v>0.00718497942060406</v>
      </c>
      <c r="I23" s="78">
        <f ca="1" t="shared" si="25"/>
        <v>0.00893335287244012</v>
      </c>
      <c r="J23" s="78">
        <f ca="1" t="shared" si="25"/>
        <v>0</v>
      </c>
      <c r="K23" s="78">
        <f ca="1" t="shared" si="25"/>
        <v>0.120261805775775</v>
      </c>
      <c r="L23" s="78">
        <f ca="1" t="shared" si="25"/>
        <v>0.00431689155030381</v>
      </c>
      <c r="M23" s="78">
        <f ca="1" t="shared" si="25"/>
        <v>0.00940137099352248</v>
      </c>
      <c r="N23" s="78">
        <f ca="1" t="shared" si="25"/>
        <v>0.00383998765961972</v>
      </c>
      <c r="O23" s="78">
        <f ca="1" t="shared" si="25"/>
        <v>0.0124008746334894</v>
      </c>
      <c r="P23" s="78">
        <f ca="1" t="shared" si="25"/>
        <v>0.0279564583318473</v>
      </c>
      <c r="Q23" s="78">
        <f ca="1" t="shared" si="25"/>
        <v>0.0623025719068242</v>
      </c>
      <c r="R23" s="78">
        <f ca="1" t="shared" si="25"/>
        <v>0</v>
      </c>
      <c r="S23" s="78">
        <f ca="1" t="shared" si="25"/>
        <v>0.0066778685500598</v>
      </c>
      <c r="T23" s="78">
        <f ca="1" t="shared" si="25"/>
        <v>5.58969351268064e-5</v>
      </c>
      <c r="U23" s="78">
        <f ca="1" t="shared" si="25"/>
        <v>0.122381009469781</v>
      </c>
      <c r="V23" s="78">
        <f ca="1" t="shared" si="12"/>
        <v>0.206053502751594</v>
      </c>
      <c r="W23" s="78">
        <f ca="1" t="shared" si="12"/>
        <v>0</v>
      </c>
      <c r="X23" s="78">
        <f ca="1" t="shared" si="12"/>
        <v>0.00402673130233204</v>
      </c>
      <c r="Y23" s="78">
        <f ca="1" t="shared" si="12"/>
        <v>0.361448473106975</v>
      </c>
      <c r="Z23" s="78">
        <f ca="1" t="shared" si="12"/>
        <v>0.000409872019889178</v>
      </c>
      <c r="AA23" s="78">
        <f ca="1" t="shared" si="12"/>
        <v>0.279712315018559</v>
      </c>
      <c r="AB23" s="78">
        <f ca="1" t="shared" si="12"/>
        <v>0.199749212279098</v>
      </c>
      <c r="AC23" s="78">
        <f ca="1" t="shared" si="12"/>
        <v>0.198535863136263</v>
      </c>
      <c r="AD23" s="78">
        <f ca="1" t="shared" si="12"/>
        <v>0</v>
      </c>
      <c r="AE23" s="78">
        <f ca="1" t="shared" si="12"/>
        <v>0.0031834161409153</v>
      </c>
      <c r="AF23" s="78">
        <f ca="1" t="shared" si="12"/>
        <v>0.00964714993305289</v>
      </c>
      <c r="AG23" s="78">
        <f ca="1" t="shared" ref="AG23" si="26">AG9/SUM(AG$4:AG$10)*AG$13</f>
        <v>0</v>
      </c>
      <c r="AH23" s="78">
        <f ca="1" t="shared" si="12"/>
        <v>8.70486838068765e-5</v>
      </c>
      <c r="AI23" s="78">
        <f ca="1" t="shared" si="12"/>
        <v>0.323754426485156</v>
      </c>
      <c r="AJ23" s="78">
        <f ca="1" t="shared" si="12"/>
        <v>0.0044189581542276</v>
      </c>
      <c r="AK23" s="78">
        <f ca="1" t="shared" ref="AK23:AW23" si="27">AK9/SUM(AK$4:AK$10)*AK$13</f>
        <v>0</v>
      </c>
      <c r="AL23" s="78">
        <f ca="1" t="shared" si="27"/>
        <v>0</v>
      </c>
      <c r="AM23" s="78" t="e">
        <f ca="1" t="shared" si="27"/>
        <v>#DIV/0!</v>
      </c>
      <c r="AN23" s="78" t="e">
        <f ca="1" t="shared" si="27"/>
        <v>#DIV/0!</v>
      </c>
      <c r="AO23" s="78" t="e">
        <f ca="1" t="shared" si="27"/>
        <v>#DIV/0!</v>
      </c>
      <c r="AP23" s="78" t="e">
        <f ca="1" t="shared" si="27"/>
        <v>#DIV/0!</v>
      </c>
      <c r="AQ23" s="78" t="e">
        <f ca="1" t="shared" si="27"/>
        <v>#DIV/0!</v>
      </c>
      <c r="AR23" s="78" t="e">
        <f ca="1" t="shared" si="27"/>
        <v>#DIV/0!</v>
      </c>
      <c r="AS23" s="78" t="e">
        <f ca="1" t="shared" si="27"/>
        <v>#DIV/0!</v>
      </c>
      <c r="AT23" s="78" t="e">
        <f ca="1" t="shared" si="27"/>
        <v>#DIV/0!</v>
      </c>
      <c r="AU23" s="78" t="e">
        <f ca="1" t="shared" si="27"/>
        <v>#DIV/0!</v>
      </c>
      <c r="AV23" s="78" t="e">
        <f ca="1" t="shared" si="27"/>
        <v>#DIV/0!</v>
      </c>
      <c r="AW23" s="78" t="e">
        <f ca="1" t="shared" si="27"/>
        <v>#DIV/0!</v>
      </c>
    </row>
    <row r="24" spans="1:49">
      <c r="C24" t="str">
        <f t="shared" si="11"/>
        <v>TRANGA</v>
      </c>
      <c r="D24" s="78">
        <f ca="1" t="shared" si="12"/>
        <v>0.0286239473167183</v>
      </c>
      <c r="E24" s="78">
        <f ca="1" t="shared" ref="E24:U24" si="28">E10/SUM(E$4:E$10)*E$13</f>
        <v>0.000120055843342056</v>
      </c>
      <c r="F24" s="78">
        <f ca="1" t="shared" si="28"/>
        <v>0.00401862940057215</v>
      </c>
      <c r="G24" s="78">
        <f ca="1" t="shared" si="28"/>
        <v>0</v>
      </c>
      <c r="H24" s="78">
        <f ca="1" t="shared" si="28"/>
        <v>0.000582737471659303</v>
      </c>
      <c r="I24" s="78">
        <f ca="1" t="shared" si="28"/>
        <v>0</v>
      </c>
      <c r="J24" s="78">
        <f ca="1" t="shared" si="28"/>
        <v>0.0818432804704884</v>
      </c>
      <c r="K24" s="78">
        <f ca="1" t="shared" si="28"/>
        <v>1.57939537061002</v>
      </c>
      <c r="L24" s="78">
        <f ca="1" t="shared" si="28"/>
        <v>0</v>
      </c>
      <c r="M24" s="78">
        <f ca="1" t="shared" si="28"/>
        <v>0</v>
      </c>
      <c r="N24" s="78">
        <f ca="1" t="shared" si="28"/>
        <v>0</v>
      </c>
      <c r="O24" s="78">
        <f ca="1" t="shared" si="28"/>
        <v>0</v>
      </c>
      <c r="P24" s="78">
        <f ca="1" t="shared" si="28"/>
        <v>0</v>
      </c>
      <c r="Q24" s="78">
        <f ca="1" t="shared" si="28"/>
        <v>0</v>
      </c>
      <c r="R24" s="78">
        <f ca="1" t="shared" si="28"/>
        <v>0</v>
      </c>
      <c r="S24" s="78">
        <f ca="1" t="shared" si="28"/>
        <v>0.101332372886969</v>
      </c>
      <c r="T24" s="78">
        <f ca="1" t="shared" si="28"/>
        <v>0</v>
      </c>
      <c r="U24" s="78">
        <f ca="1" t="shared" si="28"/>
        <v>0</v>
      </c>
      <c r="V24" s="78">
        <f ca="1" t="shared" si="12"/>
        <v>0.00112300604801807</v>
      </c>
      <c r="W24" s="78">
        <f ca="1" t="shared" si="12"/>
        <v>0.376947918890478</v>
      </c>
      <c r="X24" s="78">
        <f ca="1" t="shared" si="12"/>
        <v>0</v>
      </c>
      <c r="Y24" s="78">
        <f ca="1" t="shared" si="12"/>
        <v>0.0197396938412931</v>
      </c>
      <c r="Z24" s="78">
        <f ca="1" t="shared" si="12"/>
        <v>0</v>
      </c>
      <c r="AA24" s="78">
        <f ca="1" t="shared" si="12"/>
        <v>0</v>
      </c>
      <c r="AB24" s="78">
        <f ca="1" t="shared" si="12"/>
        <v>0.104618906730333</v>
      </c>
      <c r="AC24" s="78">
        <f ca="1" t="shared" si="12"/>
        <v>0.0207238457850085</v>
      </c>
      <c r="AD24" s="78">
        <f ca="1" t="shared" si="12"/>
        <v>0</v>
      </c>
      <c r="AE24" s="78">
        <f ca="1" t="shared" si="12"/>
        <v>1.91144697302746e-5</v>
      </c>
      <c r="AF24" s="78">
        <f ca="1" t="shared" si="12"/>
        <v>0</v>
      </c>
      <c r="AG24" s="78">
        <f ca="1" t="shared" ref="AG24" si="29">AG10/SUM(AG$4:AG$10)*AG$13</f>
        <v>0</v>
      </c>
      <c r="AH24" s="78">
        <f ca="1" t="shared" si="12"/>
        <v>0</v>
      </c>
      <c r="AI24" s="78">
        <f ca="1" t="shared" si="12"/>
        <v>0</v>
      </c>
      <c r="AJ24" s="78">
        <f ca="1" t="shared" si="12"/>
        <v>0</v>
      </c>
      <c r="AK24" s="78">
        <f ca="1" t="shared" ref="AK24:AW24" si="30">AK10/SUM(AK$4:AK$10)*AK$13</f>
        <v>0</v>
      </c>
      <c r="AL24" s="78">
        <f ca="1" t="shared" si="30"/>
        <v>0</v>
      </c>
      <c r="AM24" s="78" t="e">
        <f ca="1" t="shared" si="30"/>
        <v>#DIV/0!</v>
      </c>
      <c r="AN24" s="78" t="e">
        <f ca="1" t="shared" si="30"/>
        <v>#DIV/0!</v>
      </c>
      <c r="AO24" s="78" t="e">
        <f ca="1" t="shared" si="30"/>
        <v>#DIV/0!</v>
      </c>
      <c r="AP24" s="78" t="e">
        <f ca="1" t="shared" si="30"/>
        <v>#DIV/0!</v>
      </c>
      <c r="AQ24" s="78" t="e">
        <f ca="1" t="shared" si="30"/>
        <v>#DIV/0!</v>
      </c>
      <c r="AR24" s="78" t="e">
        <f ca="1" t="shared" si="30"/>
        <v>#DIV/0!</v>
      </c>
      <c r="AS24" s="78" t="e">
        <f ca="1" t="shared" si="30"/>
        <v>#DIV/0!</v>
      </c>
      <c r="AT24" s="78" t="e">
        <f ca="1" t="shared" si="30"/>
        <v>#DIV/0!</v>
      </c>
      <c r="AU24" s="78" t="e">
        <f ca="1" t="shared" si="30"/>
        <v>#DIV/0!</v>
      </c>
      <c r="AV24" s="78" t="e">
        <f ca="1" t="shared" si="30"/>
        <v>#DIV/0!</v>
      </c>
      <c r="AW24" s="78" t="e">
        <f ca="1" t="shared" si="30"/>
        <v>#DIV/0!</v>
      </c>
    </row>
    <row r="26" spans="1:49">
      <c r="A26" t="s">
        <v>152</v>
      </c>
      <c r="C26" t="str">
        <f>C18</f>
        <v>TRABDS</v>
      </c>
      <c r="D26">
        <v>0.3</v>
      </c>
      <c r="E26">
        <v>0.3</v>
      </c>
      <c r="F26">
        <v>0.3</v>
      </c>
      <c r="G26">
        <v>0.3</v>
      </c>
      <c r="H26">
        <v>0.3</v>
      </c>
      <c r="I26">
        <v>0.3</v>
      </c>
      <c r="J26">
        <v>0.3</v>
      </c>
      <c r="K26">
        <v>0.3</v>
      </c>
      <c r="L26">
        <v>0.3</v>
      </c>
      <c r="M26">
        <v>0.3</v>
      </c>
      <c r="N26">
        <v>0.3</v>
      </c>
      <c r="O26">
        <v>0.3</v>
      </c>
      <c r="P26">
        <v>0.3</v>
      </c>
      <c r="Q26">
        <v>0.3</v>
      </c>
      <c r="R26">
        <v>0.3</v>
      </c>
      <c r="S26">
        <v>0.3</v>
      </c>
      <c r="T26">
        <v>0.3</v>
      </c>
      <c r="U26">
        <v>0.3</v>
      </c>
      <c r="V26">
        <v>0.3</v>
      </c>
      <c r="W26">
        <v>0.3</v>
      </c>
      <c r="X26">
        <v>0.3</v>
      </c>
      <c r="Y26">
        <v>0.3</v>
      </c>
      <c r="Z26">
        <v>0.3</v>
      </c>
      <c r="AA26">
        <v>0.4</v>
      </c>
      <c r="AB26">
        <v>0.3</v>
      </c>
      <c r="AC26">
        <v>0.3</v>
      </c>
      <c r="AD26">
        <v>0.3</v>
      </c>
      <c r="AE26">
        <v>0.3</v>
      </c>
      <c r="AF26">
        <v>0.3</v>
      </c>
      <c r="AG26">
        <v>0.3</v>
      </c>
      <c r="AH26">
        <v>0.2</v>
      </c>
      <c r="AI26">
        <v>0.45</v>
      </c>
      <c r="AJ26">
        <v>0.2</v>
      </c>
      <c r="AK26">
        <v>0.2</v>
      </c>
      <c r="AL26">
        <v>0.3</v>
      </c>
      <c r="AM26">
        <v>0.2</v>
      </c>
      <c r="AN26">
        <v>0.2</v>
      </c>
      <c r="AO26">
        <v>0.2</v>
      </c>
      <c r="AP26">
        <v>0.2</v>
      </c>
      <c r="AQ26">
        <v>0.2</v>
      </c>
      <c r="AR26">
        <v>0.2</v>
      </c>
      <c r="AS26">
        <v>0.2</v>
      </c>
      <c r="AT26">
        <v>0.2</v>
      </c>
      <c r="AU26">
        <v>0.2</v>
      </c>
      <c r="AV26">
        <v>0.2</v>
      </c>
      <c r="AW26">
        <v>0.2</v>
      </c>
    </row>
    <row r="27" spans="1:49">
      <c r="C27" t="str">
        <f t="shared" ref="C27:C32" si="31">C19</f>
        <v>TRABGS</v>
      </c>
      <c r="D27">
        <v>0.3</v>
      </c>
      <c r="E27">
        <v>0.3</v>
      </c>
      <c r="F27">
        <v>0.3</v>
      </c>
      <c r="G27">
        <v>0.3</v>
      </c>
      <c r="H27">
        <v>0.3</v>
      </c>
      <c r="I27">
        <v>0.3</v>
      </c>
      <c r="J27">
        <v>0.3</v>
      </c>
      <c r="K27">
        <v>0.3</v>
      </c>
      <c r="L27">
        <v>0.3</v>
      </c>
      <c r="M27">
        <v>0.3</v>
      </c>
      <c r="N27">
        <v>0.3</v>
      </c>
      <c r="O27">
        <v>0.3</v>
      </c>
      <c r="P27">
        <v>0.3</v>
      </c>
      <c r="Q27">
        <v>0.3</v>
      </c>
      <c r="R27">
        <v>0.3</v>
      </c>
      <c r="S27">
        <v>0.3</v>
      </c>
      <c r="T27">
        <v>0.3</v>
      </c>
      <c r="U27">
        <v>0.3</v>
      </c>
      <c r="V27">
        <v>0.3</v>
      </c>
      <c r="W27">
        <v>0.3</v>
      </c>
      <c r="X27">
        <v>0.3</v>
      </c>
      <c r="Y27">
        <v>0.3</v>
      </c>
      <c r="Z27">
        <v>0.3</v>
      </c>
      <c r="AA27">
        <v>0.4</v>
      </c>
      <c r="AB27">
        <v>0.3</v>
      </c>
      <c r="AC27">
        <v>0.3</v>
      </c>
      <c r="AD27">
        <v>0.3</v>
      </c>
      <c r="AE27">
        <v>0.3</v>
      </c>
      <c r="AF27">
        <v>0.3</v>
      </c>
      <c r="AG27">
        <v>0.3</v>
      </c>
      <c r="AH27">
        <v>0.2</v>
      </c>
      <c r="AI27">
        <v>0.45</v>
      </c>
      <c r="AJ27">
        <v>0.2</v>
      </c>
      <c r="AK27">
        <v>0.2</v>
      </c>
      <c r="AL27">
        <v>0.3</v>
      </c>
      <c r="AM27">
        <v>0.2</v>
      </c>
      <c r="AN27">
        <v>0.2</v>
      </c>
      <c r="AO27">
        <v>0.2</v>
      </c>
      <c r="AP27">
        <v>0.2</v>
      </c>
      <c r="AQ27">
        <v>0.2</v>
      </c>
      <c r="AR27">
        <v>0.2</v>
      </c>
      <c r="AS27">
        <v>0.2</v>
      </c>
      <c r="AT27">
        <v>0.2</v>
      </c>
      <c r="AU27">
        <v>0.2</v>
      </c>
      <c r="AV27">
        <v>0.2</v>
      </c>
      <c r="AW27">
        <v>0.2</v>
      </c>
    </row>
    <row r="28" spans="1:49">
      <c r="C28" t="str">
        <f t="shared" si="31"/>
        <v>TRADST</v>
      </c>
      <c r="D28">
        <v>0.3</v>
      </c>
      <c r="E28">
        <v>0.3</v>
      </c>
      <c r="F28">
        <v>0.3</v>
      </c>
      <c r="G28">
        <v>0.3</v>
      </c>
      <c r="H28">
        <v>0.3</v>
      </c>
      <c r="I28">
        <v>0.3</v>
      </c>
      <c r="J28">
        <v>0.3</v>
      </c>
      <c r="K28">
        <v>0.3</v>
      </c>
      <c r="L28">
        <v>0.3</v>
      </c>
      <c r="M28">
        <v>0.3</v>
      </c>
      <c r="N28">
        <v>0.3</v>
      </c>
      <c r="O28">
        <v>0.3</v>
      </c>
      <c r="P28">
        <v>0.3</v>
      </c>
      <c r="Q28">
        <v>0.3</v>
      </c>
      <c r="R28">
        <v>0.3</v>
      </c>
      <c r="S28">
        <v>0.3</v>
      </c>
      <c r="T28">
        <v>0.3</v>
      </c>
      <c r="U28">
        <v>0.3</v>
      </c>
      <c r="V28">
        <v>0.3</v>
      </c>
      <c r="W28">
        <v>0.3</v>
      </c>
      <c r="X28">
        <v>0.3</v>
      </c>
      <c r="Y28">
        <v>0.3</v>
      </c>
      <c r="Z28">
        <v>0.3</v>
      </c>
      <c r="AA28">
        <v>0.4</v>
      </c>
      <c r="AB28">
        <v>0.3</v>
      </c>
      <c r="AC28">
        <v>0.3</v>
      </c>
      <c r="AD28">
        <v>0.3</v>
      </c>
      <c r="AE28">
        <v>0.3</v>
      </c>
      <c r="AF28">
        <v>0.3</v>
      </c>
      <c r="AG28">
        <v>0.3</v>
      </c>
      <c r="AH28">
        <v>0.2</v>
      </c>
      <c r="AI28">
        <v>0.45</v>
      </c>
      <c r="AJ28">
        <v>0.2</v>
      </c>
      <c r="AK28">
        <v>0.2</v>
      </c>
      <c r="AL28">
        <v>0.3</v>
      </c>
      <c r="AM28">
        <v>0.2</v>
      </c>
      <c r="AN28">
        <v>0.2</v>
      </c>
      <c r="AO28">
        <v>0.2</v>
      </c>
      <c r="AP28">
        <v>0.2</v>
      </c>
      <c r="AQ28">
        <v>0.2</v>
      </c>
      <c r="AR28">
        <v>0.2</v>
      </c>
      <c r="AS28">
        <v>0.2</v>
      </c>
      <c r="AT28">
        <v>0.2</v>
      </c>
      <c r="AU28">
        <v>0.2</v>
      </c>
      <c r="AV28">
        <v>0.2</v>
      </c>
      <c r="AW28">
        <v>0.2</v>
      </c>
    </row>
    <row r="29" spans="1:49">
      <c r="C29" t="str">
        <f t="shared" si="31"/>
        <v>TRAELC</v>
      </c>
      <c r="D29">
        <v>0.3</v>
      </c>
      <c r="E29">
        <v>0.3</v>
      </c>
      <c r="F29">
        <v>0.3</v>
      </c>
      <c r="G29">
        <v>0.3</v>
      </c>
      <c r="H29">
        <v>0.3</v>
      </c>
      <c r="I29">
        <v>0.3</v>
      </c>
      <c r="J29">
        <v>0.3</v>
      </c>
      <c r="K29">
        <v>0.3</v>
      </c>
      <c r="L29">
        <v>0.3</v>
      </c>
      <c r="M29">
        <v>0.3</v>
      </c>
      <c r="N29">
        <v>0.3</v>
      </c>
      <c r="O29">
        <v>0.3</v>
      </c>
      <c r="P29">
        <v>0.3</v>
      </c>
      <c r="Q29">
        <v>0.3</v>
      </c>
      <c r="R29">
        <v>0.3</v>
      </c>
      <c r="S29">
        <v>0.3</v>
      </c>
      <c r="T29">
        <v>0.3</v>
      </c>
      <c r="U29">
        <v>0.3</v>
      </c>
      <c r="V29">
        <v>0.3</v>
      </c>
      <c r="W29">
        <v>0.3</v>
      </c>
      <c r="X29">
        <v>0.3</v>
      </c>
      <c r="Y29">
        <v>0.3</v>
      </c>
      <c r="Z29">
        <v>0.3</v>
      </c>
      <c r="AA29">
        <v>0.4</v>
      </c>
      <c r="AB29">
        <v>0.3</v>
      </c>
      <c r="AC29">
        <v>0.3</v>
      </c>
      <c r="AD29">
        <v>0.3</v>
      </c>
      <c r="AE29">
        <v>0.3</v>
      </c>
      <c r="AF29">
        <v>0.3</v>
      </c>
      <c r="AG29">
        <v>0.3</v>
      </c>
      <c r="AH29">
        <v>0.2</v>
      </c>
      <c r="AI29">
        <v>0.45</v>
      </c>
      <c r="AJ29">
        <v>0.2</v>
      </c>
      <c r="AK29">
        <v>0.2</v>
      </c>
      <c r="AL29">
        <v>0.3</v>
      </c>
      <c r="AM29">
        <v>0.2</v>
      </c>
      <c r="AN29">
        <v>0.2</v>
      </c>
      <c r="AO29">
        <v>0.2</v>
      </c>
      <c r="AP29">
        <v>0.2</v>
      </c>
      <c r="AQ29">
        <v>0.2</v>
      </c>
      <c r="AR29">
        <v>0.2</v>
      </c>
      <c r="AS29">
        <v>0.2</v>
      </c>
      <c r="AT29">
        <v>0.2</v>
      </c>
      <c r="AU29">
        <v>0.2</v>
      </c>
      <c r="AV29">
        <v>0.2</v>
      </c>
      <c r="AW29">
        <v>0.2</v>
      </c>
    </row>
    <row r="30" spans="1:49">
      <c r="C30" t="str">
        <f t="shared" si="31"/>
        <v>TRAGSL</v>
      </c>
      <c r="D30">
        <v>0.3</v>
      </c>
      <c r="E30">
        <v>0.3</v>
      </c>
      <c r="F30">
        <v>0.3</v>
      </c>
      <c r="G30">
        <v>0.3</v>
      </c>
      <c r="H30">
        <v>0.3</v>
      </c>
      <c r="I30">
        <v>0.3</v>
      </c>
      <c r="J30">
        <v>0.3</v>
      </c>
      <c r="K30">
        <v>0.3</v>
      </c>
      <c r="L30">
        <v>0.3</v>
      </c>
      <c r="M30">
        <v>0.3</v>
      </c>
      <c r="N30">
        <v>0.3</v>
      </c>
      <c r="O30">
        <v>0.3</v>
      </c>
      <c r="P30">
        <v>0.3</v>
      </c>
      <c r="Q30">
        <v>0.3</v>
      </c>
      <c r="R30">
        <v>0.3</v>
      </c>
      <c r="S30">
        <v>0.3</v>
      </c>
      <c r="T30">
        <v>0.3</v>
      </c>
      <c r="U30">
        <v>0.3</v>
      </c>
      <c r="V30">
        <v>0.3</v>
      </c>
      <c r="W30">
        <v>0.3</v>
      </c>
      <c r="X30">
        <v>0.3</v>
      </c>
      <c r="Y30">
        <v>0.3</v>
      </c>
      <c r="Z30">
        <v>0.3</v>
      </c>
      <c r="AA30">
        <v>0.4</v>
      </c>
      <c r="AB30">
        <v>0.3</v>
      </c>
      <c r="AC30">
        <v>0.3</v>
      </c>
      <c r="AD30">
        <v>0.3</v>
      </c>
      <c r="AE30">
        <v>0.3</v>
      </c>
      <c r="AF30">
        <v>0.3</v>
      </c>
      <c r="AG30">
        <v>0.3</v>
      </c>
      <c r="AH30">
        <v>0.2</v>
      </c>
      <c r="AI30">
        <v>0.45</v>
      </c>
      <c r="AJ30">
        <v>0.2</v>
      </c>
      <c r="AK30">
        <v>0.2</v>
      </c>
      <c r="AL30">
        <v>0.3</v>
      </c>
      <c r="AM30">
        <v>0.2</v>
      </c>
      <c r="AN30">
        <v>0.2</v>
      </c>
      <c r="AO30">
        <v>0.2</v>
      </c>
      <c r="AP30">
        <v>0.2</v>
      </c>
      <c r="AQ30">
        <v>0.2</v>
      </c>
      <c r="AR30">
        <v>0.2</v>
      </c>
      <c r="AS30">
        <v>0.2</v>
      </c>
      <c r="AT30">
        <v>0.2</v>
      </c>
      <c r="AU30">
        <v>0.2</v>
      </c>
      <c r="AV30">
        <v>0.2</v>
      </c>
      <c r="AW30">
        <v>0.2</v>
      </c>
    </row>
    <row r="31" spans="1:49">
      <c r="C31" t="str">
        <f t="shared" si="31"/>
        <v>TRALPG</v>
      </c>
      <c r="D31">
        <v>0.3</v>
      </c>
      <c r="E31">
        <v>0.3</v>
      </c>
      <c r="F31">
        <v>0.3</v>
      </c>
      <c r="G31">
        <v>0.3</v>
      </c>
      <c r="H31">
        <v>0.3</v>
      </c>
      <c r="I31">
        <v>0.3</v>
      </c>
      <c r="J31">
        <v>0.3</v>
      </c>
      <c r="K31">
        <v>0.3</v>
      </c>
      <c r="L31">
        <v>0.3</v>
      </c>
      <c r="M31">
        <v>0.3</v>
      </c>
      <c r="N31">
        <v>0.3</v>
      </c>
      <c r="O31">
        <v>0.3</v>
      </c>
      <c r="P31">
        <v>0.3</v>
      </c>
      <c r="Q31">
        <v>0.3</v>
      </c>
      <c r="R31">
        <v>0.3</v>
      </c>
      <c r="S31">
        <v>0.3</v>
      </c>
      <c r="T31">
        <v>0.3</v>
      </c>
      <c r="U31">
        <v>0.3</v>
      </c>
      <c r="V31">
        <v>0.3</v>
      </c>
      <c r="W31">
        <v>0.3</v>
      </c>
      <c r="X31">
        <v>0.3</v>
      </c>
      <c r="Y31">
        <v>0.3</v>
      </c>
      <c r="Z31">
        <v>0.3</v>
      </c>
      <c r="AA31">
        <v>0.4</v>
      </c>
      <c r="AB31">
        <v>0.3</v>
      </c>
      <c r="AC31">
        <v>0.3</v>
      </c>
      <c r="AD31">
        <v>0.3</v>
      </c>
      <c r="AE31">
        <v>0.3</v>
      </c>
      <c r="AF31">
        <v>0.3</v>
      </c>
      <c r="AG31">
        <v>0.3</v>
      </c>
      <c r="AH31">
        <v>0.2</v>
      </c>
      <c r="AI31">
        <v>0.45</v>
      </c>
      <c r="AJ31">
        <v>0.2</v>
      </c>
      <c r="AK31">
        <v>0.2</v>
      </c>
      <c r="AL31">
        <v>0.3</v>
      </c>
      <c r="AM31">
        <v>0.2</v>
      </c>
      <c r="AN31">
        <v>0.2</v>
      </c>
      <c r="AO31">
        <v>0.2</v>
      </c>
      <c r="AP31">
        <v>0.2</v>
      </c>
      <c r="AQ31">
        <v>0.2</v>
      </c>
      <c r="AR31">
        <v>0.2</v>
      </c>
      <c r="AS31">
        <v>0.2</v>
      </c>
      <c r="AT31">
        <v>0.2</v>
      </c>
      <c r="AU31">
        <v>0.2</v>
      </c>
      <c r="AV31">
        <v>0.2</v>
      </c>
      <c r="AW31">
        <v>0.2</v>
      </c>
    </row>
    <row r="32" spans="1:49">
      <c r="C32" t="str">
        <f t="shared" si="31"/>
        <v>TRANGA</v>
      </c>
      <c r="D32">
        <v>0.3</v>
      </c>
      <c r="E32">
        <v>0.3</v>
      </c>
      <c r="F32">
        <v>0.3</v>
      </c>
      <c r="G32">
        <v>0.3</v>
      </c>
      <c r="H32">
        <v>0.3</v>
      </c>
      <c r="I32">
        <v>0.3</v>
      </c>
      <c r="J32">
        <v>0.3</v>
      </c>
      <c r="K32">
        <v>0.3</v>
      </c>
      <c r="L32">
        <v>0.3</v>
      </c>
      <c r="M32">
        <v>0.3</v>
      </c>
      <c r="N32">
        <v>0.3</v>
      </c>
      <c r="O32">
        <v>0.3</v>
      </c>
      <c r="P32">
        <v>0.3</v>
      </c>
      <c r="Q32">
        <v>0.3</v>
      </c>
      <c r="R32">
        <v>0.3</v>
      </c>
      <c r="S32">
        <v>0.3</v>
      </c>
      <c r="T32">
        <v>0.3</v>
      </c>
      <c r="U32">
        <v>0.3</v>
      </c>
      <c r="V32">
        <v>0.3</v>
      </c>
      <c r="W32">
        <v>0.3</v>
      </c>
      <c r="X32">
        <v>0.3</v>
      </c>
      <c r="Y32">
        <v>0.3</v>
      </c>
      <c r="Z32">
        <v>0.3</v>
      </c>
      <c r="AA32">
        <v>0.4</v>
      </c>
      <c r="AB32">
        <v>0.3</v>
      </c>
      <c r="AC32">
        <v>0.3</v>
      </c>
      <c r="AD32">
        <v>0.3</v>
      </c>
      <c r="AE32">
        <v>0.3</v>
      </c>
      <c r="AF32">
        <v>0.3</v>
      </c>
      <c r="AG32">
        <v>0.3</v>
      </c>
      <c r="AH32">
        <v>0.2</v>
      </c>
      <c r="AI32">
        <v>0.45</v>
      </c>
      <c r="AJ32">
        <v>0.2</v>
      </c>
      <c r="AK32">
        <v>0.2</v>
      </c>
      <c r="AL32">
        <v>0.3</v>
      </c>
      <c r="AM32">
        <v>0.2</v>
      </c>
      <c r="AN32">
        <v>0.2</v>
      </c>
      <c r="AO32">
        <v>0.2</v>
      </c>
      <c r="AP32">
        <v>0.2</v>
      </c>
      <c r="AQ32">
        <v>0.2</v>
      </c>
      <c r="AR32">
        <v>0.2</v>
      </c>
      <c r="AS32">
        <v>0.2</v>
      </c>
      <c r="AT32">
        <v>0.2</v>
      </c>
      <c r="AU32">
        <v>0.2</v>
      </c>
      <c r="AV32">
        <v>0.2</v>
      </c>
      <c r="AW32">
        <v>0.2</v>
      </c>
    </row>
    <row r="34" spans="1:49">
      <c r="A34" t="s">
        <v>154</v>
      </c>
      <c r="C34" t="str">
        <f>C26</f>
        <v>TRABDS</v>
      </c>
      <c r="D34" s="78" t="str">
        <f ca="1">IFERROR(D4*D26/D18,"")</f>
        <v/>
      </c>
      <c r="E34" s="78" t="str">
        <f ca="1" t="shared" ref="E34:U34" si="32">IFERROR(E4*E26/E18,"")</f>
        <v/>
      </c>
      <c r="F34" s="78">
        <f ca="1" t="shared" si="32"/>
        <v>34.9759541708395</v>
      </c>
      <c r="G34" s="78">
        <f ca="1" t="shared" si="32"/>
        <v>129.821368957098</v>
      </c>
      <c r="H34" s="78">
        <f ca="1" t="shared" si="32"/>
        <v>124.211285912155</v>
      </c>
      <c r="I34" s="78">
        <f ca="1" t="shared" si="32"/>
        <v>68.7504995917888</v>
      </c>
      <c r="J34" s="78">
        <f ca="1" t="shared" si="32"/>
        <v>61.7079872226909</v>
      </c>
      <c r="K34" s="78">
        <f ca="1" t="shared" si="32"/>
        <v>23.4395089065178</v>
      </c>
      <c r="L34" s="78">
        <f ca="1" t="shared" si="32"/>
        <v>110.26492079786</v>
      </c>
      <c r="M34" s="78">
        <f ca="1" t="shared" si="32"/>
        <v>55.5442283881137</v>
      </c>
      <c r="N34" s="78">
        <f ca="1" t="shared" si="32"/>
        <v>47.2768106338077</v>
      </c>
      <c r="O34" s="78">
        <f ca="1" t="shared" si="32"/>
        <v>94.3118983294575</v>
      </c>
      <c r="P34" s="78">
        <f ca="1" t="shared" si="32"/>
        <v>27.0544001562025</v>
      </c>
      <c r="Q34" s="78">
        <f ca="1" t="shared" si="32"/>
        <v>48.2783359677474</v>
      </c>
      <c r="R34" s="78">
        <f ca="1" t="shared" si="32"/>
        <v>51.3710896088651</v>
      </c>
      <c r="S34" s="78">
        <f ca="1" t="shared" si="32"/>
        <v>54.7913094435984</v>
      </c>
      <c r="T34" s="78">
        <f ca="1" t="shared" si="32"/>
        <v>89.2477710751548</v>
      </c>
      <c r="U34" s="78">
        <f ca="1" t="shared" si="32"/>
        <v>46.6198344417056</v>
      </c>
      <c r="V34" s="78">
        <f ca="1" t="shared" ref="V34:AJ34" si="33">IFERROR(V4*V26/V18,"")</f>
        <v>18.6865421882949</v>
      </c>
      <c r="W34" s="78">
        <f ca="1" t="shared" si="33"/>
        <v>25.7672668885542</v>
      </c>
      <c r="X34" s="78" t="str">
        <f ca="1" t="shared" si="33"/>
        <v/>
      </c>
      <c r="Y34" s="78">
        <f ca="1" t="shared" si="33"/>
        <v>16.8611655014651</v>
      </c>
      <c r="Z34" s="78">
        <f ca="1" t="shared" si="33"/>
        <v>39.2918523063721</v>
      </c>
      <c r="AA34" s="78">
        <f ca="1" t="shared" si="33"/>
        <v>54.7338068136364</v>
      </c>
      <c r="AB34" s="78">
        <f ca="1" t="shared" si="33"/>
        <v>31.3906484479275</v>
      </c>
      <c r="AC34" s="78">
        <f ca="1" t="shared" si="33"/>
        <v>38.675519454975</v>
      </c>
      <c r="AD34" s="78" t="str">
        <f ca="1" t="shared" si="33"/>
        <v/>
      </c>
      <c r="AE34" s="78" t="str">
        <f ca="1" t="shared" si="33"/>
        <v/>
      </c>
      <c r="AF34" s="78">
        <f ca="1" t="shared" si="33"/>
        <v>44.0482098473539</v>
      </c>
      <c r="AG34" s="78">
        <f ca="1" t="shared" ref="AG34" si="34">IFERROR(AG4*AG26/AG18,"")</f>
        <v>79.0521373083537</v>
      </c>
      <c r="AH34" s="78">
        <f ca="1" t="shared" si="33"/>
        <v>40.6373441308777</v>
      </c>
      <c r="AI34" s="78">
        <f ca="1" t="shared" si="33"/>
        <v>60.0448433855508</v>
      </c>
      <c r="AJ34" s="78">
        <f ca="1" t="shared" si="33"/>
        <v>32.7905151944865</v>
      </c>
      <c r="AK34" s="78" t="str">
        <f ca="1" t="shared" ref="AK34:AW34" si="35">IFERROR(AK4*AK26/AK18,"")</f>
        <v/>
      </c>
      <c r="AL34" s="78" t="str">
        <f ca="1" t="shared" si="35"/>
        <v/>
      </c>
      <c r="AM34" s="78" t="str">
        <f ca="1" t="shared" si="35"/>
        <v/>
      </c>
      <c r="AN34" s="78" t="str">
        <f ca="1" t="shared" si="35"/>
        <v/>
      </c>
      <c r="AO34" s="78" t="str">
        <f ca="1" t="shared" si="35"/>
        <v/>
      </c>
      <c r="AP34" s="78" t="str">
        <f ca="1" t="shared" si="35"/>
        <v/>
      </c>
      <c r="AQ34" s="78" t="str">
        <f ca="1" t="shared" si="35"/>
        <v/>
      </c>
      <c r="AR34" s="78" t="str">
        <f ca="1" t="shared" si="35"/>
        <v/>
      </c>
      <c r="AS34" s="78" t="str">
        <f ca="1" t="shared" si="35"/>
        <v/>
      </c>
      <c r="AT34" s="78" t="str">
        <f ca="1" t="shared" si="35"/>
        <v/>
      </c>
      <c r="AU34" s="78" t="str">
        <f ca="1" t="shared" si="35"/>
        <v/>
      </c>
      <c r="AV34" s="78" t="str">
        <f ca="1" t="shared" si="35"/>
        <v/>
      </c>
      <c r="AW34" s="78" t="str">
        <f ca="1" t="shared" si="35"/>
        <v/>
      </c>
    </row>
    <row r="35" spans="1:49">
      <c r="C35" t="str">
        <f t="shared" ref="C35:C40" si="36">C27</f>
        <v>TRABGS</v>
      </c>
      <c r="D35" s="78" t="str">
        <f ca="1" t="shared" ref="D35:AJ40" si="37">IFERROR(D5*D27/D19,"")</f>
        <v/>
      </c>
      <c r="E35" s="78" t="str">
        <f ca="1" t="shared" ref="E35:U35" si="38">IFERROR(E5*E27/E19,"")</f>
        <v/>
      </c>
      <c r="F35" s="78" t="str">
        <f ca="1" t="shared" si="38"/>
        <v/>
      </c>
      <c r="G35" s="78" t="str">
        <f ca="1" t="shared" si="38"/>
        <v/>
      </c>
      <c r="H35" s="78" t="str">
        <f ca="1" t="shared" si="38"/>
        <v/>
      </c>
      <c r="I35" s="78" t="str">
        <f ca="1" t="shared" si="38"/>
        <v/>
      </c>
      <c r="J35" s="78" t="str">
        <f ca="1" t="shared" si="38"/>
        <v/>
      </c>
      <c r="K35" s="78" t="str">
        <f ca="1" t="shared" si="38"/>
        <v/>
      </c>
      <c r="L35" s="78" t="str">
        <f ca="1" t="shared" si="38"/>
        <v/>
      </c>
      <c r="M35" s="78" t="str">
        <f ca="1" t="shared" si="38"/>
        <v/>
      </c>
      <c r="N35" s="78" t="str">
        <f ca="1" t="shared" si="38"/>
        <v/>
      </c>
      <c r="O35" s="78" t="str">
        <f ca="1" t="shared" si="38"/>
        <v/>
      </c>
      <c r="P35" s="78" t="str">
        <f ca="1" t="shared" si="38"/>
        <v/>
      </c>
      <c r="Q35" s="78" t="str">
        <f ca="1" t="shared" si="38"/>
        <v/>
      </c>
      <c r="R35" s="78" t="str">
        <f ca="1" t="shared" si="38"/>
        <v/>
      </c>
      <c r="S35" s="78" t="str">
        <f ca="1" t="shared" si="38"/>
        <v/>
      </c>
      <c r="T35" s="78" t="str">
        <f ca="1" t="shared" si="38"/>
        <v/>
      </c>
      <c r="U35" s="78" t="str">
        <f ca="1" t="shared" si="38"/>
        <v/>
      </c>
      <c r="V35" s="78" t="str">
        <f ca="1" t="shared" si="37"/>
        <v/>
      </c>
      <c r="W35" s="78" t="str">
        <f ca="1" t="shared" si="37"/>
        <v/>
      </c>
      <c r="X35" s="78" t="str">
        <f ca="1" t="shared" si="37"/>
        <v/>
      </c>
      <c r="Y35" s="78" t="str">
        <f ca="1" t="shared" si="37"/>
        <v/>
      </c>
      <c r="Z35" s="78" t="str">
        <f ca="1" t="shared" si="37"/>
        <v/>
      </c>
      <c r="AA35" s="78" t="str">
        <f ca="1" t="shared" si="37"/>
        <v/>
      </c>
      <c r="AB35" s="78" t="str">
        <f ca="1" t="shared" si="37"/>
        <v/>
      </c>
      <c r="AC35" s="78" t="str">
        <f ca="1" t="shared" si="37"/>
        <v/>
      </c>
      <c r="AD35" s="78" t="str">
        <f ca="1" t="shared" si="37"/>
        <v/>
      </c>
      <c r="AE35" s="78" t="str">
        <f ca="1" t="shared" si="37"/>
        <v/>
      </c>
      <c r="AF35" s="78" t="str">
        <f ca="1" t="shared" si="37"/>
        <v/>
      </c>
      <c r="AG35" s="78" t="str">
        <f ca="1" t="shared" ref="AG35" si="39">IFERROR(AG5*AG27/AG19,"")</f>
        <v/>
      </c>
      <c r="AH35" s="78" t="str">
        <f ca="1" t="shared" si="37"/>
        <v/>
      </c>
      <c r="AI35" s="78" t="str">
        <f ca="1" t="shared" si="37"/>
        <v/>
      </c>
      <c r="AJ35" s="78" t="str">
        <f ca="1" t="shared" si="37"/>
        <v/>
      </c>
      <c r="AK35" s="78" t="str">
        <f ca="1" t="shared" ref="AK35:AW35" si="40">IFERROR(AK5*AK27/AK19,"")</f>
        <v/>
      </c>
      <c r="AL35" s="78" t="str">
        <f ca="1" t="shared" si="40"/>
        <v/>
      </c>
      <c r="AM35" s="78" t="str">
        <f ca="1" t="shared" si="40"/>
        <v/>
      </c>
      <c r="AN35" s="78" t="str">
        <f ca="1" t="shared" si="40"/>
        <v/>
      </c>
      <c r="AO35" s="78" t="str">
        <f ca="1" t="shared" si="40"/>
        <v/>
      </c>
      <c r="AP35" s="78" t="str">
        <f ca="1" t="shared" si="40"/>
        <v/>
      </c>
      <c r="AQ35" s="78" t="str">
        <f ca="1" t="shared" si="40"/>
        <v/>
      </c>
      <c r="AR35" s="78" t="str">
        <f ca="1" t="shared" si="40"/>
        <v/>
      </c>
      <c r="AS35" s="78" t="str">
        <f ca="1" t="shared" si="40"/>
        <v/>
      </c>
      <c r="AT35" s="78" t="str">
        <f ca="1" t="shared" si="40"/>
        <v/>
      </c>
      <c r="AU35" s="78" t="str">
        <f ca="1" t="shared" si="40"/>
        <v/>
      </c>
      <c r="AV35" s="78" t="str">
        <f ca="1" t="shared" si="40"/>
        <v/>
      </c>
      <c r="AW35" s="78" t="str">
        <f ca="1" t="shared" si="40"/>
        <v/>
      </c>
    </row>
    <row r="36" spans="1:49">
      <c r="C36" t="str">
        <f t="shared" si="36"/>
        <v>TRADST</v>
      </c>
      <c r="D36" s="78">
        <f ca="1" t="shared" si="37"/>
        <v>31.9893822386681</v>
      </c>
      <c r="E36" s="78">
        <f ca="1" t="shared" ref="E36:U36" si="41">IFERROR(E6*E28/E20,"")</f>
        <v>27.9950941198598</v>
      </c>
      <c r="F36" s="78">
        <f ca="1" t="shared" si="41"/>
        <v>34.9759541708395</v>
      </c>
      <c r="G36" s="78">
        <f ca="1" t="shared" si="41"/>
        <v>129.821368957098</v>
      </c>
      <c r="H36" s="78">
        <f ca="1" t="shared" si="41"/>
        <v>124.211285912155</v>
      </c>
      <c r="I36" s="78">
        <f ca="1" t="shared" si="41"/>
        <v>68.7504995917888</v>
      </c>
      <c r="J36" s="78">
        <f ca="1" t="shared" si="41"/>
        <v>61.7079872226909</v>
      </c>
      <c r="K36" s="78">
        <f ca="1" t="shared" si="41"/>
        <v>23.4395089065178</v>
      </c>
      <c r="L36" s="78">
        <f ca="1" t="shared" si="41"/>
        <v>110.26492079786</v>
      </c>
      <c r="M36" s="78">
        <f ca="1" t="shared" si="41"/>
        <v>55.5442283881137</v>
      </c>
      <c r="N36" s="78">
        <f ca="1" t="shared" si="41"/>
        <v>47.2768106338077</v>
      </c>
      <c r="O36" s="78">
        <f ca="1" t="shared" si="41"/>
        <v>94.3118983294576</v>
      </c>
      <c r="P36" s="78">
        <f ca="1" t="shared" si="41"/>
        <v>27.0544001562025</v>
      </c>
      <c r="Q36" s="78">
        <f ca="1" t="shared" si="41"/>
        <v>48.2783359677474</v>
      </c>
      <c r="R36" s="78">
        <f ca="1" t="shared" si="41"/>
        <v>51.3710896088651</v>
      </c>
      <c r="S36" s="78">
        <f ca="1" t="shared" si="41"/>
        <v>54.7913094435984</v>
      </c>
      <c r="T36" s="78">
        <f ca="1" t="shared" si="41"/>
        <v>89.2477710751548</v>
      </c>
      <c r="U36" s="78">
        <f ca="1" t="shared" si="41"/>
        <v>46.6198344417056</v>
      </c>
      <c r="V36" s="78">
        <f ca="1" t="shared" si="37"/>
        <v>18.6865421882949</v>
      </c>
      <c r="W36" s="78">
        <f ca="1" t="shared" si="37"/>
        <v>25.7672668885542</v>
      </c>
      <c r="X36" s="78">
        <f ca="1" t="shared" si="37"/>
        <v>58.5876983303482</v>
      </c>
      <c r="Y36" s="78">
        <f ca="1" t="shared" si="37"/>
        <v>16.8611655014651</v>
      </c>
      <c r="Z36" s="78">
        <f ca="1" t="shared" si="37"/>
        <v>39.2918523063721</v>
      </c>
      <c r="AA36" s="78">
        <f ca="1" t="shared" si="37"/>
        <v>54.7338068136364</v>
      </c>
      <c r="AB36" s="78">
        <f ca="1" t="shared" si="37"/>
        <v>31.3906484479275</v>
      </c>
      <c r="AC36" s="78">
        <f ca="1" t="shared" si="37"/>
        <v>38.675519454975</v>
      </c>
      <c r="AD36" s="78">
        <f ca="1" t="shared" si="37"/>
        <v>114.678214573833</v>
      </c>
      <c r="AE36" s="78">
        <f ca="1" t="shared" si="37"/>
        <v>17.2591189112344</v>
      </c>
      <c r="AF36" s="78">
        <f ca="1" t="shared" si="37"/>
        <v>44.0482098473539</v>
      </c>
      <c r="AG36" s="78">
        <f ca="1" t="shared" ref="AG36" si="42">IFERROR(AG6*AG28/AG20,"")</f>
        <v>79.0521373083537</v>
      </c>
      <c r="AH36" s="78">
        <f ca="1" t="shared" si="37"/>
        <v>40.6373441308777</v>
      </c>
      <c r="AI36" s="78">
        <f ca="1" t="shared" si="37"/>
        <v>60.0448433855509</v>
      </c>
      <c r="AJ36" s="78">
        <f ca="1" t="shared" si="37"/>
        <v>32.7905151944865</v>
      </c>
      <c r="AK36" s="78" t="str">
        <f ca="1" t="shared" ref="AK36:AW36" si="43">IFERROR(AK6*AK28/AK20,"")</f>
        <v/>
      </c>
      <c r="AL36" s="78" t="str">
        <f ca="1" t="shared" si="43"/>
        <v/>
      </c>
      <c r="AM36" s="78" t="str">
        <f ca="1" t="shared" si="43"/>
        <v/>
      </c>
      <c r="AN36" s="78" t="str">
        <f ca="1" t="shared" si="43"/>
        <v/>
      </c>
      <c r="AO36" s="78" t="str">
        <f ca="1" t="shared" si="43"/>
        <v/>
      </c>
      <c r="AP36" s="78" t="str">
        <f ca="1" t="shared" si="43"/>
        <v/>
      </c>
      <c r="AQ36" s="78" t="str">
        <f ca="1" t="shared" si="43"/>
        <v/>
      </c>
      <c r="AR36" s="78" t="str">
        <f ca="1" t="shared" si="43"/>
        <v/>
      </c>
      <c r="AS36" s="78" t="str">
        <f ca="1" t="shared" si="43"/>
        <v/>
      </c>
      <c r="AT36" s="78" t="str">
        <f ca="1" t="shared" si="43"/>
        <v/>
      </c>
      <c r="AU36" s="78" t="str">
        <f ca="1" t="shared" si="43"/>
        <v/>
      </c>
      <c r="AV36" s="78" t="str">
        <f ca="1" t="shared" si="43"/>
        <v/>
      </c>
      <c r="AW36" s="78" t="str">
        <f ca="1" t="shared" si="43"/>
        <v/>
      </c>
    </row>
    <row r="37" spans="1:49">
      <c r="C37" t="str">
        <f t="shared" si="36"/>
        <v>TRAELC</v>
      </c>
      <c r="D37" s="78" t="str">
        <f ca="1" t="shared" si="37"/>
        <v/>
      </c>
      <c r="E37" s="78" t="str">
        <f ca="1" t="shared" ref="E37:U37" si="44">IFERROR(E7*E29/E21,"")</f>
        <v/>
      </c>
      <c r="F37" s="78" t="str">
        <f ca="1" t="shared" si="44"/>
        <v/>
      </c>
      <c r="G37" s="78" t="str">
        <f ca="1" t="shared" si="44"/>
        <v/>
      </c>
      <c r="H37" s="78" t="str">
        <f ca="1" t="shared" si="44"/>
        <v/>
      </c>
      <c r="I37" s="78" t="str">
        <f ca="1" t="shared" si="44"/>
        <v/>
      </c>
      <c r="J37" s="78" t="str">
        <f ca="1" t="shared" si="44"/>
        <v/>
      </c>
      <c r="K37" s="78">
        <f ca="1" t="shared" si="44"/>
        <v>23.4395089065178</v>
      </c>
      <c r="L37" s="78" t="str">
        <f ca="1" t="shared" si="44"/>
        <v/>
      </c>
      <c r="M37" s="78" t="str">
        <f ca="1" t="shared" si="44"/>
        <v/>
      </c>
      <c r="N37" s="78" t="str">
        <f ca="1" t="shared" si="44"/>
        <v/>
      </c>
      <c r="O37" s="78" t="str">
        <f ca="1" t="shared" si="44"/>
        <v/>
      </c>
      <c r="P37" s="78" t="str">
        <f ca="1" t="shared" si="44"/>
        <v/>
      </c>
      <c r="Q37" s="78" t="str">
        <f ca="1" t="shared" si="44"/>
        <v/>
      </c>
      <c r="R37" s="78" t="str">
        <f ca="1" t="shared" si="44"/>
        <v/>
      </c>
      <c r="S37" s="78" t="str">
        <f ca="1" t="shared" si="44"/>
        <v/>
      </c>
      <c r="T37" s="78" t="str">
        <f ca="1" t="shared" si="44"/>
        <v/>
      </c>
      <c r="U37" s="78" t="str">
        <f ca="1" t="shared" si="44"/>
        <v/>
      </c>
      <c r="V37" s="78" t="str">
        <f ca="1" t="shared" si="37"/>
        <v/>
      </c>
      <c r="W37" s="78" t="str">
        <f ca="1" t="shared" si="37"/>
        <v/>
      </c>
      <c r="X37" s="78" t="str">
        <f ca="1" t="shared" si="37"/>
        <v/>
      </c>
      <c r="Y37" s="78" t="str">
        <f ca="1" t="shared" si="37"/>
        <v/>
      </c>
      <c r="Z37" s="78" t="str">
        <f ca="1" t="shared" si="37"/>
        <v/>
      </c>
      <c r="AA37" s="78" t="str">
        <f ca="1" t="shared" si="37"/>
        <v/>
      </c>
      <c r="AB37" s="78" t="str">
        <f ca="1" t="shared" si="37"/>
        <v/>
      </c>
      <c r="AC37" s="78" t="str">
        <f ca="1" t="shared" si="37"/>
        <v/>
      </c>
      <c r="AD37" s="78" t="str">
        <f ca="1" t="shared" si="37"/>
        <v/>
      </c>
      <c r="AE37" s="78" t="str">
        <f ca="1" t="shared" si="37"/>
        <v/>
      </c>
      <c r="AF37" s="78" t="str">
        <f ca="1" t="shared" si="37"/>
        <v/>
      </c>
      <c r="AG37" s="78" t="str">
        <f ca="1" t="shared" ref="AG37" si="45">IFERROR(AG7*AG29/AG21,"")</f>
        <v/>
      </c>
      <c r="AH37" s="78" t="str">
        <f ca="1" t="shared" si="37"/>
        <v/>
      </c>
      <c r="AI37" s="78" t="str">
        <f ca="1" t="shared" si="37"/>
        <v/>
      </c>
      <c r="AJ37" s="78" t="str">
        <f ca="1" t="shared" si="37"/>
        <v/>
      </c>
      <c r="AK37" s="78" t="str">
        <f ca="1" t="shared" ref="AK37:AW37" si="46">IFERROR(AK7*AK29/AK21,"")</f>
        <v/>
      </c>
      <c r="AL37" s="78" t="str">
        <f ca="1" t="shared" si="46"/>
        <v/>
      </c>
      <c r="AM37" s="78" t="str">
        <f ca="1" t="shared" si="46"/>
        <v/>
      </c>
      <c r="AN37" s="78" t="str">
        <f ca="1" t="shared" si="46"/>
        <v/>
      </c>
      <c r="AO37" s="78" t="str">
        <f ca="1" t="shared" si="46"/>
        <v/>
      </c>
      <c r="AP37" s="78" t="str">
        <f ca="1" t="shared" si="46"/>
        <v/>
      </c>
      <c r="AQ37" s="78" t="str">
        <f ca="1" t="shared" si="46"/>
        <v/>
      </c>
      <c r="AR37" s="78" t="str">
        <f ca="1" t="shared" si="46"/>
        <v/>
      </c>
      <c r="AS37" s="78" t="str">
        <f ca="1" t="shared" si="46"/>
        <v/>
      </c>
      <c r="AT37" s="78" t="str">
        <f ca="1" t="shared" si="46"/>
        <v/>
      </c>
      <c r="AU37" s="78" t="str">
        <f ca="1" t="shared" si="46"/>
        <v/>
      </c>
      <c r="AV37" s="78" t="str">
        <f ca="1" t="shared" si="46"/>
        <v/>
      </c>
      <c r="AW37" s="78" t="str">
        <f ca="1" t="shared" si="46"/>
        <v/>
      </c>
    </row>
    <row r="38" spans="1:49">
      <c r="C38" t="str">
        <f t="shared" si="36"/>
        <v>TRAGSL</v>
      </c>
      <c r="D38" s="78" t="str">
        <f ca="1" t="shared" si="37"/>
        <v/>
      </c>
      <c r="E38" s="78" t="str">
        <f ca="1" t="shared" ref="E38:U38" si="47">IFERROR(E8*E30/E22,"")</f>
        <v/>
      </c>
      <c r="F38" s="78">
        <f ca="1" t="shared" si="47"/>
        <v>34.9759541708395</v>
      </c>
      <c r="G38" s="78">
        <f ca="1" t="shared" si="47"/>
        <v>129.821368957098</v>
      </c>
      <c r="H38" s="78">
        <f ca="1" t="shared" si="47"/>
        <v>124.211285912155</v>
      </c>
      <c r="I38" s="78">
        <f ca="1" t="shared" si="47"/>
        <v>68.7504995917888</v>
      </c>
      <c r="J38" s="78">
        <f ca="1" t="shared" si="47"/>
        <v>61.7079872226909</v>
      </c>
      <c r="K38" s="78">
        <f ca="1" t="shared" si="47"/>
        <v>23.4395089065178</v>
      </c>
      <c r="L38" s="78">
        <f ca="1" t="shared" si="47"/>
        <v>110.26492079786</v>
      </c>
      <c r="M38" s="78">
        <f ca="1" t="shared" si="47"/>
        <v>55.5442283881137</v>
      </c>
      <c r="N38" s="78">
        <f ca="1" t="shared" si="47"/>
        <v>47.2768106338077</v>
      </c>
      <c r="O38" s="78">
        <f ca="1" t="shared" si="47"/>
        <v>94.3118983294575</v>
      </c>
      <c r="P38" s="78">
        <f ca="1" t="shared" si="47"/>
        <v>27.0544001562025</v>
      </c>
      <c r="Q38" s="78">
        <f ca="1" t="shared" si="47"/>
        <v>48.2783359677474</v>
      </c>
      <c r="R38" s="78">
        <f ca="1" t="shared" si="47"/>
        <v>51.3710896088651</v>
      </c>
      <c r="S38" s="78" t="str">
        <f ca="1" t="shared" si="47"/>
        <v/>
      </c>
      <c r="T38" s="78">
        <f ca="1" t="shared" si="47"/>
        <v>89.2477710751549</v>
      </c>
      <c r="U38" s="78">
        <f ca="1" t="shared" si="47"/>
        <v>46.6198344417056</v>
      </c>
      <c r="V38" s="78">
        <f ca="1" t="shared" si="37"/>
        <v>18.6865421882949</v>
      </c>
      <c r="W38" s="78">
        <f ca="1" t="shared" si="37"/>
        <v>25.7672668885542</v>
      </c>
      <c r="X38" s="78">
        <f ca="1" t="shared" si="37"/>
        <v>58.5876983303482</v>
      </c>
      <c r="Y38" s="78">
        <f ca="1" t="shared" si="37"/>
        <v>16.8611655014651</v>
      </c>
      <c r="Z38" s="78">
        <f ca="1" t="shared" si="37"/>
        <v>39.2918523063721</v>
      </c>
      <c r="AA38" s="78">
        <f ca="1" t="shared" si="37"/>
        <v>54.7338068136364</v>
      </c>
      <c r="AB38" s="78" t="str">
        <f ca="1" t="shared" si="37"/>
        <v/>
      </c>
      <c r="AC38" s="78">
        <f ca="1" t="shared" si="37"/>
        <v>38.675519454975</v>
      </c>
      <c r="AD38" s="78">
        <f ca="1" t="shared" si="37"/>
        <v>114.678214573833</v>
      </c>
      <c r="AE38" s="78" t="str">
        <f ca="1" t="shared" si="37"/>
        <v/>
      </c>
      <c r="AF38" s="78">
        <f ca="1" t="shared" si="37"/>
        <v>44.0482098473539</v>
      </c>
      <c r="AG38" s="78">
        <f ca="1" t="shared" ref="AG38" si="48">IFERROR(AG8*AG30/AG22,"")</f>
        <v>79.0521373083537</v>
      </c>
      <c r="AH38" s="78">
        <f ca="1" t="shared" si="37"/>
        <v>40.6373441308777</v>
      </c>
      <c r="AI38" s="78">
        <f ca="1" t="shared" si="37"/>
        <v>60.0448433855508</v>
      </c>
      <c r="AJ38" s="78">
        <f ca="1" t="shared" si="37"/>
        <v>32.7905151944865</v>
      </c>
      <c r="AK38" s="78" t="str">
        <f ca="1" t="shared" ref="AK38:AW38" si="49">IFERROR(AK8*AK30/AK22,"")</f>
        <v/>
      </c>
      <c r="AL38" s="78" t="str">
        <f ca="1" t="shared" si="49"/>
        <v/>
      </c>
      <c r="AM38" s="78" t="str">
        <f ca="1" t="shared" si="49"/>
        <v/>
      </c>
      <c r="AN38" s="78" t="str">
        <f ca="1" t="shared" si="49"/>
        <v/>
      </c>
      <c r="AO38" s="78" t="str">
        <f ca="1" t="shared" si="49"/>
        <v/>
      </c>
      <c r="AP38" s="78" t="str">
        <f ca="1" t="shared" si="49"/>
        <v/>
      </c>
      <c r="AQ38" s="78" t="str">
        <f ca="1" t="shared" si="49"/>
        <v/>
      </c>
      <c r="AR38" s="78" t="str">
        <f ca="1" t="shared" si="49"/>
        <v/>
      </c>
      <c r="AS38" s="78" t="str">
        <f ca="1" t="shared" si="49"/>
        <v/>
      </c>
      <c r="AT38" s="78" t="str">
        <f ca="1" t="shared" si="49"/>
        <v/>
      </c>
      <c r="AU38" s="78" t="str">
        <f ca="1" t="shared" si="49"/>
        <v/>
      </c>
      <c r="AV38" s="78" t="str">
        <f ca="1" t="shared" si="49"/>
        <v/>
      </c>
      <c r="AW38" s="78" t="str">
        <f ca="1" t="shared" si="49"/>
        <v/>
      </c>
    </row>
    <row r="39" spans="1:49">
      <c r="C39" t="str">
        <f t="shared" si="36"/>
        <v>TRALPG</v>
      </c>
      <c r="D39" s="78">
        <f ca="1" t="shared" si="37"/>
        <v>31.9893822386681</v>
      </c>
      <c r="E39" s="78">
        <f ca="1" t="shared" ref="E39:U39" si="50">IFERROR(E9*E31/E23,"")</f>
        <v>27.9950941198598</v>
      </c>
      <c r="F39" s="78">
        <f ca="1" t="shared" si="50"/>
        <v>34.9759541708395</v>
      </c>
      <c r="G39" s="78">
        <f ca="1" t="shared" si="50"/>
        <v>129.821368957098</v>
      </c>
      <c r="H39" s="78">
        <f ca="1" t="shared" si="50"/>
        <v>124.211285912155</v>
      </c>
      <c r="I39" s="78">
        <f ca="1" t="shared" si="50"/>
        <v>68.7504995917888</v>
      </c>
      <c r="J39" s="78" t="str">
        <f ca="1" t="shared" si="50"/>
        <v/>
      </c>
      <c r="K39" s="78">
        <f ca="1" t="shared" si="50"/>
        <v>23.4395089065178</v>
      </c>
      <c r="L39" s="78">
        <f ca="1" t="shared" si="50"/>
        <v>110.26492079786</v>
      </c>
      <c r="M39" s="78">
        <f ca="1" t="shared" si="50"/>
        <v>55.5442283881137</v>
      </c>
      <c r="N39" s="78">
        <f ca="1" t="shared" si="50"/>
        <v>47.2768106338077</v>
      </c>
      <c r="O39" s="78">
        <f ca="1" t="shared" si="50"/>
        <v>94.3118983294575</v>
      </c>
      <c r="P39" s="78">
        <f ca="1" t="shared" si="50"/>
        <v>27.0544001562025</v>
      </c>
      <c r="Q39" s="78">
        <f ca="1" t="shared" si="50"/>
        <v>48.2783359677474</v>
      </c>
      <c r="R39" s="78" t="str">
        <f ca="1" t="shared" si="50"/>
        <v/>
      </c>
      <c r="S39" s="78">
        <f ca="1" t="shared" si="50"/>
        <v>54.7913094435984</v>
      </c>
      <c r="T39" s="78">
        <f ca="1" t="shared" si="50"/>
        <v>89.2477710751548</v>
      </c>
      <c r="U39" s="78">
        <f ca="1" t="shared" si="50"/>
        <v>46.6198344417056</v>
      </c>
      <c r="V39" s="78">
        <f ca="1" t="shared" si="37"/>
        <v>18.6865421882949</v>
      </c>
      <c r="W39" s="78" t="str">
        <f ca="1" t="shared" si="37"/>
        <v/>
      </c>
      <c r="X39" s="78">
        <f ca="1" t="shared" si="37"/>
        <v>58.5876983303482</v>
      </c>
      <c r="Y39" s="78">
        <f ca="1" t="shared" si="37"/>
        <v>16.8611655014651</v>
      </c>
      <c r="Z39" s="78">
        <f ca="1" t="shared" si="37"/>
        <v>39.2918523063721</v>
      </c>
      <c r="AA39" s="78">
        <f ca="1" t="shared" si="37"/>
        <v>54.7338068136364</v>
      </c>
      <c r="AB39" s="78">
        <f ca="1" t="shared" si="37"/>
        <v>31.3906484479275</v>
      </c>
      <c r="AC39" s="78">
        <f ca="1" t="shared" si="37"/>
        <v>38.675519454975</v>
      </c>
      <c r="AD39" s="78" t="str">
        <f ca="1" t="shared" si="37"/>
        <v/>
      </c>
      <c r="AE39" s="78">
        <f ca="1" t="shared" si="37"/>
        <v>17.2591189112344</v>
      </c>
      <c r="AF39" s="78">
        <f ca="1" t="shared" si="37"/>
        <v>44.0482098473539</v>
      </c>
      <c r="AG39" s="78" t="str">
        <f ca="1" t="shared" ref="AG39" si="51">IFERROR(AG9*AG31/AG23,"")</f>
        <v/>
      </c>
      <c r="AH39" s="78">
        <f ca="1" t="shared" si="37"/>
        <v>40.6373441308777</v>
      </c>
      <c r="AI39" s="78">
        <f ca="1" t="shared" si="37"/>
        <v>60.0448433855509</v>
      </c>
      <c r="AJ39" s="78">
        <f ca="1" t="shared" si="37"/>
        <v>32.7905151944865</v>
      </c>
      <c r="AK39" s="78" t="str">
        <f ca="1" t="shared" ref="AK39:AW39" si="52">IFERROR(AK9*AK31/AK23,"")</f>
        <v/>
      </c>
      <c r="AL39" s="78" t="str">
        <f ca="1" t="shared" si="52"/>
        <v/>
      </c>
      <c r="AM39" s="78" t="str">
        <f ca="1" t="shared" si="52"/>
        <v/>
      </c>
      <c r="AN39" s="78" t="str">
        <f ca="1" t="shared" si="52"/>
        <v/>
      </c>
      <c r="AO39" s="78" t="str">
        <f ca="1" t="shared" si="52"/>
        <v/>
      </c>
      <c r="AP39" s="78" t="str">
        <f ca="1" t="shared" si="52"/>
        <v/>
      </c>
      <c r="AQ39" s="78" t="str">
        <f ca="1" t="shared" si="52"/>
        <v/>
      </c>
      <c r="AR39" s="78" t="str">
        <f ca="1" t="shared" si="52"/>
        <v/>
      </c>
      <c r="AS39" s="78" t="str">
        <f ca="1" t="shared" si="52"/>
        <v/>
      </c>
      <c r="AT39" s="78" t="str">
        <f ca="1" t="shared" si="52"/>
        <v/>
      </c>
      <c r="AU39" s="78" t="str">
        <f ca="1" t="shared" si="52"/>
        <v/>
      </c>
      <c r="AV39" s="78" t="str">
        <f ca="1" t="shared" si="52"/>
        <v/>
      </c>
      <c r="AW39" s="78" t="str">
        <f ca="1" t="shared" si="52"/>
        <v/>
      </c>
    </row>
    <row r="40" spans="1:49">
      <c r="C40" t="str">
        <f t="shared" si="36"/>
        <v>TRANGA</v>
      </c>
      <c r="D40" s="78">
        <f ca="1" t="shared" si="37"/>
        <v>31.9893822386681</v>
      </c>
      <c r="E40" s="78">
        <f ca="1" t="shared" ref="E40:U40" si="53">IFERROR(E10*E32/E24,"")</f>
        <v>27.9950941198598</v>
      </c>
      <c r="F40" s="78">
        <f ca="1" t="shared" si="53"/>
        <v>34.9759541708395</v>
      </c>
      <c r="G40" s="78" t="str">
        <f ca="1" t="shared" si="53"/>
        <v/>
      </c>
      <c r="H40" s="78">
        <f ca="1" t="shared" si="53"/>
        <v>124.211285912155</v>
      </c>
      <c r="I40" s="78" t="str">
        <f ca="1" t="shared" si="53"/>
        <v/>
      </c>
      <c r="J40" s="78">
        <f ca="1" t="shared" si="53"/>
        <v>61.7079872226909</v>
      </c>
      <c r="K40" s="78">
        <f ca="1" t="shared" si="53"/>
        <v>23.4395089065178</v>
      </c>
      <c r="L40" s="78" t="str">
        <f ca="1" t="shared" si="53"/>
        <v/>
      </c>
      <c r="M40" s="78" t="str">
        <f ca="1" t="shared" si="53"/>
        <v/>
      </c>
      <c r="N40" s="78" t="str">
        <f ca="1" t="shared" si="53"/>
        <v/>
      </c>
      <c r="O40" s="78" t="str">
        <f ca="1" t="shared" si="53"/>
        <v/>
      </c>
      <c r="P40" s="78" t="str">
        <f ca="1" t="shared" si="53"/>
        <v/>
      </c>
      <c r="Q40" s="78" t="str">
        <f ca="1" t="shared" si="53"/>
        <v/>
      </c>
      <c r="R40" s="78" t="str">
        <f ca="1" t="shared" si="53"/>
        <v/>
      </c>
      <c r="S40" s="78">
        <f ca="1" t="shared" si="53"/>
        <v>54.7913094435984</v>
      </c>
      <c r="T40" s="78" t="str">
        <f ca="1" t="shared" si="53"/>
        <v/>
      </c>
      <c r="U40" s="78" t="str">
        <f ca="1" t="shared" si="53"/>
        <v/>
      </c>
      <c r="V40" s="78">
        <f ca="1" t="shared" si="37"/>
        <v>18.6865421882949</v>
      </c>
      <c r="W40" s="78">
        <f ca="1" t="shared" si="37"/>
        <v>25.7672668885542</v>
      </c>
      <c r="X40" s="78" t="str">
        <f ca="1" t="shared" si="37"/>
        <v/>
      </c>
      <c r="Y40" s="78">
        <f ca="1" t="shared" si="37"/>
        <v>16.8611655014651</v>
      </c>
      <c r="Z40" s="78" t="str">
        <f ca="1" t="shared" si="37"/>
        <v/>
      </c>
      <c r="AA40" s="78" t="str">
        <f ca="1" t="shared" si="37"/>
        <v/>
      </c>
      <c r="AB40" s="78">
        <f ca="1" t="shared" si="37"/>
        <v>31.3906484479275</v>
      </c>
      <c r="AC40" s="78">
        <f ca="1" t="shared" si="37"/>
        <v>38.675519454975</v>
      </c>
      <c r="AD40" s="78" t="str">
        <f ca="1" t="shared" si="37"/>
        <v/>
      </c>
      <c r="AE40" s="78">
        <f ca="1" t="shared" si="37"/>
        <v>17.2591189112344</v>
      </c>
      <c r="AF40" s="78" t="str">
        <f ca="1" t="shared" si="37"/>
        <v/>
      </c>
      <c r="AG40" s="78" t="str">
        <f ca="1" t="shared" ref="AG40" si="54">IFERROR(AG10*AG32/AG24,"")</f>
        <v/>
      </c>
      <c r="AH40" s="78" t="str">
        <f ca="1" t="shared" si="37"/>
        <v/>
      </c>
      <c r="AI40" s="78" t="str">
        <f ca="1" t="shared" si="37"/>
        <v/>
      </c>
      <c r="AJ40" s="78" t="str">
        <f ca="1" t="shared" si="37"/>
        <v/>
      </c>
      <c r="AK40" s="78" t="str">
        <f ca="1" t="shared" ref="AK40:AW40" si="55">IFERROR(AK10*AK32/AK24,"")</f>
        <v/>
      </c>
      <c r="AL40" s="78" t="str">
        <f ca="1" t="shared" si="55"/>
        <v/>
      </c>
      <c r="AM40" s="78" t="str">
        <f ca="1" t="shared" si="55"/>
        <v/>
      </c>
      <c r="AN40" s="78" t="str">
        <f ca="1" t="shared" si="55"/>
        <v/>
      </c>
      <c r="AO40" s="78" t="str">
        <f ca="1" t="shared" si="55"/>
        <v/>
      </c>
      <c r="AP40" s="78" t="str">
        <f ca="1" t="shared" si="55"/>
        <v/>
      </c>
      <c r="AQ40" s="78" t="str">
        <f ca="1" t="shared" si="55"/>
        <v/>
      </c>
      <c r="AR40" s="78" t="str">
        <f ca="1" t="shared" si="55"/>
        <v/>
      </c>
      <c r="AS40" s="78" t="str">
        <f ca="1" t="shared" si="55"/>
        <v/>
      </c>
      <c r="AT40" s="78" t="str">
        <f ca="1" t="shared" si="55"/>
        <v/>
      </c>
      <c r="AU40" s="78" t="str">
        <f ca="1" t="shared" si="55"/>
        <v/>
      </c>
      <c r="AV40" s="78" t="str">
        <f ca="1" t="shared" si="55"/>
        <v/>
      </c>
      <c r="AW40" s="78" t="str">
        <f ca="1" t="shared" si="55"/>
        <v/>
      </c>
    </row>
  </sheetData>
  <conditionalFormatting sqref="AG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6:AJ16 D16:AF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6:AW16 AK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103"/>
  <sheetViews>
    <sheetView zoomScale="90" zoomScaleNormal="90" workbookViewId="0">
      <pane xSplit="7" ySplit="2" topLeftCell="H82" activePane="bottomRight" state="frozen"/>
      <selection/>
      <selection pane="topRight"/>
      <selection pane="bottomLeft"/>
      <selection pane="bottomRight" activeCell="O91" sqref="O91"/>
    </sheetView>
  </sheetViews>
  <sheetFormatPr defaultColWidth="9" defaultRowHeight="14.5"/>
  <cols>
    <col min="1" max="1" width="3.86363636363636" customWidth="1"/>
    <col min="3" max="3" width="8.86363636363636" customWidth="1"/>
    <col min="4" max="4" width="5.6" customWidth="1"/>
    <col min="5" max="5" width="26.2636363636364" customWidth="1"/>
    <col min="6" max="6" width="21.8636363636364" customWidth="1"/>
    <col min="7" max="7" width="12.1363636363636" customWidth="1"/>
    <col min="8" max="9" width="4.6" customWidth="1"/>
    <col min="10" max="10" width="4.86363636363636" customWidth="1"/>
    <col min="11" max="11" width="5" customWidth="1"/>
    <col min="12" max="16" width="4.6" customWidth="1"/>
    <col min="17" max="17" width="5" customWidth="1"/>
    <col min="18" max="18" width="4.86363636363636" customWidth="1"/>
    <col min="19" max="19" width="5" customWidth="1"/>
    <col min="20" max="21" width="4.6" customWidth="1"/>
    <col min="22" max="22" width="5.13636363636364" customWidth="1"/>
    <col min="23" max="23" width="4.72727272727273" customWidth="1"/>
    <col min="24" max="24" width="9.72727272727273" customWidth="1"/>
    <col min="25" max="25" width="12.2636363636364" customWidth="1"/>
    <col min="26" max="26" width="4.4" customWidth="1"/>
    <col min="27" max="27" width="4.13636363636364" customWidth="1"/>
    <col min="28" max="29" width="5" customWidth="1"/>
    <col min="30" max="32" width="4" customWidth="1"/>
    <col min="33" max="34" width="5" customWidth="1"/>
    <col min="35" max="35" width="4.4" customWidth="1"/>
    <col min="36" max="36" width="5" customWidth="1"/>
    <col min="37" max="37" width="4.13636363636364" customWidth="1"/>
    <col min="38" max="39" width="5" customWidth="1"/>
    <col min="41" max="42" width="4.6" customWidth="1"/>
    <col min="43" max="43" width="4.86363636363636" customWidth="1"/>
    <col min="44" max="49" width="4.6" customWidth="1"/>
    <col min="50" max="50" width="5" customWidth="1"/>
    <col min="51" max="51" width="4.86363636363636" customWidth="1"/>
    <col min="52" max="52" width="5" customWidth="1"/>
    <col min="53" max="54" width="4.6" customWidth="1"/>
    <col min="55" max="55" width="5.13636363636364" customWidth="1"/>
    <col min="57" max="57" width="12.4" customWidth="1"/>
    <col min="58" max="58" width="5" customWidth="1"/>
    <col min="59" max="59" width="11.4" customWidth="1"/>
  </cols>
  <sheetData>
    <row r="2" spans="1:26">
      <c r="A2" s="123" t="s">
        <v>171</v>
      </c>
      <c r="B2" t="s">
        <v>172</v>
      </c>
      <c r="C2" s="54" t="s">
        <v>173</v>
      </c>
      <c r="D2" s="54" t="s">
        <v>174</v>
      </c>
      <c r="E2" s="54" t="s">
        <v>175</v>
      </c>
      <c r="F2" s="54" t="s">
        <v>172</v>
      </c>
      <c r="G2" s="54" t="s">
        <v>176</v>
      </c>
      <c r="H2" s="54" t="s">
        <v>177</v>
      </c>
      <c r="I2" s="54" t="s">
        <v>178</v>
      </c>
      <c r="J2" s="54" t="s">
        <v>179</v>
      </c>
      <c r="K2" s="54" t="s">
        <v>180</v>
      </c>
      <c r="L2" s="54" t="s">
        <v>181</v>
      </c>
      <c r="M2" s="54" t="s">
        <v>182</v>
      </c>
      <c r="N2" s="54" t="s">
        <v>183</v>
      </c>
      <c r="O2" s="54" t="s">
        <v>184</v>
      </c>
      <c r="P2" s="54" t="s">
        <v>185</v>
      </c>
      <c r="Q2" s="54" t="s">
        <v>186</v>
      </c>
      <c r="R2" s="54" t="s">
        <v>187</v>
      </c>
      <c r="S2" s="54" t="s">
        <v>188</v>
      </c>
      <c r="T2" s="54" t="s">
        <v>189</v>
      </c>
      <c r="U2" s="54" t="s">
        <v>190</v>
      </c>
      <c r="V2" s="54" t="s">
        <v>191</v>
      </c>
    </row>
    <row r="3" spans="1:26">
      <c r="A3">
        <v>1</v>
      </c>
      <c r="B3" t="str">
        <f>VLOOKUP(F3,'TRA balance'!$BA$5:$BB$14,2,FALSE)</f>
        <v>TRACOA</v>
      </c>
      <c r="C3" s="56" t="str">
        <f>LEFT(G3,2)</f>
        <v>TT</v>
      </c>
      <c r="D3" s="57" t="s">
        <v>192</v>
      </c>
      <c r="E3" s="57" t="s">
        <v>193</v>
      </c>
      <c r="F3" s="58" t="s">
        <v>55</v>
      </c>
      <c r="G3" s="56" t="s">
        <v>194</v>
      </c>
      <c r="H3" s="59">
        <v>0.8</v>
      </c>
      <c r="I3" s="59">
        <v>0.9</v>
      </c>
      <c r="J3" s="59">
        <v>1</v>
      </c>
      <c r="K3" s="89">
        <v>0.75</v>
      </c>
      <c r="L3" s="59">
        <v>1</v>
      </c>
      <c r="M3" s="59">
        <v>0.8</v>
      </c>
      <c r="N3" s="59">
        <v>0.8</v>
      </c>
      <c r="O3" s="59">
        <v>0.8</v>
      </c>
      <c r="P3" s="59">
        <v>0.07</v>
      </c>
      <c r="Q3" s="59">
        <v>0.8</v>
      </c>
      <c r="R3" s="59">
        <v>1</v>
      </c>
      <c r="S3" s="59">
        <v>0.8</v>
      </c>
      <c r="T3" s="59">
        <v>0.8</v>
      </c>
      <c r="U3" s="59">
        <v>0.8</v>
      </c>
      <c r="V3" s="59">
        <v>1</v>
      </c>
      <c r="Y3" s="90" t="s">
        <v>195</v>
      </c>
      <c r="Z3" t="s">
        <v>196</v>
      </c>
    </row>
    <row r="4" spans="1:26">
      <c r="A4">
        <v>1</v>
      </c>
      <c r="B4" t="str">
        <f>VLOOKUP(F4,'TRA balance'!$BA$5:$BB$14,2,FALSE)</f>
        <v>TRACOA</v>
      </c>
      <c r="C4" s="56" t="str">
        <f t="shared" ref="C4:C67" si="0">LEFT(G4,2)</f>
        <v>TT</v>
      </c>
      <c r="D4" s="57" t="s">
        <v>192</v>
      </c>
      <c r="E4" s="57" t="s">
        <v>197</v>
      </c>
      <c r="F4" s="58" t="str">
        <f t="shared" ref="F4:F5" si="1">F3</f>
        <v>Coal</v>
      </c>
      <c r="G4" s="56" t="s">
        <v>198</v>
      </c>
      <c r="H4" s="59">
        <v>0.2</v>
      </c>
      <c r="I4" s="59">
        <v>0.1</v>
      </c>
      <c r="J4" s="59">
        <v>0</v>
      </c>
      <c r="K4" s="89">
        <v>0.25</v>
      </c>
      <c r="L4" s="59">
        <v>0</v>
      </c>
      <c r="M4" s="59">
        <v>0.2</v>
      </c>
      <c r="N4" s="59">
        <v>0.2</v>
      </c>
      <c r="O4" s="59">
        <v>0.2</v>
      </c>
      <c r="P4" s="59">
        <v>0.93</v>
      </c>
      <c r="Q4" s="59">
        <v>0.2</v>
      </c>
      <c r="R4" s="59">
        <v>0</v>
      </c>
      <c r="S4" s="59">
        <v>0.2</v>
      </c>
      <c r="T4" s="59">
        <v>0.2</v>
      </c>
      <c r="U4" s="59">
        <v>0.2</v>
      </c>
      <c r="V4" s="59">
        <v>0</v>
      </c>
      <c r="Y4" s="91" t="s">
        <v>39</v>
      </c>
      <c r="Z4" s="91" t="s">
        <v>190</v>
      </c>
    </row>
    <row r="5" spans="1:26">
      <c r="A5">
        <v>1</v>
      </c>
      <c r="B5" t="str">
        <f>VLOOKUP(F5,'TRA balance'!$BA$5:$BB$14,2,FALSE)</f>
        <v>TRACOA</v>
      </c>
      <c r="C5" s="60"/>
      <c r="D5" s="60"/>
      <c r="E5" s="61" t="s">
        <v>199</v>
      </c>
      <c r="F5" s="62" t="str">
        <f t="shared" si="1"/>
        <v>Coal</v>
      </c>
      <c r="G5" s="60"/>
      <c r="H5" s="63" t="str">
        <f t="shared" ref="H5:V5" si="2">IF(SUM(H3:H4)=1,"-","&lt;&gt;1!!")</f>
        <v>-</v>
      </c>
      <c r="I5" s="61" t="str">
        <f t="shared" si="2"/>
        <v>-</v>
      </c>
      <c r="J5" s="61" t="str">
        <f t="shared" si="2"/>
        <v>-</v>
      </c>
      <c r="K5" s="61" t="str">
        <f t="shared" si="2"/>
        <v>-</v>
      </c>
      <c r="L5" s="61" t="str">
        <f t="shared" si="2"/>
        <v>-</v>
      </c>
      <c r="M5" s="61" t="str">
        <f t="shared" si="2"/>
        <v>-</v>
      </c>
      <c r="N5" s="61" t="str">
        <f t="shared" si="2"/>
        <v>-</v>
      </c>
      <c r="O5" s="61" t="str">
        <f t="shared" si="2"/>
        <v>-</v>
      </c>
      <c r="P5" s="61" t="str">
        <f t="shared" si="2"/>
        <v>-</v>
      </c>
      <c r="Q5" s="61" t="str">
        <f t="shared" si="2"/>
        <v>-</v>
      </c>
      <c r="R5" s="61" t="str">
        <f t="shared" si="2"/>
        <v>-</v>
      </c>
      <c r="S5" s="61" t="str">
        <f t="shared" si="2"/>
        <v>-</v>
      </c>
      <c r="T5" s="61" t="str">
        <f t="shared" si="2"/>
        <v>-</v>
      </c>
      <c r="U5" s="61" t="str">
        <f t="shared" si="2"/>
        <v>-</v>
      </c>
      <c r="V5" s="92" t="str">
        <f t="shared" si="2"/>
        <v>-</v>
      </c>
      <c r="Y5" s="91" t="s">
        <v>4</v>
      </c>
      <c r="Z5" s="91" t="s">
        <v>177</v>
      </c>
    </row>
    <row r="6" spans="1:26">
      <c r="A6">
        <v>1</v>
      </c>
      <c r="B6" t="str">
        <f>VLOOKUP(F6,'TRA balance'!$BA$5:$BB$14,2,FALSE)</f>
        <v>TRADST</v>
      </c>
      <c r="C6" s="64">
        <v>1</v>
      </c>
      <c r="D6" s="65" t="s">
        <v>200</v>
      </c>
      <c r="E6" s="65" t="s">
        <v>201</v>
      </c>
      <c r="F6" s="66" t="s">
        <v>59</v>
      </c>
      <c r="G6" s="64"/>
      <c r="H6" s="93">
        <v>0.1</v>
      </c>
      <c r="I6" s="93">
        <v>0.02</v>
      </c>
      <c r="J6" s="93">
        <v>0.02</v>
      </c>
      <c r="K6" s="93">
        <v>0.1</v>
      </c>
      <c r="L6" s="93">
        <v>0.07</v>
      </c>
      <c r="M6" s="93">
        <v>0.2</v>
      </c>
      <c r="N6" s="93">
        <v>0.05</v>
      </c>
      <c r="O6" s="93">
        <v>0.25</v>
      </c>
      <c r="P6" s="94">
        <v>0.05</v>
      </c>
      <c r="Q6" s="93">
        <v>0.1</v>
      </c>
      <c r="R6" s="93">
        <v>0.15</v>
      </c>
      <c r="S6" s="93">
        <v>0.08</v>
      </c>
      <c r="T6" s="93">
        <v>0.11</v>
      </c>
      <c r="U6" s="93">
        <v>0.0244064218226165</v>
      </c>
      <c r="V6" s="93">
        <v>0.2</v>
      </c>
      <c r="Y6" s="91" t="s">
        <v>5</v>
      </c>
      <c r="Z6" s="91" t="s">
        <v>177</v>
      </c>
    </row>
    <row r="7" spans="1:26">
      <c r="A7">
        <v>1</v>
      </c>
      <c r="B7" t="str">
        <f>VLOOKUP(F7,'TRA balance'!$BA$5:$BB$14,2,FALSE)</f>
        <v>TRADST</v>
      </c>
      <c r="C7" s="56" t="str">
        <f t="shared" si="0"/>
        <v>TR</v>
      </c>
      <c r="D7" s="57" t="s">
        <v>200</v>
      </c>
      <c r="E7" s="68" t="s">
        <v>202</v>
      </c>
      <c r="F7" s="58" t="str">
        <f>F6</f>
        <v>Diesel</v>
      </c>
      <c r="G7" s="56" t="s">
        <v>203</v>
      </c>
      <c r="H7" s="59">
        <v>0.5</v>
      </c>
      <c r="I7" s="59">
        <v>0.3</v>
      </c>
      <c r="J7" s="59">
        <v>0.4</v>
      </c>
      <c r="K7" s="59">
        <v>0.2</v>
      </c>
      <c r="L7" s="59">
        <v>0.3</v>
      </c>
      <c r="M7" s="59">
        <v>0.51</v>
      </c>
      <c r="N7" s="59">
        <v>0.51</v>
      </c>
      <c r="O7" s="59">
        <v>0.4</v>
      </c>
      <c r="P7" s="59">
        <v>0.46</v>
      </c>
      <c r="Q7" s="59">
        <v>0.2</v>
      </c>
      <c r="R7" s="59">
        <v>0.7</v>
      </c>
      <c r="S7" s="59">
        <v>0.34</v>
      </c>
      <c r="T7" s="59">
        <v>0.39</v>
      </c>
      <c r="U7" s="59">
        <v>0.391737102078734</v>
      </c>
      <c r="V7" s="59">
        <v>0.8</v>
      </c>
      <c r="Y7" s="91" t="s">
        <v>6</v>
      </c>
      <c r="Z7" s="91" t="s">
        <v>178</v>
      </c>
    </row>
    <row r="8" spans="1:26">
      <c r="A8">
        <v>1</v>
      </c>
      <c r="B8" t="str">
        <f>VLOOKUP(F8,'TRA balance'!$BA$5:$BB$14,2,FALSE)</f>
        <v>TRADST</v>
      </c>
      <c r="C8" s="56" t="str">
        <f t="shared" si="0"/>
        <v>TR</v>
      </c>
      <c r="D8" s="57" t="s">
        <v>200</v>
      </c>
      <c r="E8" s="68" t="s">
        <v>204</v>
      </c>
      <c r="F8" s="58" t="str">
        <f t="shared" ref="F8:F13" si="3">F7</f>
        <v>Diesel</v>
      </c>
      <c r="G8" s="56" t="s">
        <v>205</v>
      </c>
      <c r="H8" s="59">
        <v>0.5</v>
      </c>
      <c r="I8" s="59">
        <v>0.7</v>
      </c>
      <c r="J8" s="59">
        <v>0.6</v>
      </c>
      <c r="K8" s="59">
        <v>0.2</v>
      </c>
      <c r="L8" s="59">
        <v>0.69</v>
      </c>
      <c r="M8" s="59">
        <v>0.49</v>
      </c>
      <c r="N8" s="59">
        <v>0.49</v>
      </c>
      <c r="O8" s="59">
        <v>0.35</v>
      </c>
      <c r="P8" s="59">
        <v>0.53</v>
      </c>
      <c r="Q8" s="59">
        <v>0.8</v>
      </c>
      <c r="R8" s="59">
        <v>0.3</v>
      </c>
      <c r="S8" s="59">
        <v>0.66</v>
      </c>
      <c r="T8" s="59">
        <v>0.61</v>
      </c>
      <c r="U8" s="59">
        <v>0.608262897921266</v>
      </c>
      <c r="V8" s="59">
        <v>0.2</v>
      </c>
      <c r="Y8" s="91" t="s">
        <v>7</v>
      </c>
      <c r="Z8" s="91" t="s">
        <v>191</v>
      </c>
    </row>
    <row r="9" spans="1:26">
      <c r="A9">
        <v>1</v>
      </c>
      <c r="B9" t="str">
        <f>VLOOKUP(F9,'TRA balance'!$BA$5:$BB$14,2,FALSE)</f>
        <v>TRADST</v>
      </c>
      <c r="C9" s="56" t="str">
        <f t="shared" si="0"/>
        <v>TR</v>
      </c>
      <c r="D9" s="57" t="s">
        <v>200</v>
      </c>
      <c r="E9" s="68" t="s">
        <v>206</v>
      </c>
      <c r="F9" s="58" t="str">
        <f t="shared" si="3"/>
        <v>Diesel</v>
      </c>
      <c r="G9" s="56" t="s">
        <v>207</v>
      </c>
      <c r="H9" s="59">
        <v>0</v>
      </c>
      <c r="I9" s="59">
        <v>0</v>
      </c>
      <c r="J9" s="59">
        <v>0</v>
      </c>
      <c r="K9" s="59">
        <v>0.6</v>
      </c>
      <c r="L9" s="59">
        <v>0.01</v>
      </c>
      <c r="M9" s="59">
        <v>0</v>
      </c>
      <c r="N9" s="59">
        <v>0</v>
      </c>
      <c r="O9" s="59">
        <v>0.25</v>
      </c>
      <c r="P9" s="59">
        <v>0.01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Y9" s="91" t="s">
        <v>8</v>
      </c>
      <c r="Z9" s="91" t="s">
        <v>183</v>
      </c>
    </row>
    <row r="10" spans="1:26">
      <c r="A10">
        <v>1</v>
      </c>
      <c r="B10" t="str">
        <f>VLOOKUP(F10,'TRA balance'!$BA$5:$BB$14,2,FALSE)</f>
        <v>TRADST</v>
      </c>
      <c r="C10" s="56" t="str">
        <f t="shared" si="0"/>
        <v>TR</v>
      </c>
      <c r="D10" s="57" t="s">
        <v>200</v>
      </c>
      <c r="E10" s="68" t="s">
        <v>208</v>
      </c>
      <c r="F10" s="58" t="str">
        <f t="shared" si="3"/>
        <v>Diesel</v>
      </c>
      <c r="G10" s="56" t="s">
        <v>209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Y10" s="91" t="s">
        <v>9</v>
      </c>
      <c r="Z10" s="91" t="s">
        <v>191</v>
      </c>
    </row>
    <row r="11" spans="1:26">
      <c r="A11">
        <v>1</v>
      </c>
      <c r="B11" t="str">
        <f>VLOOKUP(F11,'TRA balance'!$BA$5:$BB$14,2,FALSE)</f>
        <v>TRADST</v>
      </c>
      <c r="C11" s="56" t="str">
        <f t="shared" si="0"/>
        <v/>
      </c>
      <c r="D11" s="57"/>
      <c r="E11" s="69" t="s">
        <v>210</v>
      </c>
      <c r="F11" s="58" t="str">
        <f t="shared" si="3"/>
        <v>Diesel</v>
      </c>
      <c r="G11" s="56"/>
      <c r="H11" s="63" t="str">
        <f>IF(SUM(H7:H10)=1,"-","&lt;&gt;1!!")</f>
        <v>-</v>
      </c>
      <c r="I11" s="63" t="str">
        <f t="shared" ref="I11:V11" si="4">IF(SUM(I7:I10)=1,"-","&lt;&gt;1!!")</f>
        <v>-</v>
      </c>
      <c r="J11" s="63" t="str">
        <f t="shared" si="4"/>
        <v>-</v>
      </c>
      <c r="K11" s="63" t="str">
        <f t="shared" si="4"/>
        <v>-</v>
      </c>
      <c r="L11" s="63" t="str">
        <f t="shared" si="4"/>
        <v>-</v>
      </c>
      <c r="M11" s="63" t="str">
        <f t="shared" si="4"/>
        <v>-</v>
      </c>
      <c r="N11" s="63" t="str">
        <f t="shared" si="4"/>
        <v>-</v>
      </c>
      <c r="O11" s="63" t="str">
        <f t="shared" si="4"/>
        <v>-</v>
      </c>
      <c r="P11" s="63" t="str">
        <f t="shared" si="4"/>
        <v>-</v>
      </c>
      <c r="Q11" s="63" t="str">
        <f t="shared" si="4"/>
        <v>-</v>
      </c>
      <c r="R11" s="63" t="str">
        <f t="shared" si="4"/>
        <v>-</v>
      </c>
      <c r="S11" s="63" t="str">
        <f t="shared" si="4"/>
        <v>-</v>
      </c>
      <c r="T11" s="63" t="str">
        <f t="shared" si="4"/>
        <v>-</v>
      </c>
      <c r="U11" s="63" t="str">
        <f t="shared" si="4"/>
        <v>-</v>
      </c>
      <c r="V11" s="63" t="str">
        <f t="shared" si="4"/>
        <v>-</v>
      </c>
      <c r="Y11" s="91" t="s">
        <v>10</v>
      </c>
      <c r="Z11" s="91" t="s">
        <v>181</v>
      </c>
    </row>
    <row r="12" spans="1:26">
      <c r="A12">
        <v>1</v>
      </c>
      <c r="B12" t="str">
        <f>VLOOKUP(F12,'TRA balance'!$BA$5:$BB$14,2,FALSE)</f>
        <v>TRADST</v>
      </c>
      <c r="C12" s="64">
        <v>2</v>
      </c>
      <c r="D12" s="65" t="s">
        <v>200</v>
      </c>
      <c r="E12" s="65" t="s">
        <v>211</v>
      </c>
      <c r="F12" s="66" t="str">
        <f t="shared" si="3"/>
        <v>Diesel</v>
      </c>
      <c r="G12" s="64"/>
      <c r="H12" s="70">
        <f>1-H6</f>
        <v>0.9</v>
      </c>
      <c r="I12" s="70">
        <f t="shared" ref="I12:V12" si="5">1-I6</f>
        <v>0.98</v>
      </c>
      <c r="J12" s="70">
        <f t="shared" si="5"/>
        <v>0.98</v>
      </c>
      <c r="K12" s="70">
        <f t="shared" si="5"/>
        <v>0.9</v>
      </c>
      <c r="L12" s="70">
        <f t="shared" si="5"/>
        <v>0.93</v>
      </c>
      <c r="M12" s="70">
        <f t="shared" si="5"/>
        <v>0.8</v>
      </c>
      <c r="N12" s="70">
        <f t="shared" si="5"/>
        <v>0.95</v>
      </c>
      <c r="O12" s="70">
        <f t="shared" si="5"/>
        <v>0.75</v>
      </c>
      <c r="P12" s="70">
        <f t="shared" si="5"/>
        <v>0.95</v>
      </c>
      <c r="Q12" s="70">
        <f t="shared" si="5"/>
        <v>0.9</v>
      </c>
      <c r="R12" s="70">
        <f t="shared" si="5"/>
        <v>0.85</v>
      </c>
      <c r="S12" s="70">
        <f t="shared" si="5"/>
        <v>0.92</v>
      </c>
      <c r="T12" s="70">
        <f t="shared" si="5"/>
        <v>0.89</v>
      </c>
      <c r="U12" s="70">
        <f t="shared" si="5"/>
        <v>0.975593578177383</v>
      </c>
      <c r="V12" s="70">
        <f t="shared" si="5"/>
        <v>0.8</v>
      </c>
      <c r="Y12" s="91" t="s">
        <v>11</v>
      </c>
      <c r="Z12" s="91" t="s">
        <v>180</v>
      </c>
    </row>
    <row r="13" spans="1:26">
      <c r="A13">
        <v>2</v>
      </c>
      <c r="B13" t="str">
        <f>VLOOKUP(F13,'TRA balance'!$BA$5:$BB$14,2,FALSE)</f>
        <v>TRADST</v>
      </c>
      <c r="C13" s="56" t="str">
        <f t="shared" si="0"/>
        <v>TR</v>
      </c>
      <c r="D13" s="57" t="s">
        <v>200</v>
      </c>
      <c r="E13" s="68" t="s">
        <v>212</v>
      </c>
      <c r="F13" s="58" t="str">
        <f t="shared" si="3"/>
        <v>Diesel</v>
      </c>
      <c r="G13" s="56" t="s">
        <v>213</v>
      </c>
      <c r="H13" s="59">
        <v>0.35</v>
      </c>
      <c r="I13" s="59">
        <v>0.15</v>
      </c>
      <c r="J13" s="59">
        <v>0.05</v>
      </c>
      <c r="K13" s="59">
        <v>0.35</v>
      </c>
      <c r="L13" s="59">
        <v>0.1</v>
      </c>
      <c r="M13" s="59">
        <v>0.1</v>
      </c>
      <c r="N13" s="59">
        <v>0.1</v>
      </c>
      <c r="O13" s="59">
        <v>0.25</v>
      </c>
      <c r="P13" s="59">
        <v>0.05</v>
      </c>
      <c r="Q13" s="59">
        <v>0.1</v>
      </c>
      <c r="R13" s="59">
        <v>0.1</v>
      </c>
      <c r="S13" s="59">
        <v>0.15</v>
      </c>
      <c r="T13" s="59">
        <v>0.22</v>
      </c>
      <c r="U13" s="59">
        <v>0.04</v>
      </c>
      <c r="V13" s="59">
        <v>0.05</v>
      </c>
      <c r="Y13" s="91" t="s">
        <v>12</v>
      </c>
      <c r="Z13" s="91" t="s">
        <v>182</v>
      </c>
    </row>
    <row r="14" spans="1:26">
      <c r="A14">
        <v>2</v>
      </c>
      <c r="B14" t="str">
        <f>VLOOKUP(F14,'TRA balance'!$BA$5:$BB$14,2,FALSE)</f>
        <v>TRADST</v>
      </c>
      <c r="C14" s="56" t="str">
        <f t="shared" si="0"/>
        <v>TR</v>
      </c>
      <c r="D14" s="57" t="s">
        <v>200</v>
      </c>
      <c r="E14" s="68" t="s">
        <v>214</v>
      </c>
      <c r="F14" s="58" t="str">
        <f t="shared" ref="F14:F20" si="6">F13</f>
        <v>Diesel</v>
      </c>
      <c r="G14" s="56" t="s">
        <v>215</v>
      </c>
      <c r="H14" s="59">
        <v>0.35</v>
      </c>
      <c r="I14" s="59">
        <v>0.35</v>
      </c>
      <c r="J14" s="59">
        <v>0.6</v>
      </c>
      <c r="K14" s="59">
        <v>0.35</v>
      </c>
      <c r="L14" s="59">
        <v>0.5</v>
      </c>
      <c r="M14" s="59">
        <v>0.5</v>
      </c>
      <c r="N14" s="59">
        <v>0.6</v>
      </c>
      <c r="O14" s="59">
        <v>0.3</v>
      </c>
      <c r="P14" s="59">
        <v>0.5</v>
      </c>
      <c r="Q14" s="59">
        <v>0.5</v>
      </c>
      <c r="R14" s="59">
        <v>0.45</v>
      </c>
      <c r="S14" s="59">
        <v>0.5</v>
      </c>
      <c r="T14" s="59">
        <v>0.38</v>
      </c>
      <c r="U14" s="59">
        <v>0.8</v>
      </c>
      <c r="V14" s="59">
        <v>0.5</v>
      </c>
      <c r="Y14" s="91" t="s">
        <v>13</v>
      </c>
      <c r="Z14" s="91" t="s">
        <v>182</v>
      </c>
    </row>
    <row r="15" spans="1:26">
      <c r="A15">
        <v>2</v>
      </c>
      <c r="B15" t="str">
        <f>VLOOKUP(F15,'TRA balance'!$BA$5:$BB$14,2,FALSE)</f>
        <v>TRADST</v>
      </c>
      <c r="C15" s="56" t="str">
        <f t="shared" si="0"/>
        <v>TR</v>
      </c>
      <c r="D15" s="57" t="s">
        <v>200</v>
      </c>
      <c r="E15" s="68" t="s">
        <v>216</v>
      </c>
      <c r="F15" s="58" t="str">
        <f t="shared" si="6"/>
        <v>Diesel</v>
      </c>
      <c r="G15" s="56" t="s">
        <v>217</v>
      </c>
      <c r="H15" s="59">
        <v>0.1</v>
      </c>
      <c r="I15" s="59">
        <v>0.3</v>
      </c>
      <c r="J15" s="59">
        <v>0.25</v>
      </c>
      <c r="K15" s="59">
        <v>0.2</v>
      </c>
      <c r="L15" s="59">
        <v>0.3</v>
      </c>
      <c r="M15" s="59">
        <v>0.25</v>
      </c>
      <c r="N15" s="59">
        <v>0.2</v>
      </c>
      <c r="O15" s="59">
        <v>0.2</v>
      </c>
      <c r="P15" s="59">
        <v>0.3</v>
      </c>
      <c r="Q15" s="59">
        <v>0.25</v>
      </c>
      <c r="R15" s="59">
        <v>0.3</v>
      </c>
      <c r="S15" s="59">
        <v>0.25</v>
      </c>
      <c r="T15" s="59">
        <v>0.2</v>
      </c>
      <c r="U15" s="59">
        <v>0.11</v>
      </c>
      <c r="V15" s="59">
        <v>0.3</v>
      </c>
      <c r="Y15" s="91" t="s">
        <v>14</v>
      </c>
      <c r="Z15" s="91" t="s">
        <v>191</v>
      </c>
    </row>
    <row r="16" spans="1:26">
      <c r="A16">
        <v>2</v>
      </c>
      <c r="B16" t="str">
        <f>VLOOKUP(F16,'TRA balance'!$BA$5:$BB$14,2,FALSE)</f>
        <v>TRADST</v>
      </c>
      <c r="C16" s="56" t="str">
        <f t="shared" si="0"/>
        <v>TR</v>
      </c>
      <c r="D16" s="57" t="s">
        <v>200</v>
      </c>
      <c r="E16" s="68" t="s">
        <v>218</v>
      </c>
      <c r="F16" s="58" t="str">
        <f t="shared" si="6"/>
        <v>Diesel</v>
      </c>
      <c r="G16" s="56" t="s">
        <v>219</v>
      </c>
      <c r="H16" s="59">
        <v>0.2</v>
      </c>
      <c r="I16" s="59">
        <v>0.2</v>
      </c>
      <c r="J16" s="59">
        <v>0.1</v>
      </c>
      <c r="K16" s="59">
        <v>0.1</v>
      </c>
      <c r="L16" s="59">
        <v>0.1</v>
      </c>
      <c r="M16" s="59">
        <v>0.15</v>
      </c>
      <c r="N16" s="59">
        <v>0.1</v>
      </c>
      <c r="O16" s="59">
        <v>0.25</v>
      </c>
      <c r="P16" s="59">
        <v>0.15</v>
      </c>
      <c r="Q16" s="59">
        <v>0.15</v>
      </c>
      <c r="R16" s="59">
        <v>0.15</v>
      </c>
      <c r="S16" s="59">
        <v>0.1</v>
      </c>
      <c r="T16" s="59">
        <v>0.2</v>
      </c>
      <c r="U16" s="59">
        <v>0.05</v>
      </c>
      <c r="V16" s="59">
        <v>0.15</v>
      </c>
      <c r="Y16" s="91" t="s">
        <v>15</v>
      </c>
      <c r="Z16" s="91" t="s">
        <v>191</v>
      </c>
    </row>
    <row r="17" spans="1:26">
      <c r="A17">
        <v>1</v>
      </c>
      <c r="B17" t="str">
        <f>VLOOKUP(F17,'TRA balance'!$BA$5:$BB$14,2,FALSE)</f>
        <v>TRADST</v>
      </c>
      <c r="C17" s="56" t="str">
        <f t="shared" si="0"/>
        <v/>
      </c>
      <c r="D17" s="57"/>
      <c r="E17" s="69" t="s">
        <v>220</v>
      </c>
      <c r="F17" s="58" t="str">
        <f t="shared" si="6"/>
        <v>Diesel</v>
      </c>
      <c r="G17" s="56"/>
      <c r="H17" s="63" t="str">
        <f>IF(SUM(H13:H16)=1,"-","&lt;&gt;1!!")</f>
        <v>-</v>
      </c>
      <c r="I17" s="63" t="str">
        <f t="shared" ref="I17:V17" si="7">IF(SUM(I13:I16)=1,"-","&lt;&gt;1!!")</f>
        <v>-</v>
      </c>
      <c r="J17" s="63" t="str">
        <f t="shared" si="7"/>
        <v>-</v>
      </c>
      <c r="K17" s="63" t="str">
        <f t="shared" si="7"/>
        <v>-</v>
      </c>
      <c r="L17" s="63" t="str">
        <f t="shared" si="7"/>
        <v>-</v>
      </c>
      <c r="M17" s="63" t="str">
        <f t="shared" si="7"/>
        <v>-</v>
      </c>
      <c r="N17" s="63" t="str">
        <f t="shared" si="7"/>
        <v>-</v>
      </c>
      <c r="O17" s="63" t="str">
        <f t="shared" si="7"/>
        <v>-</v>
      </c>
      <c r="P17" s="63" t="str">
        <f t="shared" si="7"/>
        <v>-</v>
      </c>
      <c r="Q17" s="63" t="str">
        <f t="shared" si="7"/>
        <v>-</v>
      </c>
      <c r="R17" s="63" t="str">
        <f t="shared" si="7"/>
        <v>-</v>
      </c>
      <c r="S17" s="63" t="str">
        <f t="shared" si="7"/>
        <v>-</v>
      </c>
      <c r="T17" s="63" t="str">
        <f t="shared" si="7"/>
        <v>-</v>
      </c>
      <c r="U17" s="63" t="str">
        <f t="shared" si="7"/>
        <v>-</v>
      </c>
      <c r="V17" s="63" t="str">
        <f t="shared" si="7"/>
        <v>-</v>
      </c>
      <c r="Y17" s="91" t="s">
        <v>16</v>
      </c>
      <c r="Z17" s="91" t="s">
        <v>191</v>
      </c>
    </row>
    <row r="18" spans="1:26">
      <c r="A18">
        <v>1</v>
      </c>
      <c r="B18" t="str">
        <f>VLOOKUP(F18,'TRA balance'!$BA$5:$BB$14,2,FALSE)</f>
        <v>TRADST</v>
      </c>
      <c r="C18" s="56" t="str">
        <f t="shared" si="0"/>
        <v>TT</v>
      </c>
      <c r="D18" s="57" t="s">
        <v>192</v>
      </c>
      <c r="E18" s="57" t="s">
        <v>193</v>
      </c>
      <c r="F18" s="58" t="str">
        <f t="shared" si="6"/>
        <v>Diesel</v>
      </c>
      <c r="G18" s="56" t="s">
        <v>194</v>
      </c>
      <c r="H18" s="59">
        <v>0.7</v>
      </c>
      <c r="I18" s="59">
        <v>0.7</v>
      </c>
      <c r="J18" s="59">
        <v>0.95</v>
      </c>
      <c r="K18" s="59">
        <v>0.6</v>
      </c>
      <c r="L18" s="59">
        <v>0.8</v>
      </c>
      <c r="M18" s="59">
        <v>0.9</v>
      </c>
      <c r="N18" s="59">
        <v>0.9</v>
      </c>
      <c r="O18" s="59">
        <v>0.5</v>
      </c>
      <c r="P18" s="59">
        <v>0.3</v>
      </c>
      <c r="Q18" s="59">
        <v>0.7</v>
      </c>
      <c r="R18" s="59">
        <v>0.75</v>
      </c>
      <c r="S18" s="59">
        <v>0.8</v>
      </c>
      <c r="T18" s="59">
        <v>0.9</v>
      </c>
      <c r="U18" s="59">
        <v>0.960321230917373</v>
      </c>
      <c r="V18" s="59">
        <v>0.9</v>
      </c>
      <c r="Y18" s="91" t="s">
        <v>17</v>
      </c>
      <c r="Z18" s="91" t="s">
        <v>182</v>
      </c>
    </row>
    <row r="19" spans="1:26">
      <c r="A19">
        <v>1</v>
      </c>
      <c r="B19" t="str">
        <f>VLOOKUP(F19,'TRA balance'!$BA$5:$BB$14,2,FALSE)</f>
        <v>TRADST</v>
      </c>
      <c r="C19" s="56" t="str">
        <f t="shared" si="0"/>
        <v>TT</v>
      </c>
      <c r="D19" s="57" t="s">
        <v>192</v>
      </c>
      <c r="E19" s="57" t="s">
        <v>197</v>
      </c>
      <c r="F19" s="58" t="str">
        <f t="shared" si="6"/>
        <v>Diesel</v>
      </c>
      <c r="G19" s="56" t="s">
        <v>198</v>
      </c>
      <c r="H19" s="59">
        <v>0.3</v>
      </c>
      <c r="I19" s="59">
        <v>0.3</v>
      </c>
      <c r="J19" s="59">
        <v>0.05</v>
      </c>
      <c r="K19" s="59">
        <v>0.4</v>
      </c>
      <c r="L19" s="59">
        <v>0.2</v>
      </c>
      <c r="M19" s="59">
        <v>0.1</v>
      </c>
      <c r="N19" s="59">
        <v>0.1</v>
      </c>
      <c r="O19" s="59">
        <v>0.5</v>
      </c>
      <c r="P19" s="59">
        <v>0.7</v>
      </c>
      <c r="Q19" s="59">
        <v>0.3</v>
      </c>
      <c r="R19" s="59">
        <v>0.25</v>
      </c>
      <c r="S19" s="59">
        <v>0.2</v>
      </c>
      <c r="T19" s="59">
        <v>0.1</v>
      </c>
      <c r="U19" s="59">
        <v>0.0396787690826272</v>
      </c>
      <c r="V19" s="59">
        <v>0.1</v>
      </c>
      <c r="Y19" s="91" t="s">
        <v>18</v>
      </c>
      <c r="Z19" s="91" t="s">
        <v>191</v>
      </c>
    </row>
    <row r="20" spans="1:26">
      <c r="A20">
        <v>1</v>
      </c>
      <c r="B20" t="str">
        <f>VLOOKUP(F20,'TRA balance'!$BA$5:$BB$14,2,FALSE)</f>
        <v>TRADST</v>
      </c>
      <c r="C20" s="60"/>
      <c r="D20" s="60"/>
      <c r="E20" s="61" t="s">
        <v>199</v>
      </c>
      <c r="F20" s="62" t="str">
        <f t="shared" si="6"/>
        <v>Diesel</v>
      </c>
      <c r="G20" s="60"/>
      <c r="H20" s="61" t="str">
        <f t="shared" ref="H20:V20" si="8">IF(SUM(H18:H19)=1,"-","&lt;&gt;1!!")</f>
        <v>-</v>
      </c>
      <c r="I20" s="61" t="str">
        <f t="shared" si="8"/>
        <v>-</v>
      </c>
      <c r="J20" s="61" t="str">
        <f t="shared" si="8"/>
        <v>-</v>
      </c>
      <c r="K20" s="61" t="str">
        <f t="shared" si="8"/>
        <v>-</v>
      </c>
      <c r="L20" s="61" t="str">
        <f t="shared" si="8"/>
        <v>-</v>
      </c>
      <c r="M20" s="61" t="str">
        <f t="shared" si="8"/>
        <v>-</v>
      </c>
      <c r="N20" s="61" t="str">
        <f t="shared" si="8"/>
        <v>-</v>
      </c>
      <c r="O20" s="61" t="str">
        <f t="shared" si="8"/>
        <v>-</v>
      </c>
      <c r="P20" s="61" t="str">
        <f t="shared" si="8"/>
        <v>-</v>
      </c>
      <c r="Q20" s="61" t="str">
        <f t="shared" si="8"/>
        <v>-</v>
      </c>
      <c r="R20" s="61" t="str">
        <f t="shared" si="8"/>
        <v>-</v>
      </c>
      <c r="S20" s="61" t="str">
        <f t="shared" si="8"/>
        <v>-</v>
      </c>
      <c r="T20" s="61" t="str">
        <f t="shared" si="8"/>
        <v>-</v>
      </c>
      <c r="U20" s="61" t="str">
        <f t="shared" si="8"/>
        <v>-</v>
      </c>
      <c r="V20" s="61" t="str">
        <f t="shared" si="8"/>
        <v>-</v>
      </c>
      <c r="Y20" s="91" t="s">
        <v>19</v>
      </c>
      <c r="Z20" s="91" t="s">
        <v>184</v>
      </c>
    </row>
    <row r="21" spans="1:26">
      <c r="A21">
        <v>1</v>
      </c>
      <c r="B21" t="str">
        <f>VLOOKUP(F21,'TRA balance'!$BA$5:$BB$14,2,FALSE)</f>
        <v>TRAGSL</v>
      </c>
      <c r="C21" s="64">
        <v>1</v>
      </c>
      <c r="D21" s="65" t="s">
        <v>200</v>
      </c>
      <c r="E21" s="65" t="s">
        <v>201</v>
      </c>
      <c r="F21" s="66" t="s">
        <v>67</v>
      </c>
      <c r="G21" s="64"/>
      <c r="H21" s="93">
        <v>1</v>
      </c>
      <c r="I21" s="93">
        <v>0.9</v>
      </c>
      <c r="J21" s="93">
        <v>0.96</v>
      </c>
      <c r="K21" s="95">
        <v>0.9</v>
      </c>
      <c r="L21" s="93">
        <v>0.9</v>
      </c>
      <c r="M21" s="93">
        <v>0.9</v>
      </c>
      <c r="N21" s="93">
        <v>0.7</v>
      </c>
      <c r="O21" s="93">
        <v>1</v>
      </c>
      <c r="P21" s="93">
        <v>0.9</v>
      </c>
      <c r="Q21" s="93">
        <v>0.7</v>
      </c>
      <c r="R21" s="93">
        <v>0.95</v>
      </c>
      <c r="S21" s="93">
        <v>1</v>
      </c>
      <c r="T21" s="93">
        <v>0.99</v>
      </c>
      <c r="U21" s="93">
        <v>0.8</v>
      </c>
      <c r="V21" s="93">
        <v>0.97</v>
      </c>
      <c r="Y21" s="91" t="s">
        <v>20</v>
      </c>
      <c r="Z21" s="91" t="s">
        <v>191</v>
      </c>
    </row>
    <row r="22" spans="1:26">
      <c r="A22">
        <v>1</v>
      </c>
      <c r="B22" t="str">
        <f>VLOOKUP(F22,'TRA balance'!$BA$5:$BB$14,2,FALSE)</f>
        <v>TRAGSL</v>
      </c>
      <c r="C22" s="56" t="str">
        <f t="shared" si="0"/>
        <v>TR</v>
      </c>
      <c r="D22" s="57" t="s">
        <v>200</v>
      </c>
      <c r="E22" s="68" t="s">
        <v>202</v>
      </c>
      <c r="F22" s="58" t="str">
        <f>F21</f>
        <v>Gasoline</v>
      </c>
      <c r="G22" s="56" t="s">
        <v>203</v>
      </c>
      <c r="H22" s="59">
        <v>0.45</v>
      </c>
      <c r="I22" s="59">
        <v>0.69</v>
      </c>
      <c r="J22" s="59">
        <v>0.6</v>
      </c>
      <c r="K22" s="59">
        <v>0.65</v>
      </c>
      <c r="L22" s="59">
        <v>0.67</v>
      </c>
      <c r="M22" s="59">
        <v>0.65</v>
      </c>
      <c r="N22" s="59">
        <v>0.65</v>
      </c>
      <c r="O22" s="59">
        <v>0.45</v>
      </c>
      <c r="P22" s="59">
        <v>0.7</v>
      </c>
      <c r="Q22" s="59">
        <v>0.55</v>
      </c>
      <c r="R22" s="59">
        <v>0.6</v>
      </c>
      <c r="S22" s="59">
        <v>0.45</v>
      </c>
      <c r="T22" s="59">
        <v>0.6</v>
      </c>
      <c r="U22" s="59">
        <v>0.583</v>
      </c>
      <c r="V22" s="59">
        <v>0.64</v>
      </c>
      <c r="Y22" s="91" t="s">
        <v>21</v>
      </c>
      <c r="Z22" s="91" t="s">
        <v>191</v>
      </c>
    </row>
    <row r="23" spans="1:26">
      <c r="A23">
        <v>1</v>
      </c>
      <c r="B23" t="str">
        <f>VLOOKUP(F23,'TRA balance'!$BA$5:$BB$14,2,FALSE)</f>
        <v>TRAGSL</v>
      </c>
      <c r="C23" s="56" t="str">
        <f t="shared" si="0"/>
        <v>TR</v>
      </c>
      <c r="D23" s="57" t="s">
        <v>200</v>
      </c>
      <c r="E23" s="68" t="s">
        <v>204</v>
      </c>
      <c r="F23" s="58" t="str">
        <f t="shared" ref="F23:F28" si="9">F22</f>
        <v>Gasoline</v>
      </c>
      <c r="G23" s="56" t="s">
        <v>205</v>
      </c>
      <c r="H23" s="59">
        <v>0.1</v>
      </c>
      <c r="I23" s="59">
        <v>0.29</v>
      </c>
      <c r="J23" s="59">
        <v>0.399</v>
      </c>
      <c r="K23" s="59">
        <v>0.25</v>
      </c>
      <c r="L23" s="59">
        <v>0.31</v>
      </c>
      <c r="M23" s="59">
        <v>0.33</v>
      </c>
      <c r="N23" s="59">
        <v>0.33</v>
      </c>
      <c r="O23" s="59">
        <v>0.05</v>
      </c>
      <c r="P23" s="59">
        <v>0.285</v>
      </c>
      <c r="Q23" s="59">
        <v>0.42</v>
      </c>
      <c r="R23" s="59">
        <v>0.33</v>
      </c>
      <c r="S23" s="59">
        <v>0.1</v>
      </c>
      <c r="T23" s="59">
        <v>0.38</v>
      </c>
      <c r="U23" s="59">
        <v>0.415</v>
      </c>
      <c r="V23" s="59">
        <v>0.35</v>
      </c>
      <c r="Y23" s="91" t="s">
        <v>22</v>
      </c>
      <c r="Z23" s="91" t="s">
        <v>185</v>
      </c>
    </row>
    <row r="24" spans="1:26">
      <c r="A24">
        <v>1</v>
      </c>
      <c r="B24" t="str">
        <f>VLOOKUP(F24,'TRA balance'!$BA$5:$BB$14,2,FALSE)</f>
        <v>TRAGSL</v>
      </c>
      <c r="C24" s="56" t="str">
        <f t="shared" si="0"/>
        <v>TR</v>
      </c>
      <c r="D24" s="57" t="s">
        <v>200</v>
      </c>
      <c r="E24" s="68" t="s">
        <v>206</v>
      </c>
      <c r="F24" s="58" t="str">
        <f t="shared" si="9"/>
        <v>Gasoline</v>
      </c>
      <c r="G24" s="56" t="s">
        <v>207</v>
      </c>
      <c r="H24" s="59">
        <v>0.1</v>
      </c>
      <c r="I24" s="59">
        <v>0</v>
      </c>
      <c r="J24" s="59">
        <v>0</v>
      </c>
      <c r="K24" s="59">
        <v>0</v>
      </c>
      <c r="L24" s="59">
        <v>0.005</v>
      </c>
      <c r="M24" s="59">
        <v>0.005</v>
      </c>
      <c r="N24" s="59">
        <v>0.005</v>
      </c>
      <c r="O24" s="59">
        <v>0.1</v>
      </c>
      <c r="P24" s="59">
        <v>0.005</v>
      </c>
      <c r="Q24" s="59">
        <v>0.01</v>
      </c>
      <c r="R24" s="59">
        <v>0.005</v>
      </c>
      <c r="S24" s="59">
        <v>0.1</v>
      </c>
      <c r="T24" s="59">
        <v>0.005</v>
      </c>
      <c r="U24" s="59">
        <v>0.001</v>
      </c>
      <c r="V24" s="59">
        <v>0.005</v>
      </c>
      <c r="Y24" s="91" t="s">
        <v>23</v>
      </c>
      <c r="Z24" s="91" t="s">
        <v>181</v>
      </c>
    </row>
    <row r="25" spans="1:26">
      <c r="A25">
        <v>1</v>
      </c>
      <c r="B25" t="str">
        <f>VLOOKUP(F25,'TRA balance'!$BA$5:$BB$14,2,FALSE)</f>
        <v>TRAGSL</v>
      </c>
      <c r="C25" s="56" t="str">
        <f t="shared" si="0"/>
        <v>TR</v>
      </c>
      <c r="D25" s="57" t="s">
        <v>200</v>
      </c>
      <c r="E25" s="68" t="s">
        <v>208</v>
      </c>
      <c r="F25" s="58" t="str">
        <f t="shared" si="9"/>
        <v>Gasoline</v>
      </c>
      <c r="G25" s="56" t="s">
        <v>209</v>
      </c>
      <c r="H25" s="59">
        <v>0.35</v>
      </c>
      <c r="I25" s="59">
        <v>0.02</v>
      </c>
      <c r="J25" s="59">
        <v>0.001</v>
      </c>
      <c r="K25" s="59">
        <v>0.1</v>
      </c>
      <c r="L25" s="59">
        <v>0.015</v>
      </c>
      <c r="M25" s="59">
        <v>0.015</v>
      </c>
      <c r="N25" s="59">
        <v>0.015</v>
      </c>
      <c r="O25" s="59">
        <v>0.4</v>
      </c>
      <c r="P25" s="59">
        <v>0.01</v>
      </c>
      <c r="Q25" s="59">
        <v>0.02</v>
      </c>
      <c r="R25" s="59">
        <v>0.065</v>
      </c>
      <c r="S25" s="59">
        <v>0.35</v>
      </c>
      <c r="T25" s="59">
        <v>0.015</v>
      </c>
      <c r="U25" s="59">
        <v>0.001</v>
      </c>
      <c r="V25" s="59">
        <v>0.005</v>
      </c>
      <c r="Y25" s="91" t="s">
        <v>24</v>
      </c>
      <c r="Z25" s="91" t="s">
        <v>186</v>
      </c>
    </row>
    <row r="26" spans="1:26">
      <c r="A26">
        <v>1</v>
      </c>
      <c r="B26" t="str">
        <f>VLOOKUP(F26,'TRA balance'!$BA$5:$BB$14,2,FALSE)</f>
        <v>TRAGSL</v>
      </c>
      <c r="C26" s="56" t="str">
        <f t="shared" si="0"/>
        <v/>
      </c>
      <c r="D26" s="57"/>
      <c r="E26" s="69" t="s">
        <v>210</v>
      </c>
      <c r="F26" s="58" t="str">
        <f t="shared" si="9"/>
        <v>Gasoline</v>
      </c>
      <c r="G26" s="56"/>
      <c r="H26" s="69" t="str">
        <f>IF(SUM(H22:H25)=1,"-","&lt;&gt;1!!")</f>
        <v>-</v>
      </c>
      <c r="I26" s="69" t="str">
        <f t="shared" ref="I26:V26" si="10">IF(SUM(I22:I25)=1,"-","&lt;&gt;1!!")</f>
        <v>-</v>
      </c>
      <c r="J26" s="69" t="str">
        <f t="shared" si="10"/>
        <v>-</v>
      </c>
      <c r="K26" s="69" t="str">
        <f t="shared" si="10"/>
        <v>-</v>
      </c>
      <c r="L26" s="69" t="str">
        <f t="shared" si="10"/>
        <v>-</v>
      </c>
      <c r="M26" s="69" t="str">
        <f t="shared" si="10"/>
        <v>-</v>
      </c>
      <c r="N26" s="69" t="str">
        <f t="shared" si="10"/>
        <v>-</v>
      </c>
      <c r="O26" s="69" t="str">
        <f t="shared" si="10"/>
        <v>-</v>
      </c>
      <c r="P26" s="69" t="str">
        <f t="shared" si="10"/>
        <v>-</v>
      </c>
      <c r="Q26" s="69" t="str">
        <f t="shared" si="10"/>
        <v>-</v>
      </c>
      <c r="R26" s="69" t="str">
        <f t="shared" si="10"/>
        <v>-</v>
      </c>
      <c r="S26" s="69" t="str">
        <f t="shared" si="10"/>
        <v>-</v>
      </c>
      <c r="T26" s="69" t="str">
        <f t="shared" si="10"/>
        <v>-</v>
      </c>
      <c r="U26" s="69" t="str">
        <f t="shared" si="10"/>
        <v>-</v>
      </c>
      <c r="V26" s="69" t="str">
        <f t="shared" si="10"/>
        <v>-</v>
      </c>
      <c r="Y26" s="91" t="s">
        <v>25</v>
      </c>
      <c r="Z26" s="91" t="s">
        <v>190</v>
      </c>
    </row>
    <row r="27" spans="1:26">
      <c r="A27">
        <v>1</v>
      </c>
      <c r="B27" t="str">
        <f>VLOOKUP(F27,'TRA balance'!$BA$5:$BB$14,2,FALSE)</f>
        <v>TRAGSL</v>
      </c>
      <c r="C27" s="64">
        <v>2</v>
      </c>
      <c r="D27" s="65" t="s">
        <v>200</v>
      </c>
      <c r="E27" s="65" t="s">
        <v>211</v>
      </c>
      <c r="F27" s="66" t="str">
        <f t="shared" si="9"/>
        <v>Gasoline</v>
      </c>
      <c r="G27" s="64"/>
      <c r="H27" s="70">
        <f>1-H21</f>
        <v>0</v>
      </c>
      <c r="I27" s="70">
        <f t="shared" ref="I27:V27" si="11">1-I21</f>
        <v>0.1</v>
      </c>
      <c r="J27" s="70">
        <f t="shared" si="11"/>
        <v>0.04</v>
      </c>
      <c r="K27" s="70">
        <f t="shared" si="11"/>
        <v>0.1</v>
      </c>
      <c r="L27" s="70">
        <f t="shared" si="11"/>
        <v>0.1</v>
      </c>
      <c r="M27" s="70">
        <f t="shared" si="11"/>
        <v>0.1</v>
      </c>
      <c r="N27" s="70">
        <f t="shared" si="11"/>
        <v>0.3</v>
      </c>
      <c r="O27" s="70">
        <f t="shared" si="11"/>
        <v>0</v>
      </c>
      <c r="P27" s="70">
        <f t="shared" si="11"/>
        <v>0.1</v>
      </c>
      <c r="Q27" s="70">
        <f t="shared" si="11"/>
        <v>0.3</v>
      </c>
      <c r="R27" s="70">
        <f t="shared" si="11"/>
        <v>0.05</v>
      </c>
      <c r="S27" s="70">
        <f t="shared" si="11"/>
        <v>0</v>
      </c>
      <c r="T27" s="70">
        <f t="shared" si="11"/>
        <v>0.01</v>
      </c>
      <c r="U27" s="70">
        <f t="shared" si="11"/>
        <v>0.2</v>
      </c>
      <c r="V27" s="70">
        <f t="shared" si="11"/>
        <v>0.03</v>
      </c>
      <c r="Y27" s="91" t="s">
        <v>26</v>
      </c>
      <c r="Z27" s="91" t="s">
        <v>191</v>
      </c>
    </row>
    <row r="28" spans="1:26">
      <c r="A28">
        <v>2</v>
      </c>
      <c r="B28" t="str">
        <f>VLOOKUP(F28,'TRA balance'!$BA$5:$BB$14,2,FALSE)</f>
        <v>TRAGSL</v>
      </c>
      <c r="C28" s="56" t="str">
        <f t="shared" si="0"/>
        <v>TR</v>
      </c>
      <c r="D28" s="57" t="s">
        <v>200</v>
      </c>
      <c r="E28" s="68" t="s">
        <v>212</v>
      </c>
      <c r="F28" s="58" t="str">
        <f t="shared" si="9"/>
        <v>Gasoline</v>
      </c>
      <c r="G28" s="56" t="s">
        <v>213</v>
      </c>
      <c r="H28" s="59">
        <v>0.05</v>
      </c>
      <c r="I28" s="59">
        <v>0.05</v>
      </c>
      <c r="J28" s="59">
        <v>0.05</v>
      </c>
      <c r="K28" s="59">
        <v>0.1</v>
      </c>
      <c r="L28" s="59">
        <v>0.12</v>
      </c>
      <c r="M28" s="59">
        <v>0.1</v>
      </c>
      <c r="N28" s="59">
        <v>0.05</v>
      </c>
      <c r="O28" s="59">
        <v>0</v>
      </c>
      <c r="P28" s="59">
        <v>0</v>
      </c>
      <c r="Q28" s="59">
        <v>0.1</v>
      </c>
      <c r="R28" s="59">
        <v>0.1</v>
      </c>
      <c r="S28" s="59">
        <v>0.15</v>
      </c>
      <c r="T28" s="59">
        <v>0.1</v>
      </c>
      <c r="U28" s="59">
        <v>0.005</v>
      </c>
      <c r="V28" s="59">
        <v>0.05</v>
      </c>
      <c r="Y28" s="91" t="s">
        <v>27</v>
      </c>
      <c r="Z28" s="91" t="s">
        <v>182</v>
      </c>
    </row>
    <row r="29" spans="1:26">
      <c r="A29">
        <v>2</v>
      </c>
      <c r="B29" t="str">
        <f>VLOOKUP(F29,'TRA balance'!$BA$5:$BB$14,2,FALSE)</f>
        <v>TRAGSL</v>
      </c>
      <c r="C29" s="56" t="str">
        <f t="shared" si="0"/>
        <v>TR</v>
      </c>
      <c r="D29" s="57" t="s">
        <v>200</v>
      </c>
      <c r="E29" s="68" t="s">
        <v>214</v>
      </c>
      <c r="F29" s="58" t="str">
        <f t="shared" ref="F29:F35" si="12">F28</f>
        <v>Gasoline</v>
      </c>
      <c r="G29" s="56" t="s">
        <v>215</v>
      </c>
      <c r="H29" s="59">
        <v>0</v>
      </c>
      <c r="I29" s="59">
        <v>0</v>
      </c>
      <c r="J29" s="59">
        <v>0</v>
      </c>
      <c r="K29" s="59">
        <v>0</v>
      </c>
      <c r="L29" s="59">
        <v>0</v>
      </c>
      <c r="M29" s="59">
        <v>0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S29" s="59">
        <v>0</v>
      </c>
      <c r="T29" s="59">
        <v>0</v>
      </c>
      <c r="U29" s="59">
        <v>0</v>
      </c>
      <c r="V29" s="59">
        <v>0</v>
      </c>
      <c r="Y29" s="91" t="s">
        <v>28</v>
      </c>
      <c r="Z29" s="91" t="s">
        <v>188</v>
      </c>
    </row>
    <row r="30" spans="1:26">
      <c r="A30">
        <v>2</v>
      </c>
      <c r="B30" t="str">
        <f>VLOOKUP(F30,'TRA balance'!$BA$5:$BB$14,2,FALSE)</f>
        <v>TRAGSL</v>
      </c>
      <c r="C30" s="56" t="str">
        <f t="shared" si="0"/>
        <v>TR</v>
      </c>
      <c r="D30" s="57" t="s">
        <v>200</v>
      </c>
      <c r="E30" s="68" t="s">
        <v>216</v>
      </c>
      <c r="F30" s="58" t="str">
        <f t="shared" si="12"/>
        <v>Gasoline</v>
      </c>
      <c r="G30" s="56" t="s">
        <v>217</v>
      </c>
      <c r="H30" s="59">
        <v>0.4</v>
      </c>
      <c r="I30" s="59">
        <v>0</v>
      </c>
      <c r="J30" s="59">
        <v>0.05</v>
      </c>
      <c r="K30" s="59">
        <v>0.1</v>
      </c>
      <c r="L30" s="59">
        <v>0.3</v>
      </c>
      <c r="M30" s="59">
        <v>0.4</v>
      </c>
      <c r="N30" s="59">
        <v>0.4</v>
      </c>
      <c r="O30" s="59">
        <v>0.3</v>
      </c>
      <c r="P30" s="59">
        <v>0</v>
      </c>
      <c r="Q30" s="59">
        <v>0.35</v>
      </c>
      <c r="R30" s="59">
        <v>0.15</v>
      </c>
      <c r="S30" s="59">
        <v>0.35</v>
      </c>
      <c r="T30" s="59">
        <v>0.3</v>
      </c>
      <c r="U30" s="59">
        <v>0.3</v>
      </c>
      <c r="V30" s="59">
        <v>0</v>
      </c>
      <c r="Y30" s="91" t="s">
        <v>29</v>
      </c>
      <c r="Z30" s="91" t="s">
        <v>183</v>
      </c>
    </row>
    <row r="31" spans="1:26">
      <c r="A31">
        <v>2</v>
      </c>
      <c r="B31" t="str">
        <f>VLOOKUP(F31,'TRA balance'!$BA$5:$BB$14,2,FALSE)</f>
        <v>TRAGSL</v>
      </c>
      <c r="C31" s="56" t="str">
        <f t="shared" si="0"/>
        <v>TR</v>
      </c>
      <c r="D31" s="57" t="s">
        <v>200</v>
      </c>
      <c r="E31" s="68" t="s">
        <v>218</v>
      </c>
      <c r="F31" s="58" t="str">
        <f t="shared" si="12"/>
        <v>Gasoline</v>
      </c>
      <c r="G31" s="56" t="s">
        <v>219</v>
      </c>
      <c r="H31" s="96">
        <f>1-SUM(H28:H30)</f>
        <v>0.55</v>
      </c>
      <c r="I31" s="96">
        <f t="shared" ref="I31:V31" si="13">1-SUM(I28:I30)</f>
        <v>0.95</v>
      </c>
      <c r="J31" s="96">
        <f t="shared" si="13"/>
        <v>0.9</v>
      </c>
      <c r="K31" s="96">
        <f t="shared" si="13"/>
        <v>0.8</v>
      </c>
      <c r="L31" s="96">
        <f t="shared" si="13"/>
        <v>0.58</v>
      </c>
      <c r="M31" s="96">
        <f t="shared" si="13"/>
        <v>0.5</v>
      </c>
      <c r="N31" s="96">
        <f t="shared" si="13"/>
        <v>0.55</v>
      </c>
      <c r="O31" s="96">
        <f t="shared" si="13"/>
        <v>0.7</v>
      </c>
      <c r="P31" s="96">
        <f t="shared" si="13"/>
        <v>1</v>
      </c>
      <c r="Q31" s="96">
        <f t="shared" si="13"/>
        <v>0.55</v>
      </c>
      <c r="R31" s="96">
        <f t="shared" si="13"/>
        <v>0.75</v>
      </c>
      <c r="S31" s="96">
        <f t="shared" si="13"/>
        <v>0.5</v>
      </c>
      <c r="T31" s="96">
        <f t="shared" si="13"/>
        <v>0.6</v>
      </c>
      <c r="U31" s="96">
        <f t="shared" si="13"/>
        <v>0.695</v>
      </c>
      <c r="V31" s="96">
        <f t="shared" si="13"/>
        <v>0.95</v>
      </c>
      <c r="Y31" s="91" t="s">
        <v>30</v>
      </c>
      <c r="Z31" s="91" t="s">
        <v>186</v>
      </c>
    </row>
    <row r="32" spans="1:26">
      <c r="A32">
        <v>1</v>
      </c>
      <c r="B32" t="str">
        <f>VLOOKUP(F32,'TRA balance'!$BA$5:$BB$14,2,FALSE)</f>
        <v>TRAGSL</v>
      </c>
      <c r="C32" s="56" t="str">
        <f t="shared" si="0"/>
        <v/>
      </c>
      <c r="D32" s="57"/>
      <c r="E32" s="69" t="s">
        <v>220</v>
      </c>
      <c r="F32" s="58" t="str">
        <f t="shared" si="12"/>
        <v>Gasoline</v>
      </c>
      <c r="G32" s="56"/>
      <c r="H32" s="71" t="str">
        <f>IF(SUM(H28:H31)=1,"-","&lt;&gt;1!!")</f>
        <v>-</v>
      </c>
      <c r="I32" s="71" t="str">
        <f t="shared" ref="I32:V32" si="14">IF(SUM(I28:I31)=1,"-","&lt;&gt;1!!")</f>
        <v>-</v>
      </c>
      <c r="J32" s="71" t="str">
        <f t="shared" si="14"/>
        <v>-</v>
      </c>
      <c r="K32" s="71" t="str">
        <f t="shared" si="14"/>
        <v>-</v>
      </c>
      <c r="L32" s="71" t="str">
        <f t="shared" si="14"/>
        <v>-</v>
      </c>
      <c r="M32" s="71" t="str">
        <f t="shared" si="14"/>
        <v>-</v>
      </c>
      <c r="N32" s="71" t="str">
        <f t="shared" si="14"/>
        <v>-</v>
      </c>
      <c r="O32" s="71" t="str">
        <f t="shared" si="14"/>
        <v>-</v>
      </c>
      <c r="P32" s="71" t="str">
        <f t="shared" si="14"/>
        <v>-</v>
      </c>
      <c r="Q32" s="71" t="str">
        <f t="shared" si="14"/>
        <v>-</v>
      </c>
      <c r="R32" s="71" t="str">
        <f t="shared" si="14"/>
        <v>-</v>
      </c>
      <c r="S32" s="71" t="str">
        <f t="shared" si="14"/>
        <v>-</v>
      </c>
      <c r="T32" s="71" t="str">
        <f t="shared" si="14"/>
        <v>-</v>
      </c>
      <c r="U32" s="71" t="str">
        <f t="shared" si="14"/>
        <v>-</v>
      </c>
      <c r="V32" s="71" t="str">
        <f t="shared" si="14"/>
        <v>-</v>
      </c>
      <c r="Y32" s="91" t="s">
        <v>31</v>
      </c>
      <c r="Z32" s="91" t="s">
        <v>177</v>
      </c>
    </row>
    <row r="33" spans="1:26">
      <c r="A33">
        <v>1</v>
      </c>
      <c r="B33" t="str">
        <f>VLOOKUP(F33,'TRA balance'!$BA$5:$BB$14,2,FALSE)</f>
        <v>TRAGSL</v>
      </c>
      <c r="C33" s="56" t="str">
        <f t="shared" si="0"/>
        <v>TT</v>
      </c>
      <c r="D33" s="57" t="s">
        <v>192</v>
      </c>
      <c r="E33" s="57" t="s">
        <v>193</v>
      </c>
      <c r="F33" s="58" t="str">
        <f t="shared" si="12"/>
        <v>Gasoline</v>
      </c>
      <c r="G33" s="56" t="s">
        <v>194</v>
      </c>
      <c r="H33" s="97">
        <v>0.5</v>
      </c>
      <c r="I33" s="59">
        <v>0.5</v>
      </c>
      <c r="J33" s="59">
        <v>1</v>
      </c>
      <c r="K33" s="59">
        <v>0.5</v>
      </c>
      <c r="L33" s="59">
        <v>1</v>
      </c>
      <c r="M33" s="59">
        <v>1</v>
      </c>
      <c r="N33" s="97">
        <v>0.5</v>
      </c>
      <c r="O33" s="59">
        <v>1</v>
      </c>
      <c r="P33" s="59">
        <v>0.07</v>
      </c>
      <c r="Q33" s="59">
        <v>1</v>
      </c>
      <c r="R33" s="59">
        <v>0.98</v>
      </c>
      <c r="S33" s="59">
        <v>0.5</v>
      </c>
      <c r="T33" s="59">
        <v>0.5</v>
      </c>
      <c r="U33" s="59">
        <v>0.5</v>
      </c>
      <c r="V33" s="59">
        <v>1</v>
      </c>
      <c r="Y33" s="91" t="s">
        <v>32</v>
      </c>
      <c r="Z33" s="91" t="s">
        <v>191</v>
      </c>
    </row>
    <row r="34" spans="1:26">
      <c r="A34">
        <v>1</v>
      </c>
      <c r="B34" t="str">
        <f>VLOOKUP(F34,'TRA balance'!$BA$5:$BB$14,2,FALSE)</f>
        <v>TRAGSL</v>
      </c>
      <c r="C34" s="56" t="str">
        <f t="shared" si="0"/>
        <v>TT</v>
      </c>
      <c r="D34" s="57" t="s">
        <v>192</v>
      </c>
      <c r="E34" s="57" t="s">
        <v>197</v>
      </c>
      <c r="F34" s="58" t="str">
        <f t="shared" si="12"/>
        <v>Gasoline</v>
      </c>
      <c r="G34" s="56" t="s">
        <v>198</v>
      </c>
      <c r="H34" s="97">
        <v>0.5</v>
      </c>
      <c r="I34" s="59">
        <v>0.5</v>
      </c>
      <c r="J34" s="59">
        <v>0</v>
      </c>
      <c r="K34" s="59">
        <v>0.5</v>
      </c>
      <c r="L34" s="59">
        <v>0</v>
      </c>
      <c r="M34" s="59">
        <v>0</v>
      </c>
      <c r="N34" s="97">
        <v>0.5</v>
      </c>
      <c r="O34" s="59">
        <v>0</v>
      </c>
      <c r="P34" s="59">
        <v>0.93</v>
      </c>
      <c r="Q34" s="59">
        <v>0</v>
      </c>
      <c r="R34" s="59">
        <v>0.02</v>
      </c>
      <c r="S34" s="59">
        <v>0.5</v>
      </c>
      <c r="T34" s="59">
        <v>0.5</v>
      </c>
      <c r="U34" s="59">
        <v>0.5</v>
      </c>
      <c r="V34" s="59">
        <v>0</v>
      </c>
      <c r="Y34" s="91" t="s">
        <v>33</v>
      </c>
      <c r="Z34" s="91" t="s">
        <v>191</v>
      </c>
    </row>
    <row r="35" spans="1:26">
      <c r="A35">
        <v>1</v>
      </c>
      <c r="B35" t="str">
        <f>VLOOKUP(F35,'TRA balance'!$BA$5:$BB$14,2,FALSE)</f>
        <v>TRAGSL</v>
      </c>
      <c r="C35" s="60"/>
      <c r="D35" s="60"/>
      <c r="E35" s="61" t="s">
        <v>199</v>
      </c>
      <c r="F35" s="62" t="str">
        <f t="shared" si="12"/>
        <v>Gasoline</v>
      </c>
      <c r="G35" s="60"/>
      <c r="H35" s="61" t="str">
        <f t="shared" ref="H35:V35" si="15">IF(SUM(H33:H34)=1,"-","&lt;&gt;1!!")</f>
        <v>-</v>
      </c>
      <c r="I35" s="61" t="str">
        <f t="shared" si="15"/>
        <v>-</v>
      </c>
      <c r="J35" s="61" t="str">
        <f t="shared" si="15"/>
        <v>-</v>
      </c>
      <c r="K35" s="61" t="str">
        <f t="shared" si="15"/>
        <v>-</v>
      </c>
      <c r="L35" s="61" t="str">
        <f t="shared" si="15"/>
        <v>-</v>
      </c>
      <c r="M35" s="61" t="str">
        <f t="shared" si="15"/>
        <v>-</v>
      </c>
      <c r="N35" s="61" t="str">
        <f t="shared" si="15"/>
        <v>-</v>
      </c>
      <c r="O35" s="61" t="str">
        <f t="shared" si="15"/>
        <v>-</v>
      </c>
      <c r="P35" s="61" t="str">
        <f t="shared" si="15"/>
        <v>-</v>
      </c>
      <c r="Q35" s="61" t="str">
        <f t="shared" si="15"/>
        <v>-</v>
      </c>
      <c r="R35" s="61" t="str">
        <f t="shared" si="15"/>
        <v>-</v>
      </c>
      <c r="S35" s="61" t="str">
        <f t="shared" si="15"/>
        <v>-</v>
      </c>
      <c r="T35" s="61" t="str">
        <f t="shared" si="15"/>
        <v>-</v>
      </c>
      <c r="U35" s="61" t="str">
        <f t="shared" si="15"/>
        <v>-</v>
      </c>
      <c r="V35" s="61" t="str">
        <f t="shared" si="15"/>
        <v>-</v>
      </c>
      <c r="Y35" s="91" t="s">
        <v>34</v>
      </c>
      <c r="Z35" s="91" t="s">
        <v>191</v>
      </c>
    </row>
    <row r="36" spans="1:26">
      <c r="A36">
        <v>1</v>
      </c>
      <c r="B36" t="str">
        <f>VLOOKUP(F36,'TRA balance'!$BA$5:$BB$14,2,FALSE)</f>
        <v>TRAHFO</v>
      </c>
      <c r="C36" s="56" t="str">
        <f t="shared" si="0"/>
        <v>TT</v>
      </c>
      <c r="D36" s="57" t="s">
        <v>192</v>
      </c>
      <c r="E36" s="57" t="s">
        <v>193</v>
      </c>
      <c r="F36" s="58" t="s">
        <v>70</v>
      </c>
      <c r="G36" s="56" t="s">
        <v>194</v>
      </c>
      <c r="H36" s="97">
        <f>H18</f>
        <v>0.7</v>
      </c>
      <c r="I36" s="59">
        <v>1</v>
      </c>
      <c r="J36" s="97">
        <f>J18</f>
        <v>0.95</v>
      </c>
      <c r="K36" s="59">
        <v>0.6</v>
      </c>
      <c r="L36" s="59">
        <v>1</v>
      </c>
      <c r="M36" s="97">
        <f>M18</f>
        <v>0.9</v>
      </c>
      <c r="N36" s="59">
        <v>0.9</v>
      </c>
      <c r="O36" s="59">
        <v>0.5</v>
      </c>
      <c r="P36" s="59">
        <v>0.9</v>
      </c>
      <c r="Q36" s="97">
        <f>Q18</f>
        <v>0.7</v>
      </c>
      <c r="R36" s="59">
        <v>1</v>
      </c>
      <c r="S36" s="59">
        <v>0.9</v>
      </c>
      <c r="T36" s="59">
        <v>0.9</v>
      </c>
      <c r="U36" s="59">
        <v>0.9</v>
      </c>
      <c r="V36" s="97">
        <f>V18</f>
        <v>0.9</v>
      </c>
      <c r="Y36" s="91" t="s">
        <v>35</v>
      </c>
      <c r="Z36" s="91" t="s">
        <v>186</v>
      </c>
    </row>
    <row r="37" spans="1:26">
      <c r="A37">
        <v>1</v>
      </c>
      <c r="B37" t="str">
        <f>VLOOKUP(F37,'TRA balance'!$BA$5:$BB$14,2,FALSE)</f>
        <v>TRAHFO</v>
      </c>
      <c r="C37" s="56" t="str">
        <f t="shared" si="0"/>
        <v>TT</v>
      </c>
      <c r="D37" s="57" t="s">
        <v>192</v>
      </c>
      <c r="E37" s="57" t="s">
        <v>197</v>
      </c>
      <c r="F37" s="58" t="str">
        <f t="shared" ref="F37:F38" si="16">F36</f>
        <v>Heavy Fuel Oil</v>
      </c>
      <c r="G37" s="56" t="s">
        <v>198</v>
      </c>
      <c r="H37" s="97">
        <f>H19</f>
        <v>0.3</v>
      </c>
      <c r="I37" s="59">
        <v>0</v>
      </c>
      <c r="J37" s="97">
        <f>J19</f>
        <v>0.05</v>
      </c>
      <c r="K37" s="59">
        <v>0.4</v>
      </c>
      <c r="L37" s="59">
        <v>0</v>
      </c>
      <c r="M37" s="97">
        <f>M19</f>
        <v>0.1</v>
      </c>
      <c r="N37" s="59">
        <v>0.1</v>
      </c>
      <c r="O37" s="59">
        <v>0.5</v>
      </c>
      <c r="P37" s="59">
        <v>0.1</v>
      </c>
      <c r="Q37" s="97">
        <f>Q19</f>
        <v>0.3</v>
      </c>
      <c r="R37" s="59">
        <v>0</v>
      </c>
      <c r="S37" s="59">
        <v>0.1</v>
      </c>
      <c r="T37" s="59">
        <v>0.1</v>
      </c>
      <c r="U37" s="59">
        <v>0.1</v>
      </c>
      <c r="V37" s="97">
        <f>V19</f>
        <v>0.1</v>
      </c>
      <c r="Y37" s="91" t="s">
        <v>36</v>
      </c>
      <c r="Z37" s="91" t="s">
        <v>191</v>
      </c>
    </row>
    <row r="38" spans="1:26">
      <c r="A38">
        <v>1</v>
      </c>
      <c r="B38" t="str">
        <f>VLOOKUP(F38,'TRA balance'!$BA$5:$BB$14,2,FALSE)</f>
        <v>TRAHFO</v>
      </c>
      <c r="C38" s="60"/>
      <c r="D38" s="60"/>
      <c r="E38" s="61" t="s">
        <v>199</v>
      </c>
      <c r="F38" s="62" t="str">
        <f t="shared" si="16"/>
        <v>Heavy Fuel Oil</v>
      </c>
      <c r="G38" s="60"/>
      <c r="H38" s="61" t="str">
        <f t="shared" ref="H38:V38" si="17">IF(SUM(H36:H37)=1,"-","&lt;&gt;1!!")</f>
        <v>-</v>
      </c>
      <c r="I38" s="61" t="str">
        <f t="shared" si="17"/>
        <v>-</v>
      </c>
      <c r="J38" s="61" t="str">
        <f t="shared" si="17"/>
        <v>-</v>
      </c>
      <c r="K38" s="61" t="str">
        <f t="shared" si="17"/>
        <v>-</v>
      </c>
      <c r="L38" s="61" t="str">
        <f t="shared" si="17"/>
        <v>-</v>
      </c>
      <c r="M38" s="61" t="str">
        <f t="shared" si="17"/>
        <v>-</v>
      </c>
      <c r="N38" s="61" t="str">
        <f t="shared" si="17"/>
        <v>-</v>
      </c>
      <c r="O38" s="61" t="str">
        <f t="shared" si="17"/>
        <v>-</v>
      </c>
      <c r="P38" s="61" t="str">
        <f t="shared" si="17"/>
        <v>-</v>
      </c>
      <c r="Q38" s="61" t="str">
        <f t="shared" si="17"/>
        <v>-</v>
      </c>
      <c r="R38" s="61" t="str">
        <f t="shared" si="17"/>
        <v>-</v>
      </c>
      <c r="S38" s="61" t="str">
        <f t="shared" si="17"/>
        <v>-</v>
      </c>
      <c r="T38" s="61" t="str">
        <f t="shared" si="17"/>
        <v>-</v>
      </c>
      <c r="U38" s="61" t="str">
        <f t="shared" si="17"/>
        <v>-</v>
      </c>
      <c r="V38" s="61" t="str">
        <f t="shared" si="17"/>
        <v>-</v>
      </c>
      <c r="Y38" s="91" t="s">
        <v>37</v>
      </c>
      <c r="Z38" s="91" t="s">
        <v>183</v>
      </c>
    </row>
    <row r="39" spans="1:26">
      <c r="A39">
        <v>1</v>
      </c>
      <c r="B39" t="str">
        <f>VLOOKUP(F39,'TRA balance'!$BA$5:$BB$14,2,FALSE)</f>
        <v>TRALPG</v>
      </c>
      <c r="C39" s="64">
        <v>1</v>
      </c>
      <c r="D39" s="65" t="s">
        <v>200</v>
      </c>
      <c r="E39" s="65" t="s">
        <v>201</v>
      </c>
      <c r="F39" s="66" t="s">
        <v>73</v>
      </c>
      <c r="G39" s="64"/>
      <c r="H39" s="93">
        <v>0.6</v>
      </c>
      <c r="I39" s="93">
        <v>0.25</v>
      </c>
      <c r="J39" s="93">
        <v>0.9</v>
      </c>
      <c r="K39" s="93">
        <v>0.4</v>
      </c>
      <c r="L39" s="93">
        <v>0.5</v>
      </c>
      <c r="M39" s="93">
        <v>0.57</v>
      </c>
      <c r="N39" s="93">
        <v>0.57</v>
      </c>
      <c r="O39" s="93">
        <v>0.25</v>
      </c>
      <c r="P39" s="93">
        <v>0.57</v>
      </c>
      <c r="Q39" s="93">
        <v>0.6</v>
      </c>
      <c r="R39" s="93">
        <v>0.65</v>
      </c>
      <c r="S39" s="93">
        <v>0.7</v>
      </c>
      <c r="T39" s="93">
        <v>0.8</v>
      </c>
      <c r="U39" s="93">
        <v>0.719214717155623</v>
      </c>
      <c r="V39" s="93">
        <v>0.75</v>
      </c>
      <c r="Y39" s="91" t="s">
        <v>38</v>
      </c>
      <c r="Z39" s="91" t="s">
        <v>182</v>
      </c>
    </row>
    <row r="40" spans="1:26">
      <c r="A40">
        <v>1</v>
      </c>
      <c r="B40" t="str">
        <f>VLOOKUP(F40,'TRA balance'!$BA$5:$BB$14,2,FALSE)</f>
        <v>TRALPG</v>
      </c>
      <c r="C40" s="56" t="str">
        <f t="shared" si="0"/>
        <v>TR</v>
      </c>
      <c r="D40" s="57" t="s">
        <v>200</v>
      </c>
      <c r="E40" s="68" t="s">
        <v>202</v>
      </c>
      <c r="F40" s="58" t="str">
        <f>F39</f>
        <v>Liquified Petroleum Gases</v>
      </c>
      <c r="G40" s="56" t="s">
        <v>203</v>
      </c>
      <c r="H40" s="59">
        <v>0.7</v>
      </c>
      <c r="I40" s="59">
        <v>0.5</v>
      </c>
      <c r="J40" s="59">
        <v>0.626</v>
      </c>
      <c r="K40" s="59">
        <v>0.67</v>
      </c>
      <c r="L40" s="59">
        <v>0.67</v>
      </c>
      <c r="M40" s="59">
        <v>0.67</v>
      </c>
      <c r="N40" s="59">
        <v>0.67</v>
      </c>
      <c r="O40" s="59">
        <v>0.5</v>
      </c>
      <c r="P40" s="59">
        <v>0.67</v>
      </c>
      <c r="Q40" s="59">
        <v>0.7</v>
      </c>
      <c r="R40" s="59">
        <v>0.2</v>
      </c>
      <c r="S40" s="59">
        <v>0.67</v>
      </c>
      <c r="T40" s="59">
        <v>0.6</v>
      </c>
      <c r="U40" s="59">
        <v>0.349711576769288</v>
      </c>
      <c r="V40" s="59">
        <v>0.626</v>
      </c>
      <c r="Y40" s="91"/>
      <c r="Z40" s="91"/>
    </row>
    <row r="41" spans="1:26">
      <c r="A41">
        <v>1</v>
      </c>
      <c r="B41" t="str">
        <f>VLOOKUP(F41,'TRA balance'!$BA$5:$BB$14,2,FALSE)</f>
        <v>TRALPG</v>
      </c>
      <c r="C41" s="56" t="str">
        <f t="shared" si="0"/>
        <v>TR</v>
      </c>
      <c r="D41" s="57" t="s">
        <v>200</v>
      </c>
      <c r="E41" s="68" t="s">
        <v>204</v>
      </c>
      <c r="F41" s="58" t="str">
        <f t="shared" ref="F41:F44" si="18">F40</f>
        <v>Liquified Petroleum Gases</v>
      </c>
      <c r="G41" s="56" t="s">
        <v>205</v>
      </c>
      <c r="H41" s="59">
        <v>0.3</v>
      </c>
      <c r="I41" s="59">
        <v>0.5</v>
      </c>
      <c r="J41" s="59">
        <v>0.374</v>
      </c>
      <c r="K41" s="59">
        <v>0.33</v>
      </c>
      <c r="L41" s="59">
        <v>0.33</v>
      </c>
      <c r="M41" s="59">
        <v>0.33</v>
      </c>
      <c r="N41" s="59">
        <v>0.33</v>
      </c>
      <c r="O41" s="59">
        <v>0.5</v>
      </c>
      <c r="P41" s="59">
        <v>0.33</v>
      </c>
      <c r="Q41" s="59">
        <v>0.3</v>
      </c>
      <c r="R41" s="59">
        <v>0.8</v>
      </c>
      <c r="S41" s="59">
        <v>0.33</v>
      </c>
      <c r="T41" s="59">
        <v>0.4</v>
      </c>
      <c r="U41" s="59">
        <v>0.650288423230712</v>
      </c>
      <c r="V41" s="59">
        <v>0.374</v>
      </c>
      <c r="Y41" s="91"/>
      <c r="Z41" s="91"/>
    </row>
    <row r="42" spans="1:26">
      <c r="A42">
        <v>1</v>
      </c>
      <c r="B42" t="str">
        <f>VLOOKUP(F42,'TRA balance'!$BA$5:$BB$14,2,FALSE)</f>
        <v>TRALPG</v>
      </c>
      <c r="C42" s="56" t="str">
        <f t="shared" si="0"/>
        <v/>
      </c>
      <c r="D42" s="57"/>
      <c r="E42" s="69" t="s">
        <v>210</v>
      </c>
      <c r="F42" s="58" t="str">
        <f t="shared" si="18"/>
        <v>Liquified Petroleum Gases</v>
      </c>
      <c r="G42" s="56"/>
      <c r="H42" s="69" t="str">
        <f>IF(SUM(H40:H41)=1,"-","&lt;&gt;1!!")</f>
        <v>-</v>
      </c>
      <c r="I42" s="69" t="str">
        <f t="shared" ref="I42:V42" si="19">IF(SUM(I40:I41)=1,"-","&lt;&gt;1!!")</f>
        <v>-</v>
      </c>
      <c r="J42" s="69" t="str">
        <f t="shared" si="19"/>
        <v>-</v>
      </c>
      <c r="K42" s="69" t="str">
        <f t="shared" si="19"/>
        <v>-</v>
      </c>
      <c r="L42" s="69" t="str">
        <f t="shared" si="19"/>
        <v>-</v>
      </c>
      <c r="M42" s="69" t="str">
        <f t="shared" si="19"/>
        <v>-</v>
      </c>
      <c r="N42" s="69" t="str">
        <f t="shared" si="19"/>
        <v>-</v>
      </c>
      <c r="O42" s="69" t="str">
        <f t="shared" si="19"/>
        <v>-</v>
      </c>
      <c r="P42" s="69" t="str">
        <f t="shared" si="19"/>
        <v>-</v>
      </c>
      <c r="Q42" s="69" t="str">
        <f t="shared" si="19"/>
        <v>-</v>
      </c>
      <c r="R42" s="69" t="str">
        <f t="shared" si="19"/>
        <v>-</v>
      </c>
      <c r="S42" s="69" t="str">
        <f t="shared" si="19"/>
        <v>-</v>
      </c>
      <c r="T42" s="69" t="str">
        <f t="shared" si="19"/>
        <v>-</v>
      </c>
      <c r="U42" s="69" t="str">
        <f t="shared" si="19"/>
        <v>-</v>
      </c>
      <c r="V42" s="69" t="str">
        <f t="shared" si="19"/>
        <v>-</v>
      </c>
      <c r="Y42" s="91"/>
      <c r="Z42" s="91"/>
    </row>
    <row r="43" spans="1:26">
      <c r="A43">
        <v>1</v>
      </c>
      <c r="B43" t="str">
        <f>VLOOKUP(F43,'TRA balance'!$BA$5:$BB$14,2,FALSE)</f>
        <v>TRALPG</v>
      </c>
      <c r="C43" s="64">
        <v>2</v>
      </c>
      <c r="D43" s="65" t="s">
        <v>200</v>
      </c>
      <c r="E43" s="65" t="s">
        <v>211</v>
      </c>
      <c r="F43" s="66" t="str">
        <f t="shared" si="18"/>
        <v>Liquified Petroleum Gases</v>
      </c>
      <c r="G43" s="64"/>
      <c r="H43" s="70">
        <f t="shared" ref="H43:V43" si="20">1-H39</f>
        <v>0.4</v>
      </c>
      <c r="I43" s="70">
        <f t="shared" si="20"/>
        <v>0.75</v>
      </c>
      <c r="J43" s="70">
        <f t="shared" si="20"/>
        <v>0.1</v>
      </c>
      <c r="K43" s="70">
        <f t="shared" si="20"/>
        <v>0.6</v>
      </c>
      <c r="L43" s="70">
        <f t="shared" si="20"/>
        <v>0.5</v>
      </c>
      <c r="M43" s="70">
        <f t="shared" si="20"/>
        <v>0.43</v>
      </c>
      <c r="N43" s="70">
        <f t="shared" si="20"/>
        <v>0.43</v>
      </c>
      <c r="O43" s="70">
        <f t="shared" si="20"/>
        <v>0.75</v>
      </c>
      <c r="P43" s="70">
        <f t="shared" si="20"/>
        <v>0.43</v>
      </c>
      <c r="Q43" s="70">
        <f t="shared" si="20"/>
        <v>0.4</v>
      </c>
      <c r="R43" s="70">
        <f t="shared" si="20"/>
        <v>0.35</v>
      </c>
      <c r="S43" s="70">
        <f t="shared" si="20"/>
        <v>0.3</v>
      </c>
      <c r="T43" s="70">
        <f t="shared" si="20"/>
        <v>0.2</v>
      </c>
      <c r="U43" s="70">
        <f t="shared" si="20"/>
        <v>0.280785282844377</v>
      </c>
      <c r="V43" s="70">
        <f t="shared" si="20"/>
        <v>0.25</v>
      </c>
      <c r="Y43" s="91"/>
      <c r="Z43" s="91"/>
    </row>
    <row r="44" spans="1:26">
      <c r="A44">
        <v>2</v>
      </c>
      <c r="B44" t="str">
        <f>VLOOKUP(F44,'TRA balance'!$BA$5:$BB$14,2,FALSE)</f>
        <v>TRALPG</v>
      </c>
      <c r="C44" s="56" t="str">
        <f t="shared" si="0"/>
        <v>TR</v>
      </c>
      <c r="D44" s="57" t="s">
        <v>200</v>
      </c>
      <c r="E44" s="68" t="s">
        <v>212</v>
      </c>
      <c r="F44" s="58" t="str">
        <f t="shared" si="18"/>
        <v>Liquified Petroleum Gases</v>
      </c>
      <c r="G44" s="56" t="s">
        <v>213</v>
      </c>
      <c r="H44" s="59">
        <v>0.3</v>
      </c>
      <c r="I44" s="59">
        <v>0.8</v>
      </c>
      <c r="J44" s="59">
        <v>0</v>
      </c>
      <c r="K44" s="59">
        <v>0.8</v>
      </c>
      <c r="L44" s="59">
        <v>1</v>
      </c>
      <c r="M44" s="59">
        <v>0</v>
      </c>
      <c r="N44" s="59">
        <v>0</v>
      </c>
      <c r="O44" s="59">
        <v>0.8</v>
      </c>
      <c r="P44" s="59">
        <v>0</v>
      </c>
      <c r="Q44" s="59">
        <v>0.3</v>
      </c>
      <c r="R44" s="59">
        <v>0.8</v>
      </c>
      <c r="S44" s="59">
        <v>0.7</v>
      </c>
      <c r="T44" s="59">
        <v>0</v>
      </c>
      <c r="U44" s="59">
        <v>0.02</v>
      </c>
      <c r="V44" s="59">
        <v>0</v>
      </c>
      <c r="Y44" s="91"/>
      <c r="Z44" s="91"/>
    </row>
    <row r="45" spans="1:26">
      <c r="A45">
        <v>2</v>
      </c>
      <c r="B45" t="str">
        <f>VLOOKUP(F45,'TRA balance'!$BA$5:$BB$14,2,FALSE)</f>
        <v>TRALPG</v>
      </c>
      <c r="C45" s="56" t="str">
        <f t="shared" si="0"/>
        <v>TR</v>
      </c>
      <c r="D45" s="57" t="s">
        <v>200</v>
      </c>
      <c r="E45" s="68" t="s">
        <v>214</v>
      </c>
      <c r="F45" s="58" t="str">
        <f t="shared" ref="F45:F51" si="21">F44</f>
        <v>Liquified Petroleum Gases</v>
      </c>
      <c r="G45" s="56" t="s">
        <v>215</v>
      </c>
      <c r="H45" s="59">
        <v>0</v>
      </c>
      <c r="I45" s="59">
        <v>0</v>
      </c>
      <c r="J45" s="59">
        <v>0</v>
      </c>
      <c r="K45" s="59">
        <v>0</v>
      </c>
      <c r="L45" s="59">
        <v>0</v>
      </c>
      <c r="M45" s="59">
        <v>0</v>
      </c>
      <c r="N45" s="59">
        <v>0</v>
      </c>
      <c r="O45" s="59">
        <v>0</v>
      </c>
      <c r="P45" s="59">
        <v>0</v>
      </c>
      <c r="Q45" s="59">
        <v>0</v>
      </c>
      <c r="R45" s="59">
        <v>0</v>
      </c>
      <c r="S45" s="59">
        <v>0</v>
      </c>
      <c r="T45" s="59">
        <v>0</v>
      </c>
      <c r="U45" s="59">
        <v>0</v>
      </c>
      <c r="V45" s="59">
        <v>0</v>
      </c>
      <c r="Y45" s="91"/>
      <c r="Z45" s="91"/>
    </row>
    <row r="46" spans="1:26">
      <c r="A46">
        <v>2</v>
      </c>
      <c r="B46" t="str">
        <f>VLOOKUP(F46,'TRA balance'!$BA$5:$BB$14,2,FALSE)</f>
        <v>TRALPG</v>
      </c>
      <c r="C46" s="56" t="str">
        <f t="shared" si="0"/>
        <v>TR</v>
      </c>
      <c r="D46" s="57" t="s">
        <v>200</v>
      </c>
      <c r="E46" s="68" t="s">
        <v>216</v>
      </c>
      <c r="F46" s="58" t="str">
        <f t="shared" si="21"/>
        <v>Liquified Petroleum Gases</v>
      </c>
      <c r="G46" s="56" t="s">
        <v>217</v>
      </c>
      <c r="H46" s="59">
        <v>0</v>
      </c>
      <c r="I46" s="59">
        <v>0</v>
      </c>
      <c r="J46" s="59">
        <v>0</v>
      </c>
      <c r="K46" s="59">
        <v>0</v>
      </c>
      <c r="L46" s="59">
        <v>0</v>
      </c>
      <c r="M46" s="59">
        <v>0</v>
      </c>
      <c r="N46" s="59">
        <v>0</v>
      </c>
      <c r="O46" s="59">
        <v>0</v>
      </c>
      <c r="P46" s="59">
        <v>0</v>
      </c>
      <c r="Q46" s="59">
        <v>0</v>
      </c>
      <c r="R46" s="59">
        <v>0</v>
      </c>
      <c r="S46" s="59">
        <v>0</v>
      </c>
      <c r="T46" s="59">
        <v>0</v>
      </c>
      <c r="U46" s="59">
        <v>0</v>
      </c>
      <c r="V46" s="59">
        <v>0</v>
      </c>
      <c r="Y46" s="91"/>
      <c r="Z46" s="91"/>
    </row>
    <row r="47" spans="1:26">
      <c r="A47">
        <v>2</v>
      </c>
      <c r="B47" t="str">
        <f>VLOOKUP(F47,'TRA balance'!$BA$5:$BB$14,2,FALSE)</f>
        <v>TRALPG</v>
      </c>
      <c r="C47" s="56" t="str">
        <f t="shared" si="0"/>
        <v>TR</v>
      </c>
      <c r="D47" s="57" t="s">
        <v>200</v>
      </c>
      <c r="E47" s="68" t="s">
        <v>218</v>
      </c>
      <c r="F47" s="58" t="str">
        <f t="shared" si="21"/>
        <v>Liquified Petroleum Gases</v>
      </c>
      <c r="G47" s="56" t="s">
        <v>219</v>
      </c>
      <c r="H47" s="59">
        <f>1-SUM(H44:H46)</f>
        <v>0.7</v>
      </c>
      <c r="I47" s="59">
        <f t="shared" ref="I47:V47" si="22">1-SUM(I44:I46)</f>
        <v>0.2</v>
      </c>
      <c r="J47" s="59">
        <f t="shared" si="22"/>
        <v>1</v>
      </c>
      <c r="K47" s="59">
        <f t="shared" si="22"/>
        <v>0.2</v>
      </c>
      <c r="L47" s="59">
        <f t="shared" si="22"/>
        <v>0</v>
      </c>
      <c r="M47" s="59">
        <f t="shared" si="22"/>
        <v>1</v>
      </c>
      <c r="N47" s="59">
        <f t="shared" si="22"/>
        <v>1</v>
      </c>
      <c r="O47" s="59">
        <f t="shared" si="22"/>
        <v>0.2</v>
      </c>
      <c r="P47" s="59">
        <f t="shared" si="22"/>
        <v>1</v>
      </c>
      <c r="Q47" s="59">
        <f t="shared" si="22"/>
        <v>0.7</v>
      </c>
      <c r="R47" s="59">
        <f t="shared" si="22"/>
        <v>0.2</v>
      </c>
      <c r="S47" s="59">
        <f t="shared" si="22"/>
        <v>0.3</v>
      </c>
      <c r="T47" s="59">
        <f t="shared" si="22"/>
        <v>1</v>
      </c>
      <c r="U47" s="59">
        <f t="shared" si="22"/>
        <v>0.98</v>
      </c>
      <c r="V47" s="59">
        <f t="shared" si="22"/>
        <v>1</v>
      </c>
      <c r="Y47" s="91"/>
      <c r="Z47" s="91"/>
    </row>
    <row r="48" spans="1:26">
      <c r="A48">
        <v>1</v>
      </c>
      <c r="B48" t="str">
        <f>VLOOKUP(F48,'TRA balance'!$BA$5:$BB$14,2,FALSE)</f>
        <v>TRALPG</v>
      </c>
      <c r="C48" s="56" t="str">
        <f t="shared" si="0"/>
        <v/>
      </c>
      <c r="D48" s="57"/>
      <c r="E48" s="69" t="s">
        <v>220</v>
      </c>
      <c r="F48" s="58" t="str">
        <f t="shared" si="21"/>
        <v>Liquified Petroleum Gases</v>
      </c>
      <c r="G48" s="56"/>
      <c r="H48" s="71" t="str">
        <f>IF(SUM(H44:H47)=1,"-",SUM(H44:H47))</f>
        <v>-</v>
      </c>
      <c r="I48" s="71" t="str">
        <f t="shared" ref="I48:V48" si="23">IF(SUM(I44:I47)=1,"-",SUM(I44:I47))</f>
        <v>-</v>
      </c>
      <c r="J48" s="71" t="str">
        <f t="shared" si="23"/>
        <v>-</v>
      </c>
      <c r="K48" s="71" t="str">
        <f t="shared" si="23"/>
        <v>-</v>
      </c>
      <c r="L48" s="71" t="str">
        <f t="shared" si="23"/>
        <v>-</v>
      </c>
      <c r="M48" s="71" t="str">
        <f t="shared" si="23"/>
        <v>-</v>
      </c>
      <c r="N48" s="71" t="str">
        <f t="shared" si="23"/>
        <v>-</v>
      </c>
      <c r="O48" s="71" t="str">
        <f t="shared" si="23"/>
        <v>-</v>
      </c>
      <c r="P48" s="71" t="str">
        <f t="shared" si="23"/>
        <v>-</v>
      </c>
      <c r="Q48" s="71" t="str">
        <f t="shared" si="23"/>
        <v>-</v>
      </c>
      <c r="R48" s="71" t="str">
        <f t="shared" si="23"/>
        <v>-</v>
      </c>
      <c r="S48" s="71" t="str">
        <f t="shared" si="23"/>
        <v>-</v>
      </c>
      <c r="T48" s="71" t="str">
        <f t="shared" si="23"/>
        <v>-</v>
      </c>
      <c r="U48" s="71" t="str">
        <f t="shared" si="23"/>
        <v>-</v>
      </c>
      <c r="V48" s="71" t="str">
        <f t="shared" si="23"/>
        <v>-</v>
      </c>
      <c r="Y48" s="91"/>
      <c r="Z48" s="91"/>
    </row>
    <row r="49" spans="1:26">
      <c r="A49">
        <v>1</v>
      </c>
      <c r="B49" t="str">
        <f>VLOOKUP(F49,'TRA balance'!$BA$5:$BB$14,2,FALSE)</f>
        <v>TRALPG</v>
      </c>
      <c r="C49" s="56" t="str">
        <f t="shared" si="0"/>
        <v>TT</v>
      </c>
      <c r="D49" s="57" t="s">
        <v>192</v>
      </c>
      <c r="E49" s="57" t="s">
        <v>193</v>
      </c>
      <c r="F49" s="58" t="str">
        <f t="shared" si="21"/>
        <v>Liquified Petroleum Gases</v>
      </c>
      <c r="G49" s="56" t="s">
        <v>194</v>
      </c>
      <c r="H49" s="59">
        <v>1</v>
      </c>
      <c r="I49" s="59">
        <v>0.5</v>
      </c>
      <c r="J49" s="59">
        <v>1</v>
      </c>
      <c r="K49" s="59">
        <v>0.5</v>
      </c>
      <c r="L49" s="59">
        <v>1</v>
      </c>
      <c r="M49" s="59">
        <v>1</v>
      </c>
      <c r="N49" s="59">
        <v>1</v>
      </c>
      <c r="O49" s="97">
        <v>0.5</v>
      </c>
      <c r="P49" s="59">
        <v>0.07</v>
      </c>
      <c r="Q49" s="59">
        <v>1</v>
      </c>
      <c r="R49" s="59">
        <v>0.98</v>
      </c>
      <c r="S49" s="59">
        <v>0.5</v>
      </c>
      <c r="T49" s="59">
        <v>0.5</v>
      </c>
      <c r="U49" s="59">
        <v>0.5</v>
      </c>
      <c r="V49" s="59">
        <v>1</v>
      </c>
      <c r="Y49" s="91"/>
      <c r="Z49" s="91"/>
    </row>
    <row r="50" spans="1:26">
      <c r="A50">
        <v>1</v>
      </c>
      <c r="B50" t="str">
        <f>VLOOKUP(F50,'TRA balance'!$BA$5:$BB$14,2,FALSE)</f>
        <v>TRALPG</v>
      </c>
      <c r="C50" s="56" t="str">
        <f t="shared" si="0"/>
        <v>TT</v>
      </c>
      <c r="D50" s="57" t="s">
        <v>192</v>
      </c>
      <c r="E50" s="57" t="s">
        <v>197</v>
      </c>
      <c r="F50" s="58" t="str">
        <f t="shared" si="21"/>
        <v>Liquified Petroleum Gases</v>
      </c>
      <c r="G50" s="56" t="s">
        <v>198</v>
      </c>
      <c r="H50" s="59">
        <v>0</v>
      </c>
      <c r="I50" s="59">
        <v>0.5</v>
      </c>
      <c r="J50" s="59">
        <v>0</v>
      </c>
      <c r="K50" s="59">
        <v>0.5</v>
      </c>
      <c r="L50" s="59">
        <v>0</v>
      </c>
      <c r="M50" s="59">
        <v>0</v>
      </c>
      <c r="N50" s="59">
        <v>0</v>
      </c>
      <c r="O50" s="97">
        <v>0.5</v>
      </c>
      <c r="P50" s="59">
        <v>0.93</v>
      </c>
      <c r="Q50" s="59">
        <v>0</v>
      </c>
      <c r="R50" s="59">
        <v>0.02</v>
      </c>
      <c r="S50" s="59">
        <v>0.5</v>
      </c>
      <c r="T50" s="59">
        <v>0.5</v>
      </c>
      <c r="U50" s="59">
        <v>0.5</v>
      </c>
      <c r="V50" s="59">
        <v>0</v>
      </c>
      <c r="Y50" s="91"/>
      <c r="Z50" s="91"/>
    </row>
    <row r="51" spans="1:26">
      <c r="A51">
        <v>1</v>
      </c>
      <c r="B51" t="str">
        <f>VLOOKUP(F51,'TRA balance'!$BA$5:$BB$14,2,FALSE)</f>
        <v>TRALPG</v>
      </c>
      <c r="C51" s="60"/>
      <c r="D51" s="60"/>
      <c r="E51" s="61" t="s">
        <v>199</v>
      </c>
      <c r="F51" s="62" t="str">
        <f t="shared" si="21"/>
        <v>Liquified Petroleum Gases</v>
      </c>
      <c r="G51" s="60"/>
      <c r="H51" s="61" t="str">
        <f t="shared" ref="H51:V51" si="24">IF(SUM(H49:H50)=1,"-","&lt;&gt;1!!")</f>
        <v>-</v>
      </c>
      <c r="I51" s="61" t="str">
        <f t="shared" si="24"/>
        <v>-</v>
      </c>
      <c r="J51" s="61" t="str">
        <f t="shared" si="24"/>
        <v>-</v>
      </c>
      <c r="K51" s="61" t="str">
        <f t="shared" si="24"/>
        <v>-</v>
      </c>
      <c r="L51" s="61" t="str">
        <f t="shared" si="24"/>
        <v>-</v>
      </c>
      <c r="M51" s="61" t="str">
        <f t="shared" si="24"/>
        <v>-</v>
      </c>
      <c r="N51" s="61" t="str">
        <f t="shared" si="24"/>
        <v>-</v>
      </c>
      <c r="O51" s="61" t="str">
        <f t="shared" si="24"/>
        <v>-</v>
      </c>
      <c r="P51" s="61" t="str">
        <f t="shared" si="24"/>
        <v>-</v>
      </c>
      <c r="Q51" s="61" t="str">
        <f t="shared" si="24"/>
        <v>-</v>
      </c>
      <c r="R51" s="61" t="str">
        <f t="shared" si="24"/>
        <v>-</v>
      </c>
      <c r="S51" s="61" t="str">
        <f t="shared" si="24"/>
        <v>-</v>
      </c>
      <c r="T51" s="61" t="str">
        <f t="shared" si="24"/>
        <v>-</v>
      </c>
      <c r="U51" s="61" t="str">
        <f t="shared" si="24"/>
        <v>-</v>
      </c>
      <c r="V51" s="61" t="str">
        <f t="shared" si="24"/>
        <v>-</v>
      </c>
      <c r="Y51" s="91"/>
      <c r="Z51" s="91"/>
    </row>
    <row r="52" spans="1:26">
      <c r="A52">
        <v>1</v>
      </c>
      <c r="B52" t="str">
        <f>VLOOKUP(F52,'TRA balance'!$BA$5:$BB$14,2,FALSE)</f>
        <v>TRANGA</v>
      </c>
      <c r="C52" s="64">
        <v>1</v>
      </c>
      <c r="D52" s="65" t="s">
        <v>200</v>
      </c>
      <c r="E52" s="65" t="s">
        <v>201</v>
      </c>
      <c r="F52" s="66" t="s">
        <v>77</v>
      </c>
      <c r="G52" s="64"/>
      <c r="H52" s="93">
        <v>0.25</v>
      </c>
      <c r="I52" s="93">
        <v>0.25</v>
      </c>
      <c r="J52" s="93">
        <v>0.682</v>
      </c>
      <c r="K52" s="93">
        <v>0.4</v>
      </c>
      <c r="L52" s="93">
        <v>0.5</v>
      </c>
      <c r="M52" s="93">
        <v>0</v>
      </c>
      <c r="N52" s="93">
        <v>0.7</v>
      </c>
      <c r="O52" s="93">
        <v>0.25</v>
      </c>
      <c r="P52" s="93">
        <v>0.95</v>
      </c>
      <c r="Q52" s="98">
        <f>V52</f>
        <v>0.682</v>
      </c>
      <c r="R52" s="93">
        <v>0.55</v>
      </c>
      <c r="S52" s="93">
        <v>0.9</v>
      </c>
      <c r="T52" s="93">
        <v>1</v>
      </c>
      <c r="U52" s="93">
        <v>0.97916979455979</v>
      </c>
      <c r="V52" s="93">
        <v>0.682</v>
      </c>
      <c r="Y52" s="91"/>
      <c r="Z52" s="91"/>
    </row>
    <row r="53" spans="1:26">
      <c r="A53">
        <v>1</v>
      </c>
      <c r="B53" t="str">
        <f>VLOOKUP(F53,'TRA balance'!$BA$5:$BB$14,2,FALSE)</f>
        <v>TRANGA</v>
      </c>
      <c r="C53" s="56" t="str">
        <f t="shared" si="0"/>
        <v>TR</v>
      </c>
      <c r="D53" s="57" t="s">
        <v>200</v>
      </c>
      <c r="E53" s="68" t="s">
        <v>202</v>
      </c>
      <c r="F53" s="58" t="str">
        <f>F52</f>
        <v>Natural Gas</v>
      </c>
      <c r="G53" s="56" t="s">
        <v>203</v>
      </c>
      <c r="H53" s="59">
        <v>0.5</v>
      </c>
      <c r="I53" s="59">
        <v>0.5</v>
      </c>
      <c r="J53" s="59">
        <v>0.92</v>
      </c>
      <c r="K53" s="59">
        <v>0.67</v>
      </c>
      <c r="L53" s="59">
        <v>0.6</v>
      </c>
      <c r="M53" s="97">
        <f>V53</f>
        <v>0.92</v>
      </c>
      <c r="N53" s="59">
        <v>0.8</v>
      </c>
      <c r="O53" s="59">
        <v>0.5</v>
      </c>
      <c r="P53" s="59">
        <v>0.8</v>
      </c>
      <c r="Q53" s="97">
        <f>V53</f>
        <v>0.92</v>
      </c>
      <c r="R53" s="59">
        <v>0.2</v>
      </c>
      <c r="S53" s="59">
        <v>0.8</v>
      </c>
      <c r="T53" s="59">
        <v>0.6</v>
      </c>
      <c r="U53" s="59">
        <v>0.523697274532045</v>
      </c>
      <c r="V53" s="59">
        <v>0.92</v>
      </c>
      <c r="Y53" s="91"/>
      <c r="Z53" s="91"/>
    </row>
    <row r="54" spans="1:26">
      <c r="A54">
        <v>1</v>
      </c>
      <c r="B54" t="str">
        <f>VLOOKUP(F54,'TRA balance'!$BA$5:$BB$14,2,FALSE)</f>
        <v>TRANGA</v>
      </c>
      <c r="C54" s="56" t="str">
        <f t="shared" si="0"/>
        <v>TR</v>
      </c>
      <c r="D54" s="57" t="s">
        <v>200</v>
      </c>
      <c r="E54" s="68" t="s">
        <v>204</v>
      </c>
      <c r="F54" s="58" t="str">
        <f t="shared" ref="F54:F57" si="25">F53</f>
        <v>Natural Gas</v>
      </c>
      <c r="G54" s="56" t="s">
        <v>205</v>
      </c>
      <c r="H54" s="59">
        <v>0.5</v>
      </c>
      <c r="I54" s="59">
        <v>0.5</v>
      </c>
      <c r="J54" s="59">
        <v>0.08</v>
      </c>
      <c r="K54" s="59">
        <v>0.33</v>
      </c>
      <c r="L54" s="59">
        <v>0.4</v>
      </c>
      <c r="M54" s="97">
        <f t="shared" ref="M54" si="26">V54</f>
        <v>0.08</v>
      </c>
      <c r="N54" s="59">
        <v>0.2</v>
      </c>
      <c r="O54" s="59">
        <v>0.5</v>
      </c>
      <c r="P54" s="59">
        <v>0.2</v>
      </c>
      <c r="Q54" s="97">
        <f t="shared" ref="Q54" si="27">V54</f>
        <v>0.08</v>
      </c>
      <c r="R54" s="59">
        <v>0.8</v>
      </c>
      <c r="S54" s="59">
        <v>0.2</v>
      </c>
      <c r="T54" s="59">
        <v>0.4</v>
      </c>
      <c r="U54" s="59">
        <v>0.476302725467955</v>
      </c>
      <c r="V54" s="59">
        <v>0.08</v>
      </c>
      <c r="Y54" s="91"/>
      <c r="Z54" s="91"/>
    </row>
    <row r="55" spans="1:26">
      <c r="A55">
        <v>1</v>
      </c>
      <c r="B55" t="str">
        <f>VLOOKUP(F55,'TRA balance'!$BA$5:$BB$14,2,FALSE)</f>
        <v>TRANGA</v>
      </c>
      <c r="C55" s="56" t="str">
        <f t="shared" si="0"/>
        <v/>
      </c>
      <c r="D55" s="57"/>
      <c r="E55" s="69" t="s">
        <v>210</v>
      </c>
      <c r="F55" s="58" t="str">
        <f t="shared" si="25"/>
        <v>Natural Gas</v>
      </c>
      <c r="G55" s="56"/>
      <c r="H55" s="69" t="str">
        <f>IF(SUM(H53:H54)=1,"-","&lt;&gt;1!!")</f>
        <v>-</v>
      </c>
      <c r="I55" s="69" t="str">
        <f t="shared" ref="I55:V55" si="28">IF(SUM(I53:I54)=1,"-","&lt;&gt;1!!")</f>
        <v>-</v>
      </c>
      <c r="J55" s="69" t="str">
        <f t="shared" si="28"/>
        <v>-</v>
      </c>
      <c r="K55" s="69" t="str">
        <f t="shared" si="28"/>
        <v>-</v>
      </c>
      <c r="L55" s="69" t="str">
        <f t="shared" si="28"/>
        <v>-</v>
      </c>
      <c r="M55" s="69" t="str">
        <f t="shared" si="28"/>
        <v>-</v>
      </c>
      <c r="N55" s="69" t="str">
        <f t="shared" si="28"/>
        <v>-</v>
      </c>
      <c r="O55" s="69" t="str">
        <f t="shared" si="28"/>
        <v>-</v>
      </c>
      <c r="P55" s="69" t="str">
        <f t="shared" si="28"/>
        <v>-</v>
      </c>
      <c r="Q55" s="69" t="str">
        <f t="shared" si="28"/>
        <v>-</v>
      </c>
      <c r="R55" s="69" t="str">
        <f t="shared" si="28"/>
        <v>-</v>
      </c>
      <c r="S55" s="69" t="str">
        <f t="shared" si="28"/>
        <v>-</v>
      </c>
      <c r="T55" s="69" t="str">
        <f t="shared" si="28"/>
        <v>-</v>
      </c>
      <c r="U55" s="69" t="str">
        <f t="shared" si="28"/>
        <v>-</v>
      </c>
      <c r="V55" s="69" t="str">
        <f t="shared" si="28"/>
        <v>-</v>
      </c>
      <c r="Y55" s="91"/>
      <c r="Z55" s="91"/>
    </row>
    <row r="56" spans="1:26">
      <c r="A56">
        <v>1</v>
      </c>
      <c r="B56" t="str">
        <f>VLOOKUP(F56,'TRA balance'!$BA$5:$BB$14,2,FALSE)</f>
        <v>TRANGA</v>
      </c>
      <c r="C56" s="64">
        <v>2</v>
      </c>
      <c r="D56" s="65" t="s">
        <v>200</v>
      </c>
      <c r="E56" s="65" t="s">
        <v>211</v>
      </c>
      <c r="F56" s="66" t="str">
        <f t="shared" si="25"/>
        <v>Natural Gas</v>
      </c>
      <c r="G56" s="64"/>
      <c r="H56" s="70">
        <f t="shared" ref="H56:V56" si="29">1-H52</f>
        <v>0.75</v>
      </c>
      <c r="I56" s="70">
        <f t="shared" si="29"/>
        <v>0.75</v>
      </c>
      <c r="J56" s="70">
        <f t="shared" si="29"/>
        <v>0.318</v>
      </c>
      <c r="K56" s="70">
        <f t="shared" si="29"/>
        <v>0.6</v>
      </c>
      <c r="L56" s="70">
        <f t="shared" si="29"/>
        <v>0.5</v>
      </c>
      <c r="M56" s="70">
        <f t="shared" si="29"/>
        <v>1</v>
      </c>
      <c r="N56" s="70">
        <f t="shared" si="29"/>
        <v>0.3</v>
      </c>
      <c r="O56" s="70">
        <f t="shared" si="29"/>
        <v>0.75</v>
      </c>
      <c r="P56" s="70">
        <f t="shared" si="29"/>
        <v>0.05</v>
      </c>
      <c r="Q56" s="70">
        <f t="shared" si="29"/>
        <v>0.318</v>
      </c>
      <c r="R56" s="70">
        <f t="shared" si="29"/>
        <v>0.45</v>
      </c>
      <c r="S56" s="70">
        <f t="shared" si="29"/>
        <v>0.1</v>
      </c>
      <c r="T56" s="70">
        <f t="shared" si="29"/>
        <v>0</v>
      </c>
      <c r="U56" s="70">
        <f t="shared" si="29"/>
        <v>0.0208302054402097</v>
      </c>
      <c r="V56" s="70">
        <f t="shared" si="29"/>
        <v>0.318</v>
      </c>
      <c r="Y56" s="91"/>
      <c r="Z56" s="91"/>
    </row>
    <row r="57" spans="1:26">
      <c r="A57">
        <v>2</v>
      </c>
      <c r="B57" t="str">
        <f>VLOOKUP(F57,'TRA balance'!$BA$5:$BB$14,2,FALSE)</f>
        <v>TRANGA</v>
      </c>
      <c r="C57" s="56" t="str">
        <f t="shared" si="0"/>
        <v>TR</v>
      </c>
      <c r="D57" s="57" t="s">
        <v>200</v>
      </c>
      <c r="E57" s="68" t="s">
        <v>212</v>
      </c>
      <c r="F57" s="58" t="str">
        <f t="shared" si="25"/>
        <v>Natural Gas</v>
      </c>
      <c r="G57" s="56" t="s">
        <v>213</v>
      </c>
      <c r="H57" s="59">
        <v>0.8</v>
      </c>
      <c r="I57" s="59">
        <v>0.8</v>
      </c>
      <c r="J57" s="59">
        <v>1</v>
      </c>
      <c r="K57" s="59">
        <v>0.8</v>
      </c>
      <c r="L57" s="59">
        <v>0.6</v>
      </c>
      <c r="M57" s="97">
        <f>V57</f>
        <v>1</v>
      </c>
      <c r="N57" s="59">
        <v>0</v>
      </c>
      <c r="O57" s="59">
        <v>0.8</v>
      </c>
      <c r="P57" s="59">
        <v>0</v>
      </c>
      <c r="Q57" s="97">
        <f t="shared" ref="Q57" si="30">V57</f>
        <v>1</v>
      </c>
      <c r="R57" s="59">
        <v>0.8</v>
      </c>
      <c r="S57" s="59">
        <v>0.7</v>
      </c>
      <c r="T57" s="59">
        <v>0</v>
      </c>
      <c r="U57" s="59">
        <v>0.02</v>
      </c>
      <c r="V57" s="59">
        <v>1</v>
      </c>
      <c r="Y57" s="91"/>
      <c r="Z57" s="91"/>
    </row>
    <row r="58" spans="1:26">
      <c r="A58">
        <v>2</v>
      </c>
      <c r="B58" t="str">
        <f>VLOOKUP(F58,'TRA balance'!$BA$5:$BB$14,2,FALSE)</f>
        <v>TRANGA</v>
      </c>
      <c r="C58" s="56" t="str">
        <f t="shared" si="0"/>
        <v>TR</v>
      </c>
      <c r="D58" s="57" t="s">
        <v>200</v>
      </c>
      <c r="E58" s="68" t="s">
        <v>214</v>
      </c>
      <c r="F58" s="58" t="str">
        <f t="shared" ref="F58:F61" si="31">F57</f>
        <v>Natural Gas</v>
      </c>
      <c r="G58" s="56" t="s">
        <v>215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59">
        <v>0</v>
      </c>
      <c r="T58" s="59">
        <v>0</v>
      </c>
      <c r="U58" s="59">
        <v>0</v>
      </c>
      <c r="V58" s="59">
        <v>0</v>
      </c>
      <c r="Y58" s="91"/>
      <c r="Z58" s="91"/>
    </row>
    <row r="59" spans="1:26">
      <c r="A59">
        <v>2</v>
      </c>
      <c r="B59" t="str">
        <f>VLOOKUP(F59,'TRA balance'!$BA$5:$BB$14,2,FALSE)</f>
        <v>TRANGA</v>
      </c>
      <c r="C59" s="56" t="str">
        <f t="shared" si="0"/>
        <v>TR</v>
      </c>
      <c r="D59" s="57" t="s">
        <v>200</v>
      </c>
      <c r="E59" s="68" t="s">
        <v>216</v>
      </c>
      <c r="F59" s="58" t="str">
        <f t="shared" si="31"/>
        <v>Natural Gas</v>
      </c>
      <c r="G59" s="56" t="s">
        <v>217</v>
      </c>
      <c r="H59" s="59">
        <v>0</v>
      </c>
      <c r="I59" s="59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0</v>
      </c>
      <c r="P59" s="59">
        <v>0</v>
      </c>
      <c r="Q59" s="59">
        <v>0</v>
      </c>
      <c r="R59" s="59">
        <v>0</v>
      </c>
      <c r="S59" s="59">
        <v>0</v>
      </c>
      <c r="T59" s="59">
        <v>0</v>
      </c>
      <c r="U59" s="59">
        <v>0</v>
      </c>
      <c r="V59" s="59">
        <v>0</v>
      </c>
      <c r="Y59" s="91"/>
      <c r="Z59" s="91"/>
    </row>
    <row r="60" spans="1:26">
      <c r="A60">
        <v>2</v>
      </c>
      <c r="B60" t="str">
        <f>VLOOKUP(F60,'TRA balance'!$BA$5:$BB$14,2,FALSE)</f>
        <v>TRANGA</v>
      </c>
      <c r="C60" s="56" t="str">
        <f t="shared" si="0"/>
        <v>TR</v>
      </c>
      <c r="D60" s="57" t="s">
        <v>200</v>
      </c>
      <c r="E60" s="68" t="s">
        <v>218</v>
      </c>
      <c r="F60" s="58" t="str">
        <f t="shared" si="31"/>
        <v>Natural Gas</v>
      </c>
      <c r="G60" s="56" t="s">
        <v>219</v>
      </c>
      <c r="H60" s="59">
        <f>1-SUM(H57:H59)</f>
        <v>0.2</v>
      </c>
      <c r="I60" s="59">
        <f t="shared" ref="I60" si="32">1-SUM(I57:I59)</f>
        <v>0.2</v>
      </c>
      <c r="J60" s="59">
        <f t="shared" ref="J60" si="33">1-SUM(J57:J59)</f>
        <v>0</v>
      </c>
      <c r="K60" s="59">
        <f t="shared" ref="K60" si="34">1-SUM(K57:K59)</f>
        <v>0.2</v>
      </c>
      <c r="L60" s="59">
        <f t="shared" ref="L60" si="35">1-SUM(L57:L59)</f>
        <v>0.4</v>
      </c>
      <c r="M60" s="59">
        <f t="shared" ref="M60" si="36">1-SUM(M57:M59)</f>
        <v>0</v>
      </c>
      <c r="N60" s="59">
        <f t="shared" ref="N60" si="37">1-SUM(N57:N59)</f>
        <v>1</v>
      </c>
      <c r="O60" s="59">
        <f t="shared" ref="O60" si="38">1-SUM(O57:O59)</f>
        <v>0.2</v>
      </c>
      <c r="P60" s="59">
        <f t="shared" ref="P60" si="39">1-SUM(P57:P59)</f>
        <v>1</v>
      </c>
      <c r="Q60" s="59">
        <f t="shared" ref="Q60" si="40">1-SUM(Q57:Q59)</f>
        <v>0</v>
      </c>
      <c r="R60" s="59">
        <f t="shared" ref="R60" si="41">1-SUM(R57:R59)</f>
        <v>0.2</v>
      </c>
      <c r="S60" s="59">
        <f t="shared" ref="S60" si="42">1-SUM(S57:S59)</f>
        <v>0.3</v>
      </c>
      <c r="T60" s="59">
        <f t="shared" ref="T60" si="43">1-SUM(T57:T59)</f>
        <v>1</v>
      </c>
      <c r="U60" s="59">
        <f t="shared" ref="U60" si="44">1-SUM(U57:U59)</f>
        <v>0.98</v>
      </c>
      <c r="V60" s="59">
        <f t="shared" ref="V60" si="45">1-SUM(V57:V59)</f>
        <v>0</v>
      </c>
      <c r="Y60" s="91"/>
      <c r="Z60" s="91"/>
    </row>
    <row r="61" spans="1:26">
      <c r="A61">
        <v>1</v>
      </c>
      <c r="B61" t="str">
        <f>VLOOKUP(F61,'TRA balance'!$BA$5:$BB$14,2,FALSE)</f>
        <v>TRANGA</v>
      </c>
      <c r="C61" s="60" t="str">
        <f t="shared" si="0"/>
        <v/>
      </c>
      <c r="D61" s="72"/>
      <c r="E61" s="61" t="s">
        <v>220</v>
      </c>
      <c r="F61" s="62" t="str">
        <f t="shared" si="31"/>
        <v>Natural Gas</v>
      </c>
      <c r="G61" s="60"/>
      <c r="H61" s="71" t="str">
        <f>IF(SUM(H57:H60)=1,"-",SUM(H57:H60))</f>
        <v>-</v>
      </c>
      <c r="I61" s="71" t="str">
        <f t="shared" ref="I61" si="46">IF(SUM(I57:I60)=1,"-",SUM(I57:I60))</f>
        <v>-</v>
      </c>
      <c r="J61" s="71" t="str">
        <f t="shared" ref="J61" si="47">IF(SUM(J57:J60)=1,"-",SUM(J57:J60))</f>
        <v>-</v>
      </c>
      <c r="K61" s="71" t="str">
        <f t="shared" ref="K61" si="48">IF(SUM(K57:K60)=1,"-",SUM(K57:K60))</f>
        <v>-</v>
      </c>
      <c r="L61" s="71" t="str">
        <f t="shared" ref="L61" si="49">IF(SUM(L57:L60)=1,"-",SUM(L57:L60))</f>
        <v>-</v>
      </c>
      <c r="M61" s="71" t="str">
        <f t="shared" ref="M61" si="50">IF(SUM(M57:M60)=1,"-",SUM(M57:M60))</f>
        <v>-</v>
      </c>
      <c r="N61" s="71" t="str">
        <f t="shared" ref="N61" si="51">IF(SUM(N57:N60)=1,"-",SUM(N57:N60))</f>
        <v>-</v>
      </c>
      <c r="O61" s="71" t="str">
        <f t="shared" ref="O61" si="52">IF(SUM(O57:O60)=1,"-",SUM(O57:O60))</f>
        <v>-</v>
      </c>
      <c r="P61" s="71" t="str">
        <f t="shared" ref="P61" si="53">IF(SUM(P57:P60)=1,"-",SUM(P57:P60))</f>
        <v>-</v>
      </c>
      <c r="Q61" s="71" t="str">
        <f t="shared" ref="Q61" si="54">IF(SUM(Q57:Q60)=1,"-",SUM(Q57:Q60))</f>
        <v>-</v>
      </c>
      <c r="R61" s="71" t="str">
        <f t="shared" ref="R61" si="55">IF(SUM(R57:R60)=1,"-",SUM(R57:R60))</f>
        <v>-</v>
      </c>
      <c r="S61" s="71" t="str">
        <f t="shared" ref="S61" si="56">IF(SUM(S57:S60)=1,"-",SUM(S57:S60))</f>
        <v>-</v>
      </c>
      <c r="T61" s="71" t="str">
        <f t="shared" ref="T61" si="57">IF(SUM(T57:T60)=1,"-",SUM(T57:T60))</f>
        <v>-</v>
      </c>
      <c r="U61" s="71" t="str">
        <f t="shared" ref="U61" si="58">IF(SUM(U57:U60)=1,"-",SUM(U57:U60))</f>
        <v>-</v>
      </c>
      <c r="V61" s="71" t="str">
        <f t="shared" ref="V61" si="59">IF(SUM(V57:V60)=1,"-",SUM(V57:V60))</f>
        <v>-</v>
      </c>
    </row>
    <row r="62" spans="1:26">
      <c r="A62">
        <v>1</v>
      </c>
      <c r="B62" t="str">
        <f>VLOOKUP(F62,'TRA balance'!$BA$5:$BB$14,2,FALSE)</f>
        <v>TRABDS</v>
      </c>
      <c r="C62" s="64">
        <v>1</v>
      </c>
      <c r="D62" s="65" t="s">
        <v>200</v>
      </c>
      <c r="E62" s="65" t="s">
        <v>201</v>
      </c>
      <c r="F62" s="66" t="s">
        <v>43</v>
      </c>
      <c r="G62" s="64"/>
      <c r="H62" s="99">
        <f>H6</f>
        <v>0.1</v>
      </c>
      <c r="I62" s="99">
        <f t="shared" ref="I62:V62" si="60">I6</f>
        <v>0.02</v>
      </c>
      <c r="J62" s="99">
        <f t="shared" si="60"/>
        <v>0.02</v>
      </c>
      <c r="K62" s="99">
        <f t="shared" si="60"/>
        <v>0.1</v>
      </c>
      <c r="L62" s="99">
        <f t="shared" si="60"/>
        <v>0.07</v>
      </c>
      <c r="M62" s="99">
        <f t="shared" si="60"/>
        <v>0.2</v>
      </c>
      <c r="N62" s="99">
        <f t="shared" si="60"/>
        <v>0.05</v>
      </c>
      <c r="O62" s="99">
        <f t="shared" si="60"/>
        <v>0.25</v>
      </c>
      <c r="P62" s="99">
        <f t="shared" si="60"/>
        <v>0.05</v>
      </c>
      <c r="Q62" s="99">
        <f t="shared" si="60"/>
        <v>0.1</v>
      </c>
      <c r="R62" s="99">
        <f t="shared" si="60"/>
        <v>0.15</v>
      </c>
      <c r="S62" s="99">
        <f t="shared" si="60"/>
        <v>0.08</v>
      </c>
      <c r="T62" s="99">
        <f t="shared" si="60"/>
        <v>0.11</v>
      </c>
      <c r="U62" s="99">
        <f t="shared" si="60"/>
        <v>0.0244064218226165</v>
      </c>
      <c r="V62" s="99">
        <f t="shared" si="60"/>
        <v>0.2</v>
      </c>
    </row>
    <row r="63" spans="1:26">
      <c r="A63">
        <v>1</v>
      </c>
      <c r="B63" t="str">
        <f>VLOOKUP(F63,'TRA balance'!$BA$5:$BB$14,2,FALSE)</f>
        <v>TRABDS</v>
      </c>
      <c r="C63" s="56" t="str">
        <f t="shared" si="0"/>
        <v>TR</v>
      </c>
      <c r="D63" s="57" t="s">
        <v>200</v>
      </c>
      <c r="E63" s="68" t="s">
        <v>202</v>
      </c>
      <c r="F63" s="58" t="str">
        <f>F62</f>
        <v>Bio Diesel</v>
      </c>
      <c r="G63" s="56" t="s">
        <v>203</v>
      </c>
      <c r="H63" s="99">
        <f t="shared" ref="H63:V63" si="61">H7</f>
        <v>0.5</v>
      </c>
      <c r="I63" s="99">
        <f t="shared" si="61"/>
        <v>0.3</v>
      </c>
      <c r="J63" s="99">
        <f t="shared" si="61"/>
        <v>0.4</v>
      </c>
      <c r="K63" s="99">
        <f t="shared" si="61"/>
        <v>0.2</v>
      </c>
      <c r="L63" s="99">
        <f t="shared" si="61"/>
        <v>0.3</v>
      </c>
      <c r="M63" s="99">
        <f t="shared" si="61"/>
        <v>0.51</v>
      </c>
      <c r="N63" s="99">
        <f t="shared" si="61"/>
        <v>0.51</v>
      </c>
      <c r="O63" s="99">
        <f t="shared" si="61"/>
        <v>0.4</v>
      </c>
      <c r="P63" s="99">
        <f t="shared" si="61"/>
        <v>0.46</v>
      </c>
      <c r="Q63" s="99">
        <f t="shared" si="61"/>
        <v>0.2</v>
      </c>
      <c r="R63" s="99">
        <f t="shared" si="61"/>
        <v>0.7</v>
      </c>
      <c r="S63" s="99">
        <f t="shared" si="61"/>
        <v>0.34</v>
      </c>
      <c r="T63" s="99">
        <f t="shared" si="61"/>
        <v>0.39</v>
      </c>
      <c r="U63" s="99">
        <f t="shared" si="61"/>
        <v>0.391737102078734</v>
      </c>
      <c r="V63" s="99">
        <f t="shared" si="61"/>
        <v>0.8</v>
      </c>
    </row>
    <row r="64" spans="1:26">
      <c r="A64">
        <v>1</v>
      </c>
      <c r="B64" t="str">
        <f>VLOOKUP(F64,'TRA balance'!$BA$5:$BB$14,2,FALSE)</f>
        <v>TRABDS</v>
      </c>
      <c r="C64" s="56" t="str">
        <f t="shared" si="0"/>
        <v>TR</v>
      </c>
      <c r="D64" s="57" t="s">
        <v>200</v>
      </c>
      <c r="E64" s="68" t="s">
        <v>204</v>
      </c>
      <c r="F64" s="58" t="str">
        <f t="shared" ref="F64:F69" si="62">F63</f>
        <v>Bio Diesel</v>
      </c>
      <c r="G64" s="56" t="s">
        <v>205</v>
      </c>
      <c r="H64" s="99">
        <f t="shared" ref="H64:V64" si="63">H8</f>
        <v>0.5</v>
      </c>
      <c r="I64" s="99">
        <f t="shared" si="63"/>
        <v>0.7</v>
      </c>
      <c r="J64" s="99">
        <f t="shared" si="63"/>
        <v>0.6</v>
      </c>
      <c r="K64" s="99">
        <f t="shared" si="63"/>
        <v>0.2</v>
      </c>
      <c r="L64" s="99">
        <f t="shared" si="63"/>
        <v>0.69</v>
      </c>
      <c r="M64" s="99">
        <f t="shared" si="63"/>
        <v>0.49</v>
      </c>
      <c r="N64" s="99">
        <f t="shared" si="63"/>
        <v>0.49</v>
      </c>
      <c r="O64" s="99">
        <f t="shared" si="63"/>
        <v>0.35</v>
      </c>
      <c r="P64" s="99">
        <f t="shared" si="63"/>
        <v>0.53</v>
      </c>
      <c r="Q64" s="99">
        <f t="shared" si="63"/>
        <v>0.8</v>
      </c>
      <c r="R64" s="99">
        <f t="shared" si="63"/>
        <v>0.3</v>
      </c>
      <c r="S64" s="99">
        <f t="shared" si="63"/>
        <v>0.66</v>
      </c>
      <c r="T64" s="99">
        <f t="shared" si="63"/>
        <v>0.61</v>
      </c>
      <c r="U64" s="99">
        <f t="shared" si="63"/>
        <v>0.608262897921266</v>
      </c>
      <c r="V64" s="99">
        <f t="shared" si="63"/>
        <v>0.2</v>
      </c>
    </row>
    <row r="65" spans="1:22">
      <c r="A65">
        <v>1</v>
      </c>
      <c r="B65" t="str">
        <f>VLOOKUP(F65,'TRA balance'!$BA$5:$BB$14,2,FALSE)</f>
        <v>TRABDS</v>
      </c>
      <c r="C65" s="56" t="str">
        <f t="shared" si="0"/>
        <v>TR</v>
      </c>
      <c r="D65" s="57" t="s">
        <v>200</v>
      </c>
      <c r="E65" s="68" t="s">
        <v>206</v>
      </c>
      <c r="F65" s="58" t="str">
        <f t="shared" si="62"/>
        <v>Bio Diesel</v>
      </c>
      <c r="G65" s="56" t="s">
        <v>207</v>
      </c>
      <c r="H65" s="99">
        <f t="shared" ref="H65:V65" si="64">H9</f>
        <v>0</v>
      </c>
      <c r="I65" s="99">
        <f t="shared" si="64"/>
        <v>0</v>
      </c>
      <c r="J65" s="99">
        <f t="shared" si="64"/>
        <v>0</v>
      </c>
      <c r="K65" s="99">
        <f t="shared" si="64"/>
        <v>0.6</v>
      </c>
      <c r="L65" s="99">
        <f t="shared" si="64"/>
        <v>0.01</v>
      </c>
      <c r="M65" s="99">
        <f t="shared" si="64"/>
        <v>0</v>
      </c>
      <c r="N65" s="99">
        <f t="shared" si="64"/>
        <v>0</v>
      </c>
      <c r="O65" s="99">
        <f t="shared" si="64"/>
        <v>0.25</v>
      </c>
      <c r="P65" s="99">
        <f t="shared" si="64"/>
        <v>0.01</v>
      </c>
      <c r="Q65" s="99">
        <f t="shared" si="64"/>
        <v>0</v>
      </c>
      <c r="R65" s="99">
        <f t="shared" si="64"/>
        <v>0</v>
      </c>
      <c r="S65" s="99">
        <f t="shared" si="64"/>
        <v>0</v>
      </c>
      <c r="T65" s="99">
        <f t="shared" si="64"/>
        <v>0</v>
      </c>
      <c r="U65" s="99">
        <f t="shared" si="64"/>
        <v>0</v>
      </c>
      <c r="V65" s="99">
        <f t="shared" si="64"/>
        <v>0</v>
      </c>
    </row>
    <row r="66" spans="1:22">
      <c r="A66">
        <v>1</v>
      </c>
      <c r="B66" t="str">
        <f>VLOOKUP(F66,'TRA balance'!$BA$5:$BB$14,2,FALSE)</f>
        <v>TRABDS</v>
      </c>
      <c r="C66" s="56" t="str">
        <f t="shared" si="0"/>
        <v>TR</v>
      </c>
      <c r="D66" s="57" t="s">
        <v>200</v>
      </c>
      <c r="E66" s="68" t="s">
        <v>208</v>
      </c>
      <c r="F66" s="58" t="str">
        <f t="shared" si="62"/>
        <v>Bio Diesel</v>
      </c>
      <c r="G66" s="56" t="s">
        <v>209</v>
      </c>
      <c r="H66" s="99">
        <f t="shared" ref="H66:V66" si="65">H10</f>
        <v>0</v>
      </c>
      <c r="I66" s="99">
        <f t="shared" si="65"/>
        <v>0</v>
      </c>
      <c r="J66" s="99">
        <f t="shared" si="65"/>
        <v>0</v>
      </c>
      <c r="K66" s="99">
        <f t="shared" si="65"/>
        <v>0</v>
      </c>
      <c r="L66" s="99">
        <f t="shared" si="65"/>
        <v>0</v>
      </c>
      <c r="M66" s="99">
        <f t="shared" si="65"/>
        <v>0</v>
      </c>
      <c r="N66" s="99">
        <f t="shared" si="65"/>
        <v>0</v>
      </c>
      <c r="O66" s="99">
        <f t="shared" si="65"/>
        <v>0</v>
      </c>
      <c r="P66" s="99">
        <f t="shared" si="65"/>
        <v>0</v>
      </c>
      <c r="Q66" s="99">
        <f t="shared" si="65"/>
        <v>0</v>
      </c>
      <c r="R66" s="99">
        <f t="shared" si="65"/>
        <v>0</v>
      </c>
      <c r="S66" s="99">
        <f t="shared" si="65"/>
        <v>0</v>
      </c>
      <c r="T66" s="99">
        <f t="shared" si="65"/>
        <v>0</v>
      </c>
      <c r="U66" s="99">
        <f t="shared" si="65"/>
        <v>0</v>
      </c>
      <c r="V66" s="99">
        <f t="shared" si="65"/>
        <v>0</v>
      </c>
    </row>
    <row r="67" spans="1:22">
      <c r="A67">
        <v>1</v>
      </c>
      <c r="B67" t="str">
        <f>VLOOKUP(F67,'TRA balance'!$BA$5:$BB$14,2,FALSE)</f>
        <v>TRABDS</v>
      </c>
      <c r="C67" s="56" t="str">
        <f t="shared" si="0"/>
        <v/>
      </c>
      <c r="D67" s="57"/>
      <c r="E67" s="69" t="s">
        <v>210</v>
      </c>
      <c r="F67" s="58" t="str">
        <f t="shared" si="62"/>
        <v>Bio Diesel</v>
      </c>
      <c r="G67" s="56"/>
      <c r="H67" s="69" t="str">
        <f>IF(SUM(H63:H66)=1,"-","&lt;&gt;1!!")</f>
        <v>-</v>
      </c>
      <c r="I67" s="69" t="str">
        <f t="shared" ref="I67:V67" si="66">IF(SUM(I63:I66)=1,"-","&lt;&gt;1!!")</f>
        <v>-</v>
      </c>
      <c r="J67" s="69" t="str">
        <f t="shared" si="66"/>
        <v>-</v>
      </c>
      <c r="K67" s="69" t="str">
        <f t="shared" si="66"/>
        <v>-</v>
      </c>
      <c r="L67" s="69" t="str">
        <f t="shared" si="66"/>
        <v>-</v>
      </c>
      <c r="M67" s="69" t="str">
        <f t="shared" si="66"/>
        <v>-</v>
      </c>
      <c r="N67" s="69" t="str">
        <f t="shared" si="66"/>
        <v>-</v>
      </c>
      <c r="O67" s="69" t="str">
        <f t="shared" si="66"/>
        <v>-</v>
      </c>
      <c r="P67" s="69" t="str">
        <f t="shared" si="66"/>
        <v>-</v>
      </c>
      <c r="Q67" s="69" t="str">
        <f t="shared" si="66"/>
        <v>-</v>
      </c>
      <c r="R67" s="69" t="str">
        <f t="shared" si="66"/>
        <v>-</v>
      </c>
      <c r="S67" s="69" t="str">
        <f t="shared" si="66"/>
        <v>-</v>
      </c>
      <c r="T67" s="69" t="str">
        <f t="shared" si="66"/>
        <v>-</v>
      </c>
      <c r="U67" s="69" t="str">
        <f t="shared" si="66"/>
        <v>-</v>
      </c>
      <c r="V67" s="69" t="str">
        <f t="shared" si="66"/>
        <v>-</v>
      </c>
    </row>
    <row r="68" spans="1:22">
      <c r="A68">
        <v>1</v>
      </c>
      <c r="B68" t="str">
        <f>VLOOKUP(F68,'TRA balance'!$BA$5:$BB$14,2,FALSE)</f>
        <v>TRABDS</v>
      </c>
      <c r="C68" s="64">
        <v>2</v>
      </c>
      <c r="D68" s="65" t="s">
        <v>200</v>
      </c>
      <c r="E68" s="65" t="s">
        <v>211</v>
      </c>
      <c r="F68" s="66" t="str">
        <f t="shared" si="62"/>
        <v>Bio Diesel</v>
      </c>
      <c r="G68" s="64"/>
      <c r="H68" s="70">
        <f>1-H62</f>
        <v>0.9</v>
      </c>
      <c r="I68" s="70">
        <f t="shared" ref="I68:V68" si="67">1-I62</f>
        <v>0.98</v>
      </c>
      <c r="J68" s="70">
        <f t="shared" si="67"/>
        <v>0.98</v>
      </c>
      <c r="K68" s="70">
        <f t="shared" si="67"/>
        <v>0.9</v>
      </c>
      <c r="L68" s="70">
        <f t="shared" si="67"/>
        <v>0.93</v>
      </c>
      <c r="M68" s="70">
        <f t="shared" si="67"/>
        <v>0.8</v>
      </c>
      <c r="N68" s="70">
        <f t="shared" si="67"/>
        <v>0.95</v>
      </c>
      <c r="O68" s="70">
        <f t="shared" si="67"/>
        <v>0.75</v>
      </c>
      <c r="P68" s="70">
        <f t="shared" si="67"/>
        <v>0.95</v>
      </c>
      <c r="Q68" s="70">
        <f t="shared" si="67"/>
        <v>0.9</v>
      </c>
      <c r="R68" s="70">
        <f t="shared" si="67"/>
        <v>0.85</v>
      </c>
      <c r="S68" s="70">
        <f t="shared" si="67"/>
        <v>0.92</v>
      </c>
      <c r="T68" s="70">
        <f t="shared" si="67"/>
        <v>0.89</v>
      </c>
      <c r="U68" s="70">
        <f t="shared" si="67"/>
        <v>0.975593578177383</v>
      </c>
      <c r="V68" s="70">
        <f t="shared" si="67"/>
        <v>0.8</v>
      </c>
    </row>
    <row r="69" spans="1:22">
      <c r="A69">
        <v>2</v>
      </c>
      <c r="B69" t="str">
        <f>VLOOKUP(F69,'TRA balance'!$BA$5:$BB$14,2,FALSE)</f>
        <v>TRABDS</v>
      </c>
      <c r="C69" s="56" t="str">
        <f t="shared" ref="C69:C102" si="68">LEFT(G69,2)</f>
        <v>TR</v>
      </c>
      <c r="D69" s="57" t="s">
        <v>200</v>
      </c>
      <c r="E69" s="68" t="s">
        <v>212</v>
      </c>
      <c r="F69" s="58" t="str">
        <f t="shared" si="62"/>
        <v>Bio Diesel</v>
      </c>
      <c r="G69" s="56" t="s">
        <v>213</v>
      </c>
      <c r="H69" s="99">
        <f t="shared" ref="H69:V69" si="69">H13</f>
        <v>0.35</v>
      </c>
      <c r="I69" s="99">
        <f t="shared" si="69"/>
        <v>0.15</v>
      </c>
      <c r="J69" s="99">
        <f t="shared" si="69"/>
        <v>0.05</v>
      </c>
      <c r="K69" s="99">
        <f t="shared" si="69"/>
        <v>0.35</v>
      </c>
      <c r="L69" s="99">
        <f t="shared" si="69"/>
        <v>0.1</v>
      </c>
      <c r="M69" s="99">
        <f t="shared" si="69"/>
        <v>0.1</v>
      </c>
      <c r="N69" s="99">
        <f t="shared" si="69"/>
        <v>0.1</v>
      </c>
      <c r="O69" s="99">
        <f t="shared" si="69"/>
        <v>0.25</v>
      </c>
      <c r="P69" s="99">
        <f t="shared" si="69"/>
        <v>0.05</v>
      </c>
      <c r="Q69" s="99">
        <f t="shared" si="69"/>
        <v>0.1</v>
      </c>
      <c r="R69" s="99">
        <f t="shared" si="69"/>
        <v>0.1</v>
      </c>
      <c r="S69" s="99">
        <f t="shared" si="69"/>
        <v>0.15</v>
      </c>
      <c r="T69" s="99">
        <f t="shared" si="69"/>
        <v>0.22</v>
      </c>
      <c r="U69" s="99">
        <f t="shared" si="69"/>
        <v>0.04</v>
      </c>
      <c r="V69" s="99">
        <f t="shared" si="69"/>
        <v>0.05</v>
      </c>
    </row>
    <row r="70" spans="1:22">
      <c r="A70">
        <v>2</v>
      </c>
      <c r="B70" t="str">
        <f>VLOOKUP(F70,'TRA balance'!$BA$5:$BB$14,2,FALSE)</f>
        <v>TRABDS</v>
      </c>
      <c r="C70" s="56" t="str">
        <f t="shared" si="68"/>
        <v>TR</v>
      </c>
      <c r="D70" s="57" t="s">
        <v>200</v>
      </c>
      <c r="E70" s="68" t="s">
        <v>214</v>
      </c>
      <c r="F70" s="58" t="str">
        <f t="shared" ref="F70:F76" si="70">F69</f>
        <v>Bio Diesel</v>
      </c>
      <c r="G70" s="56" t="s">
        <v>215</v>
      </c>
      <c r="H70" s="99">
        <f t="shared" ref="H70:V70" si="71">H14</f>
        <v>0.35</v>
      </c>
      <c r="I70" s="99">
        <f t="shared" si="71"/>
        <v>0.35</v>
      </c>
      <c r="J70" s="99">
        <f t="shared" si="71"/>
        <v>0.6</v>
      </c>
      <c r="K70" s="99">
        <f t="shared" si="71"/>
        <v>0.35</v>
      </c>
      <c r="L70" s="99">
        <f t="shared" si="71"/>
        <v>0.5</v>
      </c>
      <c r="M70" s="99">
        <f t="shared" si="71"/>
        <v>0.5</v>
      </c>
      <c r="N70" s="99">
        <f t="shared" si="71"/>
        <v>0.6</v>
      </c>
      <c r="O70" s="99">
        <f t="shared" si="71"/>
        <v>0.3</v>
      </c>
      <c r="P70" s="99">
        <f t="shared" si="71"/>
        <v>0.5</v>
      </c>
      <c r="Q70" s="99">
        <f t="shared" si="71"/>
        <v>0.5</v>
      </c>
      <c r="R70" s="99">
        <f t="shared" si="71"/>
        <v>0.45</v>
      </c>
      <c r="S70" s="99">
        <f t="shared" si="71"/>
        <v>0.5</v>
      </c>
      <c r="T70" s="99">
        <f t="shared" si="71"/>
        <v>0.38</v>
      </c>
      <c r="U70" s="99">
        <f t="shared" si="71"/>
        <v>0.8</v>
      </c>
      <c r="V70" s="99">
        <f t="shared" si="71"/>
        <v>0.5</v>
      </c>
    </row>
    <row r="71" spans="1:22">
      <c r="A71">
        <v>2</v>
      </c>
      <c r="B71" t="str">
        <f>VLOOKUP(F71,'TRA balance'!$BA$5:$BB$14,2,FALSE)</f>
        <v>TRABDS</v>
      </c>
      <c r="C71" s="56" t="str">
        <f t="shared" si="68"/>
        <v>TR</v>
      </c>
      <c r="D71" s="57" t="s">
        <v>200</v>
      </c>
      <c r="E71" s="68" t="s">
        <v>216</v>
      </c>
      <c r="F71" s="58" t="str">
        <f t="shared" si="70"/>
        <v>Bio Diesel</v>
      </c>
      <c r="G71" s="56" t="s">
        <v>217</v>
      </c>
      <c r="H71" s="99">
        <f t="shared" ref="H71:V71" si="72">H15</f>
        <v>0.1</v>
      </c>
      <c r="I71" s="99">
        <f t="shared" si="72"/>
        <v>0.3</v>
      </c>
      <c r="J71" s="99">
        <f t="shared" si="72"/>
        <v>0.25</v>
      </c>
      <c r="K71" s="99">
        <f t="shared" si="72"/>
        <v>0.2</v>
      </c>
      <c r="L71" s="99">
        <f t="shared" si="72"/>
        <v>0.3</v>
      </c>
      <c r="M71" s="99">
        <f t="shared" si="72"/>
        <v>0.25</v>
      </c>
      <c r="N71" s="99">
        <f t="shared" si="72"/>
        <v>0.2</v>
      </c>
      <c r="O71" s="99">
        <f t="shared" si="72"/>
        <v>0.2</v>
      </c>
      <c r="P71" s="99">
        <f t="shared" si="72"/>
        <v>0.3</v>
      </c>
      <c r="Q71" s="99">
        <f t="shared" si="72"/>
        <v>0.25</v>
      </c>
      <c r="R71" s="99">
        <f t="shared" si="72"/>
        <v>0.3</v>
      </c>
      <c r="S71" s="99">
        <f t="shared" si="72"/>
        <v>0.25</v>
      </c>
      <c r="T71" s="99">
        <f t="shared" si="72"/>
        <v>0.2</v>
      </c>
      <c r="U71" s="99">
        <f t="shared" si="72"/>
        <v>0.11</v>
      </c>
      <c r="V71" s="99">
        <f t="shared" si="72"/>
        <v>0.3</v>
      </c>
    </row>
    <row r="72" spans="1:22">
      <c r="A72">
        <v>2</v>
      </c>
      <c r="B72" t="str">
        <f>VLOOKUP(F72,'TRA balance'!$BA$5:$BB$14,2,FALSE)</f>
        <v>TRABDS</v>
      </c>
      <c r="C72" s="56" t="str">
        <f t="shared" si="68"/>
        <v>TR</v>
      </c>
      <c r="D72" s="57" t="s">
        <v>200</v>
      </c>
      <c r="E72" s="68" t="s">
        <v>218</v>
      </c>
      <c r="F72" s="58" t="str">
        <f t="shared" si="70"/>
        <v>Bio Diesel</v>
      </c>
      <c r="G72" s="56" t="s">
        <v>219</v>
      </c>
      <c r="H72" s="99">
        <f t="shared" ref="H72:V72" si="73">H16</f>
        <v>0.2</v>
      </c>
      <c r="I72" s="99">
        <f t="shared" si="73"/>
        <v>0.2</v>
      </c>
      <c r="J72" s="99">
        <f t="shared" si="73"/>
        <v>0.1</v>
      </c>
      <c r="K72" s="99">
        <f t="shared" si="73"/>
        <v>0.1</v>
      </c>
      <c r="L72" s="99">
        <f t="shared" si="73"/>
        <v>0.1</v>
      </c>
      <c r="M72" s="99">
        <f t="shared" si="73"/>
        <v>0.15</v>
      </c>
      <c r="N72" s="99">
        <f t="shared" si="73"/>
        <v>0.1</v>
      </c>
      <c r="O72" s="99">
        <f t="shared" si="73"/>
        <v>0.25</v>
      </c>
      <c r="P72" s="99">
        <f t="shared" si="73"/>
        <v>0.15</v>
      </c>
      <c r="Q72" s="99">
        <f t="shared" si="73"/>
        <v>0.15</v>
      </c>
      <c r="R72" s="99">
        <f t="shared" si="73"/>
        <v>0.15</v>
      </c>
      <c r="S72" s="99">
        <f t="shared" si="73"/>
        <v>0.1</v>
      </c>
      <c r="T72" s="99">
        <f t="shared" si="73"/>
        <v>0.2</v>
      </c>
      <c r="U72" s="99">
        <f t="shared" si="73"/>
        <v>0.05</v>
      </c>
      <c r="V72" s="99">
        <f t="shared" si="73"/>
        <v>0.15</v>
      </c>
    </row>
    <row r="73" spans="1:22">
      <c r="A73">
        <v>1</v>
      </c>
      <c r="B73" t="str">
        <f>VLOOKUP(F73,'TRA balance'!$BA$5:$BB$14,2,FALSE)</f>
        <v>TRABDS</v>
      </c>
      <c r="C73" s="56" t="str">
        <f t="shared" si="68"/>
        <v/>
      </c>
      <c r="D73" s="57"/>
      <c r="E73" s="69" t="s">
        <v>220</v>
      </c>
      <c r="F73" s="58" t="str">
        <f t="shared" si="70"/>
        <v>Bio Diesel</v>
      </c>
      <c r="G73" s="56"/>
      <c r="H73" s="71" t="str">
        <f>IF(SUM(H69:H72)=1,"-","&lt;&gt;1!!")</f>
        <v>-</v>
      </c>
      <c r="I73" s="71" t="str">
        <f t="shared" ref="I73:V73" si="74">IF(SUM(I69:I72)=1,"-","&lt;&gt;1!!")</f>
        <v>-</v>
      </c>
      <c r="J73" s="71" t="str">
        <f t="shared" si="74"/>
        <v>-</v>
      </c>
      <c r="K73" s="71" t="str">
        <f t="shared" si="74"/>
        <v>-</v>
      </c>
      <c r="L73" s="71" t="str">
        <f t="shared" si="74"/>
        <v>-</v>
      </c>
      <c r="M73" s="71" t="str">
        <f t="shared" si="74"/>
        <v>-</v>
      </c>
      <c r="N73" s="71" t="str">
        <f t="shared" si="74"/>
        <v>-</v>
      </c>
      <c r="O73" s="71" t="str">
        <f t="shared" si="74"/>
        <v>-</v>
      </c>
      <c r="P73" s="71" t="str">
        <f t="shared" si="74"/>
        <v>-</v>
      </c>
      <c r="Q73" s="71" t="str">
        <f t="shared" si="74"/>
        <v>-</v>
      </c>
      <c r="R73" s="71" t="str">
        <f t="shared" si="74"/>
        <v>-</v>
      </c>
      <c r="S73" s="71" t="str">
        <f t="shared" si="74"/>
        <v>-</v>
      </c>
      <c r="T73" s="71" t="str">
        <f t="shared" si="74"/>
        <v>-</v>
      </c>
      <c r="U73" s="71" t="str">
        <f t="shared" si="74"/>
        <v>-</v>
      </c>
      <c r="V73" s="71" t="str">
        <f t="shared" si="74"/>
        <v>-</v>
      </c>
    </row>
    <row r="74" spans="1:22">
      <c r="A74">
        <v>1</v>
      </c>
      <c r="B74" t="str">
        <f>VLOOKUP(F74,'TRA balance'!$BA$5:$BB$14,2,FALSE)</f>
        <v>TRABDS</v>
      </c>
      <c r="C74" s="56" t="str">
        <f t="shared" si="68"/>
        <v>TT</v>
      </c>
      <c r="D74" s="57" t="s">
        <v>192</v>
      </c>
      <c r="E74" s="57" t="s">
        <v>193</v>
      </c>
      <c r="F74" s="58" t="str">
        <f t="shared" si="70"/>
        <v>Bio Diesel</v>
      </c>
      <c r="G74" s="56" t="s">
        <v>194</v>
      </c>
      <c r="H74" s="99">
        <f t="shared" ref="H74:V74" si="75">H18</f>
        <v>0.7</v>
      </c>
      <c r="I74" s="99">
        <f t="shared" si="75"/>
        <v>0.7</v>
      </c>
      <c r="J74" s="99">
        <f t="shared" si="75"/>
        <v>0.95</v>
      </c>
      <c r="K74" s="99">
        <f t="shared" si="75"/>
        <v>0.6</v>
      </c>
      <c r="L74" s="99">
        <f t="shared" si="75"/>
        <v>0.8</v>
      </c>
      <c r="M74" s="99">
        <f t="shared" si="75"/>
        <v>0.9</v>
      </c>
      <c r="N74" s="99">
        <f t="shared" si="75"/>
        <v>0.9</v>
      </c>
      <c r="O74" s="99">
        <f t="shared" si="75"/>
        <v>0.5</v>
      </c>
      <c r="P74" s="99">
        <f t="shared" si="75"/>
        <v>0.3</v>
      </c>
      <c r="Q74" s="99">
        <f t="shared" si="75"/>
        <v>0.7</v>
      </c>
      <c r="R74" s="99">
        <f t="shared" si="75"/>
        <v>0.75</v>
      </c>
      <c r="S74" s="99">
        <f t="shared" si="75"/>
        <v>0.8</v>
      </c>
      <c r="T74" s="99">
        <f t="shared" si="75"/>
        <v>0.9</v>
      </c>
      <c r="U74" s="99">
        <f t="shared" si="75"/>
        <v>0.960321230917373</v>
      </c>
      <c r="V74" s="99">
        <f t="shared" si="75"/>
        <v>0.9</v>
      </c>
    </row>
    <row r="75" spans="1:22">
      <c r="A75">
        <v>1</v>
      </c>
      <c r="B75" t="str">
        <f>VLOOKUP(F75,'TRA balance'!$BA$5:$BB$14,2,FALSE)</f>
        <v>TRABDS</v>
      </c>
      <c r="C75" s="56" t="str">
        <f t="shared" si="68"/>
        <v>TT</v>
      </c>
      <c r="D75" s="57" t="s">
        <v>192</v>
      </c>
      <c r="E75" s="57" t="s">
        <v>197</v>
      </c>
      <c r="F75" s="58" t="str">
        <f t="shared" si="70"/>
        <v>Bio Diesel</v>
      </c>
      <c r="G75" s="56" t="s">
        <v>198</v>
      </c>
      <c r="H75" s="99">
        <f t="shared" ref="H75:V75" si="76">H19</f>
        <v>0.3</v>
      </c>
      <c r="I75" s="99">
        <f t="shared" si="76"/>
        <v>0.3</v>
      </c>
      <c r="J75" s="99">
        <f t="shared" si="76"/>
        <v>0.05</v>
      </c>
      <c r="K75" s="99">
        <f t="shared" si="76"/>
        <v>0.4</v>
      </c>
      <c r="L75" s="99">
        <f t="shared" si="76"/>
        <v>0.2</v>
      </c>
      <c r="M75" s="99">
        <f t="shared" si="76"/>
        <v>0.1</v>
      </c>
      <c r="N75" s="99">
        <f t="shared" si="76"/>
        <v>0.1</v>
      </c>
      <c r="O75" s="99">
        <f t="shared" si="76"/>
        <v>0.5</v>
      </c>
      <c r="P75" s="99">
        <f t="shared" si="76"/>
        <v>0.7</v>
      </c>
      <c r="Q75" s="99">
        <f t="shared" si="76"/>
        <v>0.3</v>
      </c>
      <c r="R75" s="99">
        <f t="shared" si="76"/>
        <v>0.25</v>
      </c>
      <c r="S75" s="99">
        <f t="shared" si="76"/>
        <v>0.2</v>
      </c>
      <c r="T75" s="99">
        <f t="shared" si="76"/>
        <v>0.1</v>
      </c>
      <c r="U75" s="99">
        <f t="shared" si="76"/>
        <v>0.0396787690826272</v>
      </c>
      <c r="V75" s="99">
        <f t="shared" si="76"/>
        <v>0.1</v>
      </c>
    </row>
    <row r="76" spans="1:22">
      <c r="A76">
        <v>1</v>
      </c>
      <c r="B76" t="str">
        <f>VLOOKUP(F76,'TRA balance'!$BA$5:$BB$14,2,FALSE)</f>
        <v>TRABDS</v>
      </c>
      <c r="C76" s="60"/>
      <c r="D76" s="60"/>
      <c r="E76" s="61" t="s">
        <v>199</v>
      </c>
      <c r="F76" s="62" t="str">
        <f t="shared" si="70"/>
        <v>Bio Diesel</v>
      </c>
      <c r="G76" s="60"/>
      <c r="H76" s="61" t="str">
        <f t="shared" ref="H76:V76" si="77">IF(SUM(H74:H75)=1,"-","&lt;&gt;1!!")</f>
        <v>-</v>
      </c>
      <c r="I76" s="61" t="str">
        <f t="shared" si="77"/>
        <v>-</v>
      </c>
      <c r="J76" s="61" t="str">
        <f t="shared" si="77"/>
        <v>-</v>
      </c>
      <c r="K76" s="61" t="str">
        <f t="shared" si="77"/>
        <v>-</v>
      </c>
      <c r="L76" s="61" t="str">
        <f t="shared" si="77"/>
        <v>-</v>
      </c>
      <c r="M76" s="61" t="str">
        <f t="shared" si="77"/>
        <v>-</v>
      </c>
      <c r="N76" s="61" t="str">
        <f t="shared" si="77"/>
        <v>-</v>
      </c>
      <c r="O76" s="61" t="str">
        <f t="shared" si="77"/>
        <v>-</v>
      </c>
      <c r="P76" s="61" t="str">
        <f t="shared" si="77"/>
        <v>-</v>
      </c>
      <c r="Q76" s="61" t="str">
        <f t="shared" si="77"/>
        <v>-</v>
      </c>
      <c r="R76" s="61" t="str">
        <f t="shared" si="77"/>
        <v>-</v>
      </c>
      <c r="S76" s="61" t="str">
        <f t="shared" si="77"/>
        <v>-</v>
      </c>
      <c r="T76" s="61" t="str">
        <f t="shared" si="77"/>
        <v>-</v>
      </c>
      <c r="U76" s="61" t="str">
        <f t="shared" si="77"/>
        <v>-</v>
      </c>
      <c r="V76" s="61" t="str">
        <f t="shared" si="77"/>
        <v>-</v>
      </c>
    </row>
    <row r="77" spans="1:22">
      <c r="A77">
        <v>1</v>
      </c>
      <c r="B77" t="str">
        <f>VLOOKUP(F77,'TRA balance'!$BA$5:$BB$14,2,FALSE)</f>
        <v>TRABGS</v>
      </c>
      <c r="C77" s="64">
        <v>1</v>
      </c>
      <c r="D77" s="65" t="s">
        <v>200</v>
      </c>
      <c r="E77" s="65" t="s">
        <v>201</v>
      </c>
      <c r="F77" s="66" t="s">
        <v>47</v>
      </c>
      <c r="G77" s="64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</row>
    <row r="78" spans="1:22">
      <c r="A78">
        <v>1</v>
      </c>
      <c r="B78" t="str">
        <f>VLOOKUP(F78,'TRA balance'!$BA$5:$BB$14,2,FALSE)</f>
        <v>TRABGS</v>
      </c>
      <c r="C78" s="56" t="str">
        <f t="shared" si="68"/>
        <v>TR</v>
      </c>
      <c r="D78" s="57" t="s">
        <v>200</v>
      </c>
      <c r="E78" s="68" t="s">
        <v>202</v>
      </c>
      <c r="F78" s="58" t="str">
        <f>F77</f>
        <v>Bio Gasoline</v>
      </c>
      <c r="G78" s="56" t="s">
        <v>203</v>
      </c>
      <c r="H78" s="95">
        <v>1</v>
      </c>
      <c r="I78" s="95">
        <v>1</v>
      </c>
      <c r="J78" s="95">
        <v>1</v>
      </c>
      <c r="K78" s="95">
        <v>1</v>
      </c>
      <c r="L78" s="95">
        <v>1</v>
      </c>
      <c r="M78" s="95">
        <v>1</v>
      </c>
      <c r="N78" s="95">
        <v>1</v>
      </c>
      <c r="O78" s="95">
        <v>1</v>
      </c>
      <c r="P78" s="95">
        <v>1</v>
      </c>
      <c r="Q78" s="95">
        <v>1</v>
      </c>
      <c r="R78" s="95">
        <v>1</v>
      </c>
      <c r="S78" s="95">
        <v>1</v>
      </c>
      <c r="T78" s="95">
        <v>1</v>
      </c>
      <c r="U78" s="95">
        <v>1</v>
      </c>
      <c r="V78" s="95">
        <v>1</v>
      </c>
    </row>
    <row r="79" spans="1:22">
      <c r="A79">
        <v>1</v>
      </c>
      <c r="B79" t="str">
        <f>VLOOKUP(F79,'TRA balance'!$BA$5:$BB$14,2,FALSE)</f>
        <v>TRABGS</v>
      </c>
      <c r="C79" s="56" t="str">
        <f t="shared" si="68"/>
        <v>TR</v>
      </c>
      <c r="D79" s="57" t="s">
        <v>200</v>
      </c>
      <c r="E79" s="68" t="s">
        <v>204</v>
      </c>
      <c r="F79" s="58" t="str">
        <f t="shared" ref="F79:F84" si="78">F78</f>
        <v>Bio Gasoline</v>
      </c>
      <c r="G79" s="56" t="s">
        <v>205</v>
      </c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</row>
    <row r="80" spans="1:22">
      <c r="A80">
        <v>1</v>
      </c>
      <c r="B80" t="str">
        <f>VLOOKUP(F80,'TRA balance'!$BA$5:$BB$14,2,FALSE)</f>
        <v>TRABGS</v>
      </c>
      <c r="C80" s="56" t="str">
        <f t="shared" si="68"/>
        <v>TR</v>
      </c>
      <c r="D80" s="57" t="s">
        <v>200</v>
      </c>
      <c r="E80" s="68" t="s">
        <v>206</v>
      </c>
      <c r="F80" s="58" t="str">
        <f t="shared" si="78"/>
        <v>Bio Gasoline</v>
      </c>
      <c r="G80" s="56" t="s">
        <v>207</v>
      </c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</row>
    <row r="81" spans="1:22">
      <c r="A81">
        <v>1</v>
      </c>
      <c r="B81" t="str">
        <f>VLOOKUP(F81,'TRA balance'!$BA$5:$BB$14,2,FALSE)</f>
        <v>TRABGS</v>
      </c>
      <c r="C81" s="56" t="str">
        <f t="shared" si="68"/>
        <v>TR</v>
      </c>
      <c r="D81" s="57" t="s">
        <v>200</v>
      </c>
      <c r="E81" s="68" t="s">
        <v>208</v>
      </c>
      <c r="F81" s="58" t="str">
        <f t="shared" si="78"/>
        <v>Bio Gasoline</v>
      </c>
      <c r="G81" s="56" t="s">
        <v>209</v>
      </c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</row>
    <row r="82" spans="1:22">
      <c r="A82">
        <v>1</v>
      </c>
      <c r="B82" t="str">
        <f>VLOOKUP(F82,'TRA balance'!$BA$5:$BB$14,2,FALSE)</f>
        <v>TRABGS</v>
      </c>
      <c r="C82" s="56" t="str">
        <f t="shared" si="68"/>
        <v/>
      </c>
      <c r="D82" s="57"/>
      <c r="E82" s="69" t="s">
        <v>210</v>
      </c>
      <c r="F82" s="58" t="str">
        <f t="shared" si="78"/>
        <v>Bio Gasoline</v>
      </c>
      <c r="G82" s="56"/>
      <c r="H82" s="69" t="str">
        <f>IF(SUM(H78:H81)=1,"-","&lt;&gt;1!!")</f>
        <v>-</v>
      </c>
      <c r="I82" s="69" t="str">
        <f t="shared" ref="I82:V82" si="79">IF(SUM(I78:I81)=1,"-","&lt;&gt;1!!")</f>
        <v>-</v>
      </c>
      <c r="J82" s="69" t="str">
        <f t="shared" si="79"/>
        <v>-</v>
      </c>
      <c r="K82" s="69" t="str">
        <f t="shared" si="79"/>
        <v>-</v>
      </c>
      <c r="L82" s="69" t="str">
        <f t="shared" si="79"/>
        <v>-</v>
      </c>
      <c r="M82" s="69" t="str">
        <f t="shared" si="79"/>
        <v>-</v>
      </c>
      <c r="N82" s="69" t="str">
        <f t="shared" si="79"/>
        <v>-</v>
      </c>
      <c r="O82" s="69" t="str">
        <f t="shared" si="79"/>
        <v>-</v>
      </c>
      <c r="P82" s="69" t="str">
        <f t="shared" si="79"/>
        <v>-</v>
      </c>
      <c r="Q82" s="69" t="str">
        <f t="shared" si="79"/>
        <v>-</v>
      </c>
      <c r="R82" s="69" t="str">
        <f t="shared" si="79"/>
        <v>-</v>
      </c>
      <c r="S82" s="69" t="str">
        <f t="shared" si="79"/>
        <v>-</v>
      </c>
      <c r="T82" s="69" t="str">
        <f t="shared" si="79"/>
        <v>-</v>
      </c>
      <c r="U82" s="69" t="str">
        <f t="shared" si="79"/>
        <v>-</v>
      </c>
      <c r="V82" s="69" t="str">
        <f t="shared" si="79"/>
        <v>-</v>
      </c>
    </row>
    <row r="83" spans="1:22">
      <c r="A83">
        <v>1</v>
      </c>
      <c r="B83" t="str">
        <f>VLOOKUP(F83,'TRA balance'!$BA$5:$BB$14,2,FALSE)</f>
        <v>TRABGS</v>
      </c>
      <c r="C83" s="64">
        <v>2</v>
      </c>
      <c r="D83" s="65" t="s">
        <v>200</v>
      </c>
      <c r="E83" s="65" t="s">
        <v>211</v>
      </c>
      <c r="F83" s="66" t="str">
        <f t="shared" si="78"/>
        <v>Bio Gasoline</v>
      </c>
      <c r="G83" s="64"/>
      <c r="H83" s="70">
        <f>1-H77</f>
        <v>1</v>
      </c>
      <c r="I83" s="70">
        <f t="shared" ref="I83:V83" si="80">1-I77</f>
        <v>1</v>
      </c>
      <c r="J83" s="70">
        <f t="shared" si="80"/>
        <v>1</v>
      </c>
      <c r="K83" s="70">
        <f t="shared" si="80"/>
        <v>1</v>
      </c>
      <c r="L83" s="70">
        <f t="shared" si="80"/>
        <v>1</v>
      </c>
      <c r="M83" s="70">
        <f t="shared" si="80"/>
        <v>1</v>
      </c>
      <c r="N83" s="70">
        <f t="shared" si="80"/>
        <v>1</v>
      </c>
      <c r="O83" s="70">
        <f t="shared" si="80"/>
        <v>1</v>
      </c>
      <c r="P83" s="70">
        <f t="shared" si="80"/>
        <v>1</v>
      </c>
      <c r="Q83" s="70">
        <f t="shared" si="80"/>
        <v>1</v>
      </c>
      <c r="R83" s="70">
        <f t="shared" si="80"/>
        <v>1</v>
      </c>
      <c r="S83" s="70">
        <f t="shared" si="80"/>
        <v>1</v>
      </c>
      <c r="T83" s="70">
        <f t="shared" si="80"/>
        <v>1</v>
      </c>
      <c r="U83" s="70">
        <f t="shared" si="80"/>
        <v>1</v>
      </c>
      <c r="V83" s="70">
        <f t="shared" si="80"/>
        <v>1</v>
      </c>
    </row>
    <row r="84" spans="1:22">
      <c r="A84">
        <v>2</v>
      </c>
      <c r="B84" t="str">
        <f>VLOOKUP(F84,'TRA balance'!$BA$5:$BB$14,2,FALSE)</f>
        <v>TRABGS</v>
      </c>
      <c r="C84" s="56" t="str">
        <f t="shared" si="68"/>
        <v>TR</v>
      </c>
      <c r="D84" s="57" t="s">
        <v>200</v>
      </c>
      <c r="E84" s="68" t="s">
        <v>212</v>
      </c>
      <c r="F84" s="58" t="str">
        <f t="shared" si="78"/>
        <v>Bio Gasoline</v>
      </c>
      <c r="G84" s="56" t="s">
        <v>213</v>
      </c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</row>
    <row r="85" spans="1:22">
      <c r="A85">
        <v>2</v>
      </c>
      <c r="B85" t="str">
        <f>VLOOKUP(F85,'TRA balance'!$BA$5:$BB$14,2,FALSE)</f>
        <v>TRABGS</v>
      </c>
      <c r="C85" s="56" t="str">
        <f t="shared" si="68"/>
        <v>TR</v>
      </c>
      <c r="D85" s="57" t="s">
        <v>200</v>
      </c>
      <c r="E85" s="68" t="s">
        <v>214</v>
      </c>
      <c r="F85" s="58" t="str">
        <f t="shared" ref="F85:F88" si="81">F84</f>
        <v>Bio Gasoline</v>
      </c>
      <c r="G85" s="56" t="s">
        <v>215</v>
      </c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</row>
    <row r="86" spans="1:22">
      <c r="A86">
        <v>2</v>
      </c>
      <c r="B86" t="str">
        <f>VLOOKUP(F86,'TRA balance'!$BA$5:$BB$14,2,FALSE)</f>
        <v>TRABGS</v>
      </c>
      <c r="C86" s="56" t="str">
        <f t="shared" si="68"/>
        <v>TR</v>
      </c>
      <c r="D86" s="57" t="s">
        <v>200</v>
      </c>
      <c r="E86" s="68" t="s">
        <v>216</v>
      </c>
      <c r="F86" s="58" t="str">
        <f t="shared" si="81"/>
        <v>Bio Gasoline</v>
      </c>
      <c r="G86" s="56" t="s">
        <v>217</v>
      </c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</row>
    <row r="87" spans="1:22">
      <c r="A87">
        <v>2</v>
      </c>
      <c r="B87" t="str">
        <f>VLOOKUP(F87,'TRA balance'!$BA$5:$BB$14,2,FALSE)</f>
        <v>TRABGS</v>
      </c>
      <c r="C87" s="56" t="str">
        <f t="shared" si="68"/>
        <v>TR</v>
      </c>
      <c r="D87" s="57" t="s">
        <v>200</v>
      </c>
      <c r="E87" s="68" t="s">
        <v>218</v>
      </c>
      <c r="F87" s="58" t="str">
        <f t="shared" si="81"/>
        <v>Bio Gasoline</v>
      </c>
      <c r="G87" s="56" t="s">
        <v>219</v>
      </c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</row>
    <row r="88" spans="1:22">
      <c r="A88">
        <v>1</v>
      </c>
      <c r="B88" t="str">
        <f>VLOOKUP(F88,'TRA balance'!$BA$5:$BB$14,2,FALSE)</f>
        <v>TRABGS</v>
      </c>
      <c r="C88" s="60" t="str">
        <f t="shared" si="68"/>
        <v/>
      </c>
      <c r="D88" s="72"/>
      <c r="E88" s="61" t="s">
        <v>220</v>
      </c>
      <c r="F88" s="62" t="str">
        <f t="shared" si="81"/>
        <v>Bio Gasoline</v>
      </c>
      <c r="G88" s="60"/>
      <c r="H88" s="73" t="str">
        <f>IF(SUM(H84:H87)=1,"-","&lt;&gt;1!!")</f>
        <v>&lt;&gt;1!!</v>
      </c>
      <c r="I88" s="73" t="str">
        <f t="shared" ref="I88:V88" si="82">IF(SUM(I84:I87)=1,"-","&lt;&gt;1!!")</f>
        <v>&lt;&gt;1!!</v>
      </c>
      <c r="J88" s="73" t="str">
        <f t="shared" si="82"/>
        <v>&lt;&gt;1!!</v>
      </c>
      <c r="K88" s="73" t="str">
        <f t="shared" si="82"/>
        <v>&lt;&gt;1!!</v>
      </c>
      <c r="L88" s="73" t="str">
        <f t="shared" si="82"/>
        <v>&lt;&gt;1!!</v>
      </c>
      <c r="M88" s="73" t="str">
        <f t="shared" si="82"/>
        <v>&lt;&gt;1!!</v>
      </c>
      <c r="N88" s="73" t="str">
        <f t="shared" si="82"/>
        <v>&lt;&gt;1!!</v>
      </c>
      <c r="O88" s="73" t="str">
        <f t="shared" si="82"/>
        <v>&lt;&gt;1!!</v>
      </c>
      <c r="P88" s="73" t="str">
        <f t="shared" si="82"/>
        <v>&lt;&gt;1!!</v>
      </c>
      <c r="Q88" s="73" t="str">
        <f t="shared" si="82"/>
        <v>&lt;&gt;1!!</v>
      </c>
      <c r="R88" s="73" t="str">
        <f t="shared" si="82"/>
        <v>&lt;&gt;1!!</v>
      </c>
      <c r="S88" s="73" t="str">
        <f t="shared" si="82"/>
        <v>&lt;&gt;1!!</v>
      </c>
      <c r="T88" s="73" t="str">
        <f t="shared" si="82"/>
        <v>&lt;&gt;1!!</v>
      </c>
      <c r="U88" s="73" t="str">
        <f t="shared" si="82"/>
        <v>&lt;&gt;1!!</v>
      </c>
      <c r="V88" s="73" t="str">
        <f t="shared" si="82"/>
        <v>&lt;&gt;1!!</v>
      </c>
    </row>
    <row r="89" spans="1:22">
      <c r="A89">
        <v>1</v>
      </c>
      <c r="B89" t="str">
        <f>VLOOKUP(F89,'TRA balance'!$BA$5:$BB$14,2,FALSE)</f>
        <v>TRAELC</v>
      </c>
      <c r="C89" s="64">
        <v>1</v>
      </c>
      <c r="D89" s="65" t="s">
        <v>200</v>
      </c>
      <c r="E89" s="65" t="s">
        <v>201</v>
      </c>
      <c r="F89" s="66" t="s">
        <v>63</v>
      </c>
      <c r="G89" s="64"/>
      <c r="H89" s="93">
        <v>0</v>
      </c>
      <c r="I89" s="93">
        <v>1</v>
      </c>
      <c r="J89" s="93">
        <v>1</v>
      </c>
      <c r="K89" s="93">
        <v>0.8</v>
      </c>
      <c r="L89" s="93">
        <v>0.5</v>
      </c>
      <c r="M89" s="93">
        <v>0</v>
      </c>
      <c r="N89" s="93">
        <v>0</v>
      </c>
      <c r="O89" s="93">
        <v>0</v>
      </c>
      <c r="P89" s="93">
        <v>1</v>
      </c>
      <c r="Q89" s="93">
        <v>0</v>
      </c>
      <c r="R89" s="93">
        <v>0.5</v>
      </c>
      <c r="S89" s="93">
        <v>1</v>
      </c>
      <c r="T89" s="93">
        <v>1</v>
      </c>
      <c r="U89" s="93">
        <v>1</v>
      </c>
      <c r="V89" s="93">
        <v>1</v>
      </c>
    </row>
    <row r="90" spans="1:22">
      <c r="A90">
        <v>1</v>
      </c>
      <c r="B90" t="str">
        <f>VLOOKUP(F90,'TRA balance'!$BA$5:$BB$14,2,FALSE)</f>
        <v>TRAELC</v>
      </c>
      <c r="C90" s="56" t="str">
        <f t="shared" si="68"/>
        <v>TR</v>
      </c>
      <c r="D90" s="57" t="s">
        <v>200</v>
      </c>
      <c r="E90" s="68" t="s">
        <v>202</v>
      </c>
      <c r="F90" s="58" t="str">
        <f>F89</f>
        <v>Electricity</v>
      </c>
      <c r="G90" s="56" t="s">
        <v>203</v>
      </c>
      <c r="H90" s="97">
        <f t="shared" ref="H90:H93" si="83">L90</f>
        <v>0.2</v>
      </c>
      <c r="I90" s="59">
        <v>0.2</v>
      </c>
      <c r="J90" s="59">
        <v>0.2</v>
      </c>
      <c r="K90" s="59">
        <v>0.2</v>
      </c>
      <c r="L90" s="59">
        <v>0.2</v>
      </c>
      <c r="M90" s="97">
        <f>V90</f>
        <v>0.2</v>
      </c>
      <c r="N90" s="97">
        <f>V90</f>
        <v>0.2</v>
      </c>
      <c r="O90" s="59">
        <v>0.2</v>
      </c>
      <c r="P90" s="59">
        <v>0.2</v>
      </c>
      <c r="Q90" s="59">
        <v>0.2</v>
      </c>
      <c r="R90" s="59">
        <v>0.2</v>
      </c>
      <c r="S90" s="59">
        <v>0.2</v>
      </c>
      <c r="T90" s="59">
        <v>0.2</v>
      </c>
      <c r="U90" s="59">
        <v>0.2</v>
      </c>
      <c r="V90" s="59">
        <v>0.2</v>
      </c>
    </row>
    <row r="91" spans="1:22">
      <c r="A91">
        <v>1</v>
      </c>
      <c r="B91" t="str">
        <f>VLOOKUP(F91,'TRA balance'!$BA$5:$BB$14,2,FALSE)</f>
        <v>TRAELC</v>
      </c>
      <c r="C91" s="56" t="str">
        <f t="shared" si="68"/>
        <v>TR</v>
      </c>
      <c r="D91" s="57" t="s">
        <v>200</v>
      </c>
      <c r="E91" s="68" t="s">
        <v>204</v>
      </c>
      <c r="F91" s="58" t="str">
        <f t="shared" ref="F91:F96" si="84">F90</f>
        <v>Electricity</v>
      </c>
      <c r="G91" s="56" t="s">
        <v>205</v>
      </c>
      <c r="H91" s="97">
        <f t="shared" si="83"/>
        <v>0.05</v>
      </c>
      <c r="I91" s="59">
        <v>0.05</v>
      </c>
      <c r="J91" s="59">
        <v>0.05</v>
      </c>
      <c r="K91" s="59">
        <v>0.05</v>
      </c>
      <c r="L91" s="59">
        <v>0.05</v>
      </c>
      <c r="M91" s="97">
        <f t="shared" ref="M91:M93" si="85">V91</f>
        <v>0.05</v>
      </c>
      <c r="N91" s="97">
        <f t="shared" ref="N91:N93" si="86">V91</f>
        <v>0.05</v>
      </c>
      <c r="O91" s="59">
        <v>0.05</v>
      </c>
      <c r="P91" s="59">
        <v>0.05</v>
      </c>
      <c r="Q91" s="59">
        <v>0.05</v>
      </c>
      <c r="R91" s="59">
        <v>0.05</v>
      </c>
      <c r="S91" s="59">
        <v>0.05</v>
      </c>
      <c r="T91" s="59">
        <v>0.05</v>
      </c>
      <c r="U91" s="59">
        <v>0.05</v>
      </c>
      <c r="V91" s="59">
        <v>0.05</v>
      </c>
    </row>
    <row r="92" spans="1:22">
      <c r="A92">
        <v>1</v>
      </c>
      <c r="B92" t="str">
        <f>VLOOKUP(F92,'TRA balance'!$BA$5:$BB$14,2,FALSE)</f>
        <v>TRAELC</v>
      </c>
      <c r="C92" s="56" t="str">
        <f t="shared" si="68"/>
        <v>TR</v>
      </c>
      <c r="D92" s="57" t="s">
        <v>200</v>
      </c>
      <c r="E92" s="68" t="s">
        <v>206</v>
      </c>
      <c r="F92" s="58" t="str">
        <f t="shared" si="84"/>
        <v>Electricity</v>
      </c>
      <c r="G92" s="56" t="s">
        <v>207</v>
      </c>
      <c r="H92" s="97">
        <f t="shared" si="83"/>
        <v>0</v>
      </c>
      <c r="I92" s="59">
        <v>0</v>
      </c>
      <c r="J92" s="59">
        <v>0</v>
      </c>
      <c r="K92" s="59">
        <v>0</v>
      </c>
      <c r="L92" s="59">
        <v>0</v>
      </c>
      <c r="M92" s="97">
        <f t="shared" si="85"/>
        <v>0</v>
      </c>
      <c r="N92" s="97">
        <f t="shared" si="86"/>
        <v>0</v>
      </c>
      <c r="O92" s="59">
        <v>0</v>
      </c>
      <c r="P92" s="59">
        <v>0</v>
      </c>
      <c r="Q92" s="59">
        <v>0</v>
      </c>
      <c r="R92" s="59">
        <v>0</v>
      </c>
      <c r="S92" s="59">
        <v>0</v>
      </c>
      <c r="T92" s="59">
        <v>0</v>
      </c>
      <c r="U92" s="59">
        <v>0</v>
      </c>
      <c r="V92" s="59">
        <v>0</v>
      </c>
    </row>
    <row r="93" spans="1:22">
      <c r="A93">
        <v>1</v>
      </c>
      <c r="B93" t="str">
        <f>VLOOKUP(F93,'TRA balance'!$BA$5:$BB$14,2,FALSE)</f>
        <v>TRAELC</v>
      </c>
      <c r="C93" s="56" t="str">
        <f t="shared" si="68"/>
        <v>TR</v>
      </c>
      <c r="D93" s="57" t="s">
        <v>200</v>
      </c>
      <c r="E93" s="68" t="s">
        <v>208</v>
      </c>
      <c r="F93" s="58" t="str">
        <f t="shared" si="84"/>
        <v>Electricity</v>
      </c>
      <c r="G93" s="56" t="s">
        <v>209</v>
      </c>
      <c r="H93" s="100">
        <f>1-SUM(H90:H92)</f>
        <v>0.75</v>
      </c>
      <c r="I93" s="100">
        <f t="shared" ref="I93:V93" si="87">1-SUM(I90:I92)</f>
        <v>0.75</v>
      </c>
      <c r="J93" s="100">
        <f t="shared" si="87"/>
        <v>0.75</v>
      </c>
      <c r="K93" s="100">
        <f t="shared" si="87"/>
        <v>0.75</v>
      </c>
      <c r="L93" s="100">
        <f t="shared" si="87"/>
        <v>0.75</v>
      </c>
      <c r="M93" s="100">
        <f t="shared" si="87"/>
        <v>0.75</v>
      </c>
      <c r="N93" s="100">
        <f t="shared" si="87"/>
        <v>0.75</v>
      </c>
      <c r="O93" s="100">
        <f t="shared" si="87"/>
        <v>0.75</v>
      </c>
      <c r="P93" s="100">
        <f t="shared" si="87"/>
        <v>0.75</v>
      </c>
      <c r="Q93" s="100">
        <f t="shared" si="87"/>
        <v>0.75</v>
      </c>
      <c r="R93" s="100">
        <f t="shared" si="87"/>
        <v>0.75</v>
      </c>
      <c r="S93" s="100">
        <f t="shared" si="87"/>
        <v>0.75</v>
      </c>
      <c r="T93" s="100">
        <f t="shared" si="87"/>
        <v>0.75</v>
      </c>
      <c r="U93" s="100">
        <f t="shared" si="87"/>
        <v>0.75</v>
      </c>
      <c r="V93" s="100">
        <f t="shared" si="87"/>
        <v>0.75</v>
      </c>
    </row>
    <row r="94" spans="1:22">
      <c r="A94">
        <v>1</v>
      </c>
      <c r="B94" t="str">
        <f>VLOOKUP(F94,'TRA balance'!$BA$5:$BB$14,2,FALSE)</f>
        <v>TRAELC</v>
      </c>
      <c r="C94" s="56" t="str">
        <f t="shared" si="68"/>
        <v/>
      </c>
      <c r="D94" s="57"/>
      <c r="E94" s="69" t="s">
        <v>210</v>
      </c>
      <c r="F94" s="58" t="str">
        <f t="shared" si="84"/>
        <v>Electricity</v>
      </c>
      <c r="G94" s="56"/>
      <c r="H94" s="69" t="str">
        <f>IF(SUM(H90:H93)=1,"-","&lt;&gt;1!!")</f>
        <v>-</v>
      </c>
      <c r="I94" s="69" t="str">
        <f t="shared" ref="I94:V94" si="88">IF(SUM(I90:I93)=1,"-","&lt;&gt;1!!")</f>
        <v>-</v>
      </c>
      <c r="J94" s="69" t="str">
        <f t="shared" si="88"/>
        <v>-</v>
      </c>
      <c r="K94" s="69" t="str">
        <f t="shared" si="88"/>
        <v>-</v>
      </c>
      <c r="L94" s="69" t="str">
        <f t="shared" si="88"/>
        <v>-</v>
      </c>
      <c r="M94" s="69" t="str">
        <f t="shared" si="88"/>
        <v>-</v>
      </c>
      <c r="N94" s="69" t="str">
        <f t="shared" si="88"/>
        <v>-</v>
      </c>
      <c r="O94" s="69" t="str">
        <f t="shared" si="88"/>
        <v>-</v>
      </c>
      <c r="P94" s="69" t="str">
        <f t="shared" si="88"/>
        <v>-</v>
      </c>
      <c r="Q94" s="69" t="str">
        <f t="shared" si="88"/>
        <v>-</v>
      </c>
      <c r="R94" s="69" t="str">
        <f t="shared" si="88"/>
        <v>-</v>
      </c>
      <c r="S94" s="69" t="str">
        <f t="shared" si="88"/>
        <v>-</v>
      </c>
      <c r="T94" s="69" t="str">
        <f t="shared" si="88"/>
        <v>-</v>
      </c>
      <c r="U94" s="69" t="str">
        <f t="shared" si="88"/>
        <v>-</v>
      </c>
      <c r="V94" s="69" t="str">
        <f t="shared" si="88"/>
        <v>-</v>
      </c>
    </row>
    <row r="95" spans="1:22">
      <c r="A95">
        <v>1</v>
      </c>
      <c r="B95" t="str">
        <f>VLOOKUP(F95,'TRA balance'!$BA$5:$BB$14,2,FALSE)</f>
        <v>TRAELC</v>
      </c>
      <c r="C95" s="64">
        <v>2</v>
      </c>
      <c r="D95" s="65" t="s">
        <v>200</v>
      </c>
      <c r="E95" s="65" t="s">
        <v>211</v>
      </c>
      <c r="F95" s="66" t="str">
        <f t="shared" si="84"/>
        <v>Electricity</v>
      </c>
      <c r="G95" s="64"/>
      <c r="H95" s="70">
        <f>1-H89</f>
        <v>1</v>
      </c>
      <c r="I95" s="70">
        <f t="shared" ref="I95:V95" si="89">1-I89</f>
        <v>0</v>
      </c>
      <c r="J95" s="70">
        <f t="shared" si="89"/>
        <v>0</v>
      </c>
      <c r="K95" s="70">
        <f t="shared" si="89"/>
        <v>0.2</v>
      </c>
      <c r="L95" s="70">
        <f t="shared" si="89"/>
        <v>0.5</v>
      </c>
      <c r="M95" s="70">
        <f t="shared" si="89"/>
        <v>1</v>
      </c>
      <c r="N95" s="70">
        <f t="shared" si="89"/>
        <v>1</v>
      </c>
      <c r="O95" s="70">
        <f t="shared" si="89"/>
        <v>1</v>
      </c>
      <c r="P95" s="70">
        <f t="shared" si="89"/>
        <v>0</v>
      </c>
      <c r="Q95" s="70">
        <f t="shared" si="89"/>
        <v>1</v>
      </c>
      <c r="R95" s="70">
        <f t="shared" si="89"/>
        <v>0.5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</row>
    <row r="96" spans="1:22">
      <c r="A96">
        <v>2</v>
      </c>
      <c r="B96" t="str">
        <f>VLOOKUP(F96,'TRA balance'!$BA$5:$BB$14,2,FALSE)</f>
        <v>TRAELC</v>
      </c>
      <c r="C96" s="56" t="str">
        <f t="shared" si="68"/>
        <v>TR</v>
      </c>
      <c r="D96" s="57" t="s">
        <v>200</v>
      </c>
      <c r="E96" s="68" t="s">
        <v>212</v>
      </c>
      <c r="F96" s="58" t="str">
        <f t="shared" si="84"/>
        <v>Electricity</v>
      </c>
      <c r="G96" s="56" t="s">
        <v>213</v>
      </c>
      <c r="H96" s="97">
        <v>1</v>
      </c>
      <c r="I96" s="97">
        <v>1</v>
      </c>
      <c r="J96" s="97">
        <v>1</v>
      </c>
      <c r="K96" s="97">
        <v>0.5</v>
      </c>
      <c r="L96" s="59">
        <v>1</v>
      </c>
      <c r="M96" s="97">
        <v>1</v>
      </c>
      <c r="N96" s="97">
        <v>1</v>
      </c>
      <c r="O96" s="97">
        <v>1</v>
      </c>
      <c r="P96" s="97">
        <v>1</v>
      </c>
      <c r="Q96" s="97">
        <v>1</v>
      </c>
      <c r="R96" s="59">
        <v>1</v>
      </c>
      <c r="S96" s="97">
        <v>1</v>
      </c>
      <c r="T96" s="97">
        <v>1</v>
      </c>
      <c r="U96" s="97">
        <v>1</v>
      </c>
      <c r="V96" s="97">
        <v>1</v>
      </c>
    </row>
    <row r="97" spans="1:22">
      <c r="A97">
        <v>2</v>
      </c>
      <c r="B97" t="str">
        <f>VLOOKUP(F97,'TRA balance'!$BA$5:$BB$14,2,FALSE)</f>
        <v>TRAELC</v>
      </c>
      <c r="C97" s="56" t="str">
        <f t="shared" si="68"/>
        <v>TR</v>
      </c>
      <c r="D97" s="57" t="s">
        <v>200</v>
      </c>
      <c r="E97" s="68" t="s">
        <v>214</v>
      </c>
      <c r="F97" s="58" t="str">
        <f t="shared" ref="F97:F103" si="90">F96</f>
        <v>Electricity</v>
      </c>
      <c r="G97" s="56" t="s">
        <v>215</v>
      </c>
      <c r="H97" s="59">
        <v>0</v>
      </c>
      <c r="I97" s="59">
        <v>0</v>
      </c>
      <c r="J97" s="59">
        <v>0</v>
      </c>
      <c r="K97" s="59">
        <v>0</v>
      </c>
      <c r="L97" s="59">
        <v>0</v>
      </c>
      <c r="M97" s="59">
        <v>0</v>
      </c>
      <c r="N97" s="59">
        <v>0</v>
      </c>
      <c r="O97" s="59">
        <v>0</v>
      </c>
      <c r="P97" s="59">
        <v>0</v>
      </c>
      <c r="Q97" s="59">
        <v>0</v>
      </c>
      <c r="R97" s="59">
        <v>0</v>
      </c>
      <c r="S97" s="59">
        <v>0</v>
      </c>
      <c r="T97" s="59">
        <v>0</v>
      </c>
      <c r="U97" s="59">
        <v>0</v>
      </c>
      <c r="V97" s="59">
        <v>0</v>
      </c>
    </row>
    <row r="98" spans="1:22">
      <c r="A98">
        <v>2</v>
      </c>
      <c r="B98" t="str">
        <f>VLOOKUP(F98,'TRA balance'!$BA$5:$BB$14,2,FALSE)</f>
        <v>TRAELC</v>
      </c>
      <c r="C98" s="56" t="str">
        <f t="shared" si="68"/>
        <v>TR</v>
      </c>
      <c r="D98" s="57" t="s">
        <v>200</v>
      </c>
      <c r="E98" s="68" t="s">
        <v>216</v>
      </c>
      <c r="F98" s="58" t="str">
        <f t="shared" si="90"/>
        <v>Electricity</v>
      </c>
      <c r="G98" s="56" t="s">
        <v>217</v>
      </c>
      <c r="H98" s="59">
        <v>0</v>
      </c>
      <c r="I98" s="59">
        <v>0</v>
      </c>
      <c r="J98" s="59">
        <v>0</v>
      </c>
      <c r="K98" s="59">
        <v>0</v>
      </c>
      <c r="L98" s="59">
        <v>0</v>
      </c>
      <c r="M98" s="59">
        <v>0</v>
      </c>
      <c r="N98" s="59">
        <v>0</v>
      </c>
      <c r="O98" s="59">
        <v>0</v>
      </c>
      <c r="P98" s="59">
        <v>0</v>
      </c>
      <c r="Q98" s="59">
        <v>0</v>
      </c>
      <c r="R98" s="59">
        <v>0</v>
      </c>
      <c r="S98" s="59">
        <v>0</v>
      </c>
      <c r="T98" s="59">
        <v>0</v>
      </c>
      <c r="U98" s="59">
        <v>0</v>
      </c>
      <c r="V98" s="59">
        <v>0</v>
      </c>
    </row>
    <row r="99" spans="1:22">
      <c r="A99">
        <v>2</v>
      </c>
      <c r="B99" t="str">
        <f>VLOOKUP(F99,'TRA balance'!$BA$5:$BB$14,2,FALSE)</f>
        <v>TRAELC</v>
      </c>
      <c r="C99" s="56" t="str">
        <f t="shared" si="68"/>
        <v>TR</v>
      </c>
      <c r="D99" s="57" t="s">
        <v>200</v>
      </c>
      <c r="E99" s="68" t="s">
        <v>218</v>
      </c>
      <c r="F99" s="58" t="str">
        <f t="shared" si="90"/>
        <v>Electricity</v>
      </c>
      <c r="G99" s="56" t="s">
        <v>219</v>
      </c>
      <c r="H99" s="59">
        <v>0</v>
      </c>
      <c r="I99" s="59">
        <v>0</v>
      </c>
      <c r="J99" s="59">
        <v>0</v>
      </c>
      <c r="K99" s="59">
        <v>0.5</v>
      </c>
      <c r="L99" s="59">
        <v>0</v>
      </c>
      <c r="M99" s="59">
        <v>0</v>
      </c>
      <c r="N99" s="59">
        <v>0</v>
      </c>
      <c r="O99" s="59">
        <v>0</v>
      </c>
      <c r="P99" s="59">
        <v>0</v>
      </c>
      <c r="Q99" s="59">
        <v>0</v>
      </c>
      <c r="R99" s="59">
        <v>0</v>
      </c>
      <c r="S99" s="59">
        <v>0</v>
      </c>
      <c r="T99" s="59">
        <v>0</v>
      </c>
      <c r="U99" s="59">
        <v>0</v>
      </c>
      <c r="V99" s="59">
        <v>0</v>
      </c>
    </row>
    <row r="100" spans="1:22">
      <c r="A100">
        <v>1</v>
      </c>
      <c r="B100" t="str">
        <f>VLOOKUP(F100,'TRA balance'!$BA$5:$BB$14,2,FALSE)</f>
        <v>TRAELC</v>
      </c>
      <c r="C100" s="56" t="str">
        <f t="shared" si="68"/>
        <v/>
      </c>
      <c r="D100" s="57"/>
      <c r="E100" s="69" t="s">
        <v>220</v>
      </c>
      <c r="F100" s="58" t="str">
        <f t="shared" si="90"/>
        <v>Electricity</v>
      </c>
      <c r="G100" s="56"/>
      <c r="H100" s="71" t="str">
        <f>IF(SUM(H96:H99)=1,"-","&lt;&gt;1!!")</f>
        <v>-</v>
      </c>
      <c r="I100" s="71" t="str">
        <f t="shared" ref="I100:V100" si="91">IF(SUM(I96:I99)=1,"-","&lt;&gt;1!!")</f>
        <v>-</v>
      </c>
      <c r="J100" s="71" t="str">
        <f t="shared" si="91"/>
        <v>-</v>
      </c>
      <c r="K100" s="71" t="str">
        <f t="shared" si="91"/>
        <v>-</v>
      </c>
      <c r="L100" s="71" t="str">
        <f t="shared" si="91"/>
        <v>-</v>
      </c>
      <c r="M100" s="71" t="str">
        <f t="shared" si="91"/>
        <v>-</v>
      </c>
      <c r="N100" s="71" t="str">
        <f t="shared" si="91"/>
        <v>-</v>
      </c>
      <c r="O100" s="71" t="str">
        <f t="shared" si="91"/>
        <v>-</v>
      </c>
      <c r="P100" s="71" t="str">
        <f t="shared" si="91"/>
        <v>-</v>
      </c>
      <c r="Q100" s="71" t="str">
        <f t="shared" si="91"/>
        <v>-</v>
      </c>
      <c r="R100" s="71" t="str">
        <f t="shared" si="91"/>
        <v>-</v>
      </c>
      <c r="S100" s="71" t="str">
        <f t="shared" si="91"/>
        <v>-</v>
      </c>
      <c r="T100" s="71" t="str">
        <f t="shared" si="91"/>
        <v>-</v>
      </c>
      <c r="U100" s="71" t="str">
        <f t="shared" si="91"/>
        <v>-</v>
      </c>
      <c r="V100" s="71" t="str">
        <f t="shared" si="91"/>
        <v>-</v>
      </c>
    </row>
    <row r="101" spans="1:22">
      <c r="A101">
        <v>1</v>
      </c>
      <c r="B101" t="str">
        <f>VLOOKUP(F101,'TRA balance'!$BA$5:$BB$14,2,FALSE)</f>
        <v>TRAELC</v>
      </c>
      <c r="C101" s="56" t="str">
        <f t="shared" si="68"/>
        <v>TT</v>
      </c>
      <c r="D101" s="57" t="s">
        <v>192</v>
      </c>
      <c r="E101" s="57" t="s">
        <v>193</v>
      </c>
      <c r="F101" s="58" t="str">
        <f t="shared" si="90"/>
        <v>Electricity</v>
      </c>
      <c r="G101" s="56" t="s">
        <v>194</v>
      </c>
      <c r="H101" s="59">
        <v>0.3</v>
      </c>
      <c r="I101" s="59">
        <v>0.3</v>
      </c>
      <c r="J101" s="59">
        <v>0</v>
      </c>
      <c r="K101" s="59">
        <v>0.2</v>
      </c>
      <c r="L101" s="59">
        <v>0.05</v>
      </c>
      <c r="M101" s="59">
        <v>0.1</v>
      </c>
      <c r="N101" s="59">
        <v>0.2</v>
      </c>
      <c r="O101" s="59">
        <v>0.3</v>
      </c>
      <c r="P101" s="59">
        <v>0</v>
      </c>
      <c r="Q101" s="59">
        <v>0.1</v>
      </c>
      <c r="R101" s="59">
        <v>0.05</v>
      </c>
      <c r="S101" s="59">
        <v>0.05</v>
      </c>
      <c r="T101" s="59">
        <v>0.2</v>
      </c>
      <c r="U101" s="59">
        <v>0</v>
      </c>
      <c r="V101" s="59">
        <v>0</v>
      </c>
    </row>
    <row r="102" spans="1:22">
      <c r="A102">
        <v>1</v>
      </c>
      <c r="B102" t="str">
        <f>VLOOKUP(F102,'TRA balance'!$BA$5:$BB$14,2,FALSE)</f>
        <v>TRAELC</v>
      </c>
      <c r="C102" s="56" t="str">
        <f t="shared" si="68"/>
        <v>TT</v>
      </c>
      <c r="D102" s="57" t="s">
        <v>192</v>
      </c>
      <c r="E102" s="57" t="s">
        <v>197</v>
      </c>
      <c r="F102" s="58" t="str">
        <f t="shared" si="90"/>
        <v>Electricity</v>
      </c>
      <c r="G102" s="56" t="s">
        <v>198</v>
      </c>
      <c r="H102" s="59">
        <v>0.7</v>
      </c>
      <c r="I102" s="59">
        <v>0.7</v>
      </c>
      <c r="J102" s="59">
        <v>1</v>
      </c>
      <c r="K102" s="59">
        <v>0.8</v>
      </c>
      <c r="L102" s="59">
        <v>0.95</v>
      </c>
      <c r="M102" s="59">
        <v>0.9</v>
      </c>
      <c r="N102" s="59">
        <v>0.8</v>
      </c>
      <c r="O102" s="59">
        <v>0.7</v>
      </c>
      <c r="P102" s="59">
        <v>1</v>
      </c>
      <c r="Q102" s="59">
        <v>0.9</v>
      </c>
      <c r="R102" s="59">
        <v>0.95</v>
      </c>
      <c r="S102" s="59">
        <v>0.95</v>
      </c>
      <c r="T102" s="59">
        <v>0.8</v>
      </c>
      <c r="U102" s="59">
        <v>1</v>
      </c>
      <c r="V102" s="59">
        <v>1</v>
      </c>
    </row>
    <row r="103" spans="1:22">
      <c r="A103">
        <v>1</v>
      </c>
      <c r="B103" t="str">
        <f>VLOOKUP(F103,'TRA balance'!$BA$5:$BB$14,2,FALSE)</f>
        <v>TRAELC</v>
      </c>
      <c r="C103" s="60"/>
      <c r="D103" s="60"/>
      <c r="E103" s="61" t="s">
        <v>199</v>
      </c>
      <c r="F103" s="62" t="str">
        <f t="shared" si="90"/>
        <v>Electricity</v>
      </c>
      <c r="G103" s="60"/>
      <c r="H103" s="61" t="str">
        <f t="shared" ref="H103:V103" si="92">IF(SUM(H101:H102)=1,"-","&lt;&gt;1!!")</f>
        <v>-</v>
      </c>
      <c r="I103" s="61" t="str">
        <f t="shared" si="92"/>
        <v>-</v>
      </c>
      <c r="J103" s="61" t="str">
        <f t="shared" si="92"/>
        <v>-</v>
      </c>
      <c r="K103" s="61" t="str">
        <f t="shared" si="92"/>
        <v>-</v>
      </c>
      <c r="L103" s="61" t="str">
        <f t="shared" si="92"/>
        <v>-</v>
      </c>
      <c r="M103" s="61" t="str">
        <f t="shared" si="92"/>
        <v>-</v>
      </c>
      <c r="N103" s="61" t="str">
        <f t="shared" si="92"/>
        <v>-</v>
      </c>
      <c r="O103" s="61" t="str">
        <f t="shared" si="92"/>
        <v>-</v>
      </c>
      <c r="P103" s="61" t="str">
        <f t="shared" si="92"/>
        <v>-</v>
      </c>
      <c r="Q103" s="61" t="str">
        <f t="shared" si="92"/>
        <v>-</v>
      </c>
      <c r="R103" s="61" t="str">
        <f t="shared" si="92"/>
        <v>-</v>
      </c>
      <c r="S103" s="61" t="str">
        <f t="shared" si="92"/>
        <v>-</v>
      </c>
      <c r="T103" s="61" t="str">
        <f t="shared" si="92"/>
        <v>-</v>
      </c>
      <c r="U103" s="61" t="str">
        <f t="shared" si="92"/>
        <v>-</v>
      </c>
      <c r="V103" s="61" t="str">
        <f t="shared" si="92"/>
        <v>-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771"/>
  <sheetViews>
    <sheetView zoomScale="43" zoomScaleNormal="43" topLeftCell="V1" workbookViewId="0">
      <selection activeCell="BB32" sqref="BB32"/>
    </sheetView>
  </sheetViews>
  <sheetFormatPr defaultColWidth="9" defaultRowHeight="14.5"/>
  <cols>
    <col min="2" max="2" width="4.72727272727273" customWidth="1"/>
    <col min="3" max="3" width="12" customWidth="1"/>
    <col min="6" max="6" width="13.1363636363636" customWidth="1"/>
    <col min="7" max="7" width="16.2636363636364" customWidth="1"/>
    <col min="8" max="8" width="12.2636363636364" customWidth="1"/>
    <col min="9" max="9" width="8.86363636363636" customWidth="1"/>
    <col min="10" max="10" width="7.26363636363636" customWidth="1"/>
    <col min="11" max="11" width="6.72727272727273" customWidth="1"/>
    <col min="12" max="12" width="8.86363636363636" customWidth="1"/>
    <col min="13" max="13" width="5.86363636363636" customWidth="1"/>
    <col min="14" max="14" width="6" customWidth="1"/>
    <col min="15" max="15" width="10" customWidth="1"/>
    <col min="16" max="16" width="11.8636363636364" customWidth="1"/>
    <col min="17" max="17" width="6.86363636363636" customWidth="1"/>
    <col min="18" max="18" width="9.13636363636364" customWidth="1"/>
    <col min="19" max="19" width="10.7272727272727" customWidth="1"/>
    <col min="20" max="20" width="11.4" customWidth="1"/>
    <col min="21" max="21" width="7.4" customWidth="1"/>
    <col min="22" max="22" width="5.4" customWidth="1"/>
    <col min="23" max="23" width="7.26363636363636" customWidth="1"/>
    <col min="24" max="24" width="8.26363636363636" customWidth="1"/>
    <col min="25" max="25" width="6" customWidth="1"/>
    <col min="26" max="26" width="6.6" customWidth="1"/>
    <col min="27" max="27" width="8.13636363636364" customWidth="1"/>
    <col min="28" max="28" width="9.13636363636364" customWidth="1"/>
    <col min="29" max="29" width="7.86363636363636" customWidth="1"/>
    <col min="30" max="30" width="7.13636363636364" customWidth="1"/>
    <col min="31" max="31" width="5.6" customWidth="1"/>
    <col min="32" max="32" width="6.6" customWidth="1"/>
    <col min="33" max="33" width="11.6" customWidth="1"/>
    <col min="34" max="34" width="11.2636363636364" customWidth="1"/>
    <col min="35" max="35" width="8.86363636363636" customWidth="1"/>
    <col min="36" max="36" width="11" customWidth="1"/>
    <col min="37" max="37" width="11.4" customWidth="1"/>
    <col min="38" max="38" width="7" customWidth="1"/>
    <col min="39" max="39" width="4.6" customWidth="1"/>
    <col min="40" max="40" width="8" customWidth="1"/>
    <col min="41" max="41" width="12.4" customWidth="1"/>
    <col min="42" max="42" width="4.86363636363636" customWidth="1"/>
    <col min="43" max="43" width="5.13636363636364" customWidth="1"/>
    <col min="44" max="44" width="5.86363636363636" customWidth="1"/>
    <col min="45" max="46" width="3.86363636363636" customWidth="1"/>
    <col min="47" max="47" width="4" customWidth="1"/>
    <col min="48" max="48" width="4.26363636363636" customWidth="1"/>
    <col min="49" max="50" width="4.13636363636364" customWidth="1"/>
  </cols>
  <sheetData>
    <row r="1" spans="1:41">
      <c r="A1" t="s">
        <v>221</v>
      </c>
      <c r="B1" t="s">
        <v>222</v>
      </c>
      <c r="C1" t="s">
        <v>195</v>
      </c>
      <c r="D1" t="s">
        <v>150</v>
      </c>
      <c r="F1" t="s">
        <v>223</v>
      </c>
      <c r="G1" t="s">
        <v>224</v>
      </c>
    </row>
    <row r="2" spans="1:41">
      <c r="A2" t="s">
        <v>225</v>
      </c>
      <c r="B2">
        <v>2005</v>
      </c>
      <c r="C2" t="s">
        <v>4</v>
      </c>
      <c r="D2">
        <v>7.408</v>
      </c>
      <c r="F2" t="s">
        <v>226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</row>
    <row r="3" spans="1:41">
      <c r="A3" t="s">
        <v>225</v>
      </c>
      <c r="B3">
        <v>2006</v>
      </c>
      <c r="C3" t="s">
        <v>4</v>
      </c>
      <c r="D3">
        <v>8.064428</v>
      </c>
      <c r="F3" s="77" t="s">
        <v>225</v>
      </c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</row>
    <row r="4" spans="1:41">
      <c r="A4" t="s">
        <v>225</v>
      </c>
      <c r="B4">
        <v>2007</v>
      </c>
      <c r="C4" t="s">
        <v>4</v>
      </c>
      <c r="D4">
        <v>8.47157</v>
      </c>
      <c r="F4" s="79">
        <v>2005</v>
      </c>
      <c r="G4" s="78">
        <v>7.408</v>
      </c>
      <c r="H4" s="78">
        <v>5.235202</v>
      </c>
      <c r="I4" s="78">
        <v>11.011</v>
      </c>
      <c r="J4" s="78">
        <v>4.157</v>
      </c>
      <c r="K4" s="78">
        <v>2.691523</v>
      </c>
      <c r="L4" s="78">
        <v>12.26</v>
      </c>
      <c r="M4" s="78">
        <v>18.925913525</v>
      </c>
      <c r="N4" s="78">
        <v>21.325</v>
      </c>
      <c r="O4" s="78">
        <v>2.349781</v>
      </c>
      <c r="P4" s="78">
        <v>5.263</v>
      </c>
      <c r="Q4" s="78">
        <v>30.1</v>
      </c>
      <c r="R4" s="78">
        <v>46.09</v>
      </c>
      <c r="S4" s="78">
        <v>4.658129</v>
      </c>
      <c r="T4" s="78">
        <v>8.791</v>
      </c>
      <c r="U4" s="78">
        <v>0.187</v>
      </c>
      <c r="V4" s="78">
        <v>7.626</v>
      </c>
      <c r="W4" s="78">
        <v>1.662157</v>
      </c>
      <c r="X4" s="78">
        <v>34.873</v>
      </c>
      <c r="Y4" s="78">
        <v>57.091</v>
      </c>
      <c r="Z4" s="78">
        <v>18.345078</v>
      </c>
      <c r="AA4" s="78">
        <v>14.902664</v>
      </c>
      <c r="AB4" s="78">
        <v>165.333</v>
      </c>
      <c r="AC4" s="78">
        <v>2.029</v>
      </c>
      <c r="AD4" s="78">
        <v>12.339</v>
      </c>
      <c r="AE4" s="78">
        <v>43.529526</v>
      </c>
      <c r="AF4" s="78">
        <v>27.394</v>
      </c>
      <c r="AG4" s="78">
        <v>2.16</v>
      </c>
      <c r="AH4" s="78">
        <v>4.575</v>
      </c>
      <c r="AI4" s="78">
        <v>24.45</v>
      </c>
      <c r="AJ4" s="78">
        <v>8.539477</v>
      </c>
      <c r="AK4" s="78">
        <v>3.906</v>
      </c>
      <c r="AL4" s="78">
        <v>5.773</v>
      </c>
      <c r="AM4" s="78">
        <v>30.477058</v>
      </c>
      <c r="AN4" s="78">
        <v>5.831994</v>
      </c>
      <c r="AO4" s="78">
        <v>2.500543</v>
      </c>
    </row>
    <row r="5" spans="1:41">
      <c r="A5" t="s">
        <v>225</v>
      </c>
      <c r="B5">
        <v>2008</v>
      </c>
      <c r="C5" t="s">
        <v>4</v>
      </c>
      <c r="D5">
        <v>8.868029</v>
      </c>
      <c r="F5" s="79">
        <v>2006</v>
      </c>
      <c r="G5" s="78">
        <v>8.064428</v>
      </c>
      <c r="H5" s="78">
        <v>6.628242</v>
      </c>
      <c r="I5" s="78">
        <v>11.273</v>
      </c>
      <c r="J5" s="78">
        <v>4.205</v>
      </c>
      <c r="K5" s="78">
        <v>2.968249</v>
      </c>
      <c r="L5" s="78">
        <v>12.474</v>
      </c>
      <c r="M5" s="78">
        <v>19.892111395</v>
      </c>
      <c r="N5" s="78">
        <v>26.196</v>
      </c>
      <c r="O5" s="78">
        <v>2.421567</v>
      </c>
      <c r="P5" s="78">
        <v>5.443</v>
      </c>
      <c r="Q5" s="78">
        <v>30.4</v>
      </c>
      <c r="R5" s="78">
        <v>46.57</v>
      </c>
      <c r="S5" s="78">
        <v>4.916016</v>
      </c>
      <c r="T5" s="78">
        <v>7.943</v>
      </c>
      <c r="U5" s="78">
        <v>0.197</v>
      </c>
      <c r="V5" s="78">
        <v>8.572</v>
      </c>
      <c r="W5" s="78">
        <v>1.778861</v>
      </c>
      <c r="X5" s="78">
        <v>35.509</v>
      </c>
      <c r="Y5" s="78">
        <v>57.521</v>
      </c>
      <c r="Z5" s="78">
        <v>19.311973</v>
      </c>
      <c r="AA5" s="78">
        <v>15.721219</v>
      </c>
      <c r="AB5" s="78">
        <v>170.198</v>
      </c>
      <c r="AC5" s="78">
        <v>2.085</v>
      </c>
      <c r="AD5" s="78">
        <v>13.384</v>
      </c>
      <c r="AE5" s="78">
        <v>45.956477</v>
      </c>
      <c r="AF5" s="78">
        <v>28.821</v>
      </c>
      <c r="AG5" s="78">
        <v>2.29</v>
      </c>
      <c r="AH5" s="78">
        <v>4.89</v>
      </c>
      <c r="AI5" s="78">
        <v>25.343</v>
      </c>
      <c r="AJ5" s="78">
        <v>8.717287</v>
      </c>
      <c r="AK5" s="78">
        <v>3.946</v>
      </c>
      <c r="AL5" s="78">
        <v>6.141</v>
      </c>
      <c r="AM5" s="78">
        <v>30.817036</v>
      </c>
      <c r="AN5" s="78">
        <v>5.923311</v>
      </c>
      <c r="AO5" s="78">
        <v>2.57306</v>
      </c>
    </row>
    <row r="6" spans="1:41">
      <c r="A6" t="s">
        <v>225</v>
      </c>
      <c r="B6">
        <v>2009</v>
      </c>
      <c r="C6" t="s">
        <v>4</v>
      </c>
      <c r="D6">
        <v>9.461706</v>
      </c>
      <c r="F6" s="79">
        <v>2007</v>
      </c>
      <c r="G6" s="78">
        <v>8.47157</v>
      </c>
      <c r="H6" s="78">
        <v>7.03697</v>
      </c>
      <c r="I6" s="78">
        <v>11.519</v>
      </c>
      <c r="J6" s="78">
        <v>4.246</v>
      </c>
      <c r="K6" s="78">
        <v>3.016572</v>
      </c>
      <c r="L6" s="78">
        <v>12.72</v>
      </c>
      <c r="M6" s="78">
        <v>21.29675603</v>
      </c>
      <c r="N6" s="78">
        <v>31.96</v>
      </c>
      <c r="O6" s="78">
        <v>2.511127</v>
      </c>
      <c r="P6" s="78">
        <v>5.714</v>
      </c>
      <c r="Q6" s="78">
        <v>30.7</v>
      </c>
      <c r="R6" s="78">
        <v>41.184</v>
      </c>
      <c r="S6" s="78">
        <v>5.20953</v>
      </c>
      <c r="T6" s="78">
        <v>8.648</v>
      </c>
      <c r="U6" s="78">
        <v>0.208</v>
      </c>
      <c r="V6" s="78">
        <v>9.444</v>
      </c>
      <c r="W6" s="78">
        <v>1.882901</v>
      </c>
      <c r="X6" s="78">
        <v>35.898</v>
      </c>
      <c r="Y6" s="78">
        <v>57.624</v>
      </c>
      <c r="Z6" s="78">
        <v>20.7246</v>
      </c>
      <c r="AA6" s="78">
        <v>16.676895</v>
      </c>
      <c r="AB6" s="78">
        <v>172.118</v>
      </c>
      <c r="AC6" s="78">
        <v>2.155</v>
      </c>
      <c r="AD6" s="78">
        <v>14.589</v>
      </c>
      <c r="AE6" s="78">
        <v>51.461047</v>
      </c>
      <c r="AF6" s="78">
        <v>31.585</v>
      </c>
      <c r="AG6" s="78">
        <v>2.45</v>
      </c>
      <c r="AH6" s="78">
        <v>5.161</v>
      </c>
      <c r="AI6" s="78">
        <v>26.139</v>
      </c>
      <c r="AJ6" s="78">
        <v>8.81388</v>
      </c>
      <c r="AK6" s="78">
        <v>4.002584</v>
      </c>
      <c r="AL6" s="78">
        <v>6.472</v>
      </c>
      <c r="AM6" s="78">
        <v>31.105988</v>
      </c>
      <c r="AN6" s="78">
        <v>6.278944</v>
      </c>
      <c r="AO6" s="78">
        <v>2.601922</v>
      </c>
    </row>
    <row r="7" spans="1:41">
      <c r="A7" t="s">
        <v>225</v>
      </c>
      <c r="B7">
        <v>2010</v>
      </c>
      <c r="C7" t="s">
        <v>4</v>
      </c>
      <c r="D7">
        <v>10.341404</v>
      </c>
      <c r="F7" s="79">
        <v>2008</v>
      </c>
      <c r="G7" s="78">
        <v>8.868029</v>
      </c>
      <c r="H7" s="78">
        <v>7.59139</v>
      </c>
      <c r="I7" s="78">
        <v>11.804</v>
      </c>
      <c r="J7" s="78">
        <v>4.285</v>
      </c>
      <c r="K7" s="78">
        <v>3.155693</v>
      </c>
      <c r="L7" s="78">
        <v>12.958</v>
      </c>
      <c r="M7" s="78">
        <v>22.91713966</v>
      </c>
      <c r="N7" s="78">
        <v>38.389</v>
      </c>
      <c r="O7" s="78">
        <v>2.586836</v>
      </c>
      <c r="P7" s="78">
        <v>5.968</v>
      </c>
      <c r="Q7" s="78">
        <v>30.85</v>
      </c>
      <c r="R7" s="78">
        <v>41.321</v>
      </c>
      <c r="S7" s="78">
        <v>5.467944</v>
      </c>
      <c r="T7" s="78">
        <v>9.448427</v>
      </c>
      <c r="U7" s="78">
        <v>0.21</v>
      </c>
      <c r="V7" s="78">
        <v>10.606</v>
      </c>
      <c r="W7" s="78">
        <v>1.924281</v>
      </c>
      <c r="X7" s="78">
        <v>36.327</v>
      </c>
      <c r="Y7" s="78">
        <v>57.865</v>
      </c>
      <c r="Z7" s="78">
        <v>22.407678</v>
      </c>
      <c r="AA7" s="78">
        <v>17.9861436666667</v>
      </c>
      <c r="AB7" s="78">
        <v>174.916</v>
      </c>
      <c r="AC7" s="78">
        <v>2.198</v>
      </c>
      <c r="AD7" s="78">
        <v>16.08</v>
      </c>
      <c r="AE7" s="78">
        <v>52.06651</v>
      </c>
      <c r="AF7" s="78">
        <v>34.314</v>
      </c>
      <c r="AG7" s="78">
        <v>2.62</v>
      </c>
      <c r="AH7" s="78">
        <v>5.276</v>
      </c>
      <c r="AI7" s="78">
        <v>26.553</v>
      </c>
      <c r="AJ7" s="78">
        <v>8.833722</v>
      </c>
      <c r="AK7" s="78">
        <v>4.031205</v>
      </c>
      <c r="AL7" s="78">
        <v>6.797</v>
      </c>
      <c r="AM7" s="78">
        <v>31.252476</v>
      </c>
      <c r="AN7" s="78">
        <v>6.760351</v>
      </c>
      <c r="AO7" s="78">
        <v>2.701122</v>
      </c>
    </row>
    <row r="8" spans="1:41">
      <c r="A8" t="s">
        <v>225</v>
      </c>
      <c r="B8">
        <v>2011</v>
      </c>
      <c r="C8" t="s">
        <v>4</v>
      </c>
      <c r="D8">
        <v>10.914955</v>
      </c>
      <c r="F8" s="79">
        <v>2009</v>
      </c>
      <c r="G8" s="78">
        <v>9.461706</v>
      </c>
      <c r="H8" s="78">
        <v>7.815142</v>
      </c>
      <c r="I8" s="78">
        <v>12.023</v>
      </c>
      <c r="J8" s="78">
        <v>4.36</v>
      </c>
      <c r="K8" s="78">
        <v>3.145294</v>
      </c>
      <c r="L8" s="78">
        <v>13.114</v>
      </c>
      <c r="M8" s="78">
        <v>24.814742645</v>
      </c>
      <c r="N8" s="78">
        <v>48.451</v>
      </c>
      <c r="O8" s="78">
        <v>2.598927</v>
      </c>
      <c r="P8" s="78">
        <v>6.024</v>
      </c>
      <c r="Q8" s="78">
        <v>31.05</v>
      </c>
      <c r="R8" s="78">
        <v>41.738</v>
      </c>
      <c r="S8" s="78">
        <v>5.59296</v>
      </c>
      <c r="T8" s="78">
        <v>9.760719</v>
      </c>
      <c r="U8" s="78">
        <v>0.205</v>
      </c>
      <c r="V8" s="78">
        <v>11.744</v>
      </c>
      <c r="W8" s="78">
        <v>1.902429</v>
      </c>
      <c r="X8" s="78">
        <v>36.599</v>
      </c>
      <c r="Y8" s="78">
        <v>58.02</v>
      </c>
      <c r="Z8" s="78">
        <v>23.18686</v>
      </c>
      <c r="AA8" s="78">
        <v>18.8806603333333</v>
      </c>
      <c r="AB8" s="78">
        <v>172.896</v>
      </c>
      <c r="AC8" s="78">
        <v>2.243</v>
      </c>
      <c r="AD8" s="78">
        <v>16.495</v>
      </c>
      <c r="AE8" s="78">
        <v>54.62955</v>
      </c>
      <c r="AF8" s="78">
        <v>35.52662</v>
      </c>
      <c r="AG8" s="78">
        <v>2.83</v>
      </c>
      <c r="AH8" s="78">
        <v>5.411</v>
      </c>
      <c r="AI8" s="78">
        <v>26.44</v>
      </c>
      <c r="AJ8" s="78">
        <v>8.876604</v>
      </c>
      <c r="AK8" s="78">
        <v>4.051832</v>
      </c>
      <c r="AL8" s="78">
        <v>7.094</v>
      </c>
      <c r="AM8" s="78">
        <v>31.035791</v>
      </c>
      <c r="AN8" s="78">
        <v>6.905365</v>
      </c>
      <c r="AO8" s="78">
        <v>2.907909</v>
      </c>
    </row>
    <row r="9" spans="1:41">
      <c r="A9" t="s">
        <v>225</v>
      </c>
      <c r="B9">
        <v>2012</v>
      </c>
      <c r="C9" t="s">
        <v>4</v>
      </c>
      <c r="D9">
        <v>11.49777</v>
      </c>
      <c r="F9" s="79">
        <v>2010</v>
      </c>
      <c r="G9" s="78">
        <v>10.341404</v>
      </c>
      <c r="H9" s="78">
        <v>8.168099</v>
      </c>
      <c r="I9" s="78">
        <v>12.269305</v>
      </c>
      <c r="J9" s="78">
        <v>4.441</v>
      </c>
      <c r="K9" s="78">
        <v>2.881219</v>
      </c>
      <c r="L9" s="78">
        <v>13.352</v>
      </c>
      <c r="M9" s="78">
        <v>26.887691905</v>
      </c>
      <c r="N9" s="78">
        <v>61.634</v>
      </c>
      <c r="O9" s="78">
        <v>2.583932</v>
      </c>
      <c r="P9" s="78">
        <v>6.165</v>
      </c>
      <c r="Q9" s="78">
        <v>31.3</v>
      </c>
      <c r="R9" s="78">
        <v>42.302</v>
      </c>
      <c r="S9" s="78">
        <v>5.679873</v>
      </c>
      <c r="T9" s="78">
        <v>9.906063</v>
      </c>
      <c r="U9" s="78">
        <v>0.205</v>
      </c>
      <c r="V9" s="78">
        <v>13.268</v>
      </c>
      <c r="W9" s="78">
        <v>1.872715</v>
      </c>
      <c r="X9" s="78">
        <v>36.985</v>
      </c>
      <c r="Y9" s="78">
        <v>58.347</v>
      </c>
      <c r="Z9" s="78">
        <v>24.653384</v>
      </c>
      <c r="AA9" s="78">
        <v>19.947797</v>
      </c>
      <c r="AB9" s="78">
        <v>170.474</v>
      </c>
      <c r="AC9" s="78">
        <v>2.305</v>
      </c>
      <c r="AD9" s="78">
        <v>17.24</v>
      </c>
      <c r="AE9" s="78">
        <v>58.298106</v>
      </c>
      <c r="AF9" s="78">
        <v>36.955415</v>
      </c>
      <c r="AG9" s="78">
        <v>3.11</v>
      </c>
      <c r="AH9" s="78">
        <v>5.319069</v>
      </c>
      <c r="AI9" s="78">
        <v>26.627</v>
      </c>
      <c r="AJ9" s="78">
        <v>8.990283</v>
      </c>
      <c r="AK9" s="78">
        <v>4.119684</v>
      </c>
      <c r="AL9" s="78">
        <v>7.545</v>
      </c>
      <c r="AM9" s="78">
        <v>31.258197</v>
      </c>
      <c r="AN9" s="78">
        <v>7.17429</v>
      </c>
      <c r="AO9" s="78">
        <v>2.895297</v>
      </c>
    </row>
    <row r="10" spans="1:41">
      <c r="A10" t="s">
        <v>225</v>
      </c>
      <c r="B10">
        <v>2013</v>
      </c>
      <c r="C10" t="s">
        <v>4</v>
      </c>
      <c r="D10">
        <v>12.123381</v>
      </c>
      <c r="F10" s="79">
        <v>2011</v>
      </c>
      <c r="G10" s="78">
        <v>10.914955</v>
      </c>
      <c r="H10" s="78">
        <v>8.571843</v>
      </c>
      <c r="I10" s="78">
        <v>12.474</v>
      </c>
      <c r="J10" s="78">
        <v>4.513</v>
      </c>
      <c r="K10" s="78">
        <v>2.899613</v>
      </c>
      <c r="L10" s="78">
        <v>13.564</v>
      </c>
      <c r="M10" s="78">
        <v>28.94593271</v>
      </c>
      <c r="N10" s="78">
        <v>74.85</v>
      </c>
      <c r="O10" s="78">
        <v>2.592109</v>
      </c>
      <c r="P10" s="78">
        <v>6.332</v>
      </c>
      <c r="Q10" s="78">
        <v>31.55</v>
      </c>
      <c r="R10" s="78">
        <v>42.928</v>
      </c>
      <c r="S10" s="78">
        <v>5.673591</v>
      </c>
      <c r="T10" s="78">
        <v>9.996808</v>
      </c>
      <c r="U10" s="78">
        <v>0.206112</v>
      </c>
      <c r="V10" s="78">
        <v>15.027</v>
      </c>
      <c r="W10" s="78">
        <v>1.88781</v>
      </c>
      <c r="X10" s="78">
        <v>37.353</v>
      </c>
      <c r="Y10" s="78">
        <v>58.67</v>
      </c>
      <c r="Z10" s="78">
        <v>26.271432</v>
      </c>
      <c r="AA10" s="78">
        <v>22.121991</v>
      </c>
      <c r="AB10" s="78">
        <v>170.559</v>
      </c>
      <c r="AC10" s="78">
        <v>2.37</v>
      </c>
      <c r="AD10" s="78">
        <v>17.872</v>
      </c>
      <c r="AE10" s="78">
        <v>62.126663</v>
      </c>
      <c r="AF10" s="78">
        <v>39.165548</v>
      </c>
      <c r="AG10" s="78">
        <v>3.41</v>
      </c>
      <c r="AH10" s="78">
        <v>5.506922</v>
      </c>
      <c r="AI10" s="78">
        <v>26.799</v>
      </c>
      <c r="AJ10" s="78">
        <v>9.136496</v>
      </c>
      <c r="AK10" s="78">
        <v>4.209672</v>
      </c>
      <c r="AL10" s="78">
        <v>8.113</v>
      </c>
      <c r="AM10" s="78">
        <v>31.362716</v>
      </c>
      <c r="AN10" s="78">
        <v>7.327973</v>
      </c>
      <c r="AO10" s="78">
        <v>3.026822</v>
      </c>
    </row>
    <row r="11" spans="1:41">
      <c r="A11" t="s">
        <v>225</v>
      </c>
      <c r="B11">
        <v>2014</v>
      </c>
      <c r="C11" t="s">
        <v>4</v>
      </c>
      <c r="D11">
        <v>12.821766</v>
      </c>
      <c r="F11" s="79">
        <v>2012</v>
      </c>
      <c r="G11" s="78">
        <v>11.49777</v>
      </c>
      <c r="H11" s="78">
        <v>9.057691</v>
      </c>
      <c r="I11" s="78">
        <v>12.714235</v>
      </c>
      <c r="J11" s="78">
        <v>4.584</v>
      </c>
      <c r="K11" s="78">
        <v>2.973814</v>
      </c>
      <c r="L11" s="78">
        <v>13.664463</v>
      </c>
      <c r="M11" s="78">
        <v>31.12262194</v>
      </c>
      <c r="N11" s="78">
        <v>87.376</v>
      </c>
      <c r="O11" s="78">
        <v>2.519187</v>
      </c>
      <c r="P11" s="78">
        <v>6.525</v>
      </c>
      <c r="Q11" s="78">
        <v>31.6</v>
      </c>
      <c r="R11" s="78">
        <v>43.431</v>
      </c>
      <c r="S11" s="78">
        <v>5.642557</v>
      </c>
      <c r="T11" s="78">
        <v>10.279842</v>
      </c>
      <c r="U11" s="78">
        <v>0.21007</v>
      </c>
      <c r="V11" s="78">
        <v>16.896</v>
      </c>
      <c r="W11" s="78">
        <v>1.88255</v>
      </c>
      <c r="X11" s="78">
        <v>37.327612</v>
      </c>
      <c r="Y11" s="78">
        <v>59.421</v>
      </c>
      <c r="Z11" s="78">
        <v>27.72508</v>
      </c>
      <c r="AA11" s="78">
        <v>24.065127</v>
      </c>
      <c r="AB11" s="78">
        <v>165.123628</v>
      </c>
      <c r="AC11" s="78">
        <v>2.433</v>
      </c>
      <c r="AD11" s="78">
        <v>18.744</v>
      </c>
      <c r="AE11" s="78">
        <v>66.4188436666666</v>
      </c>
      <c r="AF11" s="78">
        <v>41.230575</v>
      </c>
      <c r="AG11" s="78">
        <v>3.689</v>
      </c>
      <c r="AH11" s="78">
        <v>5.733314</v>
      </c>
      <c r="AI11" s="78">
        <v>26.745</v>
      </c>
      <c r="AJ11" s="78">
        <v>9.24719</v>
      </c>
      <c r="AK11" s="78">
        <v>4.300036</v>
      </c>
      <c r="AL11" s="78">
        <v>8.649</v>
      </c>
      <c r="AM11" s="78">
        <v>31.482</v>
      </c>
      <c r="AN11" s="78">
        <v>7.592379</v>
      </c>
      <c r="AO11" s="78">
        <v>2.938063</v>
      </c>
    </row>
    <row r="12" spans="1:41">
      <c r="A12" t="s">
        <v>225</v>
      </c>
      <c r="B12">
        <v>2015</v>
      </c>
      <c r="C12" t="s">
        <v>4</v>
      </c>
      <c r="D12">
        <v>13.794338</v>
      </c>
      <c r="F12" s="79">
        <v>2013</v>
      </c>
      <c r="G12" s="78">
        <v>12.123381</v>
      </c>
      <c r="H12" s="78">
        <v>9.519968</v>
      </c>
      <c r="I12" s="78">
        <v>13.000021</v>
      </c>
      <c r="J12" s="78">
        <v>4.641308</v>
      </c>
      <c r="K12" s="78">
        <v>3.072085</v>
      </c>
      <c r="L12" s="78">
        <v>13.956542</v>
      </c>
      <c r="M12" s="78">
        <v>33.091826185</v>
      </c>
      <c r="N12" s="78">
        <v>101.3608</v>
      </c>
      <c r="O12" s="78">
        <v>2.520221</v>
      </c>
      <c r="P12" s="78">
        <v>6.702876</v>
      </c>
      <c r="Q12" s="78">
        <v>31.65</v>
      </c>
      <c r="R12" s="78">
        <v>43.85123</v>
      </c>
      <c r="S12" s="78">
        <v>5.598769</v>
      </c>
      <c r="T12" s="78">
        <v>10.644618</v>
      </c>
      <c r="U12" s="78">
        <v>0.213113</v>
      </c>
      <c r="V12" s="78">
        <v>18.918</v>
      </c>
      <c r="W12" s="78">
        <v>1.910165</v>
      </c>
      <c r="X12" s="78">
        <v>37.21903</v>
      </c>
      <c r="Y12" s="78">
        <v>60.035848</v>
      </c>
      <c r="Z12" s="78">
        <v>28.922757</v>
      </c>
      <c r="AA12" s="78">
        <v>25.967972</v>
      </c>
      <c r="AB12" s="78">
        <v>166.295633</v>
      </c>
      <c r="AC12" s="78">
        <v>2.487353</v>
      </c>
      <c r="AD12" s="78">
        <v>19.34212</v>
      </c>
      <c r="AE12" s="78">
        <v>69.5489703333333</v>
      </c>
      <c r="AF12" s="78">
        <v>44.002445</v>
      </c>
      <c r="AG12" s="78">
        <v>3.8675</v>
      </c>
      <c r="AH12" s="78">
        <v>5.967222</v>
      </c>
      <c r="AI12" s="78">
        <v>26.504538</v>
      </c>
      <c r="AJ12" s="78">
        <v>9.351216</v>
      </c>
      <c r="AK12" s="78">
        <v>4.366895</v>
      </c>
      <c r="AL12" s="78">
        <v>9.283923</v>
      </c>
      <c r="AM12" s="78">
        <v>32.103</v>
      </c>
      <c r="AN12" s="78">
        <v>7.834418</v>
      </c>
      <c r="AO12" s="78">
        <v>3.131709</v>
      </c>
    </row>
    <row r="13" spans="1:41">
      <c r="A13" t="s">
        <v>225</v>
      </c>
      <c r="B13">
        <v>2005</v>
      </c>
      <c r="C13" t="s">
        <v>5</v>
      </c>
      <c r="D13">
        <v>5.235202</v>
      </c>
      <c r="F13" s="79">
        <v>2014</v>
      </c>
      <c r="G13" s="78">
        <v>12.821766</v>
      </c>
      <c r="H13" s="78">
        <v>10.067513</v>
      </c>
      <c r="I13" s="78">
        <v>13.29726</v>
      </c>
      <c r="J13" s="78">
        <v>4.694921</v>
      </c>
      <c r="K13" s="78">
        <v>2.516467</v>
      </c>
      <c r="L13" s="78">
        <v>14.076907</v>
      </c>
      <c r="M13" s="78">
        <v>34.67623183</v>
      </c>
      <c r="N13" s="78">
        <v>117.481913</v>
      </c>
      <c r="O13" s="78">
        <v>2.551457</v>
      </c>
      <c r="P13" s="78">
        <v>6.889208</v>
      </c>
      <c r="Q13" s="78">
        <v>31.8</v>
      </c>
      <c r="R13" s="78">
        <v>44.403124</v>
      </c>
      <c r="S13" s="78">
        <v>5.580695</v>
      </c>
      <c r="T13" s="78">
        <v>11.027188</v>
      </c>
      <c r="U13" s="78">
        <v>0.217454</v>
      </c>
      <c r="V13" s="78">
        <v>20.442</v>
      </c>
      <c r="W13" s="78">
        <v>1.943868</v>
      </c>
      <c r="X13" s="78">
        <v>37.346703</v>
      </c>
      <c r="Y13" s="78">
        <v>60.66807</v>
      </c>
      <c r="Z13" s="78">
        <v>30.518966</v>
      </c>
      <c r="AA13" s="78">
        <v>27.695111</v>
      </c>
      <c r="AB13" s="78">
        <v>168.257315</v>
      </c>
      <c r="AC13" s="78">
        <v>2.539552</v>
      </c>
      <c r="AD13" s="78">
        <v>19.978589</v>
      </c>
      <c r="AE13" s="78">
        <v>74.737974</v>
      </c>
      <c r="AF13" s="78">
        <v>46.326386</v>
      </c>
      <c r="AG13" s="78">
        <v>4.11</v>
      </c>
      <c r="AH13" s="78">
        <v>6.188332</v>
      </c>
      <c r="AI13" s="78">
        <v>26.525512</v>
      </c>
      <c r="AJ13" s="78">
        <v>9.502558</v>
      </c>
      <c r="AK13" s="78">
        <v>4.430375</v>
      </c>
      <c r="AL13" s="78">
        <v>9.857915</v>
      </c>
      <c r="AM13" s="78">
        <v>32.612782</v>
      </c>
      <c r="AN13" s="78">
        <v>7.852561</v>
      </c>
      <c r="AO13" s="78">
        <v>3.348007</v>
      </c>
    </row>
    <row r="14" spans="1:41">
      <c r="A14" t="s">
        <v>225</v>
      </c>
      <c r="B14">
        <v>2006</v>
      </c>
      <c r="C14" t="s">
        <v>5</v>
      </c>
      <c r="D14">
        <v>6.628242</v>
      </c>
      <c r="F14" s="79">
        <v>2015</v>
      </c>
      <c r="G14" s="78">
        <v>13.794338</v>
      </c>
      <c r="H14" s="78">
        <v>10.632235</v>
      </c>
      <c r="I14" s="78">
        <v>13.549449</v>
      </c>
      <c r="J14" s="78">
        <v>4.748048</v>
      </c>
      <c r="K14" s="78">
        <v>2.599711</v>
      </c>
      <c r="L14" s="78">
        <v>14.304275</v>
      </c>
      <c r="M14" s="78">
        <v>35.471423</v>
      </c>
      <c r="N14" s="78">
        <v>135.804833</v>
      </c>
      <c r="O14" s="78">
        <v>2.587488</v>
      </c>
      <c r="P14" s="78">
        <v>7.196288</v>
      </c>
      <c r="Q14" s="78">
        <v>32</v>
      </c>
      <c r="R14" s="78">
        <v>45.071209</v>
      </c>
      <c r="S14" s="78">
        <v>5.5926</v>
      </c>
      <c r="T14" s="78">
        <v>11.512075</v>
      </c>
      <c r="U14" s="78">
        <v>0.226321</v>
      </c>
      <c r="V14" s="78">
        <v>22.468</v>
      </c>
      <c r="W14" s="78">
        <v>1.98513</v>
      </c>
      <c r="X14" s="78">
        <v>37.626613</v>
      </c>
      <c r="Y14" s="78">
        <v>60.987883</v>
      </c>
      <c r="Z14" s="78">
        <v>31.461389</v>
      </c>
      <c r="AA14" s="78">
        <v>29.563625</v>
      </c>
      <c r="AB14" s="78">
        <v>171.327125</v>
      </c>
      <c r="AC14" s="78">
        <v>2.59239</v>
      </c>
      <c r="AD14" s="78">
        <v>20.688174</v>
      </c>
      <c r="AE14" s="78">
        <v>78.497225</v>
      </c>
      <c r="AF14" s="78">
        <v>47.290321</v>
      </c>
      <c r="AG14" s="78">
        <v>4.4</v>
      </c>
      <c r="AH14" s="78">
        <v>6.383756</v>
      </c>
      <c r="AI14" s="78">
        <v>26.948705</v>
      </c>
      <c r="AJ14" s="78">
        <v>9.674064</v>
      </c>
      <c r="AK14" s="78">
        <v>4.503865</v>
      </c>
      <c r="AL14" s="78">
        <v>10.589337</v>
      </c>
      <c r="AM14" s="78">
        <v>33.542448</v>
      </c>
      <c r="AN14" s="78">
        <v>7.929813</v>
      </c>
      <c r="AO14" s="78">
        <v>3.449462</v>
      </c>
    </row>
    <row r="15" spans="1:41">
      <c r="A15" t="s">
        <v>225</v>
      </c>
      <c r="B15">
        <v>2007</v>
      </c>
      <c r="C15" t="s">
        <v>5</v>
      </c>
      <c r="D15">
        <v>7.03697</v>
      </c>
      <c r="F15" s="77" t="s">
        <v>227</v>
      </c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</row>
    <row r="16" spans="1:41">
      <c r="A16" t="s">
        <v>225</v>
      </c>
      <c r="B16">
        <v>2008</v>
      </c>
      <c r="C16" t="s">
        <v>5</v>
      </c>
      <c r="D16">
        <v>7.59139</v>
      </c>
      <c r="F16" s="79">
        <v>2005</v>
      </c>
      <c r="G16" s="78">
        <v>2.868</v>
      </c>
      <c r="H16" s="78">
        <v>3.34293</v>
      </c>
      <c r="I16" s="78">
        <v>2.601</v>
      </c>
      <c r="J16" s="78">
        <v>0.367</v>
      </c>
      <c r="K16" s="78">
        <v>0.352157</v>
      </c>
      <c r="L16" s="78">
        <v>1.77607</v>
      </c>
      <c r="M16" s="78">
        <v>4.112682</v>
      </c>
      <c r="N16" s="78">
        <v>10.272</v>
      </c>
      <c r="O16" s="78">
        <v>0.236282</v>
      </c>
      <c r="P16" s="78">
        <v>0.736</v>
      </c>
      <c r="Q16" s="78">
        <v>6.198</v>
      </c>
      <c r="R16" s="78">
        <v>3.133</v>
      </c>
      <c r="S16" s="78">
        <v>1.335312</v>
      </c>
      <c r="T16" s="78">
        <v>1.334</v>
      </c>
      <c r="U16" s="78">
        <v>0.027</v>
      </c>
      <c r="V16" s="78">
        <v>2.706</v>
      </c>
      <c r="W16" s="78">
        <v>0.286548</v>
      </c>
      <c r="X16" s="78">
        <v>4.468</v>
      </c>
      <c r="Y16" s="78">
        <v>18.596</v>
      </c>
      <c r="Z16" s="78">
        <v>8.246373</v>
      </c>
      <c r="AA16" s="78">
        <v>5.001988</v>
      </c>
      <c r="AB16" s="78">
        <v>112.824</v>
      </c>
      <c r="AC16" s="78">
        <v>0.494</v>
      </c>
      <c r="AD16" s="78">
        <v>2.481</v>
      </c>
      <c r="AE16" s="78">
        <v>18.875892935287</v>
      </c>
      <c r="AF16" s="78">
        <v>6.006</v>
      </c>
      <c r="AG16" s="78">
        <v>1.42</v>
      </c>
      <c r="AH16" s="78">
        <v>2.297</v>
      </c>
      <c r="AI16" s="78">
        <v>6.231</v>
      </c>
      <c r="AJ16" s="78">
        <v>1.04069</v>
      </c>
      <c r="AK16" s="78">
        <v>0.336</v>
      </c>
      <c r="AL16" s="78">
        <v>2.654</v>
      </c>
      <c r="AM16" s="78">
        <v>3.916765</v>
      </c>
      <c r="AN16" s="78">
        <v>1.295623</v>
      </c>
      <c r="AO16" s="78">
        <v>0.274741</v>
      </c>
    </row>
    <row r="17" spans="1:50">
      <c r="A17" t="s">
        <v>225</v>
      </c>
      <c r="B17">
        <v>2009</v>
      </c>
      <c r="C17" t="s">
        <v>5</v>
      </c>
      <c r="D17">
        <v>7.815142</v>
      </c>
      <c r="F17" s="79">
        <v>2006</v>
      </c>
      <c r="G17" s="78">
        <v>2.997643</v>
      </c>
      <c r="H17" s="78">
        <v>3.513242</v>
      </c>
      <c r="I17" s="78">
        <v>2.706</v>
      </c>
      <c r="J17" s="78">
        <v>0.374</v>
      </c>
      <c r="K17" s="78">
        <v>0.380948</v>
      </c>
      <c r="L17" s="78">
        <v>1.78794</v>
      </c>
      <c r="M17" s="78">
        <v>4.192272</v>
      </c>
      <c r="N17" s="78">
        <v>10.778</v>
      </c>
      <c r="O17" s="78">
        <v>0.246275</v>
      </c>
      <c r="P17" s="78">
        <v>0.799</v>
      </c>
      <c r="Q17" s="78">
        <v>6.261</v>
      </c>
      <c r="R17" s="78">
        <v>3.172</v>
      </c>
      <c r="S17" s="78">
        <v>1.365827</v>
      </c>
      <c r="T17" s="78">
        <v>1.262</v>
      </c>
      <c r="U17" s="78">
        <v>0.03</v>
      </c>
      <c r="V17" s="78">
        <v>2.948</v>
      </c>
      <c r="W17" s="78">
        <v>0.318604</v>
      </c>
      <c r="X17" s="78">
        <v>4.627</v>
      </c>
      <c r="Y17" s="78">
        <v>18.338</v>
      </c>
      <c r="Z17" s="78">
        <v>8.785122</v>
      </c>
      <c r="AA17" s="78">
        <v>5.231131</v>
      </c>
      <c r="AB17" s="78">
        <v>118.21</v>
      </c>
      <c r="AC17" s="78">
        <v>0.515</v>
      </c>
      <c r="AD17" s="78">
        <v>2.58</v>
      </c>
      <c r="AE17" s="78">
        <v>19.3214828752403</v>
      </c>
      <c r="AF17" s="78">
        <v>6.135</v>
      </c>
      <c r="AG17" s="78">
        <v>1.44</v>
      </c>
      <c r="AH17" s="78">
        <v>2.482</v>
      </c>
      <c r="AI17" s="78">
        <v>6.51</v>
      </c>
      <c r="AJ17" s="78">
        <v>1.102925</v>
      </c>
      <c r="AK17" s="78">
        <v>0.343</v>
      </c>
      <c r="AL17" s="78">
        <v>2.939</v>
      </c>
      <c r="AM17" s="78">
        <v>4.117987</v>
      </c>
      <c r="AN17" s="78">
        <v>1.363143</v>
      </c>
      <c r="AO17" s="78">
        <v>0.283512</v>
      </c>
    </row>
    <row r="18" spans="1:50">
      <c r="A18" t="s">
        <v>225</v>
      </c>
      <c r="B18">
        <v>2010</v>
      </c>
      <c r="C18" t="s">
        <v>5</v>
      </c>
      <c r="D18">
        <v>8.168099</v>
      </c>
      <c r="F18" s="79">
        <v>2007</v>
      </c>
      <c r="G18" s="78">
        <v>3.19973</v>
      </c>
      <c r="H18" s="78">
        <v>3.858375</v>
      </c>
      <c r="I18" s="78">
        <v>2.801</v>
      </c>
      <c r="J18" s="78">
        <v>0.382</v>
      </c>
      <c r="K18" s="78">
        <v>0.386738</v>
      </c>
      <c r="L18" s="78">
        <v>1.828794</v>
      </c>
      <c r="M18" s="78">
        <v>4.345826</v>
      </c>
      <c r="N18" s="78">
        <v>11.624</v>
      </c>
      <c r="O18" s="78">
        <v>0.253791</v>
      </c>
      <c r="P18" s="78">
        <v>0.896</v>
      </c>
      <c r="Q18" s="78">
        <v>6.333</v>
      </c>
      <c r="R18" s="78">
        <v>2.837</v>
      </c>
      <c r="S18" s="78">
        <v>1.404047</v>
      </c>
      <c r="T18" s="78">
        <v>1.37</v>
      </c>
      <c r="U18" s="78">
        <v>0.033</v>
      </c>
      <c r="V18" s="78">
        <v>3.642</v>
      </c>
      <c r="W18" s="78">
        <v>0.345874</v>
      </c>
      <c r="X18" s="78">
        <v>4.736</v>
      </c>
      <c r="Y18" s="78">
        <v>18.091</v>
      </c>
      <c r="Z18" s="78">
        <v>9.504061</v>
      </c>
      <c r="AA18" s="78">
        <v>5.535</v>
      </c>
      <c r="AB18" s="78">
        <v>122.523</v>
      </c>
      <c r="AC18" s="78">
        <v>0.538</v>
      </c>
      <c r="AD18" s="78">
        <v>2.719</v>
      </c>
      <c r="AE18" s="78">
        <v>21.2918117254902</v>
      </c>
      <c r="AF18" s="78">
        <v>6.433</v>
      </c>
      <c r="AG18" s="78">
        <v>1.54</v>
      </c>
      <c r="AH18" s="78">
        <v>2.642</v>
      </c>
      <c r="AI18" s="78">
        <v>6.762</v>
      </c>
      <c r="AJ18" s="78">
        <v>1.155745</v>
      </c>
      <c r="AK18" s="78">
        <v>0.354126</v>
      </c>
      <c r="AL18" s="78">
        <v>3.181</v>
      </c>
      <c r="AM18" s="78">
        <v>4.247988</v>
      </c>
      <c r="AN18" s="78">
        <v>1.400923</v>
      </c>
      <c r="AO18" s="78">
        <v>0.310315</v>
      </c>
    </row>
    <row r="19" spans="1:50">
      <c r="A19" t="s">
        <v>225</v>
      </c>
      <c r="B19">
        <v>2011</v>
      </c>
      <c r="C19" t="s">
        <v>5</v>
      </c>
      <c r="D19">
        <v>8.571843</v>
      </c>
      <c r="F19" s="79">
        <v>2008</v>
      </c>
      <c r="G19" s="78">
        <v>3.549565</v>
      </c>
      <c r="H19" s="78">
        <v>4.389597</v>
      </c>
      <c r="I19" s="78">
        <v>2.925</v>
      </c>
      <c r="J19" s="78">
        <v>0.391</v>
      </c>
      <c r="K19" s="78">
        <v>0.391948</v>
      </c>
      <c r="L19" s="78">
        <v>1.868128</v>
      </c>
      <c r="M19" s="78">
        <v>4.592854</v>
      </c>
      <c r="N19" s="78">
        <v>12.607</v>
      </c>
      <c r="O19" s="78">
        <v>0.277383</v>
      </c>
      <c r="P19" s="78">
        <v>0.99</v>
      </c>
      <c r="Q19" s="78">
        <v>6.362</v>
      </c>
      <c r="R19" s="78">
        <v>2.859</v>
      </c>
      <c r="S19" s="78">
        <v>1.441711</v>
      </c>
      <c r="T19" s="78">
        <v>1.484886</v>
      </c>
      <c r="U19" s="78">
        <v>0.034</v>
      </c>
      <c r="V19" s="78">
        <v>3.954</v>
      </c>
      <c r="W19" s="78">
        <v>0.351307</v>
      </c>
      <c r="X19" s="78">
        <v>4.838</v>
      </c>
      <c r="Y19" s="78">
        <v>17.663</v>
      </c>
      <c r="Z19" s="78">
        <v>10.341381</v>
      </c>
      <c r="AA19" s="78">
        <v>5.81052266666667</v>
      </c>
      <c r="AB19" s="78">
        <v>123.625</v>
      </c>
      <c r="AC19" s="78">
        <v>0.546</v>
      </c>
      <c r="AD19" s="78">
        <v>2.926</v>
      </c>
      <c r="AE19" s="78">
        <v>21.861615</v>
      </c>
      <c r="AF19" s="78">
        <v>6.656</v>
      </c>
      <c r="AG19" s="78">
        <v>1.61</v>
      </c>
      <c r="AH19" s="78">
        <v>2.741</v>
      </c>
      <c r="AI19" s="78">
        <v>6.817</v>
      </c>
      <c r="AJ19" s="78">
        <v>1.158004</v>
      </c>
      <c r="AK19" s="78">
        <v>0.354031</v>
      </c>
      <c r="AL19" s="78">
        <v>3.394</v>
      </c>
      <c r="AM19" s="78">
        <v>4.285206</v>
      </c>
      <c r="AN19" s="78">
        <v>1.514458</v>
      </c>
      <c r="AO19" s="78">
        <v>0.326327</v>
      </c>
    </row>
    <row r="20" spans="1:50">
      <c r="A20" t="s">
        <v>225</v>
      </c>
      <c r="B20">
        <v>2012</v>
      </c>
      <c r="C20" t="s">
        <v>5</v>
      </c>
      <c r="D20">
        <v>9.057691</v>
      </c>
      <c r="F20" s="79">
        <v>2009</v>
      </c>
      <c r="G20" s="78">
        <v>3.794453</v>
      </c>
      <c r="H20" s="78">
        <v>4.561514</v>
      </c>
      <c r="I20" s="78">
        <v>3.027</v>
      </c>
      <c r="J20" s="78">
        <v>0.398</v>
      </c>
      <c r="K20" s="78">
        <v>0.375458</v>
      </c>
      <c r="L20" s="78">
        <v>1.874934</v>
      </c>
      <c r="M20" s="78">
        <v>4.852564</v>
      </c>
      <c r="N20" s="78">
        <v>14.355</v>
      </c>
      <c r="O20" s="78">
        <v>0.272631</v>
      </c>
      <c r="P20" s="78">
        <v>1.004</v>
      </c>
      <c r="Q20" s="78">
        <v>6.388</v>
      </c>
      <c r="R20" s="78">
        <v>2.893</v>
      </c>
      <c r="S20" s="78">
        <v>1.457754</v>
      </c>
      <c r="T20" s="78">
        <v>1.513243</v>
      </c>
      <c r="U20" s="78">
        <v>0.036</v>
      </c>
      <c r="V20" s="78">
        <v>4.433</v>
      </c>
      <c r="W20" s="78">
        <v>0.34394</v>
      </c>
      <c r="X20" s="78">
        <v>4.889</v>
      </c>
      <c r="Y20" s="78">
        <v>17.305</v>
      </c>
      <c r="Z20" s="78">
        <v>10.729044</v>
      </c>
      <c r="AA20" s="78">
        <v>6.02452733333333</v>
      </c>
      <c r="AB20" s="78">
        <v>126.56</v>
      </c>
      <c r="AC20" s="78">
        <v>0.547</v>
      </c>
      <c r="AD20" s="78">
        <v>3.025</v>
      </c>
      <c r="AE20" s="78">
        <v>22.335358</v>
      </c>
      <c r="AF20" s="78">
        <v>6.648754</v>
      </c>
      <c r="AG20" s="78">
        <v>1.68</v>
      </c>
      <c r="AH20" s="78">
        <v>2.81</v>
      </c>
      <c r="AI20" s="78">
        <v>6.759</v>
      </c>
      <c r="AJ20" s="78">
        <v>1.138281</v>
      </c>
      <c r="AK20" s="78">
        <v>0.355861</v>
      </c>
      <c r="AL20" s="78">
        <v>3.517</v>
      </c>
      <c r="AM20" s="78">
        <v>4.181519</v>
      </c>
      <c r="AN20" s="78">
        <v>1.48852</v>
      </c>
      <c r="AO20" s="78">
        <v>0.349525</v>
      </c>
    </row>
    <row r="21" spans="1:50">
      <c r="A21" t="s">
        <v>225</v>
      </c>
      <c r="B21">
        <v>2013</v>
      </c>
      <c r="C21" t="s">
        <v>5</v>
      </c>
      <c r="D21">
        <v>9.519968</v>
      </c>
      <c r="F21" s="79">
        <v>2010</v>
      </c>
      <c r="G21" s="78">
        <v>3.992844</v>
      </c>
      <c r="H21" s="78">
        <v>4.686781</v>
      </c>
      <c r="I21" s="78">
        <v>3.132</v>
      </c>
      <c r="J21" s="78">
        <v>0.406</v>
      </c>
      <c r="K21" s="78">
        <v>0.309352</v>
      </c>
      <c r="L21" s="78">
        <v>1.879314</v>
      </c>
      <c r="M21" s="78">
        <v>5.222702</v>
      </c>
      <c r="N21" s="78">
        <v>16.384</v>
      </c>
      <c r="O21" s="78">
        <v>0.262581</v>
      </c>
      <c r="P21" s="78">
        <v>1.003</v>
      </c>
      <c r="Q21" s="78">
        <v>6.444</v>
      </c>
      <c r="R21" s="78">
        <v>2.96</v>
      </c>
      <c r="S21" s="78">
        <v>1.470172</v>
      </c>
      <c r="T21" s="78">
        <v>1.534962</v>
      </c>
      <c r="U21" s="78">
        <v>0.038</v>
      </c>
      <c r="V21" s="78">
        <v>4.682</v>
      </c>
      <c r="W21" s="78">
        <v>0.327096</v>
      </c>
      <c r="X21" s="78">
        <v>4.946</v>
      </c>
      <c r="Y21" s="78">
        <v>17.014</v>
      </c>
      <c r="Z21" s="78">
        <v>11.491416</v>
      </c>
      <c r="AA21" s="78">
        <v>6.311517</v>
      </c>
      <c r="AB21" s="78">
        <v>129.471</v>
      </c>
      <c r="AC21" s="78">
        <v>0.551</v>
      </c>
      <c r="AD21" s="78">
        <v>3.219</v>
      </c>
      <c r="AE21" s="78">
        <v>22.976014</v>
      </c>
      <c r="AF21" s="78">
        <v>6.750035</v>
      </c>
      <c r="AG21" s="78">
        <v>1.76</v>
      </c>
      <c r="AH21" s="78">
        <v>2.837535</v>
      </c>
      <c r="AI21" s="78">
        <v>6.719</v>
      </c>
      <c r="AJ21" s="78">
        <v>1.129334</v>
      </c>
      <c r="AK21" s="78">
        <v>0.363489</v>
      </c>
      <c r="AL21" s="78">
        <v>3.721</v>
      </c>
      <c r="AM21" s="78">
        <v>4.220455</v>
      </c>
      <c r="AN21" s="78">
        <v>1.510638</v>
      </c>
      <c r="AO21" s="78">
        <v>0.366934</v>
      </c>
    </row>
    <row r="22" spans="1:50">
      <c r="A22" t="s">
        <v>225</v>
      </c>
      <c r="B22">
        <v>2014</v>
      </c>
      <c r="C22" t="s">
        <v>5</v>
      </c>
      <c r="D22">
        <v>10.067513</v>
      </c>
      <c r="F22" s="79">
        <v>2011</v>
      </c>
      <c r="G22" s="78">
        <v>4.157757</v>
      </c>
      <c r="H22" s="78">
        <v>4.81957</v>
      </c>
      <c r="I22" s="78">
        <v>2.716</v>
      </c>
      <c r="J22" s="78">
        <v>0.417</v>
      </c>
      <c r="K22" s="78">
        <v>0.316301</v>
      </c>
      <c r="L22" s="78">
        <v>1.883684</v>
      </c>
      <c r="M22" s="78">
        <v>5.763624</v>
      </c>
      <c r="N22" s="78">
        <v>18.713</v>
      </c>
      <c r="O22" s="78">
        <v>0.259476</v>
      </c>
      <c r="P22" s="78">
        <v>1.011</v>
      </c>
      <c r="Q22" s="78">
        <v>6.517</v>
      </c>
      <c r="R22" s="78">
        <v>3.056</v>
      </c>
      <c r="S22" s="78">
        <v>1.469881</v>
      </c>
      <c r="T22" s="78">
        <v>1.578129</v>
      </c>
      <c r="U22" s="78">
        <v>0.032181</v>
      </c>
      <c r="V22" s="78">
        <v>5.086</v>
      </c>
      <c r="W22" s="78">
        <v>0.320966</v>
      </c>
      <c r="X22" s="78">
        <v>5.001</v>
      </c>
      <c r="Y22" s="78">
        <v>16.843</v>
      </c>
      <c r="Z22" s="78">
        <v>12.212654</v>
      </c>
      <c r="AA22" s="78">
        <v>6.77765366666667</v>
      </c>
      <c r="AB22" s="78">
        <v>131.954</v>
      </c>
      <c r="AC22" s="78">
        <v>0.56</v>
      </c>
      <c r="AD22" s="78">
        <v>3.381</v>
      </c>
      <c r="AE22" s="78">
        <v>23.795397</v>
      </c>
      <c r="AF22" s="78">
        <v>6.888314</v>
      </c>
      <c r="AG22" s="78">
        <v>1.87</v>
      </c>
      <c r="AH22" s="78">
        <v>2.897565</v>
      </c>
      <c r="AI22" s="78">
        <v>6.67</v>
      </c>
      <c r="AJ22" s="78">
        <v>1.137864</v>
      </c>
      <c r="AK22" s="78">
        <v>0.377275</v>
      </c>
      <c r="AL22" s="78">
        <v>3.949</v>
      </c>
      <c r="AM22" s="78">
        <v>4.269641</v>
      </c>
      <c r="AN22" s="78">
        <v>1.521045</v>
      </c>
      <c r="AO22" s="78">
        <v>0.360386</v>
      </c>
    </row>
    <row r="23" spans="1:50">
      <c r="A23" t="s">
        <v>225</v>
      </c>
      <c r="B23">
        <v>2015</v>
      </c>
      <c r="C23" t="s">
        <v>5</v>
      </c>
      <c r="D23">
        <v>10.632235</v>
      </c>
      <c r="F23" s="79">
        <v>2012</v>
      </c>
      <c r="G23" s="78">
        <v>4.421008</v>
      </c>
      <c r="H23" s="78">
        <v>4.941314</v>
      </c>
      <c r="I23" s="78">
        <v>3.318121</v>
      </c>
      <c r="J23" s="78">
        <v>0.426</v>
      </c>
      <c r="K23" s="78">
        <v>0.325703</v>
      </c>
      <c r="L23" s="78">
        <v>1.873987</v>
      </c>
      <c r="M23" s="78">
        <v>6.20807</v>
      </c>
      <c r="N23" s="78">
        <v>21.844</v>
      </c>
      <c r="O23" s="78">
        <v>0.245563</v>
      </c>
      <c r="P23" s="78">
        <v>1.00585</v>
      </c>
      <c r="Q23" s="78">
        <v>6.538</v>
      </c>
      <c r="R23" s="78">
        <v>3.107</v>
      </c>
      <c r="S23" s="78">
        <v>1.46318</v>
      </c>
      <c r="T23" s="78">
        <v>1.623437</v>
      </c>
      <c r="U23" s="78">
        <v>0.032422</v>
      </c>
      <c r="V23" s="78">
        <v>5.726</v>
      </c>
      <c r="W23" s="78">
        <v>0.309219</v>
      </c>
      <c r="X23" s="78">
        <v>4.969</v>
      </c>
      <c r="Y23" s="78">
        <v>16.705</v>
      </c>
      <c r="Z23" s="78">
        <v>12.920811</v>
      </c>
      <c r="AA23" s="78">
        <v>7.30348533333333</v>
      </c>
      <c r="AB23" s="78">
        <v>141.371459</v>
      </c>
      <c r="AC23" s="78">
        <v>0.571</v>
      </c>
      <c r="AD23" s="78">
        <v>3.429</v>
      </c>
      <c r="AE23" s="78">
        <v>24.846936</v>
      </c>
      <c r="AF23" s="78">
        <v>7.389739</v>
      </c>
      <c r="AG23" s="78">
        <v>2.013889</v>
      </c>
      <c r="AH23" s="78">
        <v>2.966369</v>
      </c>
      <c r="AI23" s="78">
        <v>6.543</v>
      </c>
      <c r="AJ23" s="78">
        <v>1.132714</v>
      </c>
      <c r="AK23" s="78">
        <v>0.390668</v>
      </c>
      <c r="AL23" s="78">
        <v>4.178</v>
      </c>
      <c r="AM23" s="78">
        <v>4.279</v>
      </c>
      <c r="AN23" s="78">
        <v>1.944263</v>
      </c>
      <c r="AO23" s="78">
        <v>0.321339</v>
      </c>
    </row>
    <row r="24" spans="1:50">
      <c r="A24" t="s">
        <v>225</v>
      </c>
      <c r="B24">
        <v>2005</v>
      </c>
      <c r="C24" t="s">
        <v>6</v>
      </c>
      <c r="D24">
        <v>11.011</v>
      </c>
      <c r="F24" s="79">
        <v>2013</v>
      </c>
      <c r="G24" s="78">
        <v>4.619493</v>
      </c>
      <c r="H24" s="78">
        <v>5.113792</v>
      </c>
      <c r="I24" s="78">
        <v>3.435843</v>
      </c>
      <c r="J24" s="78">
        <v>0.434331</v>
      </c>
      <c r="K24" s="78">
        <v>0.337232</v>
      </c>
      <c r="L24" s="78">
        <v>1.894508</v>
      </c>
      <c r="M24" s="78">
        <v>6.679247</v>
      </c>
      <c r="N24" s="78">
        <v>25.3402</v>
      </c>
      <c r="O24" s="78">
        <v>0.247094</v>
      </c>
      <c r="P24" s="78">
        <v>1.016496</v>
      </c>
      <c r="Q24" s="78">
        <v>6.55</v>
      </c>
      <c r="R24" s="78">
        <v>3.163469</v>
      </c>
      <c r="S24" s="78">
        <v>1.455183</v>
      </c>
      <c r="T24" s="78">
        <v>1.639114</v>
      </c>
      <c r="U24" s="78">
        <v>0.032836</v>
      </c>
      <c r="V24" s="78">
        <v>5.908</v>
      </c>
      <c r="W24" s="78">
        <v>0.317849</v>
      </c>
      <c r="X24" s="78">
        <v>4.914967</v>
      </c>
      <c r="Y24" s="78">
        <v>16.583218</v>
      </c>
      <c r="Z24" s="78">
        <v>13.35392</v>
      </c>
      <c r="AA24" s="78">
        <v>7.59378</v>
      </c>
      <c r="AB24" s="78">
        <v>143.623173</v>
      </c>
      <c r="AC24" s="78">
        <v>0.578531</v>
      </c>
      <c r="AD24" s="78">
        <v>3.508</v>
      </c>
      <c r="AE24" s="78">
        <v>25.916251</v>
      </c>
      <c r="AF24" s="78">
        <v>7.367783</v>
      </c>
      <c r="AG24" s="78">
        <v>2.0825</v>
      </c>
      <c r="AH24" s="78">
        <v>3.045466</v>
      </c>
      <c r="AI24" s="78">
        <v>6.403266</v>
      </c>
      <c r="AJ24" s="78">
        <v>1.127339</v>
      </c>
      <c r="AK24" s="78">
        <v>0.399322</v>
      </c>
      <c r="AL24" s="78">
        <v>4.366881</v>
      </c>
      <c r="AM24" s="78">
        <v>4.364718</v>
      </c>
      <c r="AN24" s="78">
        <v>2.061507</v>
      </c>
      <c r="AO24" s="78">
        <v>0.333303</v>
      </c>
    </row>
    <row r="25" spans="1:50">
      <c r="A25" t="s">
        <v>225</v>
      </c>
      <c r="B25">
        <v>2006</v>
      </c>
      <c r="C25" t="s">
        <v>6</v>
      </c>
      <c r="D25">
        <v>11.273</v>
      </c>
      <c r="F25" s="79">
        <v>2014</v>
      </c>
      <c r="G25" s="78">
        <v>4.833927</v>
      </c>
      <c r="H25" s="78">
        <v>5.323998</v>
      </c>
      <c r="I25" s="78">
        <v>3.556059</v>
      </c>
      <c r="J25" s="78">
        <v>0.4445</v>
      </c>
      <c r="K25" s="78">
        <v>0.295866</v>
      </c>
      <c r="L25" s="78">
        <v>1.90259</v>
      </c>
      <c r="M25" s="78">
        <v>7.111102</v>
      </c>
      <c r="N25" s="78">
        <v>28.499163</v>
      </c>
      <c r="O25" s="78">
        <v>0.252704</v>
      </c>
      <c r="P25" s="78">
        <v>1.038844</v>
      </c>
      <c r="Q25" s="78">
        <v>6.608</v>
      </c>
      <c r="R25" s="78">
        <v>3.244457</v>
      </c>
      <c r="S25" s="78">
        <v>1.431663</v>
      </c>
      <c r="T25" s="78">
        <v>1.730313</v>
      </c>
      <c r="U25" s="78">
        <v>0.033664</v>
      </c>
      <c r="V25" s="78">
        <v>6.068</v>
      </c>
      <c r="W25" s="78">
        <v>0.317378</v>
      </c>
      <c r="X25" s="78">
        <v>4.913953</v>
      </c>
      <c r="Y25" s="78">
        <v>16.520396</v>
      </c>
      <c r="Z25" s="78">
        <v>14.08419</v>
      </c>
      <c r="AA25" s="78">
        <v>7.831396</v>
      </c>
      <c r="AB25" s="78">
        <v>148.373844</v>
      </c>
      <c r="AC25" s="78">
        <v>0.584838</v>
      </c>
      <c r="AD25" s="78">
        <v>3.469014</v>
      </c>
      <c r="AE25" s="78">
        <v>27.174536</v>
      </c>
      <c r="AF25" s="78">
        <v>7.58462</v>
      </c>
      <c r="AG25" s="78">
        <v>2.13</v>
      </c>
      <c r="AH25" s="78">
        <v>3.130862</v>
      </c>
      <c r="AI25" s="78">
        <v>6.336843</v>
      </c>
      <c r="AJ25" s="78">
        <v>1.137973</v>
      </c>
      <c r="AK25" s="78">
        <v>0.410118</v>
      </c>
      <c r="AL25" s="78">
        <v>4.515402</v>
      </c>
      <c r="AM25" s="78">
        <v>4.500576</v>
      </c>
      <c r="AN25" s="78">
        <v>2.001558</v>
      </c>
      <c r="AO25" s="78">
        <v>0.395566</v>
      </c>
    </row>
    <row r="26" spans="1:50">
      <c r="A26" t="s">
        <v>225</v>
      </c>
      <c r="B26">
        <v>2007</v>
      </c>
      <c r="C26" t="s">
        <v>6</v>
      </c>
      <c r="D26">
        <v>11.519</v>
      </c>
      <c r="F26" s="79">
        <v>2015</v>
      </c>
      <c r="G26" s="78">
        <v>5.269472</v>
      </c>
      <c r="H26" s="78">
        <v>5.506777</v>
      </c>
      <c r="I26" s="78">
        <v>3.651103</v>
      </c>
      <c r="J26" s="78">
        <v>0.453702</v>
      </c>
      <c r="K26" s="78">
        <v>0.307147</v>
      </c>
      <c r="L26" s="78">
        <v>1.939395</v>
      </c>
      <c r="M26" s="78">
        <v>7.271901</v>
      </c>
      <c r="N26" s="78">
        <v>27.039668</v>
      </c>
      <c r="O26" s="78">
        <v>0.262987</v>
      </c>
      <c r="P26" s="78">
        <v>1.072013</v>
      </c>
      <c r="Q26" s="78">
        <v>6.652</v>
      </c>
      <c r="R26" s="78">
        <v>3.355885</v>
      </c>
      <c r="S26" s="78">
        <v>1.206896</v>
      </c>
      <c r="T26" s="78">
        <v>1.838336</v>
      </c>
      <c r="U26" s="78">
        <v>0.035426</v>
      </c>
      <c r="V26" s="78">
        <v>6.392</v>
      </c>
      <c r="W26" s="78">
        <v>0.330541</v>
      </c>
      <c r="X26" s="78">
        <v>4.939838</v>
      </c>
      <c r="Y26" s="78">
        <v>16.416448</v>
      </c>
      <c r="Z26" s="78">
        <v>14.757721</v>
      </c>
      <c r="AA26" s="78">
        <v>8.138328</v>
      </c>
      <c r="AB26" s="78">
        <v>153.435383</v>
      </c>
      <c r="AC26" s="78">
        <v>0.590872</v>
      </c>
      <c r="AD26" s="78">
        <v>3.562199</v>
      </c>
      <c r="AE26" s="78">
        <v>28.039458</v>
      </c>
      <c r="AF26" s="78">
        <v>7.567046</v>
      </c>
      <c r="AG26" s="78">
        <v>2.2</v>
      </c>
      <c r="AH26" s="78">
        <v>3.216656</v>
      </c>
      <c r="AI26" s="78">
        <v>6.385971</v>
      </c>
      <c r="AJ26" s="78">
        <v>1.151717</v>
      </c>
      <c r="AK26" s="78">
        <v>0.420613</v>
      </c>
      <c r="AL26" s="78">
        <v>4.771619</v>
      </c>
      <c r="AM26" s="78">
        <v>4.677162</v>
      </c>
      <c r="AN26" s="78">
        <v>1.885667</v>
      </c>
      <c r="AO26" s="78">
        <v>0.410062</v>
      </c>
    </row>
    <row r="27" spans="1:50">
      <c r="A27" t="s">
        <v>225</v>
      </c>
      <c r="B27">
        <v>2008</v>
      </c>
      <c r="C27" t="s">
        <v>6</v>
      </c>
      <c r="D27">
        <v>11.804</v>
      </c>
    </row>
    <row r="28" spans="1:50">
      <c r="A28" t="s">
        <v>225</v>
      </c>
      <c r="B28">
        <v>2009</v>
      </c>
      <c r="C28" t="s">
        <v>6</v>
      </c>
      <c r="D28">
        <v>12.023</v>
      </c>
    </row>
    <row r="29" spans="1:50">
      <c r="A29" t="s">
        <v>225</v>
      </c>
      <c r="B29">
        <v>2010</v>
      </c>
      <c r="C29" t="s">
        <v>6</v>
      </c>
      <c r="D29">
        <v>12.269305</v>
      </c>
    </row>
    <row r="30" spans="1:50">
      <c r="A30" t="s">
        <v>225</v>
      </c>
      <c r="B30">
        <v>2011</v>
      </c>
      <c r="C30" t="s">
        <v>6</v>
      </c>
      <c r="D30">
        <v>12.474</v>
      </c>
    </row>
    <row r="31" spans="1:50">
      <c r="A31" t="s">
        <v>225</v>
      </c>
      <c r="B31">
        <v>2012</v>
      </c>
      <c r="C31" t="s">
        <v>6</v>
      </c>
      <c r="D31">
        <v>12.714235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3"/>
      <c r="Y31" s="3"/>
      <c r="Z31" s="3"/>
      <c r="AA31" s="3"/>
      <c r="AB31" s="3"/>
      <c r="AC31" s="3"/>
      <c r="AD31" s="3"/>
      <c r="AE31" s="3"/>
    </row>
    <row r="32" ht="15.25" spans="1:50">
      <c r="A32" t="s">
        <v>225</v>
      </c>
      <c r="B32">
        <v>2013</v>
      </c>
      <c r="C32" t="s">
        <v>6</v>
      </c>
      <c r="D32">
        <v>13.000021</v>
      </c>
      <c r="F32" s="81"/>
      <c r="G32" s="82" t="str">
        <f>'TRA balance'!E4</f>
        <v>Africa_North</v>
      </c>
      <c r="H32" s="82" t="str">
        <f>'TRA balance'!F4</f>
        <v>Africa_Other</v>
      </c>
      <c r="I32" s="82" t="str">
        <f>'TRA balance'!G4</f>
        <v>Australia</v>
      </c>
      <c r="J32" s="82" t="str">
        <f>'TRA balance'!H4</f>
        <v>Austria</v>
      </c>
      <c r="K32" s="82" t="str">
        <f>'TRA balance'!I4</f>
        <v>Baltics</v>
      </c>
      <c r="L32" s="82" t="str">
        <f>'TRA balance'!J4</f>
        <v>BeNeLux</v>
      </c>
      <c r="M32" s="82" t="str">
        <f>'TRA balance'!K4</f>
        <v>Brazil</v>
      </c>
      <c r="N32" s="82" t="str">
        <f>'TRA balance'!L4</f>
        <v>China</v>
      </c>
      <c r="O32" s="82" t="str">
        <f>'TRA balance'!M4</f>
        <v>CroSloven</v>
      </c>
      <c r="P32" s="82" t="str">
        <f>'TRA balance'!N4</f>
        <v>CzechSlovak</v>
      </c>
      <c r="Q32" s="82" t="str">
        <f>'TRA balance'!O4</f>
        <v>France</v>
      </c>
      <c r="R32" s="82" t="str">
        <f>'TRA balance'!P4</f>
        <v>Germany</v>
      </c>
      <c r="S32" s="82" t="str">
        <f>'TRA balance'!Q4</f>
        <v>GreeceCyp</v>
      </c>
      <c r="T32" s="82" t="str">
        <f>'TRA balance'!R4</f>
        <v>HunRomBul</v>
      </c>
      <c r="U32" s="82" t="str">
        <f>'TRA balance'!S4</f>
        <v>Iceland</v>
      </c>
      <c r="V32" s="82" t="str">
        <f>'TRA balance'!T4</f>
        <v>India</v>
      </c>
      <c r="W32" s="82" t="str">
        <f>'TRA balance'!U4</f>
        <v>Ireland</v>
      </c>
      <c r="X32" s="82" t="str">
        <f>'TRA balance'!V4</f>
        <v>ItalyMal</v>
      </c>
      <c r="Y32" s="82" t="str">
        <f>'TRA balance'!W4</f>
        <v>Japan</v>
      </c>
      <c r="Z32" s="82" t="str">
        <f>'TRA balance'!X4</f>
        <v>LatAm</v>
      </c>
      <c r="AA32" s="82" t="str">
        <f>'TRA balance'!Y4</f>
        <v>MidEast</v>
      </c>
      <c r="AB32" s="82" t="str">
        <f>'TRA balance'!Z4</f>
        <v>NorthAm</v>
      </c>
      <c r="AC32" s="82" t="str">
        <f>'TRA balance'!AA4</f>
        <v>Norway</v>
      </c>
      <c r="AD32" s="82" t="str">
        <f>'TRA balance'!AB4</f>
        <v>Poland</v>
      </c>
      <c r="AE32" s="82" t="str">
        <f>'TRA balance'!AC4</f>
        <v>ROW</v>
      </c>
      <c r="AF32" s="82" t="str">
        <f>'TRA balance'!AD4</f>
        <v>Russia</v>
      </c>
      <c r="AG32" s="82" t="str">
        <f>'TRA balance'!AE4</f>
        <v>SaudiArabia</v>
      </c>
      <c r="AH32" s="82" t="str">
        <f>'TRA balance'!AF4</f>
        <v>SouthAfrica</v>
      </c>
      <c r="AI32" s="82" t="str">
        <f>'TRA balance'!AG4</f>
        <v>SpainPor</v>
      </c>
      <c r="AJ32" s="82" t="str">
        <f>'TRA balance'!AH4</f>
        <v>SweFinDen</v>
      </c>
      <c r="AK32" s="82" t="str">
        <f>'TRA balance'!AI4</f>
        <v>Switzerland</v>
      </c>
      <c r="AL32" s="82" t="str">
        <f>'TRA balance'!AJ4</f>
        <v>Turkey</v>
      </c>
      <c r="AM32" s="82" t="str">
        <f>'TRA balance'!AK4</f>
        <v>UK</v>
      </c>
      <c r="AN32" s="82" t="str">
        <f>'TRA balance'!AL4</f>
        <v>Ukraine</v>
      </c>
      <c r="AO32" s="82" t="str">
        <f>'TRA balance'!AM4</f>
        <v>WestBalkans</v>
      </c>
      <c r="AP32" s="82" t="str">
        <f>'TRA balance'!AN4</f>
        <v>\I:</v>
      </c>
      <c r="AQ32" s="82" t="str">
        <f>'TRA balance'!AO4</f>
        <v>\I:</v>
      </c>
      <c r="AR32" s="82" t="str">
        <f>'TRA balance'!AP4</f>
        <v>\I:</v>
      </c>
      <c r="AS32" s="82" t="str">
        <f>'TRA balance'!AQ4</f>
        <v>\I:</v>
      </c>
      <c r="AT32" s="82" t="str">
        <f>'TRA balance'!AR4</f>
        <v>\I:</v>
      </c>
      <c r="AU32" s="82" t="str">
        <f>'TRA balance'!AS4</f>
        <v>\I:</v>
      </c>
      <c r="AV32" s="82" t="str">
        <f>'TRA balance'!AT4</f>
        <v>\I:</v>
      </c>
      <c r="AW32" s="82" t="str">
        <f>'TRA balance'!AU4</f>
        <v>\I:</v>
      </c>
      <c r="AX32" s="82" t="str">
        <f>'TRA balance'!AV4</f>
        <v>\I:</v>
      </c>
    </row>
    <row r="33" spans="1:50">
      <c r="A33" t="s">
        <v>225</v>
      </c>
      <c r="B33">
        <v>2014</v>
      </c>
      <c r="C33" t="s">
        <v>6</v>
      </c>
      <c r="D33">
        <v>13.29726</v>
      </c>
      <c r="F33" s="83" t="s">
        <v>225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</row>
    <row r="34" spans="1:50">
      <c r="A34" t="s">
        <v>225</v>
      </c>
      <c r="B34">
        <v>2015</v>
      </c>
      <c r="C34" t="s">
        <v>6</v>
      </c>
      <c r="D34">
        <v>13.549449</v>
      </c>
      <c r="F34" s="84">
        <v>2005</v>
      </c>
      <c r="G34" s="1">
        <f>GETPIVOTDATA("mVeh",$F$1,"veh_type",$F$33,"year",$F34,"ActiveReg",G$32)</f>
        <v>7.408</v>
      </c>
      <c r="H34" s="1">
        <f t="shared" ref="H34:AX40" si="0">GETPIVOTDATA("mVeh",$F$1,"veh_type",$F$33,"year",$F34,"ActiveReg",H$32)</f>
        <v>5.235202</v>
      </c>
      <c r="I34" s="1">
        <f t="shared" si="0"/>
        <v>11.011</v>
      </c>
      <c r="J34" s="1">
        <f t="shared" si="0"/>
        <v>4.157</v>
      </c>
      <c r="K34" s="1">
        <f t="shared" si="0"/>
        <v>2.691523</v>
      </c>
      <c r="L34" s="1">
        <f t="shared" si="0"/>
        <v>12.26</v>
      </c>
      <c r="M34" s="1">
        <f t="shared" si="0"/>
        <v>18.925913525</v>
      </c>
      <c r="N34" s="1">
        <f t="shared" si="0"/>
        <v>21.325</v>
      </c>
      <c r="O34" s="1">
        <f t="shared" si="0"/>
        <v>2.349781</v>
      </c>
      <c r="P34" s="1">
        <f t="shared" si="0"/>
        <v>5.263</v>
      </c>
      <c r="Q34" s="1">
        <f t="shared" si="0"/>
        <v>30.1</v>
      </c>
      <c r="R34" s="1">
        <f t="shared" si="0"/>
        <v>46.09</v>
      </c>
      <c r="S34" s="1">
        <f t="shared" si="0"/>
        <v>4.658129</v>
      </c>
      <c r="T34" s="1">
        <f t="shared" si="0"/>
        <v>8.791</v>
      </c>
      <c r="U34" s="1">
        <f t="shared" si="0"/>
        <v>0.187</v>
      </c>
      <c r="V34" s="1">
        <f t="shared" si="0"/>
        <v>7.626</v>
      </c>
      <c r="W34" s="1">
        <f t="shared" si="0"/>
        <v>1.662157</v>
      </c>
      <c r="X34" s="1">
        <f t="shared" si="0"/>
        <v>34.873</v>
      </c>
      <c r="Y34" s="1">
        <f t="shared" si="0"/>
        <v>57.091</v>
      </c>
      <c r="Z34" s="1">
        <f t="shared" si="0"/>
        <v>18.345078</v>
      </c>
      <c r="AA34" s="1">
        <f t="shared" si="0"/>
        <v>14.902664</v>
      </c>
      <c r="AB34" s="1">
        <f t="shared" si="0"/>
        <v>165.333</v>
      </c>
      <c r="AC34" s="1">
        <f t="shared" si="0"/>
        <v>2.029</v>
      </c>
      <c r="AD34" s="1">
        <f t="shared" si="0"/>
        <v>12.339</v>
      </c>
      <c r="AE34" s="1">
        <f t="shared" si="0"/>
        <v>43.529526</v>
      </c>
      <c r="AF34" s="1">
        <f t="shared" si="0"/>
        <v>27.394</v>
      </c>
      <c r="AG34" s="1">
        <f t="shared" si="0"/>
        <v>2.16</v>
      </c>
      <c r="AH34" s="1">
        <f t="shared" si="0"/>
        <v>4.575</v>
      </c>
      <c r="AI34" s="1">
        <f t="shared" si="0"/>
        <v>24.45</v>
      </c>
      <c r="AJ34" s="1">
        <f t="shared" si="0"/>
        <v>8.539477</v>
      </c>
      <c r="AK34" s="1">
        <f t="shared" si="0"/>
        <v>3.906</v>
      </c>
      <c r="AL34" s="1">
        <f t="shared" si="0"/>
        <v>5.773</v>
      </c>
      <c r="AM34" s="1">
        <f t="shared" si="0"/>
        <v>30.477058</v>
      </c>
      <c r="AN34" s="1">
        <f t="shared" si="0"/>
        <v>5.831994</v>
      </c>
      <c r="AO34" s="1">
        <f t="shared" si="0"/>
        <v>2.500543</v>
      </c>
      <c r="AP34" s="1" t="e">
        <f t="shared" si="0"/>
        <v>#REF!</v>
      </c>
      <c r="AQ34" s="1" t="e">
        <f t="shared" si="0"/>
        <v>#REF!</v>
      </c>
      <c r="AR34" s="1" t="e">
        <f t="shared" si="0"/>
        <v>#REF!</v>
      </c>
      <c r="AS34" s="1" t="e">
        <f t="shared" si="0"/>
        <v>#REF!</v>
      </c>
      <c r="AT34" s="1" t="e">
        <f t="shared" si="0"/>
        <v>#REF!</v>
      </c>
      <c r="AU34" s="1" t="e">
        <f t="shared" si="0"/>
        <v>#REF!</v>
      </c>
      <c r="AV34" s="1" t="e">
        <f t="shared" si="0"/>
        <v>#REF!</v>
      </c>
      <c r="AW34" s="1" t="e">
        <f t="shared" si="0"/>
        <v>#REF!</v>
      </c>
      <c r="AX34" s="1" t="e">
        <f t="shared" si="0"/>
        <v>#REF!</v>
      </c>
    </row>
    <row r="35" spans="1:50">
      <c r="A35" t="s">
        <v>225</v>
      </c>
      <c r="B35">
        <v>2005</v>
      </c>
      <c r="C35" t="s">
        <v>7</v>
      </c>
      <c r="D35">
        <v>4.157</v>
      </c>
      <c r="F35" s="84">
        <v>2006</v>
      </c>
      <c r="G35" s="1">
        <f t="shared" ref="G35:V44" si="1">GETPIVOTDATA("mVeh",$F$1,"veh_type",$F$33,"year",$F35,"ActiveReg",G$32)</f>
        <v>8.064428</v>
      </c>
      <c r="H35" s="1">
        <f t="shared" si="1"/>
        <v>6.628242</v>
      </c>
      <c r="I35" s="1">
        <f t="shared" si="1"/>
        <v>11.273</v>
      </c>
      <c r="J35" s="1">
        <f t="shared" si="1"/>
        <v>4.205</v>
      </c>
      <c r="K35" s="1">
        <f t="shared" si="1"/>
        <v>2.968249</v>
      </c>
      <c r="L35" s="1">
        <f t="shared" si="1"/>
        <v>12.474</v>
      </c>
      <c r="M35" s="1">
        <f t="shared" si="1"/>
        <v>19.892111395</v>
      </c>
      <c r="N35" s="1">
        <f t="shared" si="1"/>
        <v>26.196</v>
      </c>
      <c r="O35" s="1">
        <f t="shared" si="1"/>
        <v>2.421567</v>
      </c>
      <c r="P35" s="1">
        <f t="shared" si="1"/>
        <v>5.443</v>
      </c>
      <c r="Q35" s="1">
        <f t="shared" si="1"/>
        <v>30.4</v>
      </c>
      <c r="R35" s="1">
        <f t="shared" si="1"/>
        <v>46.57</v>
      </c>
      <c r="S35" s="1">
        <f t="shared" si="1"/>
        <v>4.916016</v>
      </c>
      <c r="T35" s="1">
        <f t="shared" si="1"/>
        <v>7.943</v>
      </c>
      <c r="U35" s="1">
        <f t="shared" si="1"/>
        <v>0.197</v>
      </c>
      <c r="V35" s="1">
        <f t="shared" si="1"/>
        <v>8.572</v>
      </c>
      <c r="W35" s="1">
        <f t="shared" si="0"/>
        <v>1.778861</v>
      </c>
      <c r="X35" s="1">
        <f t="shared" si="0"/>
        <v>35.509</v>
      </c>
      <c r="Y35" s="1">
        <f t="shared" si="0"/>
        <v>57.521</v>
      </c>
      <c r="Z35" s="1">
        <f t="shared" si="0"/>
        <v>19.311973</v>
      </c>
      <c r="AA35" s="1">
        <f t="shared" si="0"/>
        <v>15.721219</v>
      </c>
      <c r="AB35" s="1">
        <f t="shared" si="0"/>
        <v>170.198</v>
      </c>
      <c r="AC35" s="1">
        <f t="shared" si="0"/>
        <v>2.085</v>
      </c>
      <c r="AD35" s="1">
        <f t="shared" si="0"/>
        <v>13.384</v>
      </c>
      <c r="AE35" s="1">
        <f t="shared" si="0"/>
        <v>45.956477</v>
      </c>
      <c r="AF35" s="1">
        <f t="shared" si="0"/>
        <v>28.821</v>
      </c>
      <c r="AG35" s="1">
        <f t="shared" si="0"/>
        <v>2.29</v>
      </c>
      <c r="AH35" s="1">
        <f t="shared" si="0"/>
        <v>4.89</v>
      </c>
      <c r="AI35" s="1">
        <f t="shared" si="0"/>
        <v>25.343</v>
      </c>
      <c r="AJ35" s="1">
        <f t="shared" si="0"/>
        <v>8.717287</v>
      </c>
      <c r="AK35" s="1">
        <f t="shared" si="0"/>
        <v>3.946</v>
      </c>
      <c r="AL35" s="1">
        <f t="shared" si="0"/>
        <v>6.141</v>
      </c>
      <c r="AM35" s="1">
        <f t="shared" si="0"/>
        <v>30.817036</v>
      </c>
      <c r="AN35" s="1">
        <f t="shared" si="0"/>
        <v>5.923311</v>
      </c>
      <c r="AO35" s="1">
        <f t="shared" si="0"/>
        <v>2.57306</v>
      </c>
      <c r="AP35" s="1" t="e">
        <f t="shared" si="0"/>
        <v>#REF!</v>
      </c>
      <c r="AQ35" s="1" t="e">
        <f t="shared" si="0"/>
        <v>#REF!</v>
      </c>
      <c r="AR35" s="1" t="e">
        <f t="shared" si="0"/>
        <v>#REF!</v>
      </c>
      <c r="AS35" s="1" t="e">
        <f t="shared" si="0"/>
        <v>#REF!</v>
      </c>
      <c r="AT35" s="1" t="e">
        <f t="shared" si="0"/>
        <v>#REF!</v>
      </c>
      <c r="AU35" s="1" t="e">
        <f t="shared" si="0"/>
        <v>#REF!</v>
      </c>
      <c r="AV35" s="1" t="e">
        <f t="shared" si="0"/>
        <v>#REF!</v>
      </c>
      <c r="AW35" s="1" t="e">
        <f t="shared" si="0"/>
        <v>#REF!</v>
      </c>
      <c r="AX35" s="1" t="e">
        <f t="shared" si="0"/>
        <v>#REF!</v>
      </c>
    </row>
    <row r="36" spans="1:50">
      <c r="A36" t="s">
        <v>225</v>
      </c>
      <c r="B36">
        <v>2006</v>
      </c>
      <c r="C36" t="s">
        <v>7</v>
      </c>
      <c r="D36">
        <v>4.205</v>
      </c>
      <c r="F36" s="84">
        <v>2007</v>
      </c>
      <c r="G36" s="1">
        <f t="shared" si="1"/>
        <v>8.47157</v>
      </c>
      <c r="H36" s="1">
        <f t="shared" si="0"/>
        <v>7.03697</v>
      </c>
      <c r="I36" s="1">
        <f t="shared" si="0"/>
        <v>11.519</v>
      </c>
      <c r="J36" s="1">
        <f t="shared" si="0"/>
        <v>4.246</v>
      </c>
      <c r="K36" s="1">
        <f t="shared" si="0"/>
        <v>3.016572</v>
      </c>
      <c r="L36" s="1">
        <f t="shared" si="0"/>
        <v>12.72</v>
      </c>
      <c r="M36" s="1">
        <f t="shared" si="0"/>
        <v>21.29675603</v>
      </c>
      <c r="N36" s="1">
        <f t="shared" si="0"/>
        <v>31.96</v>
      </c>
      <c r="O36" s="1">
        <f t="shared" si="0"/>
        <v>2.511127</v>
      </c>
      <c r="P36" s="1">
        <f t="shared" si="0"/>
        <v>5.714</v>
      </c>
      <c r="Q36" s="1">
        <f t="shared" si="0"/>
        <v>30.7</v>
      </c>
      <c r="R36" s="1">
        <f t="shared" si="0"/>
        <v>41.184</v>
      </c>
      <c r="S36" s="1">
        <f t="shared" si="0"/>
        <v>5.20953</v>
      </c>
      <c r="T36" s="1">
        <f t="shared" si="0"/>
        <v>8.648</v>
      </c>
      <c r="U36" s="1">
        <f t="shared" si="0"/>
        <v>0.208</v>
      </c>
      <c r="V36" s="1">
        <f t="shared" si="0"/>
        <v>9.444</v>
      </c>
      <c r="W36" s="1">
        <f t="shared" si="0"/>
        <v>1.882901</v>
      </c>
      <c r="X36" s="1">
        <f t="shared" si="0"/>
        <v>35.898</v>
      </c>
      <c r="Y36" s="1">
        <f t="shared" si="0"/>
        <v>57.624</v>
      </c>
      <c r="Z36" s="1">
        <f t="shared" si="0"/>
        <v>20.7246</v>
      </c>
      <c r="AA36" s="1">
        <f t="shared" si="0"/>
        <v>16.676895</v>
      </c>
      <c r="AB36" s="1">
        <f t="shared" si="0"/>
        <v>172.118</v>
      </c>
      <c r="AC36" s="1">
        <f t="shared" si="0"/>
        <v>2.155</v>
      </c>
      <c r="AD36" s="1">
        <f t="shared" si="0"/>
        <v>14.589</v>
      </c>
      <c r="AE36" s="1">
        <f t="shared" si="0"/>
        <v>51.461047</v>
      </c>
      <c r="AF36" s="1">
        <f t="shared" si="0"/>
        <v>31.585</v>
      </c>
      <c r="AG36" s="1">
        <f t="shared" si="0"/>
        <v>2.45</v>
      </c>
      <c r="AH36" s="1">
        <f t="shared" si="0"/>
        <v>5.161</v>
      </c>
      <c r="AI36" s="1">
        <f t="shared" si="0"/>
        <v>26.139</v>
      </c>
      <c r="AJ36" s="1">
        <f t="shared" si="0"/>
        <v>8.81388</v>
      </c>
      <c r="AK36" s="1">
        <f t="shared" si="0"/>
        <v>4.002584</v>
      </c>
      <c r="AL36" s="1">
        <f t="shared" si="0"/>
        <v>6.472</v>
      </c>
      <c r="AM36" s="1">
        <f t="shared" si="0"/>
        <v>31.105988</v>
      </c>
      <c r="AN36" s="1">
        <f t="shared" si="0"/>
        <v>6.278944</v>
      </c>
      <c r="AO36" s="1">
        <f t="shared" si="0"/>
        <v>2.601922</v>
      </c>
      <c r="AP36" s="1" t="e">
        <f t="shared" si="0"/>
        <v>#REF!</v>
      </c>
      <c r="AQ36" s="1" t="e">
        <f t="shared" si="0"/>
        <v>#REF!</v>
      </c>
      <c r="AR36" s="1" t="e">
        <f t="shared" si="0"/>
        <v>#REF!</v>
      </c>
      <c r="AS36" s="1" t="e">
        <f t="shared" si="0"/>
        <v>#REF!</v>
      </c>
      <c r="AT36" s="1" t="e">
        <f t="shared" si="0"/>
        <v>#REF!</v>
      </c>
      <c r="AU36" s="1" t="e">
        <f t="shared" si="0"/>
        <v>#REF!</v>
      </c>
      <c r="AV36" s="1" t="e">
        <f t="shared" si="0"/>
        <v>#REF!</v>
      </c>
      <c r="AW36" s="1" t="e">
        <f t="shared" si="0"/>
        <v>#REF!</v>
      </c>
      <c r="AX36" s="1" t="e">
        <f t="shared" si="0"/>
        <v>#REF!</v>
      </c>
    </row>
    <row r="37" spans="1:50">
      <c r="A37" t="s">
        <v>225</v>
      </c>
      <c r="B37">
        <v>2007</v>
      </c>
      <c r="C37" t="s">
        <v>7</v>
      </c>
      <c r="D37">
        <v>4.246</v>
      </c>
      <c r="F37" s="84">
        <v>2008</v>
      </c>
      <c r="G37" s="1">
        <f t="shared" si="1"/>
        <v>8.868029</v>
      </c>
      <c r="H37" s="1">
        <f t="shared" si="0"/>
        <v>7.59139</v>
      </c>
      <c r="I37" s="1">
        <f t="shared" si="0"/>
        <v>11.804</v>
      </c>
      <c r="J37" s="1">
        <f t="shared" si="0"/>
        <v>4.285</v>
      </c>
      <c r="K37" s="1">
        <f t="shared" si="0"/>
        <v>3.155693</v>
      </c>
      <c r="L37" s="1">
        <f t="shared" si="0"/>
        <v>12.958</v>
      </c>
      <c r="M37" s="1">
        <f t="shared" si="0"/>
        <v>22.91713966</v>
      </c>
      <c r="N37" s="1">
        <f t="shared" si="0"/>
        <v>38.389</v>
      </c>
      <c r="O37" s="1">
        <f t="shared" si="0"/>
        <v>2.586836</v>
      </c>
      <c r="P37" s="1">
        <f t="shared" si="0"/>
        <v>5.968</v>
      </c>
      <c r="Q37" s="1">
        <f t="shared" si="0"/>
        <v>30.85</v>
      </c>
      <c r="R37" s="1">
        <f t="shared" si="0"/>
        <v>41.321</v>
      </c>
      <c r="S37" s="1">
        <f t="shared" si="0"/>
        <v>5.467944</v>
      </c>
      <c r="T37" s="1">
        <f t="shared" si="0"/>
        <v>9.448427</v>
      </c>
      <c r="U37" s="1">
        <f t="shared" si="0"/>
        <v>0.21</v>
      </c>
      <c r="V37" s="1">
        <f t="shared" si="0"/>
        <v>10.606</v>
      </c>
      <c r="W37" s="1">
        <f t="shared" si="0"/>
        <v>1.924281</v>
      </c>
      <c r="X37" s="1">
        <f t="shared" si="0"/>
        <v>36.327</v>
      </c>
      <c r="Y37" s="1">
        <f t="shared" si="0"/>
        <v>57.865</v>
      </c>
      <c r="Z37" s="1">
        <f t="shared" si="0"/>
        <v>22.407678</v>
      </c>
      <c r="AA37" s="1">
        <f t="shared" si="0"/>
        <v>17.9861436666667</v>
      </c>
      <c r="AB37" s="1">
        <f t="shared" si="0"/>
        <v>174.916</v>
      </c>
      <c r="AC37" s="1">
        <f t="shared" si="0"/>
        <v>2.198</v>
      </c>
      <c r="AD37" s="1">
        <f t="shared" si="0"/>
        <v>16.08</v>
      </c>
      <c r="AE37" s="1">
        <f t="shared" si="0"/>
        <v>52.06651</v>
      </c>
      <c r="AF37" s="1">
        <f t="shared" si="0"/>
        <v>34.314</v>
      </c>
      <c r="AG37" s="1">
        <f t="shared" si="0"/>
        <v>2.62</v>
      </c>
      <c r="AH37" s="1">
        <f t="shared" si="0"/>
        <v>5.276</v>
      </c>
      <c r="AI37" s="1">
        <f t="shared" si="0"/>
        <v>26.553</v>
      </c>
      <c r="AJ37" s="1">
        <f t="shared" si="0"/>
        <v>8.833722</v>
      </c>
      <c r="AK37" s="1">
        <f t="shared" si="0"/>
        <v>4.031205</v>
      </c>
      <c r="AL37" s="1">
        <f t="shared" si="0"/>
        <v>6.797</v>
      </c>
      <c r="AM37" s="1">
        <f t="shared" si="0"/>
        <v>31.252476</v>
      </c>
      <c r="AN37" s="1">
        <f t="shared" si="0"/>
        <v>6.760351</v>
      </c>
      <c r="AO37" s="1">
        <f t="shared" si="0"/>
        <v>2.701122</v>
      </c>
      <c r="AP37" s="1" t="e">
        <f t="shared" si="0"/>
        <v>#REF!</v>
      </c>
      <c r="AQ37" s="1" t="e">
        <f t="shared" si="0"/>
        <v>#REF!</v>
      </c>
      <c r="AR37" s="1" t="e">
        <f t="shared" si="0"/>
        <v>#REF!</v>
      </c>
      <c r="AS37" s="1" t="e">
        <f t="shared" si="0"/>
        <v>#REF!</v>
      </c>
      <c r="AT37" s="1" t="e">
        <f t="shared" si="0"/>
        <v>#REF!</v>
      </c>
      <c r="AU37" s="1" t="e">
        <f t="shared" si="0"/>
        <v>#REF!</v>
      </c>
      <c r="AV37" s="1" t="e">
        <f t="shared" si="0"/>
        <v>#REF!</v>
      </c>
      <c r="AW37" s="1" t="e">
        <f t="shared" si="0"/>
        <v>#REF!</v>
      </c>
      <c r="AX37" s="1" t="e">
        <f t="shared" si="0"/>
        <v>#REF!</v>
      </c>
    </row>
    <row r="38" spans="1:50">
      <c r="A38" t="s">
        <v>225</v>
      </c>
      <c r="B38">
        <v>2008</v>
      </c>
      <c r="C38" t="s">
        <v>7</v>
      </c>
      <c r="D38">
        <v>4.285</v>
      </c>
      <c r="F38" s="84">
        <v>2009</v>
      </c>
      <c r="G38" s="1">
        <f t="shared" si="1"/>
        <v>9.461706</v>
      </c>
      <c r="H38" s="1">
        <f t="shared" si="0"/>
        <v>7.815142</v>
      </c>
      <c r="I38" s="1">
        <f t="shared" si="0"/>
        <v>12.023</v>
      </c>
      <c r="J38" s="1">
        <f t="shared" si="0"/>
        <v>4.36</v>
      </c>
      <c r="K38" s="1">
        <f t="shared" si="0"/>
        <v>3.145294</v>
      </c>
      <c r="L38" s="1">
        <f t="shared" si="0"/>
        <v>13.114</v>
      </c>
      <c r="M38" s="1">
        <f t="shared" si="0"/>
        <v>24.814742645</v>
      </c>
      <c r="N38" s="1">
        <f t="shared" si="0"/>
        <v>48.451</v>
      </c>
      <c r="O38" s="1">
        <f t="shared" si="0"/>
        <v>2.598927</v>
      </c>
      <c r="P38" s="1">
        <f t="shared" si="0"/>
        <v>6.024</v>
      </c>
      <c r="Q38" s="1">
        <f t="shared" si="0"/>
        <v>31.05</v>
      </c>
      <c r="R38" s="1">
        <f t="shared" si="0"/>
        <v>41.738</v>
      </c>
      <c r="S38" s="1">
        <f t="shared" si="0"/>
        <v>5.59296</v>
      </c>
      <c r="T38" s="1">
        <f t="shared" si="0"/>
        <v>9.760719</v>
      </c>
      <c r="U38" s="1">
        <f t="shared" si="0"/>
        <v>0.205</v>
      </c>
      <c r="V38" s="1">
        <f t="shared" si="0"/>
        <v>11.744</v>
      </c>
      <c r="W38" s="1">
        <f t="shared" si="0"/>
        <v>1.902429</v>
      </c>
      <c r="X38" s="1">
        <f t="shared" si="0"/>
        <v>36.599</v>
      </c>
      <c r="Y38" s="1">
        <f t="shared" si="0"/>
        <v>58.02</v>
      </c>
      <c r="Z38" s="1">
        <f t="shared" si="0"/>
        <v>23.18686</v>
      </c>
      <c r="AA38" s="1">
        <f t="shared" si="0"/>
        <v>18.8806603333333</v>
      </c>
      <c r="AB38" s="1">
        <f t="shared" si="0"/>
        <v>172.896</v>
      </c>
      <c r="AC38" s="1">
        <f t="shared" si="0"/>
        <v>2.243</v>
      </c>
      <c r="AD38" s="1">
        <f t="shared" si="0"/>
        <v>16.495</v>
      </c>
      <c r="AE38" s="1">
        <f t="shared" si="0"/>
        <v>54.62955</v>
      </c>
      <c r="AF38" s="1">
        <f t="shared" si="0"/>
        <v>35.52662</v>
      </c>
      <c r="AG38" s="1">
        <f t="shared" si="0"/>
        <v>2.83</v>
      </c>
      <c r="AH38" s="1">
        <f t="shared" si="0"/>
        <v>5.411</v>
      </c>
      <c r="AI38" s="1">
        <f t="shared" si="0"/>
        <v>26.44</v>
      </c>
      <c r="AJ38" s="1">
        <f t="shared" si="0"/>
        <v>8.876604</v>
      </c>
      <c r="AK38" s="1">
        <f t="shared" si="0"/>
        <v>4.051832</v>
      </c>
      <c r="AL38" s="1">
        <f t="shared" si="0"/>
        <v>7.094</v>
      </c>
      <c r="AM38" s="1">
        <f t="shared" si="0"/>
        <v>31.035791</v>
      </c>
      <c r="AN38" s="1">
        <f t="shared" si="0"/>
        <v>6.905365</v>
      </c>
      <c r="AO38" s="1">
        <f t="shared" si="0"/>
        <v>2.907909</v>
      </c>
      <c r="AP38" s="1" t="e">
        <f t="shared" si="0"/>
        <v>#REF!</v>
      </c>
      <c r="AQ38" s="1" t="e">
        <f t="shared" si="0"/>
        <v>#REF!</v>
      </c>
      <c r="AR38" s="1" t="e">
        <f t="shared" si="0"/>
        <v>#REF!</v>
      </c>
      <c r="AS38" s="1" t="e">
        <f t="shared" si="0"/>
        <v>#REF!</v>
      </c>
      <c r="AT38" s="1" t="e">
        <f t="shared" si="0"/>
        <v>#REF!</v>
      </c>
      <c r="AU38" s="1" t="e">
        <f t="shared" si="0"/>
        <v>#REF!</v>
      </c>
      <c r="AV38" s="1" t="e">
        <f t="shared" si="0"/>
        <v>#REF!</v>
      </c>
      <c r="AW38" s="1" t="e">
        <f t="shared" si="0"/>
        <v>#REF!</v>
      </c>
      <c r="AX38" s="1" t="e">
        <f t="shared" si="0"/>
        <v>#REF!</v>
      </c>
    </row>
    <row r="39" spans="1:50">
      <c r="A39" t="s">
        <v>225</v>
      </c>
      <c r="B39">
        <v>2009</v>
      </c>
      <c r="C39" t="s">
        <v>7</v>
      </c>
      <c r="D39">
        <v>4.36</v>
      </c>
      <c r="F39" s="84">
        <v>2010</v>
      </c>
      <c r="G39" s="1">
        <f t="shared" si="1"/>
        <v>10.341404</v>
      </c>
      <c r="H39" s="1">
        <f t="shared" si="0"/>
        <v>8.168099</v>
      </c>
      <c r="I39" s="1">
        <f t="shared" si="0"/>
        <v>12.269305</v>
      </c>
      <c r="J39" s="1">
        <f t="shared" si="0"/>
        <v>4.441</v>
      </c>
      <c r="K39" s="1">
        <f t="shared" si="0"/>
        <v>2.881219</v>
      </c>
      <c r="L39" s="1">
        <f t="shared" si="0"/>
        <v>13.352</v>
      </c>
      <c r="M39" s="1">
        <f t="shared" si="0"/>
        <v>26.887691905</v>
      </c>
      <c r="N39" s="1">
        <f t="shared" si="0"/>
        <v>61.634</v>
      </c>
      <c r="O39" s="1">
        <f t="shared" si="0"/>
        <v>2.583932</v>
      </c>
      <c r="P39" s="1">
        <f t="shared" si="0"/>
        <v>6.165</v>
      </c>
      <c r="Q39" s="1">
        <f t="shared" si="0"/>
        <v>31.3</v>
      </c>
      <c r="R39" s="1">
        <f t="shared" si="0"/>
        <v>42.302</v>
      </c>
      <c r="S39" s="1">
        <f t="shared" si="0"/>
        <v>5.679873</v>
      </c>
      <c r="T39" s="1">
        <f t="shared" si="0"/>
        <v>9.906063</v>
      </c>
      <c r="U39" s="1">
        <f t="shared" si="0"/>
        <v>0.205</v>
      </c>
      <c r="V39" s="1">
        <f t="shared" si="0"/>
        <v>13.268</v>
      </c>
      <c r="W39" s="1">
        <f t="shared" si="0"/>
        <v>1.872715</v>
      </c>
      <c r="X39" s="1">
        <f t="shared" si="0"/>
        <v>36.985</v>
      </c>
      <c r="Y39" s="1">
        <f t="shared" si="0"/>
        <v>58.347</v>
      </c>
      <c r="Z39" s="1">
        <f t="shared" si="0"/>
        <v>24.653384</v>
      </c>
      <c r="AA39" s="1">
        <f t="shared" si="0"/>
        <v>19.947797</v>
      </c>
      <c r="AB39" s="1">
        <f t="shared" si="0"/>
        <v>170.474</v>
      </c>
      <c r="AC39" s="1">
        <f t="shared" si="0"/>
        <v>2.305</v>
      </c>
      <c r="AD39" s="1">
        <f t="shared" si="0"/>
        <v>17.24</v>
      </c>
      <c r="AE39" s="1">
        <f t="shared" si="0"/>
        <v>58.298106</v>
      </c>
      <c r="AF39" s="1">
        <f t="shared" si="0"/>
        <v>36.955415</v>
      </c>
      <c r="AG39" s="1">
        <f t="shared" si="0"/>
        <v>3.11</v>
      </c>
      <c r="AH39" s="1">
        <f t="shared" si="0"/>
        <v>5.319069</v>
      </c>
      <c r="AI39" s="1">
        <f t="shared" si="0"/>
        <v>26.627</v>
      </c>
      <c r="AJ39" s="1">
        <f t="shared" si="0"/>
        <v>8.990283</v>
      </c>
      <c r="AK39" s="1">
        <f t="shared" si="0"/>
        <v>4.119684</v>
      </c>
      <c r="AL39" s="1">
        <f t="shared" si="0"/>
        <v>7.545</v>
      </c>
      <c r="AM39" s="1">
        <f t="shared" si="0"/>
        <v>31.258197</v>
      </c>
      <c r="AN39" s="1">
        <f t="shared" si="0"/>
        <v>7.17429</v>
      </c>
      <c r="AO39" s="1">
        <f t="shared" si="0"/>
        <v>2.895297</v>
      </c>
      <c r="AP39" s="1" t="e">
        <f t="shared" si="0"/>
        <v>#REF!</v>
      </c>
      <c r="AQ39" s="1" t="e">
        <f t="shared" si="0"/>
        <v>#REF!</v>
      </c>
      <c r="AR39" s="1" t="e">
        <f t="shared" si="0"/>
        <v>#REF!</v>
      </c>
      <c r="AS39" s="1" t="e">
        <f t="shared" si="0"/>
        <v>#REF!</v>
      </c>
      <c r="AT39" s="1" t="e">
        <f t="shared" si="0"/>
        <v>#REF!</v>
      </c>
      <c r="AU39" s="1" t="e">
        <f t="shared" si="0"/>
        <v>#REF!</v>
      </c>
      <c r="AV39" s="1" t="e">
        <f t="shared" si="0"/>
        <v>#REF!</v>
      </c>
      <c r="AW39" s="1" t="e">
        <f t="shared" si="0"/>
        <v>#REF!</v>
      </c>
      <c r="AX39" s="1" t="e">
        <f t="shared" si="0"/>
        <v>#REF!</v>
      </c>
    </row>
    <row r="40" spans="1:50">
      <c r="A40" t="s">
        <v>225</v>
      </c>
      <c r="B40">
        <v>2010</v>
      </c>
      <c r="C40" t="s">
        <v>7</v>
      </c>
      <c r="D40">
        <v>4.441</v>
      </c>
      <c r="F40" s="84">
        <v>2011</v>
      </c>
      <c r="G40" s="1">
        <f t="shared" si="1"/>
        <v>10.914955</v>
      </c>
      <c r="H40" s="1">
        <f t="shared" si="0"/>
        <v>8.571843</v>
      </c>
      <c r="I40" s="1">
        <f t="shared" si="0"/>
        <v>12.474</v>
      </c>
      <c r="J40" s="1">
        <f t="shared" si="0"/>
        <v>4.513</v>
      </c>
      <c r="K40" s="1">
        <f t="shared" si="0"/>
        <v>2.899613</v>
      </c>
      <c r="L40" s="1">
        <f t="shared" si="0"/>
        <v>13.564</v>
      </c>
      <c r="M40" s="1">
        <f t="shared" si="0"/>
        <v>28.94593271</v>
      </c>
      <c r="N40" s="1">
        <f t="shared" si="0"/>
        <v>74.85</v>
      </c>
      <c r="O40" s="1">
        <f t="shared" si="0"/>
        <v>2.592109</v>
      </c>
      <c r="P40" s="1">
        <f t="shared" si="0"/>
        <v>6.332</v>
      </c>
      <c r="Q40" s="1">
        <f t="shared" si="0"/>
        <v>31.55</v>
      </c>
      <c r="R40" s="1">
        <f t="shared" si="0"/>
        <v>42.928</v>
      </c>
      <c r="S40" s="1">
        <f t="shared" si="0"/>
        <v>5.673591</v>
      </c>
      <c r="T40" s="1">
        <f t="shared" ref="H40:AX44" si="2">GETPIVOTDATA("mVeh",$F$1,"veh_type",$F$33,"year",$F40,"ActiveReg",T$32)</f>
        <v>9.996808</v>
      </c>
      <c r="U40" s="1">
        <f t="shared" si="2"/>
        <v>0.206112</v>
      </c>
      <c r="V40" s="1">
        <f t="shared" si="2"/>
        <v>15.027</v>
      </c>
      <c r="W40" s="1">
        <f t="shared" si="2"/>
        <v>1.88781</v>
      </c>
      <c r="X40" s="1">
        <f t="shared" si="2"/>
        <v>37.353</v>
      </c>
      <c r="Y40" s="1">
        <f t="shared" si="2"/>
        <v>58.67</v>
      </c>
      <c r="Z40" s="1">
        <f t="shared" si="2"/>
        <v>26.271432</v>
      </c>
      <c r="AA40" s="1">
        <f t="shared" si="2"/>
        <v>22.121991</v>
      </c>
      <c r="AB40" s="1">
        <f t="shared" si="2"/>
        <v>170.559</v>
      </c>
      <c r="AC40" s="1">
        <f t="shared" si="2"/>
        <v>2.37</v>
      </c>
      <c r="AD40" s="1">
        <f t="shared" si="2"/>
        <v>17.872</v>
      </c>
      <c r="AE40" s="1">
        <f t="shared" si="2"/>
        <v>62.126663</v>
      </c>
      <c r="AF40" s="1">
        <f t="shared" si="2"/>
        <v>39.165548</v>
      </c>
      <c r="AG40" s="1">
        <f t="shared" si="2"/>
        <v>3.41</v>
      </c>
      <c r="AH40" s="1">
        <f t="shared" si="2"/>
        <v>5.506922</v>
      </c>
      <c r="AI40" s="1">
        <f t="shared" si="2"/>
        <v>26.799</v>
      </c>
      <c r="AJ40" s="1">
        <f t="shared" si="2"/>
        <v>9.136496</v>
      </c>
      <c r="AK40" s="1">
        <f t="shared" si="2"/>
        <v>4.209672</v>
      </c>
      <c r="AL40" s="1">
        <f t="shared" si="2"/>
        <v>8.113</v>
      </c>
      <c r="AM40" s="1">
        <f t="shared" si="2"/>
        <v>31.362716</v>
      </c>
      <c r="AN40" s="1">
        <f t="shared" si="2"/>
        <v>7.327973</v>
      </c>
      <c r="AO40" s="1">
        <f t="shared" si="2"/>
        <v>3.026822</v>
      </c>
      <c r="AP40" s="1" t="e">
        <f t="shared" si="2"/>
        <v>#REF!</v>
      </c>
      <c r="AQ40" s="1" t="e">
        <f t="shared" si="2"/>
        <v>#REF!</v>
      </c>
      <c r="AR40" s="1" t="e">
        <f t="shared" si="2"/>
        <v>#REF!</v>
      </c>
      <c r="AS40" s="1" t="e">
        <f t="shared" si="2"/>
        <v>#REF!</v>
      </c>
      <c r="AT40" s="1" t="e">
        <f t="shared" si="2"/>
        <v>#REF!</v>
      </c>
      <c r="AU40" s="1" t="e">
        <f t="shared" si="2"/>
        <v>#REF!</v>
      </c>
      <c r="AV40" s="1" t="e">
        <f t="shared" si="2"/>
        <v>#REF!</v>
      </c>
      <c r="AW40" s="1" t="e">
        <f t="shared" si="2"/>
        <v>#REF!</v>
      </c>
      <c r="AX40" s="1" t="e">
        <f t="shared" si="2"/>
        <v>#REF!</v>
      </c>
    </row>
    <row r="41" spans="1:50">
      <c r="A41" t="s">
        <v>225</v>
      </c>
      <c r="B41">
        <v>2011</v>
      </c>
      <c r="C41" t="s">
        <v>7</v>
      </c>
      <c r="D41">
        <v>4.513</v>
      </c>
      <c r="F41" s="84">
        <v>2012</v>
      </c>
      <c r="G41" s="1">
        <f t="shared" si="1"/>
        <v>11.49777</v>
      </c>
      <c r="H41" s="1">
        <f t="shared" si="2"/>
        <v>9.057691</v>
      </c>
      <c r="I41" s="1">
        <f t="shared" si="2"/>
        <v>12.714235</v>
      </c>
      <c r="J41" s="1">
        <f t="shared" si="2"/>
        <v>4.584</v>
      </c>
      <c r="K41" s="1">
        <f t="shared" si="2"/>
        <v>2.973814</v>
      </c>
      <c r="L41" s="1">
        <f t="shared" si="2"/>
        <v>13.664463</v>
      </c>
      <c r="M41" s="1">
        <f t="shared" si="2"/>
        <v>31.12262194</v>
      </c>
      <c r="N41" s="1">
        <f t="shared" si="2"/>
        <v>87.376</v>
      </c>
      <c r="O41" s="1">
        <f t="shared" si="2"/>
        <v>2.519187</v>
      </c>
      <c r="P41" s="1">
        <f t="shared" si="2"/>
        <v>6.525</v>
      </c>
      <c r="Q41" s="1">
        <f t="shared" si="2"/>
        <v>31.6</v>
      </c>
      <c r="R41" s="1">
        <f t="shared" si="2"/>
        <v>43.431</v>
      </c>
      <c r="S41" s="1">
        <f t="shared" si="2"/>
        <v>5.642557</v>
      </c>
      <c r="T41" s="1">
        <f t="shared" si="2"/>
        <v>10.279842</v>
      </c>
      <c r="U41" s="1">
        <f t="shared" si="2"/>
        <v>0.21007</v>
      </c>
      <c r="V41" s="1">
        <f t="shared" si="2"/>
        <v>16.896</v>
      </c>
      <c r="W41" s="1">
        <f t="shared" si="2"/>
        <v>1.88255</v>
      </c>
      <c r="X41" s="1">
        <f t="shared" si="2"/>
        <v>37.327612</v>
      </c>
      <c r="Y41" s="1">
        <f t="shared" si="2"/>
        <v>59.421</v>
      </c>
      <c r="Z41" s="1">
        <f t="shared" si="2"/>
        <v>27.72508</v>
      </c>
      <c r="AA41" s="1">
        <f t="shared" si="2"/>
        <v>24.065127</v>
      </c>
      <c r="AB41" s="1">
        <f t="shared" si="2"/>
        <v>165.123628</v>
      </c>
      <c r="AC41" s="1">
        <f t="shared" si="2"/>
        <v>2.433</v>
      </c>
      <c r="AD41" s="1">
        <f t="shared" si="2"/>
        <v>18.744</v>
      </c>
      <c r="AE41" s="1">
        <f t="shared" si="2"/>
        <v>66.4188436666666</v>
      </c>
      <c r="AF41" s="1">
        <f t="shared" si="2"/>
        <v>41.230575</v>
      </c>
      <c r="AG41" s="1">
        <f t="shared" si="2"/>
        <v>3.689</v>
      </c>
      <c r="AH41" s="1">
        <f t="shared" si="2"/>
        <v>5.733314</v>
      </c>
      <c r="AI41" s="1">
        <f t="shared" si="2"/>
        <v>26.745</v>
      </c>
      <c r="AJ41" s="1">
        <f t="shared" si="2"/>
        <v>9.24719</v>
      </c>
      <c r="AK41" s="1">
        <f t="shared" si="2"/>
        <v>4.300036</v>
      </c>
      <c r="AL41" s="1">
        <f t="shared" si="2"/>
        <v>8.649</v>
      </c>
      <c r="AM41" s="1">
        <f t="shared" si="2"/>
        <v>31.482</v>
      </c>
      <c r="AN41" s="1">
        <f t="shared" si="2"/>
        <v>7.592379</v>
      </c>
      <c r="AO41" s="1">
        <f t="shared" si="2"/>
        <v>2.938063</v>
      </c>
      <c r="AP41" s="1" t="e">
        <f t="shared" si="2"/>
        <v>#REF!</v>
      </c>
      <c r="AQ41" s="1" t="e">
        <f t="shared" si="2"/>
        <v>#REF!</v>
      </c>
      <c r="AR41" s="1" t="e">
        <f t="shared" si="2"/>
        <v>#REF!</v>
      </c>
      <c r="AS41" s="1" t="e">
        <f t="shared" si="2"/>
        <v>#REF!</v>
      </c>
      <c r="AT41" s="1" t="e">
        <f t="shared" si="2"/>
        <v>#REF!</v>
      </c>
      <c r="AU41" s="1" t="e">
        <f t="shared" si="2"/>
        <v>#REF!</v>
      </c>
      <c r="AV41" s="1" t="e">
        <f t="shared" si="2"/>
        <v>#REF!</v>
      </c>
      <c r="AW41" s="1" t="e">
        <f t="shared" si="2"/>
        <v>#REF!</v>
      </c>
      <c r="AX41" s="1" t="e">
        <f t="shared" si="2"/>
        <v>#REF!</v>
      </c>
    </row>
    <row r="42" spans="1:50">
      <c r="A42" t="s">
        <v>225</v>
      </c>
      <c r="B42">
        <v>2012</v>
      </c>
      <c r="C42" t="s">
        <v>7</v>
      </c>
      <c r="D42">
        <v>4.584</v>
      </c>
      <c r="F42" s="84">
        <v>2013</v>
      </c>
      <c r="G42" s="1">
        <f t="shared" si="1"/>
        <v>12.123381</v>
      </c>
      <c r="H42" s="1">
        <f t="shared" si="2"/>
        <v>9.519968</v>
      </c>
      <c r="I42" s="1">
        <f t="shared" si="2"/>
        <v>13.000021</v>
      </c>
      <c r="J42" s="1">
        <f t="shared" si="2"/>
        <v>4.641308</v>
      </c>
      <c r="K42" s="1">
        <f t="shared" si="2"/>
        <v>3.072085</v>
      </c>
      <c r="L42" s="1">
        <f t="shared" si="2"/>
        <v>13.956542</v>
      </c>
      <c r="M42" s="1">
        <f t="shared" si="2"/>
        <v>33.091826185</v>
      </c>
      <c r="N42" s="1">
        <f t="shared" si="2"/>
        <v>101.3608</v>
      </c>
      <c r="O42" s="1">
        <f t="shared" si="2"/>
        <v>2.520221</v>
      </c>
      <c r="P42" s="1">
        <f t="shared" si="2"/>
        <v>6.702876</v>
      </c>
      <c r="Q42" s="1">
        <f t="shared" si="2"/>
        <v>31.65</v>
      </c>
      <c r="R42" s="1">
        <f t="shared" si="2"/>
        <v>43.85123</v>
      </c>
      <c r="S42" s="1">
        <f t="shared" si="2"/>
        <v>5.598769</v>
      </c>
      <c r="T42" s="1">
        <f t="shared" si="2"/>
        <v>10.644618</v>
      </c>
      <c r="U42" s="1">
        <f t="shared" si="2"/>
        <v>0.213113</v>
      </c>
      <c r="V42" s="1">
        <f t="shared" si="2"/>
        <v>18.918</v>
      </c>
      <c r="W42" s="1">
        <f t="shared" si="2"/>
        <v>1.910165</v>
      </c>
      <c r="X42" s="1">
        <f t="shared" si="2"/>
        <v>37.21903</v>
      </c>
      <c r="Y42" s="1">
        <f t="shared" si="2"/>
        <v>60.035848</v>
      </c>
      <c r="Z42" s="1">
        <f t="shared" si="2"/>
        <v>28.922757</v>
      </c>
      <c r="AA42" s="1">
        <f t="shared" si="2"/>
        <v>25.967972</v>
      </c>
      <c r="AB42" s="1">
        <f t="shared" si="2"/>
        <v>166.295633</v>
      </c>
      <c r="AC42" s="1">
        <f t="shared" si="2"/>
        <v>2.487353</v>
      </c>
      <c r="AD42" s="1">
        <f t="shared" si="2"/>
        <v>19.34212</v>
      </c>
      <c r="AE42" s="1">
        <f t="shared" si="2"/>
        <v>69.5489703333333</v>
      </c>
      <c r="AF42" s="1">
        <f t="shared" si="2"/>
        <v>44.002445</v>
      </c>
      <c r="AG42" s="1">
        <f t="shared" si="2"/>
        <v>3.8675</v>
      </c>
      <c r="AH42" s="1">
        <f t="shared" si="2"/>
        <v>5.967222</v>
      </c>
      <c r="AI42" s="1">
        <f t="shared" si="2"/>
        <v>26.504538</v>
      </c>
      <c r="AJ42" s="1">
        <f t="shared" si="2"/>
        <v>9.351216</v>
      </c>
      <c r="AK42" s="1">
        <f t="shared" si="2"/>
        <v>4.366895</v>
      </c>
      <c r="AL42" s="1">
        <f t="shared" si="2"/>
        <v>9.283923</v>
      </c>
      <c r="AM42" s="1">
        <f t="shared" si="2"/>
        <v>32.103</v>
      </c>
      <c r="AN42" s="1">
        <f t="shared" si="2"/>
        <v>7.834418</v>
      </c>
      <c r="AO42" s="1">
        <f t="shared" si="2"/>
        <v>3.131709</v>
      </c>
      <c r="AP42" s="1" t="e">
        <f t="shared" si="2"/>
        <v>#REF!</v>
      </c>
      <c r="AQ42" s="1" t="e">
        <f t="shared" si="2"/>
        <v>#REF!</v>
      </c>
      <c r="AR42" s="1" t="e">
        <f t="shared" si="2"/>
        <v>#REF!</v>
      </c>
      <c r="AS42" s="1" t="e">
        <f t="shared" si="2"/>
        <v>#REF!</v>
      </c>
      <c r="AT42" s="1" t="e">
        <f t="shared" si="2"/>
        <v>#REF!</v>
      </c>
      <c r="AU42" s="1" t="e">
        <f t="shared" si="2"/>
        <v>#REF!</v>
      </c>
      <c r="AV42" s="1" t="e">
        <f t="shared" si="2"/>
        <v>#REF!</v>
      </c>
      <c r="AW42" s="1" t="e">
        <f t="shared" si="2"/>
        <v>#REF!</v>
      </c>
      <c r="AX42" s="1" t="e">
        <f t="shared" si="2"/>
        <v>#REF!</v>
      </c>
    </row>
    <row r="43" spans="1:50">
      <c r="A43" t="s">
        <v>225</v>
      </c>
      <c r="B43">
        <v>2013</v>
      </c>
      <c r="C43" t="s">
        <v>7</v>
      </c>
      <c r="D43">
        <v>4.641308</v>
      </c>
      <c r="F43" s="84">
        <v>2014</v>
      </c>
      <c r="G43" s="1">
        <f t="shared" si="1"/>
        <v>12.821766</v>
      </c>
      <c r="H43" s="1">
        <f t="shared" si="2"/>
        <v>10.067513</v>
      </c>
      <c r="I43" s="1">
        <f t="shared" si="2"/>
        <v>13.29726</v>
      </c>
      <c r="J43" s="1">
        <f t="shared" si="2"/>
        <v>4.694921</v>
      </c>
      <c r="K43" s="1">
        <f t="shared" si="2"/>
        <v>2.516467</v>
      </c>
      <c r="L43" s="1">
        <f t="shared" si="2"/>
        <v>14.076907</v>
      </c>
      <c r="M43" s="1">
        <f t="shared" si="2"/>
        <v>34.67623183</v>
      </c>
      <c r="N43" s="1">
        <f t="shared" si="2"/>
        <v>117.481913</v>
      </c>
      <c r="O43" s="1">
        <f t="shared" si="2"/>
        <v>2.551457</v>
      </c>
      <c r="P43" s="1">
        <f t="shared" si="2"/>
        <v>6.889208</v>
      </c>
      <c r="Q43" s="1">
        <f t="shared" si="2"/>
        <v>31.8</v>
      </c>
      <c r="R43" s="1">
        <f t="shared" si="2"/>
        <v>44.403124</v>
      </c>
      <c r="S43" s="1">
        <f t="shared" si="2"/>
        <v>5.580695</v>
      </c>
      <c r="T43" s="1">
        <f t="shared" si="2"/>
        <v>11.027188</v>
      </c>
      <c r="U43" s="1">
        <f t="shared" si="2"/>
        <v>0.217454</v>
      </c>
      <c r="V43" s="1">
        <f t="shared" si="2"/>
        <v>20.442</v>
      </c>
      <c r="W43" s="1">
        <f t="shared" si="2"/>
        <v>1.943868</v>
      </c>
      <c r="X43" s="1">
        <f t="shared" si="2"/>
        <v>37.346703</v>
      </c>
      <c r="Y43" s="1">
        <f t="shared" si="2"/>
        <v>60.66807</v>
      </c>
      <c r="Z43" s="1">
        <f t="shared" si="2"/>
        <v>30.518966</v>
      </c>
      <c r="AA43" s="1">
        <f t="shared" si="2"/>
        <v>27.695111</v>
      </c>
      <c r="AB43" s="1">
        <f t="shared" si="2"/>
        <v>168.257315</v>
      </c>
      <c r="AC43" s="1">
        <f t="shared" si="2"/>
        <v>2.539552</v>
      </c>
      <c r="AD43" s="1">
        <f t="shared" si="2"/>
        <v>19.978589</v>
      </c>
      <c r="AE43" s="1">
        <f t="shared" si="2"/>
        <v>74.737974</v>
      </c>
      <c r="AF43" s="1">
        <f t="shared" si="2"/>
        <v>46.326386</v>
      </c>
      <c r="AG43" s="1">
        <f t="shared" si="2"/>
        <v>4.11</v>
      </c>
      <c r="AH43" s="1">
        <f t="shared" si="2"/>
        <v>6.188332</v>
      </c>
      <c r="AI43" s="1">
        <f t="shared" si="2"/>
        <v>26.525512</v>
      </c>
      <c r="AJ43" s="1">
        <f t="shared" si="2"/>
        <v>9.502558</v>
      </c>
      <c r="AK43" s="1">
        <f t="shared" si="2"/>
        <v>4.430375</v>
      </c>
      <c r="AL43" s="1">
        <f t="shared" si="2"/>
        <v>9.857915</v>
      </c>
      <c r="AM43" s="1">
        <f t="shared" si="2"/>
        <v>32.612782</v>
      </c>
      <c r="AN43" s="1">
        <f t="shared" si="2"/>
        <v>7.852561</v>
      </c>
      <c r="AO43" s="1">
        <f t="shared" si="2"/>
        <v>3.348007</v>
      </c>
      <c r="AP43" s="1" t="e">
        <f t="shared" si="2"/>
        <v>#REF!</v>
      </c>
      <c r="AQ43" s="1" t="e">
        <f t="shared" si="2"/>
        <v>#REF!</v>
      </c>
      <c r="AR43" s="1" t="e">
        <f t="shared" si="2"/>
        <v>#REF!</v>
      </c>
      <c r="AS43" s="1" t="e">
        <f t="shared" si="2"/>
        <v>#REF!</v>
      </c>
      <c r="AT43" s="1" t="e">
        <f t="shared" si="2"/>
        <v>#REF!</v>
      </c>
      <c r="AU43" s="1" t="e">
        <f t="shared" si="2"/>
        <v>#REF!</v>
      </c>
      <c r="AV43" s="1" t="e">
        <f t="shared" si="2"/>
        <v>#REF!</v>
      </c>
      <c r="AW43" s="1" t="e">
        <f t="shared" si="2"/>
        <v>#REF!</v>
      </c>
      <c r="AX43" s="1" t="e">
        <f t="shared" si="2"/>
        <v>#REF!</v>
      </c>
    </row>
    <row r="44" spans="1:50">
      <c r="A44" t="s">
        <v>225</v>
      </c>
      <c r="B44">
        <v>2014</v>
      </c>
      <c r="C44" t="s">
        <v>7</v>
      </c>
      <c r="D44">
        <v>4.694921</v>
      </c>
      <c r="F44" s="84">
        <v>2015</v>
      </c>
      <c r="G44" s="1">
        <f t="shared" si="1"/>
        <v>13.794338</v>
      </c>
      <c r="H44" s="1">
        <f t="shared" si="2"/>
        <v>10.632235</v>
      </c>
      <c r="I44" s="1">
        <f t="shared" si="2"/>
        <v>13.549449</v>
      </c>
      <c r="J44" s="1">
        <f t="shared" si="2"/>
        <v>4.748048</v>
      </c>
      <c r="K44" s="1">
        <f t="shared" si="2"/>
        <v>2.599711</v>
      </c>
      <c r="L44" s="1">
        <f t="shared" si="2"/>
        <v>14.304275</v>
      </c>
      <c r="M44" s="1">
        <f t="shared" si="2"/>
        <v>35.471423</v>
      </c>
      <c r="N44" s="1">
        <f t="shared" si="2"/>
        <v>135.804833</v>
      </c>
      <c r="O44" s="1">
        <f t="shared" si="2"/>
        <v>2.587488</v>
      </c>
      <c r="P44" s="1">
        <f t="shared" si="2"/>
        <v>7.196288</v>
      </c>
      <c r="Q44" s="1">
        <f t="shared" si="2"/>
        <v>32</v>
      </c>
      <c r="R44" s="1">
        <f t="shared" si="2"/>
        <v>45.071209</v>
      </c>
      <c r="S44" s="1">
        <f t="shared" si="2"/>
        <v>5.5926</v>
      </c>
      <c r="T44" s="1">
        <f t="shared" si="2"/>
        <v>11.512075</v>
      </c>
      <c r="U44" s="1">
        <f t="shared" si="2"/>
        <v>0.226321</v>
      </c>
      <c r="V44" s="1">
        <f t="shared" si="2"/>
        <v>22.468</v>
      </c>
      <c r="W44" s="1">
        <f t="shared" si="2"/>
        <v>1.98513</v>
      </c>
      <c r="X44" s="1">
        <f t="shared" si="2"/>
        <v>37.626613</v>
      </c>
      <c r="Y44" s="1">
        <f t="shared" si="2"/>
        <v>60.987883</v>
      </c>
      <c r="Z44" s="1">
        <f t="shared" si="2"/>
        <v>31.461389</v>
      </c>
      <c r="AA44" s="1">
        <f t="shared" si="2"/>
        <v>29.563625</v>
      </c>
      <c r="AB44" s="1">
        <f t="shared" si="2"/>
        <v>171.327125</v>
      </c>
      <c r="AC44" s="1">
        <f t="shared" si="2"/>
        <v>2.59239</v>
      </c>
      <c r="AD44" s="1">
        <f t="shared" si="2"/>
        <v>20.688174</v>
      </c>
      <c r="AE44" s="1">
        <f t="shared" si="2"/>
        <v>78.497225</v>
      </c>
      <c r="AF44" s="1">
        <f t="shared" si="2"/>
        <v>47.290321</v>
      </c>
      <c r="AG44" s="1">
        <f t="shared" si="2"/>
        <v>4.4</v>
      </c>
      <c r="AH44" s="1">
        <f t="shared" si="2"/>
        <v>6.383756</v>
      </c>
      <c r="AI44" s="1">
        <f t="shared" si="2"/>
        <v>26.948705</v>
      </c>
      <c r="AJ44" s="1">
        <f t="shared" si="2"/>
        <v>9.674064</v>
      </c>
      <c r="AK44" s="1">
        <f t="shared" si="2"/>
        <v>4.503865</v>
      </c>
      <c r="AL44" s="1">
        <f t="shared" si="2"/>
        <v>10.589337</v>
      </c>
      <c r="AM44" s="1">
        <f t="shared" si="2"/>
        <v>33.542448</v>
      </c>
      <c r="AN44" s="1">
        <f t="shared" si="2"/>
        <v>7.929813</v>
      </c>
      <c r="AO44" s="1">
        <f t="shared" si="2"/>
        <v>3.449462</v>
      </c>
      <c r="AP44" s="1" t="e">
        <f t="shared" si="2"/>
        <v>#REF!</v>
      </c>
      <c r="AQ44" s="1" t="e">
        <f t="shared" si="2"/>
        <v>#REF!</v>
      </c>
      <c r="AR44" s="1" t="e">
        <f t="shared" si="2"/>
        <v>#REF!</v>
      </c>
      <c r="AS44" s="1" t="e">
        <f t="shared" si="2"/>
        <v>#REF!</v>
      </c>
      <c r="AT44" s="1" t="e">
        <f t="shared" si="2"/>
        <v>#REF!</v>
      </c>
      <c r="AU44" s="1" t="e">
        <f t="shared" si="2"/>
        <v>#REF!</v>
      </c>
      <c r="AV44" s="1" t="e">
        <f t="shared" si="2"/>
        <v>#REF!</v>
      </c>
      <c r="AW44" s="1" t="e">
        <f t="shared" si="2"/>
        <v>#REF!</v>
      </c>
      <c r="AX44" s="1" t="e">
        <f t="shared" si="2"/>
        <v>#REF!</v>
      </c>
    </row>
    <row r="45" spans="1:50">
      <c r="A45" t="s">
        <v>225</v>
      </c>
      <c r="B45">
        <v>2015</v>
      </c>
      <c r="C45" t="s">
        <v>7</v>
      </c>
      <c r="D45">
        <v>4.748048</v>
      </c>
      <c r="F45" s="85">
        <v>2019</v>
      </c>
      <c r="G45" s="86" cm="1">
        <f t="array" ref="G45">TREND(G40:G44,$F$40:$F$44,$F45)</f>
        <v>16.4800992</v>
      </c>
      <c r="H45" s="86" cm="1">
        <f t="array" ref="H45">TREND(H40:H44,$F$40:$F$44,$F45)</f>
        <v>12.6482135999998</v>
      </c>
      <c r="I45" s="86" cm="1">
        <f t="array" ref="I45">TREND(I40:I44,$F$40:$F$44,$F45)</f>
        <v>14.6473468</v>
      </c>
      <c r="J45" s="86" cm="1">
        <f t="array" ref="J45">TREND(J40:J44,$F$40:$F$44,$F45)</f>
        <v>4.98486559999999</v>
      </c>
      <c r="K45" s="86" cm="1">
        <f t="array" ref="K45">TREND(K40:K44,$F$40:$F$44,$F45)</f>
        <v>2.1780474</v>
      </c>
      <c r="L45" s="86" cm="1">
        <f t="array" ref="L45">TREND(L40:L44,$F$40:$F$44,$F45)</f>
        <v>15.0490338</v>
      </c>
      <c r="M45" s="86" cm="1">
        <f t="array" ref="M45">TREND(M40:M44,$F$40:$F$44,$F45)</f>
        <v>42.6243614149998</v>
      </c>
      <c r="N45" s="86" cm="1">
        <f t="array" ref="N45">TREND(N40:N44,$F$40:$F$44,$F45)</f>
        <v>194.584056600001</v>
      </c>
      <c r="O45" s="86" cm="1">
        <f t="array" ref="O45">TREND(O40:O44,$F$40:$F$44,$F45)</f>
        <v>2.5679092</v>
      </c>
      <c r="P45" s="86" cm="1">
        <f t="array" ref="P45">TREND(P40:P44,$F$40:$F$44,$F45)</f>
        <v>7.98474479999999</v>
      </c>
      <c r="Q45" s="86" cm="1">
        <f t="array" ref="Q45">TREND(Q40:Q44,$F$40:$F$44,$F45)</f>
        <v>32.38</v>
      </c>
      <c r="R45" s="86" cm="1">
        <f t="array" ref="R45">TREND(R40:R44,$F$40:$F$44,$F45)</f>
        <v>47.0920378000002</v>
      </c>
      <c r="S45" s="86" cm="1">
        <f t="array" ref="S45">TREND(S40:S44,$F$40:$F$44,$F45)</f>
        <v>5.483336</v>
      </c>
      <c r="T45" s="86" cm="1">
        <f t="array" ref="T45">TREND(T40:T44,$F$40:$F$44,$F45)</f>
        <v>12.9588342</v>
      </c>
      <c r="U45" s="86" cm="1">
        <f t="array" ref="U45">TREND(U40:U44,$F$40:$F$44,$F45)</f>
        <v>0.243295199999999</v>
      </c>
      <c r="V45" s="86" cm="1">
        <f t="array" ref="V45">TREND(V40:V44,$F$40:$F$44,$F45)</f>
        <v>29.8069999999998</v>
      </c>
      <c r="W45" s="86" cm="1">
        <f t="array" ref="W45">TREND(W40:W44,$F$40:$F$44,$F45)</f>
        <v>2.0754794</v>
      </c>
      <c r="X45" s="86" cm="1">
        <f t="array" ref="X45">TREND(X40:X44,$F$40:$F$44,$F45)</f>
        <v>37.7143818</v>
      </c>
      <c r="Y45" s="86" cm="1">
        <f t="array" ref="Y45">TREND(Y40:Y44,$F$40:$F$44,$F45)</f>
        <v>63.4862618</v>
      </c>
      <c r="Z45" s="86" cm="1">
        <f t="array" ref="Z45">TREND(Z40:Z44,$F$40:$F$44,$F45)</f>
        <v>36.8842047999997</v>
      </c>
      <c r="AA45" s="86" cm="1">
        <f t="array" ref="AA45">TREND(AA40:AA44,$F$40:$F$44,$F45)</f>
        <v>36.9907164000001</v>
      </c>
      <c r="AB45" s="86" cm="1">
        <f t="array" ref="AB45">TREND(AB40:AB44,$F$40:$F$44,$F45)</f>
        <v>171.1145024</v>
      </c>
      <c r="AC45" s="86" cm="1">
        <f t="array" ref="AC45">TREND(AC40:AC44,$F$40:$F$44,$F45)</f>
        <v>2.81525819999999</v>
      </c>
      <c r="AD45" s="86" cm="1">
        <f t="array" ref="AD45">TREND(AD40:AD44,$F$40:$F$44,$F45)</f>
        <v>23.4451387999998</v>
      </c>
      <c r="AE45" s="86" cm="1">
        <f t="array" ref="AE45">TREND(AE40:AE44,$F$40:$F$44,$F45)</f>
        <v>94.9020877999992</v>
      </c>
      <c r="AF45" s="86" cm="1">
        <f t="array" ref="AF45">TREND(AF40:AF44,$F$40:$F$44,$F45)</f>
        <v>56.4102691999997</v>
      </c>
      <c r="AG45" s="86" cm="1">
        <f t="array" ref="AG45">TREND(AG40:AG44,$F$40:$F$44,$F45)</f>
        <v>5.33590000000004</v>
      </c>
      <c r="AH45" s="86" cm="1">
        <f t="array" ref="AH45">TREND(AH40:AH44,$F$40:$F$44,$F45)</f>
        <v>7.2811208</v>
      </c>
      <c r="AI45" s="86" cm="1">
        <f t="array" ref="AI45">TREND(AI40:AI44,$F$40:$F$44,$F45)</f>
        <v>26.7525042</v>
      </c>
      <c r="AJ45" s="86" cm="1">
        <f t="array" ref="AJ45">TREND(AJ40:AJ44,$F$40:$F$44,$F45)</f>
        <v>10.1806072</v>
      </c>
      <c r="AK45" s="86" cm="1">
        <f t="array" ref="AK45">TREND(AK40:AK44,$F$40:$F$44,$F45)</f>
        <v>4.79340359999998</v>
      </c>
      <c r="AL45" s="86" cm="1">
        <f t="array" ref="AL45">TREND(AL40:AL44,$F$40:$F$44,$F45)</f>
        <v>12.9955884000001</v>
      </c>
      <c r="AM45" s="86" cm="1">
        <f t="array" ref="AM45">TREND(AM40:AM44,$F$40:$F$44,$F45)</f>
        <v>35.5147368</v>
      </c>
      <c r="AN45" s="86" cm="1">
        <f t="array" ref="AN45">TREND(AN40:AN44,$F$40:$F$44,$F45)</f>
        <v>8.58574599999997</v>
      </c>
      <c r="AO45" s="86" cm="1">
        <f t="array" ref="AO45">TREND(AO40:AO44,$F$40:$F$44,$F45)</f>
        <v>3.93194699999998</v>
      </c>
      <c r="AP45" s="86" t="e" cm="1">
        <f t="array" ref="AP45">TREND(AP40:AP44,$F$40:$F$44,$F45)</f>
        <v>#VALUE!</v>
      </c>
      <c r="AQ45" s="86" t="e" cm="1">
        <f t="array" ref="AQ45">TREND(AQ40:AQ44,$F$40:$F$44,$F45)</f>
        <v>#VALUE!</v>
      </c>
      <c r="AR45" s="86" t="e" cm="1">
        <f t="array" ref="AR45">TREND(AR40:AR44,$F$40:$F$44,$F45)</f>
        <v>#VALUE!</v>
      </c>
      <c r="AS45" s="86" t="e" cm="1">
        <f t="array" ref="AS45">TREND(AS40:AS44,$F$40:$F$44,$F45)</f>
        <v>#VALUE!</v>
      </c>
      <c r="AT45" s="86" t="e" cm="1">
        <f t="array" ref="AT45">TREND(AT40:AT44,$F$40:$F$44,$F45)</f>
        <v>#VALUE!</v>
      </c>
      <c r="AU45" s="86" t="e" cm="1">
        <f t="array" ref="AU45">TREND(AU40:AU44,$F$40:$F$44,$F45)</f>
        <v>#VALUE!</v>
      </c>
      <c r="AV45" s="86" t="e" cm="1">
        <f t="array" ref="AV45">TREND(AV40:AV44,$F$40:$F$44,$F45)</f>
        <v>#VALUE!</v>
      </c>
      <c r="AW45" s="86" t="e" cm="1">
        <f t="array" ref="AW45">TREND(AW40:AW44,$F$40:$F$44,$F45)</f>
        <v>#VALUE!</v>
      </c>
      <c r="AX45" s="86" t="e" cm="1">
        <f t="array" ref="AX45">TREND(AX40:AX44,$F$40:$F$44,$F45)</f>
        <v>#VALUE!</v>
      </c>
    </row>
    <row r="46" spans="1:50">
      <c r="A46" t="s">
        <v>225</v>
      </c>
      <c r="B46">
        <v>2005</v>
      </c>
      <c r="C46" t="s">
        <v>8</v>
      </c>
      <c r="D46">
        <v>2.691523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>
      <c r="A47" t="s">
        <v>225</v>
      </c>
      <c r="B47">
        <v>2006</v>
      </c>
      <c r="C47" t="s">
        <v>8</v>
      </c>
      <c r="D47">
        <v>2.968249</v>
      </c>
      <c r="F47" s="87" t="s">
        <v>227</v>
      </c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</row>
    <row r="48" spans="1:50">
      <c r="A48" t="s">
        <v>225</v>
      </c>
      <c r="B48">
        <v>2007</v>
      </c>
      <c r="C48" t="s">
        <v>8</v>
      </c>
      <c r="D48">
        <v>3.016572</v>
      </c>
      <c r="F48" s="79">
        <v>2005</v>
      </c>
      <c r="G48" s="1">
        <f>GETPIVOTDATA("mVeh",$F$1,"veh_type",$F$47,"year",$F48,"ActiveReg",G$32)</f>
        <v>2.868</v>
      </c>
      <c r="H48" s="1">
        <f t="shared" ref="H48:AX54" si="3">GETPIVOTDATA("mVeh",$F$1,"veh_type",$F$47,"year",$F48,"ActiveReg",H$32)</f>
        <v>3.34293</v>
      </c>
      <c r="I48" s="1">
        <f t="shared" si="3"/>
        <v>2.601</v>
      </c>
      <c r="J48" s="1">
        <f t="shared" si="3"/>
        <v>0.367</v>
      </c>
      <c r="K48" s="1">
        <f t="shared" si="3"/>
        <v>0.352157</v>
      </c>
      <c r="L48" s="1">
        <f t="shared" si="3"/>
        <v>1.77607</v>
      </c>
      <c r="M48" s="1">
        <f t="shared" si="3"/>
        <v>4.112682</v>
      </c>
      <c r="N48" s="1">
        <f t="shared" si="3"/>
        <v>10.272</v>
      </c>
      <c r="O48" s="1">
        <f t="shared" si="3"/>
        <v>0.236282</v>
      </c>
      <c r="P48" s="1">
        <f t="shared" si="3"/>
        <v>0.736</v>
      </c>
      <c r="Q48" s="1">
        <f t="shared" si="3"/>
        <v>6.198</v>
      </c>
      <c r="R48" s="1">
        <f t="shared" si="3"/>
        <v>3.133</v>
      </c>
      <c r="S48" s="1">
        <f t="shared" si="3"/>
        <v>1.335312</v>
      </c>
      <c r="T48" s="1">
        <f t="shared" si="3"/>
        <v>1.334</v>
      </c>
      <c r="U48" s="1">
        <f t="shared" si="3"/>
        <v>0.027</v>
      </c>
      <c r="V48" s="1">
        <f t="shared" si="3"/>
        <v>2.706</v>
      </c>
      <c r="W48" s="1">
        <f t="shared" si="3"/>
        <v>0.286548</v>
      </c>
      <c r="X48" s="1">
        <f t="shared" si="3"/>
        <v>4.468</v>
      </c>
      <c r="Y48" s="1">
        <f t="shared" si="3"/>
        <v>18.596</v>
      </c>
      <c r="Z48" s="1">
        <f t="shared" si="3"/>
        <v>8.246373</v>
      </c>
      <c r="AA48" s="1">
        <f t="shared" si="3"/>
        <v>5.001988</v>
      </c>
      <c r="AB48" s="1">
        <f t="shared" si="3"/>
        <v>112.824</v>
      </c>
      <c r="AC48" s="1">
        <f t="shared" si="3"/>
        <v>0.494</v>
      </c>
      <c r="AD48" s="1">
        <f t="shared" si="3"/>
        <v>2.481</v>
      </c>
      <c r="AE48" s="1">
        <f t="shared" si="3"/>
        <v>18.875892935287</v>
      </c>
      <c r="AF48" s="1">
        <f t="shared" si="3"/>
        <v>6.006</v>
      </c>
      <c r="AG48" s="1">
        <f t="shared" si="3"/>
        <v>1.42</v>
      </c>
      <c r="AH48" s="1">
        <f t="shared" si="3"/>
        <v>2.297</v>
      </c>
      <c r="AI48" s="1">
        <f t="shared" si="3"/>
        <v>6.231</v>
      </c>
      <c r="AJ48" s="1">
        <f t="shared" si="3"/>
        <v>1.04069</v>
      </c>
      <c r="AK48" s="1">
        <f t="shared" si="3"/>
        <v>0.336</v>
      </c>
      <c r="AL48" s="1">
        <f t="shared" si="3"/>
        <v>2.654</v>
      </c>
      <c r="AM48" s="1">
        <f t="shared" si="3"/>
        <v>3.916765</v>
      </c>
      <c r="AN48" s="1">
        <f t="shared" si="3"/>
        <v>1.295623</v>
      </c>
      <c r="AO48" s="1">
        <f t="shared" si="3"/>
        <v>0.274741</v>
      </c>
      <c r="AP48" s="1" t="e">
        <f t="shared" si="3"/>
        <v>#REF!</v>
      </c>
      <c r="AQ48" s="1" t="e">
        <f t="shared" si="3"/>
        <v>#REF!</v>
      </c>
      <c r="AR48" s="1" t="e">
        <f t="shared" si="3"/>
        <v>#REF!</v>
      </c>
      <c r="AS48" s="1" t="e">
        <f t="shared" si="3"/>
        <v>#REF!</v>
      </c>
      <c r="AT48" s="1" t="e">
        <f t="shared" si="3"/>
        <v>#REF!</v>
      </c>
      <c r="AU48" s="1" t="e">
        <f t="shared" si="3"/>
        <v>#REF!</v>
      </c>
      <c r="AV48" s="1" t="e">
        <f t="shared" si="3"/>
        <v>#REF!</v>
      </c>
      <c r="AW48" s="1" t="e">
        <f t="shared" si="3"/>
        <v>#REF!</v>
      </c>
      <c r="AX48" s="1" t="e">
        <f t="shared" si="3"/>
        <v>#REF!</v>
      </c>
    </row>
    <row r="49" spans="1:50">
      <c r="A49" t="s">
        <v>225</v>
      </c>
      <c r="B49">
        <v>2008</v>
      </c>
      <c r="C49" t="s">
        <v>8</v>
      </c>
      <c r="D49">
        <v>3.155693</v>
      </c>
      <c r="F49" s="79">
        <v>2006</v>
      </c>
      <c r="G49" s="1">
        <f t="shared" ref="G49:V58" si="4">GETPIVOTDATA("mVeh",$F$1,"veh_type",$F$47,"year",$F49,"ActiveReg",G$32)</f>
        <v>2.997643</v>
      </c>
      <c r="H49" s="1">
        <f t="shared" si="4"/>
        <v>3.513242</v>
      </c>
      <c r="I49" s="1">
        <f t="shared" si="4"/>
        <v>2.706</v>
      </c>
      <c r="J49" s="1">
        <f t="shared" si="4"/>
        <v>0.374</v>
      </c>
      <c r="K49" s="1">
        <f t="shared" si="4"/>
        <v>0.380948</v>
      </c>
      <c r="L49" s="1">
        <f t="shared" si="4"/>
        <v>1.78794</v>
      </c>
      <c r="M49" s="1">
        <f t="shared" si="4"/>
        <v>4.192272</v>
      </c>
      <c r="N49" s="1">
        <f t="shared" si="4"/>
        <v>10.778</v>
      </c>
      <c r="O49" s="1">
        <f t="shared" si="4"/>
        <v>0.246275</v>
      </c>
      <c r="P49" s="1">
        <f t="shared" si="4"/>
        <v>0.799</v>
      </c>
      <c r="Q49" s="1">
        <f t="shared" si="4"/>
        <v>6.261</v>
      </c>
      <c r="R49" s="1">
        <f t="shared" si="4"/>
        <v>3.172</v>
      </c>
      <c r="S49" s="1">
        <f t="shared" si="4"/>
        <v>1.365827</v>
      </c>
      <c r="T49" s="1">
        <f t="shared" si="4"/>
        <v>1.262</v>
      </c>
      <c r="U49" s="1">
        <f t="shared" si="4"/>
        <v>0.03</v>
      </c>
      <c r="V49" s="1">
        <f t="shared" si="4"/>
        <v>2.948</v>
      </c>
      <c r="W49" s="1">
        <f t="shared" si="3"/>
        <v>0.318604</v>
      </c>
      <c r="X49" s="1">
        <f t="shared" si="3"/>
        <v>4.627</v>
      </c>
      <c r="Y49" s="1">
        <f t="shared" si="3"/>
        <v>18.338</v>
      </c>
      <c r="Z49" s="1">
        <f t="shared" si="3"/>
        <v>8.785122</v>
      </c>
      <c r="AA49" s="1">
        <f t="shared" si="3"/>
        <v>5.231131</v>
      </c>
      <c r="AB49" s="1">
        <f t="shared" si="3"/>
        <v>118.21</v>
      </c>
      <c r="AC49" s="1">
        <f t="shared" si="3"/>
        <v>0.515</v>
      </c>
      <c r="AD49" s="1">
        <f t="shared" si="3"/>
        <v>2.58</v>
      </c>
      <c r="AE49" s="1">
        <f t="shared" si="3"/>
        <v>19.3214828752403</v>
      </c>
      <c r="AF49" s="1">
        <f t="shared" si="3"/>
        <v>6.135</v>
      </c>
      <c r="AG49" s="1">
        <f t="shared" si="3"/>
        <v>1.44</v>
      </c>
      <c r="AH49" s="1">
        <f t="shared" si="3"/>
        <v>2.482</v>
      </c>
      <c r="AI49" s="1">
        <f t="shared" si="3"/>
        <v>6.51</v>
      </c>
      <c r="AJ49" s="1">
        <f t="shared" si="3"/>
        <v>1.102925</v>
      </c>
      <c r="AK49" s="1">
        <f t="shared" si="3"/>
        <v>0.343</v>
      </c>
      <c r="AL49" s="1">
        <f t="shared" si="3"/>
        <v>2.939</v>
      </c>
      <c r="AM49" s="1">
        <f t="shared" si="3"/>
        <v>4.117987</v>
      </c>
      <c r="AN49" s="1">
        <f t="shared" si="3"/>
        <v>1.363143</v>
      </c>
      <c r="AO49" s="1">
        <f t="shared" si="3"/>
        <v>0.283512</v>
      </c>
      <c r="AP49" s="1" t="e">
        <f t="shared" si="3"/>
        <v>#REF!</v>
      </c>
      <c r="AQ49" s="1" t="e">
        <f t="shared" si="3"/>
        <v>#REF!</v>
      </c>
      <c r="AR49" s="1" t="e">
        <f t="shared" si="3"/>
        <v>#REF!</v>
      </c>
      <c r="AS49" s="1" t="e">
        <f t="shared" si="3"/>
        <v>#REF!</v>
      </c>
      <c r="AT49" s="1" t="e">
        <f t="shared" si="3"/>
        <v>#REF!</v>
      </c>
      <c r="AU49" s="1" t="e">
        <f t="shared" si="3"/>
        <v>#REF!</v>
      </c>
      <c r="AV49" s="1" t="e">
        <f t="shared" si="3"/>
        <v>#REF!</v>
      </c>
      <c r="AW49" s="1" t="e">
        <f t="shared" si="3"/>
        <v>#REF!</v>
      </c>
      <c r="AX49" s="1" t="e">
        <f t="shared" si="3"/>
        <v>#REF!</v>
      </c>
    </row>
    <row r="50" spans="1:50">
      <c r="A50" t="s">
        <v>225</v>
      </c>
      <c r="B50">
        <v>2009</v>
      </c>
      <c r="C50" t="s">
        <v>8</v>
      </c>
      <c r="D50">
        <v>3.145294</v>
      </c>
      <c r="F50" s="79">
        <v>2007</v>
      </c>
      <c r="G50" s="1">
        <f t="shared" si="4"/>
        <v>3.19973</v>
      </c>
      <c r="H50" s="1">
        <f t="shared" si="3"/>
        <v>3.858375</v>
      </c>
      <c r="I50" s="1">
        <f t="shared" si="3"/>
        <v>2.801</v>
      </c>
      <c r="J50" s="1">
        <f t="shared" si="3"/>
        <v>0.382</v>
      </c>
      <c r="K50" s="1">
        <f t="shared" si="3"/>
        <v>0.386738</v>
      </c>
      <c r="L50" s="1">
        <f t="shared" si="3"/>
        <v>1.828794</v>
      </c>
      <c r="M50" s="1">
        <f t="shared" si="3"/>
        <v>4.345826</v>
      </c>
      <c r="N50" s="1">
        <f t="shared" si="3"/>
        <v>11.624</v>
      </c>
      <c r="O50" s="1">
        <f t="shared" si="3"/>
        <v>0.253791</v>
      </c>
      <c r="P50" s="1">
        <f t="shared" si="3"/>
        <v>0.896</v>
      </c>
      <c r="Q50" s="1">
        <f t="shared" si="3"/>
        <v>6.333</v>
      </c>
      <c r="R50" s="1">
        <f t="shared" si="3"/>
        <v>2.837</v>
      </c>
      <c r="S50" s="1">
        <f t="shared" si="3"/>
        <v>1.404047</v>
      </c>
      <c r="T50" s="1">
        <f t="shared" si="3"/>
        <v>1.37</v>
      </c>
      <c r="U50" s="1">
        <f t="shared" si="3"/>
        <v>0.033</v>
      </c>
      <c r="V50" s="1">
        <f t="shared" si="3"/>
        <v>3.642</v>
      </c>
      <c r="W50" s="1">
        <f t="shared" si="3"/>
        <v>0.345874</v>
      </c>
      <c r="X50" s="1">
        <f t="shared" si="3"/>
        <v>4.736</v>
      </c>
      <c r="Y50" s="1">
        <f t="shared" si="3"/>
        <v>18.091</v>
      </c>
      <c r="Z50" s="1">
        <f t="shared" si="3"/>
        <v>9.504061</v>
      </c>
      <c r="AA50" s="1">
        <f t="shared" si="3"/>
        <v>5.535</v>
      </c>
      <c r="AB50" s="1">
        <f t="shared" si="3"/>
        <v>122.523</v>
      </c>
      <c r="AC50" s="1">
        <f t="shared" si="3"/>
        <v>0.538</v>
      </c>
      <c r="AD50" s="1">
        <f t="shared" si="3"/>
        <v>2.719</v>
      </c>
      <c r="AE50" s="1">
        <f t="shared" si="3"/>
        <v>21.2918117254902</v>
      </c>
      <c r="AF50" s="1">
        <f t="shared" si="3"/>
        <v>6.433</v>
      </c>
      <c r="AG50" s="1">
        <f t="shared" si="3"/>
        <v>1.54</v>
      </c>
      <c r="AH50" s="1">
        <f t="shared" si="3"/>
        <v>2.642</v>
      </c>
      <c r="AI50" s="1">
        <f t="shared" si="3"/>
        <v>6.762</v>
      </c>
      <c r="AJ50" s="1">
        <f t="shared" si="3"/>
        <v>1.155745</v>
      </c>
      <c r="AK50" s="1">
        <f t="shared" si="3"/>
        <v>0.354126</v>
      </c>
      <c r="AL50" s="1">
        <f t="shared" si="3"/>
        <v>3.181</v>
      </c>
      <c r="AM50" s="1">
        <f t="shared" si="3"/>
        <v>4.247988</v>
      </c>
      <c r="AN50" s="1">
        <f t="shared" si="3"/>
        <v>1.400923</v>
      </c>
      <c r="AO50" s="1">
        <f t="shared" si="3"/>
        <v>0.310315</v>
      </c>
      <c r="AP50" s="1" t="e">
        <f t="shared" si="3"/>
        <v>#REF!</v>
      </c>
      <c r="AQ50" s="1" t="e">
        <f t="shared" si="3"/>
        <v>#REF!</v>
      </c>
      <c r="AR50" s="1" t="e">
        <f t="shared" si="3"/>
        <v>#REF!</v>
      </c>
      <c r="AS50" s="1" t="e">
        <f t="shared" si="3"/>
        <v>#REF!</v>
      </c>
      <c r="AT50" s="1" t="e">
        <f t="shared" si="3"/>
        <v>#REF!</v>
      </c>
      <c r="AU50" s="1" t="e">
        <f t="shared" si="3"/>
        <v>#REF!</v>
      </c>
      <c r="AV50" s="1" t="e">
        <f t="shared" si="3"/>
        <v>#REF!</v>
      </c>
      <c r="AW50" s="1" t="e">
        <f t="shared" si="3"/>
        <v>#REF!</v>
      </c>
      <c r="AX50" s="1" t="e">
        <f t="shared" si="3"/>
        <v>#REF!</v>
      </c>
    </row>
    <row r="51" spans="1:50">
      <c r="A51" t="s">
        <v>225</v>
      </c>
      <c r="B51">
        <v>2010</v>
      </c>
      <c r="C51" t="s">
        <v>8</v>
      </c>
      <c r="D51">
        <v>2.881219</v>
      </c>
      <c r="F51" s="79">
        <v>2008</v>
      </c>
      <c r="G51" s="1">
        <f t="shared" si="4"/>
        <v>3.549565</v>
      </c>
      <c r="H51" s="1">
        <f t="shared" si="3"/>
        <v>4.389597</v>
      </c>
      <c r="I51" s="1">
        <f t="shared" si="3"/>
        <v>2.925</v>
      </c>
      <c r="J51" s="1">
        <f t="shared" si="3"/>
        <v>0.391</v>
      </c>
      <c r="K51" s="1">
        <f t="shared" si="3"/>
        <v>0.391948</v>
      </c>
      <c r="L51" s="1">
        <f t="shared" si="3"/>
        <v>1.868128</v>
      </c>
      <c r="M51" s="1">
        <f t="shared" si="3"/>
        <v>4.592854</v>
      </c>
      <c r="N51" s="1">
        <f t="shared" si="3"/>
        <v>12.607</v>
      </c>
      <c r="O51" s="1">
        <f t="shared" si="3"/>
        <v>0.277383</v>
      </c>
      <c r="P51" s="1">
        <f t="shared" si="3"/>
        <v>0.99</v>
      </c>
      <c r="Q51" s="1">
        <f t="shared" si="3"/>
        <v>6.362</v>
      </c>
      <c r="R51" s="1">
        <f t="shared" si="3"/>
        <v>2.859</v>
      </c>
      <c r="S51" s="1">
        <f t="shared" si="3"/>
        <v>1.441711</v>
      </c>
      <c r="T51" s="1">
        <f t="shared" si="3"/>
        <v>1.484886</v>
      </c>
      <c r="U51" s="1">
        <f t="shared" si="3"/>
        <v>0.034</v>
      </c>
      <c r="V51" s="1">
        <f t="shared" si="3"/>
        <v>3.954</v>
      </c>
      <c r="W51" s="1">
        <f t="shared" si="3"/>
        <v>0.351307</v>
      </c>
      <c r="X51" s="1">
        <f t="shared" si="3"/>
        <v>4.838</v>
      </c>
      <c r="Y51" s="1">
        <f t="shared" si="3"/>
        <v>17.663</v>
      </c>
      <c r="Z51" s="1">
        <f t="shared" si="3"/>
        <v>10.341381</v>
      </c>
      <c r="AA51" s="1">
        <f t="shared" si="3"/>
        <v>5.81052266666667</v>
      </c>
      <c r="AB51" s="1">
        <f t="shared" si="3"/>
        <v>123.625</v>
      </c>
      <c r="AC51" s="1">
        <f t="shared" si="3"/>
        <v>0.546</v>
      </c>
      <c r="AD51" s="1">
        <f t="shared" si="3"/>
        <v>2.926</v>
      </c>
      <c r="AE51" s="1">
        <f t="shared" si="3"/>
        <v>21.861615</v>
      </c>
      <c r="AF51" s="1">
        <f t="shared" si="3"/>
        <v>6.656</v>
      </c>
      <c r="AG51" s="1">
        <f t="shared" si="3"/>
        <v>1.61</v>
      </c>
      <c r="AH51" s="1">
        <f t="shared" si="3"/>
        <v>2.741</v>
      </c>
      <c r="AI51" s="1">
        <f t="shared" si="3"/>
        <v>6.817</v>
      </c>
      <c r="AJ51" s="1">
        <f t="shared" si="3"/>
        <v>1.158004</v>
      </c>
      <c r="AK51" s="1">
        <f t="shared" si="3"/>
        <v>0.354031</v>
      </c>
      <c r="AL51" s="1">
        <f t="shared" si="3"/>
        <v>3.394</v>
      </c>
      <c r="AM51" s="1">
        <f t="shared" si="3"/>
        <v>4.285206</v>
      </c>
      <c r="AN51" s="1">
        <f t="shared" si="3"/>
        <v>1.514458</v>
      </c>
      <c r="AO51" s="1">
        <f t="shared" si="3"/>
        <v>0.326327</v>
      </c>
      <c r="AP51" s="1" t="e">
        <f t="shared" si="3"/>
        <v>#REF!</v>
      </c>
      <c r="AQ51" s="1" t="e">
        <f t="shared" si="3"/>
        <v>#REF!</v>
      </c>
      <c r="AR51" s="1" t="e">
        <f t="shared" si="3"/>
        <v>#REF!</v>
      </c>
      <c r="AS51" s="1" t="e">
        <f t="shared" si="3"/>
        <v>#REF!</v>
      </c>
      <c r="AT51" s="1" t="e">
        <f t="shared" si="3"/>
        <v>#REF!</v>
      </c>
      <c r="AU51" s="1" t="e">
        <f t="shared" si="3"/>
        <v>#REF!</v>
      </c>
      <c r="AV51" s="1" t="e">
        <f t="shared" si="3"/>
        <v>#REF!</v>
      </c>
      <c r="AW51" s="1" t="e">
        <f t="shared" si="3"/>
        <v>#REF!</v>
      </c>
      <c r="AX51" s="1" t="e">
        <f t="shared" si="3"/>
        <v>#REF!</v>
      </c>
    </row>
    <row r="52" spans="1:50">
      <c r="A52" t="s">
        <v>225</v>
      </c>
      <c r="B52">
        <v>2011</v>
      </c>
      <c r="C52" t="s">
        <v>8</v>
      </c>
      <c r="D52">
        <v>2.899613</v>
      </c>
      <c r="F52" s="79">
        <v>2009</v>
      </c>
      <c r="G52" s="1">
        <f t="shared" si="4"/>
        <v>3.794453</v>
      </c>
      <c r="H52" s="1">
        <f t="shared" si="3"/>
        <v>4.561514</v>
      </c>
      <c r="I52" s="1">
        <f t="shared" si="3"/>
        <v>3.027</v>
      </c>
      <c r="J52" s="1">
        <f t="shared" si="3"/>
        <v>0.398</v>
      </c>
      <c r="K52" s="1">
        <f t="shared" si="3"/>
        <v>0.375458</v>
      </c>
      <c r="L52" s="1">
        <f t="shared" si="3"/>
        <v>1.874934</v>
      </c>
      <c r="M52" s="1">
        <f t="shared" si="3"/>
        <v>4.852564</v>
      </c>
      <c r="N52" s="1">
        <f t="shared" si="3"/>
        <v>14.355</v>
      </c>
      <c r="O52" s="1">
        <f t="shared" si="3"/>
        <v>0.272631</v>
      </c>
      <c r="P52" s="1">
        <f t="shared" si="3"/>
        <v>1.004</v>
      </c>
      <c r="Q52" s="1">
        <f t="shared" si="3"/>
        <v>6.388</v>
      </c>
      <c r="R52" s="1">
        <f t="shared" si="3"/>
        <v>2.893</v>
      </c>
      <c r="S52" s="1">
        <f t="shared" si="3"/>
        <v>1.457754</v>
      </c>
      <c r="T52" s="1">
        <f t="shared" si="3"/>
        <v>1.513243</v>
      </c>
      <c r="U52" s="1">
        <f t="shared" si="3"/>
        <v>0.036</v>
      </c>
      <c r="V52" s="1">
        <f t="shared" si="3"/>
        <v>4.433</v>
      </c>
      <c r="W52" s="1">
        <f t="shared" si="3"/>
        <v>0.34394</v>
      </c>
      <c r="X52" s="1">
        <f t="shared" si="3"/>
        <v>4.889</v>
      </c>
      <c r="Y52" s="1">
        <f t="shared" si="3"/>
        <v>17.305</v>
      </c>
      <c r="Z52" s="1">
        <f t="shared" si="3"/>
        <v>10.729044</v>
      </c>
      <c r="AA52" s="1">
        <f t="shared" si="3"/>
        <v>6.02452733333333</v>
      </c>
      <c r="AB52" s="1">
        <f t="shared" si="3"/>
        <v>126.56</v>
      </c>
      <c r="AC52" s="1">
        <f t="shared" si="3"/>
        <v>0.547</v>
      </c>
      <c r="AD52" s="1">
        <f t="shared" si="3"/>
        <v>3.025</v>
      </c>
      <c r="AE52" s="1">
        <f t="shared" si="3"/>
        <v>22.335358</v>
      </c>
      <c r="AF52" s="1">
        <f t="shared" si="3"/>
        <v>6.648754</v>
      </c>
      <c r="AG52" s="1">
        <f t="shared" si="3"/>
        <v>1.68</v>
      </c>
      <c r="AH52" s="1">
        <f t="shared" si="3"/>
        <v>2.81</v>
      </c>
      <c r="AI52" s="1">
        <f t="shared" si="3"/>
        <v>6.759</v>
      </c>
      <c r="AJ52" s="1">
        <f t="shared" si="3"/>
        <v>1.138281</v>
      </c>
      <c r="AK52" s="1">
        <f t="shared" si="3"/>
        <v>0.355861</v>
      </c>
      <c r="AL52" s="1">
        <f t="shared" si="3"/>
        <v>3.517</v>
      </c>
      <c r="AM52" s="1">
        <f t="shared" si="3"/>
        <v>4.181519</v>
      </c>
      <c r="AN52" s="1">
        <f t="shared" si="3"/>
        <v>1.48852</v>
      </c>
      <c r="AO52" s="1">
        <f t="shared" si="3"/>
        <v>0.349525</v>
      </c>
      <c r="AP52" s="1" t="e">
        <f t="shared" si="3"/>
        <v>#REF!</v>
      </c>
      <c r="AQ52" s="1" t="e">
        <f t="shared" si="3"/>
        <v>#REF!</v>
      </c>
      <c r="AR52" s="1" t="e">
        <f t="shared" si="3"/>
        <v>#REF!</v>
      </c>
      <c r="AS52" s="1" t="e">
        <f t="shared" si="3"/>
        <v>#REF!</v>
      </c>
      <c r="AT52" s="1" t="e">
        <f t="shared" si="3"/>
        <v>#REF!</v>
      </c>
      <c r="AU52" s="1" t="e">
        <f t="shared" si="3"/>
        <v>#REF!</v>
      </c>
      <c r="AV52" s="1" t="e">
        <f t="shared" si="3"/>
        <v>#REF!</v>
      </c>
      <c r="AW52" s="1" t="e">
        <f t="shared" si="3"/>
        <v>#REF!</v>
      </c>
      <c r="AX52" s="1" t="e">
        <f t="shared" si="3"/>
        <v>#REF!</v>
      </c>
    </row>
    <row r="53" spans="1:50">
      <c r="A53" t="s">
        <v>225</v>
      </c>
      <c r="B53">
        <v>2012</v>
      </c>
      <c r="C53" t="s">
        <v>8</v>
      </c>
      <c r="D53">
        <v>2.973814</v>
      </c>
      <c r="F53" s="79">
        <v>2010</v>
      </c>
      <c r="G53" s="1">
        <f t="shared" si="4"/>
        <v>3.992844</v>
      </c>
      <c r="H53" s="1">
        <f t="shared" si="3"/>
        <v>4.686781</v>
      </c>
      <c r="I53" s="1">
        <f t="shared" si="3"/>
        <v>3.132</v>
      </c>
      <c r="J53" s="1">
        <f t="shared" si="3"/>
        <v>0.406</v>
      </c>
      <c r="K53" s="1">
        <f t="shared" si="3"/>
        <v>0.309352</v>
      </c>
      <c r="L53" s="1">
        <f t="shared" si="3"/>
        <v>1.879314</v>
      </c>
      <c r="M53" s="1">
        <f t="shared" si="3"/>
        <v>5.222702</v>
      </c>
      <c r="N53" s="1">
        <f t="shared" si="3"/>
        <v>16.384</v>
      </c>
      <c r="O53" s="1">
        <f t="shared" si="3"/>
        <v>0.262581</v>
      </c>
      <c r="P53" s="1">
        <f t="shared" si="3"/>
        <v>1.003</v>
      </c>
      <c r="Q53" s="1">
        <f t="shared" si="3"/>
        <v>6.444</v>
      </c>
      <c r="R53" s="1">
        <f t="shared" si="3"/>
        <v>2.96</v>
      </c>
      <c r="S53" s="1">
        <f t="shared" si="3"/>
        <v>1.470172</v>
      </c>
      <c r="T53" s="1">
        <f t="shared" si="3"/>
        <v>1.534962</v>
      </c>
      <c r="U53" s="1">
        <f t="shared" si="3"/>
        <v>0.038</v>
      </c>
      <c r="V53" s="1">
        <f t="shared" si="3"/>
        <v>4.682</v>
      </c>
      <c r="W53" s="1">
        <f t="shared" si="3"/>
        <v>0.327096</v>
      </c>
      <c r="X53" s="1">
        <f t="shared" si="3"/>
        <v>4.946</v>
      </c>
      <c r="Y53" s="1">
        <f t="shared" si="3"/>
        <v>17.014</v>
      </c>
      <c r="Z53" s="1">
        <f t="shared" si="3"/>
        <v>11.491416</v>
      </c>
      <c r="AA53" s="1">
        <f t="shared" si="3"/>
        <v>6.311517</v>
      </c>
      <c r="AB53" s="1">
        <f t="shared" si="3"/>
        <v>129.471</v>
      </c>
      <c r="AC53" s="1">
        <f t="shared" si="3"/>
        <v>0.551</v>
      </c>
      <c r="AD53" s="1">
        <f t="shared" si="3"/>
        <v>3.219</v>
      </c>
      <c r="AE53" s="1">
        <f t="shared" si="3"/>
        <v>22.976014</v>
      </c>
      <c r="AF53" s="1">
        <f t="shared" si="3"/>
        <v>6.750035</v>
      </c>
      <c r="AG53" s="1">
        <f t="shared" si="3"/>
        <v>1.76</v>
      </c>
      <c r="AH53" s="1">
        <f t="shared" si="3"/>
        <v>2.837535</v>
      </c>
      <c r="AI53" s="1">
        <f t="shared" si="3"/>
        <v>6.719</v>
      </c>
      <c r="AJ53" s="1">
        <f t="shared" si="3"/>
        <v>1.129334</v>
      </c>
      <c r="AK53" s="1">
        <f t="shared" si="3"/>
        <v>0.363489</v>
      </c>
      <c r="AL53" s="1">
        <f t="shared" si="3"/>
        <v>3.721</v>
      </c>
      <c r="AM53" s="1">
        <f t="shared" si="3"/>
        <v>4.220455</v>
      </c>
      <c r="AN53" s="1">
        <f t="shared" si="3"/>
        <v>1.510638</v>
      </c>
      <c r="AO53" s="1">
        <f t="shared" si="3"/>
        <v>0.366934</v>
      </c>
      <c r="AP53" s="1" t="e">
        <f t="shared" si="3"/>
        <v>#REF!</v>
      </c>
      <c r="AQ53" s="1" t="e">
        <f t="shared" si="3"/>
        <v>#REF!</v>
      </c>
      <c r="AR53" s="1" t="e">
        <f t="shared" si="3"/>
        <v>#REF!</v>
      </c>
      <c r="AS53" s="1" t="e">
        <f t="shared" si="3"/>
        <v>#REF!</v>
      </c>
      <c r="AT53" s="1" t="e">
        <f t="shared" si="3"/>
        <v>#REF!</v>
      </c>
      <c r="AU53" s="1" t="e">
        <f t="shared" si="3"/>
        <v>#REF!</v>
      </c>
      <c r="AV53" s="1" t="e">
        <f t="shared" si="3"/>
        <v>#REF!</v>
      </c>
      <c r="AW53" s="1" t="e">
        <f t="shared" si="3"/>
        <v>#REF!</v>
      </c>
      <c r="AX53" s="1" t="e">
        <f t="shared" si="3"/>
        <v>#REF!</v>
      </c>
    </row>
    <row r="54" spans="1:50">
      <c r="A54" t="s">
        <v>225</v>
      </c>
      <c r="B54">
        <v>2013</v>
      </c>
      <c r="C54" t="s">
        <v>8</v>
      </c>
      <c r="D54">
        <v>3.072085</v>
      </c>
      <c r="F54" s="79">
        <v>2011</v>
      </c>
      <c r="G54" s="1">
        <f t="shared" si="4"/>
        <v>4.157757</v>
      </c>
      <c r="H54" s="1">
        <f t="shared" si="3"/>
        <v>4.81957</v>
      </c>
      <c r="I54" s="1">
        <f t="shared" si="3"/>
        <v>2.716</v>
      </c>
      <c r="J54" s="1">
        <f t="shared" si="3"/>
        <v>0.417</v>
      </c>
      <c r="K54" s="1">
        <f t="shared" si="3"/>
        <v>0.316301</v>
      </c>
      <c r="L54" s="1">
        <f t="shared" si="3"/>
        <v>1.883684</v>
      </c>
      <c r="M54" s="1">
        <f t="shared" si="3"/>
        <v>5.763624</v>
      </c>
      <c r="N54" s="1">
        <f t="shared" si="3"/>
        <v>18.713</v>
      </c>
      <c r="O54" s="1">
        <f t="shared" si="3"/>
        <v>0.259476</v>
      </c>
      <c r="P54" s="1">
        <f t="shared" si="3"/>
        <v>1.011</v>
      </c>
      <c r="Q54" s="1">
        <f t="shared" si="3"/>
        <v>6.517</v>
      </c>
      <c r="R54" s="1">
        <f t="shared" si="3"/>
        <v>3.056</v>
      </c>
      <c r="S54" s="1">
        <f t="shared" si="3"/>
        <v>1.469881</v>
      </c>
      <c r="T54" s="1">
        <f t="shared" ref="H54:AX58" si="5">GETPIVOTDATA("mVeh",$F$1,"veh_type",$F$47,"year",$F54,"ActiveReg",T$32)</f>
        <v>1.578129</v>
      </c>
      <c r="U54" s="1">
        <f t="shared" si="5"/>
        <v>0.032181</v>
      </c>
      <c r="V54" s="1">
        <f t="shared" si="5"/>
        <v>5.086</v>
      </c>
      <c r="W54" s="1">
        <f t="shared" si="5"/>
        <v>0.320966</v>
      </c>
      <c r="X54" s="1">
        <f t="shared" si="5"/>
        <v>5.001</v>
      </c>
      <c r="Y54" s="1">
        <f t="shared" si="5"/>
        <v>16.843</v>
      </c>
      <c r="Z54" s="1">
        <f t="shared" si="5"/>
        <v>12.212654</v>
      </c>
      <c r="AA54" s="1">
        <f t="shared" si="5"/>
        <v>6.77765366666667</v>
      </c>
      <c r="AB54" s="1">
        <f t="shared" si="5"/>
        <v>131.954</v>
      </c>
      <c r="AC54" s="1">
        <f t="shared" si="5"/>
        <v>0.56</v>
      </c>
      <c r="AD54" s="1">
        <f t="shared" si="5"/>
        <v>3.381</v>
      </c>
      <c r="AE54" s="1">
        <f t="shared" si="5"/>
        <v>23.795397</v>
      </c>
      <c r="AF54" s="1">
        <f t="shared" si="5"/>
        <v>6.888314</v>
      </c>
      <c r="AG54" s="1">
        <f t="shared" si="5"/>
        <v>1.87</v>
      </c>
      <c r="AH54" s="1">
        <f t="shared" si="5"/>
        <v>2.897565</v>
      </c>
      <c r="AI54" s="1">
        <f t="shared" si="5"/>
        <v>6.67</v>
      </c>
      <c r="AJ54" s="1">
        <f t="shared" si="5"/>
        <v>1.137864</v>
      </c>
      <c r="AK54" s="1">
        <f t="shared" si="5"/>
        <v>0.377275</v>
      </c>
      <c r="AL54" s="1">
        <f t="shared" si="5"/>
        <v>3.949</v>
      </c>
      <c r="AM54" s="1">
        <f t="shared" si="5"/>
        <v>4.269641</v>
      </c>
      <c r="AN54" s="1">
        <f t="shared" si="5"/>
        <v>1.521045</v>
      </c>
      <c r="AO54" s="1">
        <f t="shared" si="5"/>
        <v>0.360386</v>
      </c>
      <c r="AP54" s="1" t="e">
        <f t="shared" si="5"/>
        <v>#REF!</v>
      </c>
      <c r="AQ54" s="1" t="e">
        <f t="shared" si="5"/>
        <v>#REF!</v>
      </c>
      <c r="AR54" s="1" t="e">
        <f t="shared" si="5"/>
        <v>#REF!</v>
      </c>
      <c r="AS54" s="1" t="e">
        <f t="shared" si="5"/>
        <v>#REF!</v>
      </c>
      <c r="AT54" s="1" t="e">
        <f t="shared" si="5"/>
        <v>#REF!</v>
      </c>
      <c r="AU54" s="1" t="e">
        <f t="shared" si="5"/>
        <v>#REF!</v>
      </c>
      <c r="AV54" s="1" t="e">
        <f t="shared" si="5"/>
        <v>#REF!</v>
      </c>
      <c r="AW54" s="1" t="e">
        <f t="shared" si="5"/>
        <v>#REF!</v>
      </c>
      <c r="AX54" s="1" t="e">
        <f t="shared" si="5"/>
        <v>#REF!</v>
      </c>
    </row>
    <row r="55" spans="1:50">
      <c r="A55" t="s">
        <v>225</v>
      </c>
      <c r="B55">
        <v>2014</v>
      </c>
      <c r="C55" t="s">
        <v>8</v>
      </c>
      <c r="D55">
        <v>2.516467</v>
      </c>
      <c r="F55" s="79">
        <v>2012</v>
      </c>
      <c r="G55" s="1">
        <f t="shared" si="4"/>
        <v>4.421008</v>
      </c>
      <c r="H55" s="1">
        <f t="shared" si="5"/>
        <v>4.941314</v>
      </c>
      <c r="I55" s="1">
        <f t="shared" si="5"/>
        <v>3.318121</v>
      </c>
      <c r="J55" s="1">
        <f t="shared" si="5"/>
        <v>0.426</v>
      </c>
      <c r="K55" s="1">
        <f t="shared" si="5"/>
        <v>0.325703</v>
      </c>
      <c r="L55" s="1">
        <f t="shared" si="5"/>
        <v>1.873987</v>
      </c>
      <c r="M55" s="1">
        <f t="shared" si="5"/>
        <v>6.20807</v>
      </c>
      <c r="N55" s="1">
        <f t="shared" si="5"/>
        <v>21.844</v>
      </c>
      <c r="O55" s="1">
        <f t="shared" si="5"/>
        <v>0.245563</v>
      </c>
      <c r="P55" s="1">
        <f t="shared" si="5"/>
        <v>1.00585</v>
      </c>
      <c r="Q55" s="1">
        <f t="shared" si="5"/>
        <v>6.538</v>
      </c>
      <c r="R55" s="1">
        <f t="shared" si="5"/>
        <v>3.107</v>
      </c>
      <c r="S55" s="1">
        <f t="shared" si="5"/>
        <v>1.46318</v>
      </c>
      <c r="T55" s="1">
        <f t="shared" si="5"/>
        <v>1.623437</v>
      </c>
      <c r="U55" s="1">
        <f t="shared" si="5"/>
        <v>0.032422</v>
      </c>
      <c r="V55" s="1">
        <f t="shared" si="5"/>
        <v>5.726</v>
      </c>
      <c r="W55" s="1">
        <f t="shared" si="5"/>
        <v>0.309219</v>
      </c>
      <c r="X55" s="1">
        <f t="shared" si="5"/>
        <v>4.969</v>
      </c>
      <c r="Y55" s="1">
        <f t="shared" si="5"/>
        <v>16.705</v>
      </c>
      <c r="Z55" s="1">
        <f t="shared" si="5"/>
        <v>12.920811</v>
      </c>
      <c r="AA55" s="1">
        <f t="shared" si="5"/>
        <v>7.30348533333333</v>
      </c>
      <c r="AB55" s="1">
        <f t="shared" si="5"/>
        <v>141.371459</v>
      </c>
      <c r="AC55" s="1">
        <f t="shared" si="5"/>
        <v>0.571</v>
      </c>
      <c r="AD55" s="1">
        <f t="shared" si="5"/>
        <v>3.429</v>
      </c>
      <c r="AE55" s="1">
        <f t="shared" si="5"/>
        <v>24.846936</v>
      </c>
      <c r="AF55" s="1">
        <f t="shared" si="5"/>
        <v>7.389739</v>
      </c>
      <c r="AG55" s="1">
        <f t="shared" si="5"/>
        <v>2.013889</v>
      </c>
      <c r="AH55" s="1">
        <f t="shared" si="5"/>
        <v>2.966369</v>
      </c>
      <c r="AI55" s="1">
        <f t="shared" si="5"/>
        <v>6.543</v>
      </c>
      <c r="AJ55" s="1">
        <f t="shared" si="5"/>
        <v>1.132714</v>
      </c>
      <c r="AK55" s="1">
        <f t="shared" si="5"/>
        <v>0.390668</v>
      </c>
      <c r="AL55" s="1">
        <f t="shared" si="5"/>
        <v>4.178</v>
      </c>
      <c r="AM55" s="1">
        <f t="shared" si="5"/>
        <v>4.279</v>
      </c>
      <c r="AN55" s="1">
        <f t="shared" si="5"/>
        <v>1.944263</v>
      </c>
      <c r="AO55" s="1">
        <f t="shared" si="5"/>
        <v>0.321339</v>
      </c>
      <c r="AP55" s="1" t="e">
        <f t="shared" si="5"/>
        <v>#REF!</v>
      </c>
      <c r="AQ55" s="1" t="e">
        <f t="shared" si="5"/>
        <v>#REF!</v>
      </c>
      <c r="AR55" s="1" t="e">
        <f t="shared" si="5"/>
        <v>#REF!</v>
      </c>
      <c r="AS55" s="1" t="e">
        <f t="shared" si="5"/>
        <v>#REF!</v>
      </c>
      <c r="AT55" s="1" t="e">
        <f t="shared" si="5"/>
        <v>#REF!</v>
      </c>
      <c r="AU55" s="1" t="e">
        <f t="shared" si="5"/>
        <v>#REF!</v>
      </c>
      <c r="AV55" s="1" t="e">
        <f t="shared" si="5"/>
        <v>#REF!</v>
      </c>
      <c r="AW55" s="1" t="e">
        <f t="shared" si="5"/>
        <v>#REF!</v>
      </c>
      <c r="AX55" s="1" t="e">
        <f t="shared" si="5"/>
        <v>#REF!</v>
      </c>
    </row>
    <row r="56" spans="1:50">
      <c r="A56" t="s">
        <v>225</v>
      </c>
      <c r="B56">
        <v>2015</v>
      </c>
      <c r="C56" t="s">
        <v>8</v>
      </c>
      <c r="D56">
        <v>2.599711</v>
      </c>
      <c r="F56" s="79">
        <v>2013</v>
      </c>
      <c r="G56" s="1">
        <f t="shared" si="4"/>
        <v>4.619493</v>
      </c>
      <c r="H56" s="1">
        <f t="shared" si="5"/>
        <v>5.113792</v>
      </c>
      <c r="I56" s="1">
        <f t="shared" si="5"/>
        <v>3.435843</v>
      </c>
      <c r="J56" s="1">
        <f t="shared" si="5"/>
        <v>0.434331</v>
      </c>
      <c r="K56" s="1">
        <f t="shared" si="5"/>
        <v>0.337232</v>
      </c>
      <c r="L56" s="1">
        <f t="shared" si="5"/>
        <v>1.894508</v>
      </c>
      <c r="M56" s="1">
        <f t="shared" si="5"/>
        <v>6.679247</v>
      </c>
      <c r="N56" s="1">
        <f t="shared" si="5"/>
        <v>25.3402</v>
      </c>
      <c r="O56" s="1">
        <f t="shared" si="5"/>
        <v>0.247094</v>
      </c>
      <c r="P56" s="1">
        <f t="shared" si="5"/>
        <v>1.016496</v>
      </c>
      <c r="Q56" s="1">
        <f t="shared" si="5"/>
        <v>6.55</v>
      </c>
      <c r="R56" s="1">
        <f t="shared" si="5"/>
        <v>3.163469</v>
      </c>
      <c r="S56" s="1">
        <f t="shared" si="5"/>
        <v>1.455183</v>
      </c>
      <c r="T56" s="1">
        <f t="shared" si="5"/>
        <v>1.639114</v>
      </c>
      <c r="U56" s="1">
        <f t="shared" si="5"/>
        <v>0.032836</v>
      </c>
      <c r="V56" s="1">
        <f t="shared" si="5"/>
        <v>5.908</v>
      </c>
      <c r="W56" s="1">
        <f t="shared" si="5"/>
        <v>0.317849</v>
      </c>
      <c r="X56" s="1">
        <f t="shared" si="5"/>
        <v>4.914967</v>
      </c>
      <c r="Y56" s="1">
        <f t="shared" si="5"/>
        <v>16.583218</v>
      </c>
      <c r="Z56" s="1">
        <f t="shared" si="5"/>
        <v>13.35392</v>
      </c>
      <c r="AA56" s="1">
        <f t="shared" si="5"/>
        <v>7.59378</v>
      </c>
      <c r="AB56" s="1">
        <f t="shared" si="5"/>
        <v>143.623173</v>
      </c>
      <c r="AC56" s="1">
        <f t="shared" si="5"/>
        <v>0.578531</v>
      </c>
      <c r="AD56" s="1">
        <f t="shared" si="5"/>
        <v>3.508</v>
      </c>
      <c r="AE56" s="1">
        <f t="shared" si="5"/>
        <v>25.916251</v>
      </c>
      <c r="AF56" s="1">
        <f t="shared" si="5"/>
        <v>7.367783</v>
      </c>
      <c r="AG56" s="1">
        <f t="shared" si="5"/>
        <v>2.0825</v>
      </c>
      <c r="AH56" s="1">
        <f t="shared" si="5"/>
        <v>3.045466</v>
      </c>
      <c r="AI56" s="1">
        <f t="shared" si="5"/>
        <v>6.403266</v>
      </c>
      <c r="AJ56" s="1">
        <f t="shared" si="5"/>
        <v>1.127339</v>
      </c>
      <c r="AK56" s="1">
        <f t="shared" si="5"/>
        <v>0.399322</v>
      </c>
      <c r="AL56" s="1">
        <f t="shared" si="5"/>
        <v>4.366881</v>
      </c>
      <c r="AM56" s="1">
        <f t="shared" si="5"/>
        <v>4.364718</v>
      </c>
      <c r="AN56" s="1">
        <f t="shared" si="5"/>
        <v>2.061507</v>
      </c>
      <c r="AO56" s="1">
        <f t="shared" si="5"/>
        <v>0.333303</v>
      </c>
      <c r="AP56" s="1" t="e">
        <f t="shared" si="5"/>
        <v>#REF!</v>
      </c>
      <c r="AQ56" s="1" t="e">
        <f t="shared" si="5"/>
        <v>#REF!</v>
      </c>
      <c r="AR56" s="1" t="e">
        <f t="shared" si="5"/>
        <v>#REF!</v>
      </c>
      <c r="AS56" s="1" t="e">
        <f t="shared" si="5"/>
        <v>#REF!</v>
      </c>
      <c r="AT56" s="1" t="e">
        <f t="shared" si="5"/>
        <v>#REF!</v>
      </c>
      <c r="AU56" s="1" t="e">
        <f t="shared" si="5"/>
        <v>#REF!</v>
      </c>
      <c r="AV56" s="1" t="e">
        <f t="shared" si="5"/>
        <v>#REF!</v>
      </c>
      <c r="AW56" s="1" t="e">
        <f t="shared" si="5"/>
        <v>#REF!</v>
      </c>
      <c r="AX56" s="1" t="e">
        <f t="shared" si="5"/>
        <v>#REF!</v>
      </c>
    </row>
    <row r="57" spans="1:50">
      <c r="A57" t="s">
        <v>225</v>
      </c>
      <c r="B57">
        <v>2005</v>
      </c>
      <c r="C57" t="s">
        <v>9</v>
      </c>
      <c r="D57">
        <v>12.26</v>
      </c>
      <c r="F57" s="79">
        <v>2014</v>
      </c>
      <c r="G57" s="1">
        <f t="shared" si="4"/>
        <v>4.833927</v>
      </c>
      <c r="H57" s="1">
        <f t="shared" si="5"/>
        <v>5.323998</v>
      </c>
      <c r="I57" s="1">
        <f t="shared" si="5"/>
        <v>3.556059</v>
      </c>
      <c r="J57" s="1">
        <f t="shared" si="5"/>
        <v>0.4445</v>
      </c>
      <c r="K57" s="1">
        <f t="shared" si="5"/>
        <v>0.295866</v>
      </c>
      <c r="L57" s="1">
        <f t="shared" si="5"/>
        <v>1.90259</v>
      </c>
      <c r="M57" s="1">
        <f t="shared" si="5"/>
        <v>7.111102</v>
      </c>
      <c r="N57" s="1">
        <f t="shared" si="5"/>
        <v>28.499163</v>
      </c>
      <c r="O57" s="1">
        <f t="shared" si="5"/>
        <v>0.252704</v>
      </c>
      <c r="P57" s="1">
        <f t="shared" si="5"/>
        <v>1.038844</v>
      </c>
      <c r="Q57" s="1">
        <f t="shared" si="5"/>
        <v>6.608</v>
      </c>
      <c r="R57" s="1">
        <f t="shared" si="5"/>
        <v>3.244457</v>
      </c>
      <c r="S57" s="1">
        <f t="shared" si="5"/>
        <v>1.431663</v>
      </c>
      <c r="T57" s="1">
        <f t="shared" si="5"/>
        <v>1.730313</v>
      </c>
      <c r="U57" s="1">
        <f t="shared" si="5"/>
        <v>0.033664</v>
      </c>
      <c r="V57" s="1">
        <f t="shared" si="5"/>
        <v>6.068</v>
      </c>
      <c r="W57" s="1">
        <f t="shared" si="5"/>
        <v>0.317378</v>
      </c>
      <c r="X57" s="1">
        <f t="shared" si="5"/>
        <v>4.913953</v>
      </c>
      <c r="Y57" s="1">
        <f t="shared" si="5"/>
        <v>16.520396</v>
      </c>
      <c r="Z57" s="1">
        <f t="shared" si="5"/>
        <v>14.08419</v>
      </c>
      <c r="AA57" s="1">
        <f t="shared" si="5"/>
        <v>7.831396</v>
      </c>
      <c r="AB57" s="1">
        <f t="shared" si="5"/>
        <v>148.373844</v>
      </c>
      <c r="AC57" s="1">
        <f t="shared" si="5"/>
        <v>0.584838</v>
      </c>
      <c r="AD57" s="1">
        <f t="shared" si="5"/>
        <v>3.469014</v>
      </c>
      <c r="AE57" s="1">
        <f t="shared" si="5"/>
        <v>27.174536</v>
      </c>
      <c r="AF57" s="1">
        <f t="shared" si="5"/>
        <v>7.58462</v>
      </c>
      <c r="AG57" s="1">
        <f t="shared" si="5"/>
        <v>2.13</v>
      </c>
      <c r="AH57" s="1">
        <f t="shared" si="5"/>
        <v>3.130862</v>
      </c>
      <c r="AI57" s="1">
        <f t="shared" si="5"/>
        <v>6.336843</v>
      </c>
      <c r="AJ57" s="1">
        <f t="shared" si="5"/>
        <v>1.137973</v>
      </c>
      <c r="AK57" s="1">
        <f t="shared" si="5"/>
        <v>0.410118</v>
      </c>
      <c r="AL57" s="1">
        <f t="shared" si="5"/>
        <v>4.515402</v>
      </c>
      <c r="AM57" s="1">
        <f t="shared" si="5"/>
        <v>4.500576</v>
      </c>
      <c r="AN57" s="1">
        <f t="shared" si="5"/>
        <v>2.001558</v>
      </c>
      <c r="AO57" s="1">
        <f t="shared" si="5"/>
        <v>0.395566</v>
      </c>
      <c r="AP57" s="1" t="e">
        <f t="shared" si="5"/>
        <v>#REF!</v>
      </c>
      <c r="AQ57" s="1" t="e">
        <f t="shared" si="5"/>
        <v>#REF!</v>
      </c>
      <c r="AR57" s="1" t="e">
        <f t="shared" si="5"/>
        <v>#REF!</v>
      </c>
      <c r="AS57" s="1" t="e">
        <f t="shared" si="5"/>
        <v>#REF!</v>
      </c>
      <c r="AT57" s="1" t="e">
        <f t="shared" si="5"/>
        <v>#REF!</v>
      </c>
      <c r="AU57" s="1" t="e">
        <f t="shared" si="5"/>
        <v>#REF!</v>
      </c>
      <c r="AV57" s="1" t="e">
        <f t="shared" si="5"/>
        <v>#REF!</v>
      </c>
      <c r="AW57" s="1" t="e">
        <f t="shared" si="5"/>
        <v>#REF!</v>
      </c>
      <c r="AX57" s="1" t="e">
        <f t="shared" si="5"/>
        <v>#REF!</v>
      </c>
    </row>
    <row r="58" spans="1:50">
      <c r="A58" t="s">
        <v>225</v>
      </c>
      <c r="B58">
        <v>2006</v>
      </c>
      <c r="C58" t="s">
        <v>9</v>
      </c>
      <c r="D58">
        <v>12.474</v>
      </c>
      <c r="F58" s="79">
        <v>2015</v>
      </c>
      <c r="G58" s="1">
        <f t="shared" si="4"/>
        <v>5.269472</v>
      </c>
      <c r="H58" s="1">
        <f t="shared" si="5"/>
        <v>5.506777</v>
      </c>
      <c r="I58" s="1">
        <f t="shared" si="5"/>
        <v>3.651103</v>
      </c>
      <c r="J58" s="1">
        <f t="shared" si="5"/>
        <v>0.453702</v>
      </c>
      <c r="K58" s="1">
        <f t="shared" si="5"/>
        <v>0.307147</v>
      </c>
      <c r="L58" s="1">
        <f t="shared" si="5"/>
        <v>1.939395</v>
      </c>
      <c r="M58" s="1">
        <f t="shared" si="5"/>
        <v>7.271901</v>
      </c>
      <c r="N58" s="1">
        <f t="shared" si="5"/>
        <v>27.039668</v>
      </c>
      <c r="O58" s="1">
        <f t="shared" si="5"/>
        <v>0.262987</v>
      </c>
      <c r="P58" s="1">
        <f t="shared" si="5"/>
        <v>1.072013</v>
      </c>
      <c r="Q58" s="1">
        <f t="shared" si="5"/>
        <v>6.652</v>
      </c>
      <c r="R58" s="1">
        <f t="shared" si="5"/>
        <v>3.355885</v>
      </c>
      <c r="S58" s="1">
        <f t="shared" si="5"/>
        <v>1.206896</v>
      </c>
      <c r="T58" s="1">
        <f t="shared" si="5"/>
        <v>1.838336</v>
      </c>
      <c r="U58" s="1">
        <f t="shared" si="5"/>
        <v>0.035426</v>
      </c>
      <c r="V58" s="1">
        <f t="shared" si="5"/>
        <v>6.392</v>
      </c>
      <c r="W58" s="1">
        <f t="shared" si="5"/>
        <v>0.330541</v>
      </c>
      <c r="X58" s="1">
        <f t="shared" si="5"/>
        <v>4.939838</v>
      </c>
      <c r="Y58" s="1">
        <f t="shared" si="5"/>
        <v>16.416448</v>
      </c>
      <c r="Z58" s="1">
        <f t="shared" si="5"/>
        <v>14.757721</v>
      </c>
      <c r="AA58" s="1">
        <f t="shared" si="5"/>
        <v>8.138328</v>
      </c>
      <c r="AB58" s="1">
        <f t="shared" si="5"/>
        <v>153.435383</v>
      </c>
      <c r="AC58" s="1">
        <f t="shared" si="5"/>
        <v>0.590872</v>
      </c>
      <c r="AD58" s="1">
        <f t="shared" si="5"/>
        <v>3.562199</v>
      </c>
      <c r="AE58" s="1">
        <f t="shared" si="5"/>
        <v>28.039458</v>
      </c>
      <c r="AF58" s="1">
        <f t="shared" si="5"/>
        <v>7.567046</v>
      </c>
      <c r="AG58" s="1">
        <f t="shared" si="5"/>
        <v>2.2</v>
      </c>
      <c r="AH58" s="1">
        <f t="shared" si="5"/>
        <v>3.216656</v>
      </c>
      <c r="AI58" s="1">
        <f t="shared" si="5"/>
        <v>6.385971</v>
      </c>
      <c r="AJ58" s="1">
        <f t="shared" si="5"/>
        <v>1.151717</v>
      </c>
      <c r="AK58" s="1">
        <f t="shared" si="5"/>
        <v>0.420613</v>
      </c>
      <c r="AL58" s="1">
        <f t="shared" si="5"/>
        <v>4.771619</v>
      </c>
      <c r="AM58" s="1">
        <f t="shared" si="5"/>
        <v>4.677162</v>
      </c>
      <c r="AN58" s="1">
        <f t="shared" si="5"/>
        <v>1.885667</v>
      </c>
      <c r="AO58" s="1">
        <f t="shared" si="5"/>
        <v>0.410062</v>
      </c>
      <c r="AP58" s="1" t="e">
        <f t="shared" si="5"/>
        <v>#REF!</v>
      </c>
      <c r="AQ58" s="1" t="e">
        <f t="shared" si="5"/>
        <v>#REF!</v>
      </c>
      <c r="AR58" s="1" t="e">
        <f t="shared" si="5"/>
        <v>#REF!</v>
      </c>
      <c r="AS58" s="1" t="e">
        <f t="shared" si="5"/>
        <v>#REF!</v>
      </c>
      <c r="AT58" s="1" t="e">
        <f t="shared" si="5"/>
        <v>#REF!</v>
      </c>
      <c r="AU58" s="1" t="e">
        <f t="shared" si="5"/>
        <v>#REF!</v>
      </c>
      <c r="AV58" s="1" t="e">
        <f t="shared" si="5"/>
        <v>#REF!</v>
      </c>
      <c r="AW58" s="1" t="e">
        <f t="shared" si="5"/>
        <v>#REF!</v>
      </c>
      <c r="AX58" s="1" t="e">
        <f t="shared" si="5"/>
        <v>#REF!</v>
      </c>
    </row>
    <row r="59" spans="1:50">
      <c r="A59" t="s">
        <v>225</v>
      </c>
      <c r="B59">
        <v>2007</v>
      </c>
      <c r="C59" t="s">
        <v>9</v>
      </c>
      <c r="D59">
        <v>12.72</v>
      </c>
      <c r="F59" s="85">
        <v>2019</v>
      </c>
      <c r="G59" s="86" cm="1">
        <f t="array" ref="G59">TREND(G54:G58,$F$40:$F$44,$F59)</f>
        <v>6.24214080000002</v>
      </c>
      <c r="H59" s="86" cm="1">
        <f t="array" ref="H59">TREND(H54:H58,$F$40:$F$44,$F59)</f>
        <v>6.19534899999996</v>
      </c>
      <c r="I59" s="86" cm="1">
        <f t="array" ref="I59">TREND(I54:I58,$F$40:$F$44,$F59)</f>
        <v>4.6003116</v>
      </c>
      <c r="J59" s="86" cm="1">
        <f t="array" ref="J59">TREND(J54:J58,$F$40:$F$44,$F59)</f>
        <v>0.490248999999999</v>
      </c>
      <c r="K59" s="86" cm="1">
        <f t="array" ref="K59">TREND(K54:K58,$F$40:$F$44,$F59)</f>
        <v>0.287562799999998</v>
      </c>
      <c r="L59" s="86" cm="1">
        <f t="array" ref="L59">TREND(L54:L58,$F$40:$F$44,$F59)</f>
        <v>1.9828478</v>
      </c>
      <c r="M59" s="86" cm="1">
        <f t="array" ref="M59">TREND(M54:M58,$F$40:$F$44,$F59)</f>
        <v>8.95854040000006</v>
      </c>
      <c r="N59" s="86" cm="1">
        <f t="array" ref="N59">TREND(N54:N58,$F$40:$F$44,$F59)</f>
        <v>38.2723055999995</v>
      </c>
      <c r="O59" s="86" cm="1">
        <f t="array" ref="O59">TREND(O54:O58,$F$40:$F$44,$F59)</f>
        <v>0.2620626</v>
      </c>
      <c r="P59" s="86" cm="1">
        <f t="array" ref="P59">TREND(P54:P58,$F$40:$F$44,$F59)</f>
        <v>1.1218526</v>
      </c>
      <c r="Q59" s="86" cm="1">
        <f t="array" ref="Q59">TREND(Q54:Q58,$F$40:$F$44,$F59)</f>
        <v>6.77700000000001</v>
      </c>
      <c r="R59" s="86" cm="1">
        <f t="array" ref="R59">TREND(R54:R58,$F$40:$F$44,$F59)</f>
        <v>3.62769839999999</v>
      </c>
      <c r="S59" s="86" cm="1">
        <f t="array" ref="S59">TREND(S54:S58,$F$40:$F$44,$F59)</f>
        <v>1.07086839999999</v>
      </c>
      <c r="T59" s="86" cm="1">
        <f t="array" ref="T59">TREND(T54:T58,$F$40:$F$44,$F59)</f>
        <v>2.0582398</v>
      </c>
      <c r="U59" s="86" cm="1">
        <f t="array" ref="U59">TREND(U54:U58,$F$40:$F$44,$F59)</f>
        <v>0.0379449999999999</v>
      </c>
      <c r="V59" s="86" cm="1">
        <f t="array" ref="V59">TREND(V54:V58,$F$40:$F$44,$F59)</f>
        <v>7.60839999999996</v>
      </c>
      <c r="W59" s="86" cm="1">
        <f t="array" ref="W59">TREND(W54:W58,$F$40:$F$44,$F59)</f>
        <v>0.335576</v>
      </c>
      <c r="X59" s="86" cm="1">
        <f t="array" ref="X59">TREND(X54:X58,$F$40:$F$44,$F59)</f>
        <v>4.841329</v>
      </c>
      <c r="Y59" s="86" cm="1">
        <f t="array" ref="Y59">TREND(Y54:Y58,$F$40:$F$44,$F59)</f>
        <v>15.9909876</v>
      </c>
      <c r="Z59" s="86" cm="1">
        <f t="array" ref="Z59">TREND(Z54:Z58,$F$40:$F$44,$F59)</f>
        <v>17.217967</v>
      </c>
      <c r="AA59" s="86" cm="1">
        <f t="array" ref="AA59">TREND(AA54:AA58,$F$40:$F$44,$F59)</f>
        <v>9.47848419999991</v>
      </c>
      <c r="AB59" s="86" cm="1">
        <f t="array" ref="AB59">TREND(AB54:AB58,$F$40:$F$44,$F59)</f>
        <v>173.730662399999</v>
      </c>
      <c r="AC59" s="86" cm="1">
        <f t="array" ref="AC59">TREND(AC54:AC58,$F$40:$F$44,$F59)</f>
        <v>0.622397399999999</v>
      </c>
      <c r="AD59" s="86" cm="1">
        <f t="array" ref="AD59">TREND(AD54:AD58,$F$40:$F$44,$F59)</f>
        <v>3.7112898</v>
      </c>
      <c r="AE59" s="86" cm="1">
        <f t="array" ref="AE59">TREND(AE54:AE58,$F$40:$F$44,$F59)</f>
        <v>32.4439487999998</v>
      </c>
      <c r="AF59" s="86" cm="1">
        <f t="array" ref="AF59">TREND(AF54:AF58,$F$40:$F$44,$F59)</f>
        <v>8.29090739999998</v>
      </c>
      <c r="AG59" s="86" cm="1">
        <f t="array" ref="AG59">TREND(AG54:AG58,$F$40:$F$44,$F59)</f>
        <v>2.52494439999998</v>
      </c>
      <c r="AH59" s="86" cm="1">
        <f t="array" ref="AH59">TREND(AH54:AH58,$F$40:$F$44,$F59)</f>
        <v>3.53298860000001</v>
      </c>
      <c r="AI59" s="86" cm="1">
        <f t="array" ref="AI59">TREND(AI54:AI58,$F$40:$F$44,$F59)</f>
        <v>6.003287</v>
      </c>
      <c r="AJ59" s="86" cm="1">
        <f t="array" ref="AJ59">TREND(AJ54:AJ58,$F$40:$F$44,$F59)</f>
        <v>1.1573004</v>
      </c>
      <c r="AK59" s="86" cm="1">
        <f t="array" ref="AK59">TREND(AK54:AK58,$F$40:$F$44,$F59)</f>
        <v>0.463274800000001</v>
      </c>
      <c r="AL59" s="86" cm="1">
        <f t="array" ref="AL59">TREND(AL54:AL58,$F$40:$F$44,$F59)</f>
        <v>5.5457644</v>
      </c>
      <c r="AM59" s="86" cm="1">
        <f t="array" ref="AM59">TREND(AM54:AM58,$F$40:$F$44,$F59)</f>
        <v>5.04019020000001</v>
      </c>
      <c r="AN59" s="86" cm="1">
        <f t="array" ref="AN59">TREND(AN54:AN58,$F$40:$F$44,$F59)</f>
        <v>2.35473139999999</v>
      </c>
      <c r="AO59" s="86" cm="1">
        <f t="array" ref="AO59">TREND(AO54:AO58,$F$40:$F$44,$F59)</f>
        <v>0.468278600000005</v>
      </c>
      <c r="AP59" s="86" t="e" cm="1">
        <f t="array" ref="AP59">TREND(AP54:AP58,$F$40:$F$44,$F59)</f>
        <v>#VALUE!</v>
      </c>
      <c r="AQ59" s="86" t="e" cm="1">
        <f t="array" ref="AQ59">TREND(AQ54:AQ58,$F$40:$F$44,$F59)</f>
        <v>#VALUE!</v>
      </c>
      <c r="AR59" s="86" t="e" cm="1">
        <f t="array" ref="AR59">TREND(AR54:AR58,$F$40:$F$44,$F59)</f>
        <v>#VALUE!</v>
      </c>
      <c r="AS59" s="86" t="e" cm="1">
        <f t="array" ref="AS59">TREND(AS54:AS58,$F$40:$F$44,$F59)</f>
        <v>#VALUE!</v>
      </c>
      <c r="AT59" s="86" t="e" cm="1">
        <f t="array" ref="AT59">TREND(AT54:AT58,$F$40:$F$44,$F59)</f>
        <v>#VALUE!</v>
      </c>
      <c r="AU59" s="86" t="e" cm="1">
        <f t="array" ref="AU59">TREND(AU54:AU58,$F$40:$F$44,$F59)</f>
        <v>#VALUE!</v>
      </c>
      <c r="AV59" s="86" t="e" cm="1">
        <f t="array" ref="AV59">TREND(AV54:AV58,$F$40:$F$44,$F59)</f>
        <v>#VALUE!</v>
      </c>
      <c r="AW59" s="86" t="e" cm="1">
        <f t="array" ref="AW59">TREND(AW54:AW58,$F$40:$F$44,$F59)</f>
        <v>#VALUE!</v>
      </c>
      <c r="AX59" s="86" t="e" cm="1">
        <f t="array" ref="AX59">TREND(AX54:AX58,$F$40:$F$44,$F59)</f>
        <v>#VALUE!</v>
      </c>
    </row>
    <row r="60" spans="1:50">
      <c r="A60" t="s">
        <v>225</v>
      </c>
      <c r="B60">
        <v>2008</v>
      </c>
      <c r="C60" t="s">
        <v>9</v>
      </c>
      <c r="D60">
        <v>12.958</v>
      </c>
    </row>
    <row r="61" spans="1:50">
      <c r="A61" t="s">
        <v>225</v>
      </c>
      <c r="B61">
        <v>2009</v>
      </c>
      <c r="C61" t="s">
        <v>9</v>
      </c>
      <c r="D61">
        <v>13.114</v>
      </c>
    </row>
    <row r="62" spans="1:50">
      <c r="A62" t="s">
        <v>225</v>
      </c>
      <c r="B62">
        <v>2010</v>
      </c>
      <c r="C62" t="s">
        <v>9</v>
      </c>
      <c r="D62">
        <v>13.352</v>
      </c>
    </row>
    <row r="63" spans="1:50">
      <c r="A63" t="s">
        <v>225</v>
      </c>
      <c r="B63">
        <v>2011</v>
      </c>
      <c r="C63" t="s">
        <v>9</v>
      </c>
      <c r="D63">
        <v>13.564</v>
      </c>
    </row>
    <row r="64" spans="1:50">
      <c r="A64" t="s">
        <v>225</v>
      </c>
      <c r="B64">
        <v>2012</v>
      </c>
      <c r="C64" t="s">
        <v>9</v>
      </c>
      <c r="D64">
        <v>13.664463</v>
      </c>
    </row>
    <row r="65" spans="1:4">
      <c r="A65" t="s">
        <v>225</v>
      </c>
      <c r="B65">
        <v>2013</v>
      </c>
      <c r="C65" t="s">
        <v>9</v>
      </c>
      <c r="D65">
        <v>13.956542</v>
      </c>
    </row>
    <row r="66" spans="1:4">
      <c r="A66" t="s">
        <v>225</v>
      </c>
      <c r="B66">
        <v>2014</v>
      </c>
      <c r="C66" t="s">
        <v>9</v>
      </c>
      <c r="D66">
        <v>14.076907</v>
      </c>
    </row>
    <row r="67" spans="1:4">
      <c r="A67" t="s">
        <v>225</v>
      </c>
      <c r="B67">
        <v>2015</v>
      </c>
      <c r="C67" t="s">
        <v>9</v>
      </c>
      <c r="D67">
        <v>14.304275</v>
      </c>
    </row>
    <row r="68" spans="1:4">
      <c r="A68" t="s">
        <v>225</v>
      </c>
      <c r="B68">
        <v>2005</v>
      </c>
      <c r="C68" t="s">
        <v>10</v>
      </c>
      <c r="D68">
        <v>18.925913525</v>
      </c>
    </row>
    <row r="69" spans="1:4">
      <c r="A69" t="s">
        <v>225</v>
      </c>
      <c r="B69">
        <v>2006</v>
      </c>
      <c r="C69" t="s">
        <v>10</v>
      </c>
      <c r="D69">
        <v>19.892111395</v>
      </c>
    </row>
    <row r="70" spans="1:4">
      <c r="A70" t="s">
        <v>225</v>
      </c>
      <c r="B70">
        <v>2007</v>
      </c>
      <c r="C70" t="s">
        <v>10</v>
      </c>
      <c r="D70">
        <v>21.29675603</v>
      </c>
    </row>
    <row r="71" spans="1:4">
      <c r="A71" t="s">
        <v>225</v>
      </c>
      <c r="B71">
        <v>2008</v>
      </c>
      <c r="C71" t="s">
        <v>10</v>
      </c>
      <c r="D71">
        <v>22.91713966</v>
      </c>
    </row>
    <row r="72" spans="1:4">
      <c r="A72" t="s">
        <v>225</v>
      </c>
      <c r="B72">
        <v>2009</v>
      </c>
      <c r="C72" t="s">
        <v>10</v>
      </c>
      <c r="D72">
        <v>24.814742645</v>
      </c>
    </row>
    <row r="73" spans="1:4">
      <c r="A73" t="s">
        <v>225</v>
      </c>
      <c r="B73">
        <v>2010</v>
      </c>
      <c r="C73" t="s">
        <v>10</v>
      </c>
      <c r="D73">
        <v>26.887691905</v>
      </c>
    </row>
    <row r="74" spans="1:4">
      <c r="A74" t="s">
        <v>225</v>
      </c>
      <c r="B74">
        <v>2011</v>
      </c>
      <c r="C74" t="s">
        <v>10</v>
      </c>
      <c r="D74">
        <v>28.94593271</v>
      </c>
    </row>
    <row r="75" spans="1:4">
      <c r="A75" t="s">
        <v>225</v>
      </c>
      <c r="B75">
        <v>2012</v>
      </c>
      <c r="C75" t="s">
        <v>10</v>
      </c>
      <c r="D75">
        <v>31.12262194</v>
      </c>
    </row>
    <row r="76" spans="1:4">
      <c r="A76" t="s">
        <v>225</v>
      </c>
      <c r="B76">
        <v>2013</v>
      </c>
      <c r="C76" t="s">
        <v>10</v>
      </c>
      <c r="D76">
        <v>33.091826185</v>
      </c>
    </row>
    <row r="77" spans="1:4">
      <c r="A77" t="s">
        <v>225</v>
      </c>
      <c r="B77">
        <v>2014</v>
      </c>
      <c r="C77" t="s">
        <v>10</v>
      </c>
      <c r="D77">
        <v>34.67623183</v>
      </c>
    </row>
    <row r="78" spans="1:4">
      <c r="A78" t="s">
        <v>225</v>
      </c>
      <c r="B78">
        <v>2015</v>
      </c>
      <c r="C78" t="s">
        <v>10</v>
      </c>
      <c r="D78">
        <v>35.471423</v>
      </c>
    </row>
    <row r="79" spans="1:4">
      <c r="A79" t="s">
        <v>225</v>
      </c>
      <c r="B79">
        <v>2005</v>
      </c>
      <c r="C79" t="s">
        <v>11</v>
      </c>
      <c r="D79">
        <v>21.325</v>
      </c>
    </row>
    <row r="80" spans="1:4">
      <c r="A80" t="s">
        <v>225</v>
      </c>
      <c r="B80">
        <v>2006</v>
      </c>
      <c r="C80" t="s">
        <v>11</v>
      </c>
      <c r="D80">
        <v>26.196</v>
      </c>
    </row>
    <row r="81" spans="1:4">
      <c r="A81" t="s">
        <v>225</v>
      </c>
      <c r="B81">
        <v>2007</v>
      </c>
      <c r="C81" t="s">
        <v>11</v>
      </c>
      <c r="D81">
        <v>31.96</v>
      </c>
    </row>
    <row r="82" spans="1:4">
      <c r="A82" t="s">
        <v>225</v>
      </c>
      <c r="B82">
        <v>2008</v>
      </c>
      <c r="C82" t="s">
        <v>11</v>
      </c>
      <c r="D82">
        <v>38.389</v>
      </c>
    </row>
    <row r="83" spans="1:4">
      <c r="A83" t="s">
        <v>225</v>
      </c>
      <c r="B83">
        <v>2009</v>
      </c>
      <c r="C83" t="s">
        <v>11</v>
      </c>
      <c r="D83">
        <v>48.451</v>
      </c>
    </row>
    <row r="84" spans="1:4">
      <c r="A84" t="s">
        <v>225</v>
      </c>
      <c r="B84">
        <v>2010</v>
      </c>
      <c r="C84" t="s">
        <v>11</v>
      </c>
      <c r="D84">
        <v>61.634</v>
      </c>
    </row>
    <row r="85" spans="1:4">
      <c r="A85" t="s">
        <v>225</v>
      </c>
      <c r="B85">
        <v>2011</v>
      </c>
      <c r="C85" t="s">
        <v>11</v>
      </c>
      <c r="D85">
        <v>74.85</v>
      </c>
    </row>
    <row r="86" spans="1:4">
      <c r="A86" t="s">
        <v>225</v>
      </c>
      <c r="B86">
        <v>2012</v>
      </c>
      <c r="C86" t="s">
        <v>11</v>
      </c>
      <c r="D86">
        <v>87.376</v>
      </c>
    </row>
    <row r="87" spans="1:4">
      <c r="A87" t="s">
        <v>225</v>
      </c>
      <c r="B87">
        <v>2013</v>
      </c>
      <c r="C87" t="s">
        <v>11</v>
      </c>
      <c r="D87">
        <v>101.3608</v>
      </c>
    </row>
    <row r="88" spans="1:4">
      <c r="A88" t="s">
        <v>225</v>
      </c>
      <c r="B88">
        <v>2014</v>
      </c>
      <c r="C88" t="s">
        <v>11</v>
      </c>
      <c r="D88">
        <v>117.481913</v>
      </c>
    </row>
    <row r="89" spans="1:4">
      <c r="A89" t="s">
        <v>225</v>
      </c>
      <c r="B89">
        <v>2015</v>
      </c>
      <c r="C89" t="s">
        <v>11</v>
      </c>
      <c r="D89">
        <v>135.804833</v>
      </c>
    </row>
    <row r="90" spans="1:4">
      <c r="A90" t="s">
        <v>225</v>
      </c>
      <c r="B90">
        <v>2005</v>
      </c>
      <c r="C90" t="s">
        <v>12</v>
      </c>
      <c r="D90">
        <v>2.349781</v>
      </c>
    </row>
    <row r="91" spans="1:4">
      <c r="A91" t="s">
        <v>225</v>
      </c>
      <c r="B91">
        <v>2006</v>
      </c>
      <c r="C91" t="s">
        <v>12</v>
      </c>
      <c r="D91">
        <v>2.421567</v>
      </c>
    </row>
    <row r="92" spans="1:4">
      <c r="A92" t="s">
        <v>225</v>
      </c>
      <c r="B92">
        <v>2007</v>
      </c>
      <c r="C92" t="s">
        <v>12</v>
      </c>
      <c r="D92">
        <v>2.511127</v>
      </c>
    </row>
    <row r="93" spans="1:4">
      <c r="A93" t="s">
        <v>225</v>
      </c>
      <c r="B93">
        <v>2008</v>
      </c>
      <c r="C93" t="s">
        <v>12</v>
      </c>
      <c r="D93">
        <v>2.586836</v>
      </c>
    </row>
    <row r="94" spans="1:4">
      <c r="A94" t="s">
        <v>225</v>
      </c>
      <c r="B94">
        <v>2009</v>
      </c>
      <c r="C94" t="s">
        <v>12</v>
      </c>
      <c r="D94">
        <v>2.598927</v>
      </c>
    </row>
    <row r="95" spans="1:4">
      <c r="A95" t="s">
        <v>225</v>
      </c>
      <c r="B95">
        <v>2010</v>
      </c>
      <c r="C95" t="s">
        <v>12</v>
      </c>
      <c r="D95">
        <v>2.583932</v>
      </c>
    </row>
    <row r="96" spans="1:4">
      <c r="A96" t="s">
        <v>225</v>
      </c>
      <c r="B96">
        <v>2011</v>
      </c>
      <c r="C96" t="s">
        <v>12</v>
      </c>
      <c r="D96">
        <v>2.592109</v>
      </c>
    </row>
    <row r="97" spans="1:4">
      <c r="A97" t="s">
        <v>225</v>
      </c>
      <c r="B97">
        <v>2012</v>
      </c>
      <c r="C97" t="s">
        <v>12</v>
      </c>
      <c r="D97">
        <v>2.519187</v>
      </c>
    </row>
    <row r="98" spans="1:4">
      <c r="A98" t="s">
        <v>225</v>
      </c>
      <c r="B98">
        <v>2013</v>
      </c>
      <c r="C98" t="s">
        <v>12</v>
      </c>
      <c r="D98">
        <v>2.520221</v>
      </c>
    </row>
    <row r="99" spans="1:4">
      <c r="A99" t="s">
        <v>225</v>
      </c>
      <c r="B99">
        <v>2014</v>
      </c>
      <c r="C99" t="s">
        <v>12</v>
      </c>
      <c r="D99">
        <v>2.551457</v>
      </c>
    </row>
    <row r="100" spans="1:4">
      <c r="A100" t="s">
        <v>225</v>
      </c>
      <c r="B100">
        <v>2015</v>
      </c>
      <c r="C100" t="s">
        <v>12</v>
      </c>
      <c r="D100">
        <v>2.587488</v>
      </c>
    </row>
    <row r="101" spans="1:4">
      <c r="A101" t="s">
        <v>225</v>
      </c>
      <c r="B101">
        <v>2005</v>
      </c>
      <c r="C101" t="s">
        <v>13</v>
      </c>
      <c r="D101">
        <v>5.263</v>
      </c>
    </row>
    <row r="102" spans="1:4">
      <c r="A102" t="s">
        <v>225</v>
      </c>
      <c r="B102">
        <v>2006</v>
      </c>
      <c r="C102" t="s">
        <v>13</v>
      </c>
      <c r="D102">
        <v>5.443</v>
      </c>
    </row>
    <row r="103" spans="1:4">
      <c r="A103" t="s">
        <v>225</v>
      </c>
      <c r="B103">
        <v>2007</v>
      </c>
      <c r="C103" t="s">
        <v>13</v>
      </c>
      <c r="D103">
        <v>5.714</v>
      </c>
    </row>
    <row r="104" spans="1:4">
      <c r="A104" t="s">
        <v>225</v>
      </c>
      <c r="B104">
        <v>2008</v>
      </c>
      <c r="C104" t="s">
        <v>13</v>
      </c>
      <c r="D104">
        <v>5.968</v>
      </c>
    </row>
    <row r="105" spans="1:4">
      <c r="A105" t="s">
        <v>225</v>
      </c>
      <c r="B105">
        <v>2009</v>
      </c>
      <c r="C105" t="s">
        <v>13</v>
      </c>
      <c r="D105">
        <v>6.024</v>
      </c>
    </row>
    <row r="106" spans="1:4">
      <c r="A106" t="s">
        <v>225</v>
      </c>
      <c r="B106">
        <v>2010</v>
      </c>
      <c r="C106" t="s">
        <v>13</v>
      </c>
      <c r="D106">
        <v>6.165</v>
      </c>
    </row>
    <row r="107" spans="1:4">
      <c r="A107" t="s">
        <v>225</v>
      </c>
      <c r="B107">
        <v>2011</v>
      </c>
      <c r="C107" t="s">
        <v>13</v>
      </c>
      <c r="D107">
        <v>6.332</v>
      </c>
    </row>
    <row r="108" spans="1:4">
      <c r="A108" t="s">
        <v>225</v>
      </c>
      <c r="B108">
        <v>2012</v>
      </c>
      <c r="C108" t="s">
        <v>13</v>
      </c>
      <c r="D108">
        <v>6.525</v>
      </c>
    </row>
    <row r="109" spans="1:4">
      <c r="A109" t="s">
        <v>225</v>
      </c>
      <c r="B109">
        <v>2013</v>
      </c>
      <c r="C109" t="s">
        <v>13</v>
      </c>
      <c r="D109">
        <v>6.702876</v>
      </c>
    </row>
    <row r="110" spans="1:4">
      <c r="A110" t="s">
        <v>225</v>
      </c>
      <c r="B110">
        <v>2014</v>
      </c>
      <c r="C110" t="s">
        <v>13</v>
      </c>
      <c r="D110">
        <v>6.889208</v>
      </c>
    </row>
    <row r="111" spans="1:4">
      <c r="A111" t="s">
        <v>225</v>
      </c>
      <c r="B111">
        <v>2015</v>
      </c>
      <c r="C111" t="s">
        <v>13</v>
      </c>
      <c r="D111">
        <v>7.196288</v>
      </c>
    </row>
    <row r="112" spans="1:4">
      <c r="A112" t="s">
        <v>225</v>
      </c>
      <c r="B112">
        <v>2005</v>
      </c>
      <c r="C112" t="s">
        <v>14</v>
      </c>
      <c r="D112">
        <v>30.1</v>
      </c>
    </row>
    <row r="113" spans="1:4">
      <c r="A113" t="s">
        <v>225</v>
      </c>
      <c r="B113">
        <v>2006</v>
      </c>
      <c r="C113" t="s">
        <v>14</v>
      </c>
      <c r="D113">
        <v>30.4</v>
      </c>
    </row>
    <row r="114" spans="1:4">
      <c r="A114" t="s">
        <v>225</v>
      </c>
      <c r="B114">
        <v>2007</v>
      </c>
      <c r="C114" t="s">
        <v>14</v>
      </c>
      <c r="D114">
        <v>30.7</v>
      </c>
    </row>
    <row r="115" spans="1:4">
      <c r="A115" t="s">
        <v>225</v>
      </c>
      <c r="B115">
        <v>2008</v>
      </c>
      <c r="C115" t="s">
        <v>14</v>
      </c>
      <c r="D115">
        <v>30.85</v>
      </c>
    </row>
    <row r="116" spans="1:4">
      <c r="A116" t="s">
        <v>225</v>
      </c>
      <c r="B116">
        <v>2009</v>
      </c>
      <c r="C116" t="s">
        <v>14</v>
      </c>
      <c r="D116">
        <v>31.05</v>
      </c>
    </row>
    <row r="117" spans="1:4">
      <c r="A117" t="s">
        <v>225</v>
      </c>
      <c r="B117">
        <v>2010</v>
      </c>
      <c r="C117" t="s">
        <v>14</v>
      </c>
      <c r="D117">
        <v>31.3</v>
      </c>
    </row>
    <row r="118" spans="1:4">
      <c r="A118" t="s">
        <v>225</v>
      </c>
      <c r="B118">
        <v>2011</v>
      </c>
      <c r="C118" t="s">
        <v>14</v>
      </c>
      <c r="D118">
        <v>31.55</v>
      </c>
    </row>
    <row r="119" spans="1:4">
      <c r="A119" t="s">
        <v>225</v>
      </c>
      <c r="B119">
        <v>2012</v>
      </c>
      <c r="C119" t="s">
        <v>14</v>
      </c>
      <c r="D119">
        <v>31.6</v>
      </c>
    </row>
    <row r="120" spans="1:4">
      <c r="A120" t="s">
        <v>225</v>
      </c>
      <c r="B120">
        <v>2013</v>
      </c>
      <c r="C120" t="s">
        <v>14</v>
      </c>
      <c r="D120">
        <v>31.65</v>
      </c>
    </row>
    <row r="121" spans="1:4">
      <c r="A121" t="s">
        <v>225</v>
      </c>
      <c r="B121">
        <v>2014</v>
      </c>
      <c r="C121" t="s">
        <v>14</v>
      </c>
      <c r="D121">
        <v>31.8</v>
      </c>
    </row>
    <row r="122" spans="1:4">
      <c r="A122" t="s">
        <v>225</v>
      </c>
      <c r="B122">
        <v>2015</v>
      </c>
      <c r="C122" t="s">
        <v>14</v>
      </c>
      <c r="D122">
        <v>32</v>
      </c>
    </row>
    <row r="123" spans="1:4">
      <c r="A123" t="s">
        <v>225</v>
      </c>
      <c r="B123">
        <v>2005</v>
      </c>
      <c r="C123" t="s">
        <v>15</v>
      </c>
      <c r="D123">
        <v>46.09</v>
      </c>
    </row>
    <row r="124" spans="1:4">
      <c r="A124" t="s">
        <v>225</v>
      </c>
      <c r="B124">
        <v>2006</v>
      </c>
      <c r="C124" t="s">
        <v>15</v>
      </c>
      <c r="D124">
        <v>46.57</v>
      </c>
    </row>
    <row r="125" spans="1:4">
      <c r="A125" t="s">
        <v>225</v>
      </c>
      <c r="B125">
        <v>2007</v>
      </c>
      <c r="C125" t="s">
        <v>15</v>
      </c>
      <c r="D125">
        <v>41.184</v>
      </c>
    </row>
    <row r="126" spans="1:4">
      <c r="A126" t="s">
        <v>225</v>
      </c>
      <c r="B126">
        <v>2008</v>
      </c>
      <c r="C126" t="s">
        <v>15</v>
      </c>
      <c r="D126">
        <v>41.321</v>
      </c>
    </row>
    <row r="127" spans="1:4">
      <c r="A127" t="s">
        <v>225</v>
      </c>
      <c r="B127">
        <v>2009</v>
      </c>
      <c r="C127" t="s">
        <v>15</v>
      </c>
      <c r="D127">
        <v>41.738</v>
      </c>
    </row>
    <row r="128" spans="1:4">
      <c r="A128" t="s">
        <v>225</v>
      </c>
      <c r="B128">
        <v>2010</v>
      </c>
      <c r="C128" t="s">
        <v>15</v>
      </c>
      <c r="D128">
        <v>42.302</v>
      </c>
    </row>
    <row r="129" spans="1:4">
      <c r="A129" t="s">
        <v>225</v>
      </c>
      <c r="B129">
        <v>2011</v>
      </c>
      <c r="C129" t="s">
        <v>15</v>
      </c>
      <c r="D129">
        <v>42.928</v>
      </c>
    </row>
    <row r="130" spans="1:4">
      <c r="A130" t="s">
        <v>225</v>
      </c>
      <c r="B130">
        <v>2012</v>
      </c>
      <c r="C130" t="s">
        <v>15</v>
      </c>
      <c r="D130">
        <v>43.431</v>
      </c>
    </row>
    <row r="131" spans="1:4">
      <c r="A131" t="s">
        <v>225</v>
      </c>
      <c r="B131">
        <v>2013</v>
      </c>
      <c r="C131" t="s">
        <v>15</v>
      </c>
      <c r="D131">
        <v>43.85123</v>
      </c>
    </row>
    <row r="132" spans="1:4">
      <c r="A132" t="s">
        <v>225</v>
      </c>
      <c r="B132">
        <v>2014</v>
      </c>
      <c r="C132" t="s">
        <v>15</v>
      </c>
      <c r="D132">
        <v>44.403124</v>
      </c>
    </row>
    <row r="133" spans="1:4">
      <c r="A133" t="s">
        <v>225</v>
      </c>
      <c r="B133">
        <v>2015</v>
      </c>
      <c r="C133" t="s">
        <v>15</v>
      </c>
      <c r="D133">
        <v>45.071209</v>
      </c>
    </row>
    <row r="134" spans="1:4">
      <c r="A134" t="s">
        <v>225</v>
      </c>
      <c r="B134">
        <v>2005</v>
      </c>
      <c r="C134" t="s">
        <v>16</v>
      </c>
      <c r="D134">
        <v>4.658129</v>
      </c>
    </row>
    <row r="135" spans="1:4">
      <c r="A135" t="s">
        <v>225</v>
      </c>
      <c r="B135">
        <v>2006</v>
      </c>
      <c r="C135" t="s">
        <v>16</v>
      </c>
      <c r="D135">
        <v>4.916016</v>
      </c>
    </row>
    <row r="136" spans="1:4">
      <c r="A136" t="s">
        <v>225</v>
      </c>
      <c r="B136">
        <v>2007</v>
      </c>
      <c r="C136" t="s">
        <v>16</v>
      </c>
      <c r="D136">
        <v>5.20953</v>
      </c>
    </row>
    <row r="137" spans="1:4">
      <c r="A137" t="s">
        <v>225</v>
      </c>
      <c r="B137">
        <v>2008</v>
      </c>
      <c r="C137" t="s">
        <v>16</v>
      </c>
      <c r="D137">
        <v>5.467944</v>
      </c>
    </row>
    <row r="138" spans="1:4">
      <c r="A138" t="s">
        <v>225</v>
      </c>
      <c r="B138">
        <v>2009</v>
      </c>
      <c r="C138" t="s">
        <v>16</v>
      </c>
      <c r="D138">
        <v>5.59296</v>
      </c>
    </row>
    <row r="139" spans="1:4">
      <c r="A139" t="s">
        <v>225</v>
      </c>
      <c r="B139">
        <v>2010</v>
      </c>
      <c r="C139" t="s">
        <v>16</v>
      </c>
      <c r="D139">
        <v>5.679873</v>
      </c>
    </row>
    <row r="140" spans="1:4">
      <c r="A140" t="s">
        <v>225</v>
      </c>
      <c r="B140">
        <v>2011</v>
      </c>
      <c r="C140" t="s">
        <v>16</v>
      </c>
      <c r="D140">
        <v>5.673591</v>
      </c>
    </row>
    <row r="141" spans="1:4">
      <c r="A141" t="s">
        <v>225</v>
      </c>
      <c r="B141">
        <v>2012</v>
      </c>
      <c r="C141" t="s">
        <v>16</v>
      </c>
      <c r="D141">
        <v>5.642557</v>
      </c>
    </row>
    <row r="142" spans="1:4">
      <c r="A142" t="s">
        <v>225</v>
      </c>
      <c r="B142">
        <v>2013</v>
      </c>
      <c r="C142" t="s">
        <v>16</v>
      </c>
      <c r="D142">
        <v>5.598769</v>
      </c>
    </row>
    <row r="143" spans="1:4">
      <c r="A143" t="s">
        <v>225</v>
      </c>
      <c r="B143">
        <v>2014</v>
      </c>
      <c r="C143" t="s">
        <v>16</v>
      </c>
      <c r="D143">
        <v>5.580695</v>
      </c>
    </row>
    <row r="144" spans="1:4">
      <c r="A144" t="s">
        <v>225</v>
      </c>
      <c r="B144">
        <v>2015</v>
      </c>
      <c r="C144" t="s">
        <v>16</v>
      </c>
      <c r="D144">
        <v>5.5926</v>
      </c>
    </row>
    <row r="145" spans="1:4">
      <c r="A145" t="s">
        <v>225</v>
      </c>
      <c r="B145">
        <v>2005</v>
      </c>
      <c r="C145" t="s">
        <v>17</v>
      </c>
      <c r="D145">
        <v>8.791</v>
      </c>
    </row>
    <row r="146" spans="1:4">
      <c r="A146" t="s">
        <v>225</v>
      </c>
      <c r="B146">
        <v>2006</v>
      </c>
      <c r="C146" t="s">
        <v>17</v>
      </c>
      <c r="D146">
        <v>7.943</v>
      </c>
    </row>
    <row r="147" spans="1:4">
      <c r="A147" t="s">
        <v>225</v>
      </c>
      <c r="B147">
        <v>2007</v>
      </c>
      <c r="C147" t="s">
        <v>17</v>
      </c>
      <c r="D147">
        <v>8.648</v>
      </c>
    </row>
    <row r="148" spans="1:4">
      <c r="A148" t="s">
        <v>225</v>
      </c>
      <c r="B148">
        <v>2008</v>
      </c>
      <c r="C148" t="s">
        <v>17</v>
      </c>
      <c r="D148">
        <v>9.448427</v>
      </c>
    </row>
    <row r="149" spans="1:4">
      <c r="A149" t="s">
        <v>225</v>
      </c>
      <c r="B149">
        <v>2009</v>
      </c>
      <c r="C149" t="s">
        <v>17</v>
      </c>
      <c r="D149">
        <v>9.760719</v>
      </c>
    </row>
    <row r="150" spans="1:4">
      <c r="A150" t="s">
        <v>225</v>
      </c>
      <c r="B150">
        <v>2010</v>
      </c>
      <c r="C150" t="s">
        <v>17</v>
      </c>
      <c r="D150">
        <v>9.906063</v>
      </c>
    </row>
    <row r="151" spans="1:4">
      <c r="A151" t="s">
        <v>225</v>
      </c>
      <c r="B151">
        <v>2011</v>
      </c>
      <c r="C151" t="s">
        <v>17</v>
      </c>
      <c r="D151">
        <v>9.996808</v>
      </c>
    </row>
    <row r="152" spans="1:4">
      <c r="A152" t="s">
        <v>225</v>
      </c>
      <c r="B152">
        <v>2012</v>
      </c>
      <c r="C152" t="s">
        <v>17</v>
      </c>
      <c r="D152">
        <v>10.279842</v>
      </c>
    </row>
    <row r="153" spans="1:4">
      <c r="A153" t="s">
        <v>225</v>
      </c>
      <c r="B153">
        <v>2013</v>
      </c>
      <c r="C153" t="s">
        <v>17</v>
      </c>
      <c r="D153">
        <v>10.644618</v>
      </c>
    </row>
    <row r="154" spans="1:4">
      <c r="A154" t="s">
        <v>225</v>
      </c>
      <c r="B154">
        <v>2014</v>
      </c>
      <c r="C154" t="s">
        <v>17</v>
      </c>
      <c r="D154">
        <v>11.027188</v>
      </c>
    </row>
    <row r="155" spans="1:4">
      <c r="A155" t="s">
        <v>225</v>
      </c>
      <c r="B155">
        <v>2015</v>
      </c>
      <c r="C155" t="s">
        <v>17</v>
      </c>
      <c r="D155">
        <v>11.512075</v>
      </c>
    </row>
    <row r="156" spans="1:4">
      <c r="A156" t="s">
        <v>225</v>
      </c>
      <c r="B156">
        <v>2005</v>
      </c>
      <c r="C156" t="s">
        <v>18</v>
      </c>
      <c r="D156">
        <v>0.187</v>
      </c>
    </row>
    <row r="157" spans="1:4">
      <c r="A157" t="s">
        <v>225</v>
      </c>
      <c r="B157">
        <v>2006</v>
      </c>
      <c r="C157" t="s">
        <v>18</v>
      </c>
      <c r="D157">
        <v>0.197</v>
      </c>
    </row>
    <row r="158" spans="1:4">
      <c r="A158" t="s">
        <v>225</v>
      </c>
      <c r="B158">
        <v>2007</v>
      </c>
      <c r="C158" t="s">
        <v>18</v>
      </c>
      <c r="D158">
        <v>0.208</v>
      </c>
    </row>
    <row r="159" spans="1:4">
      <c r="A159" t="s">
        <v>225</v>
      </c>
      <c r="B159">
        <v>2008</v>
      </c>
      <c r="C159" t="s">
        <v>18</v>
      </c>
      <c r="D159">
        <v>0.21</v>
      </c>
    </row>
    <row r="160" spans="1:4">
      <c r="A160" t="s">
        <v>225</v>
      </c>
      <c r="B160">
        <v>2009</v>
      </c>
      <c r="C160" t="s">
        <v>18</v>
      </c>
      <c r="D160">
        <v>0.205</v>
      </c>
    </row>
    <row r="161" spans="1:4">
      <c r="A161" t="s">
        <v>225</v>
      </c>
      <c r="B161">
        <v>2010</v>
      </c>
      <c r="C161" t="s">
        <v>18</v>
      </c>
      <c r="D161">
        <v>0.205</v>
      </c>
    </row>
    <row r="162" spans="1:4">
      <c r="A162" t="s">
        <v>225</v>
      </c>
      <c r="B162">
        <v>2011</v>
      </c>
      <c r="C162" t="s">
        <v>18</v>
      </c>
      <c r="D162">
        <v>0.206112</v>
      </c>
    </row>
    <row r="163" spans="1:4">
      <c r="A163" t="s">
        <v>225</v>
      </c>
      <c r="B163">
        <v>2012</v>
      </c>
      <c r="C163" t="s">
        <v>18</v>
      </c>
      <c r="D163">
        <v>0.21007</v>
      </c>
    </row>
    <row r="164" spans="1:4">
      <c r="A164" t="s">
        <v>225</v>
      </c>
      <c r="B164">
        <v>2013</v>
      </c>
      <c r="C164" t="s">
        <v>18</v>
      </c>
      <c r="D164">
        <v>0.213113</v>
      </c>
    </row>
    <row r="165" spans="1:4">
      <c r="A165" t="s">
        <v>225</v>
      </c>
      <c r="B165">
        <v>2014</v>
      </c>
      <c r="C165" t="s">
        <v>18</v>
      </c>
      <c r="D165">
        <v>0.217454</v>
      </c>
    </row>
    <row r="166" spans="1:4">
      <c r="A166" t="s">
        <v>225</v>
      </c>
      <c r="B166">
        <v>2015</v>
      </c>
      <c r="C166" t="s">
        <v>18</v>
      </c>
      <c r="D166">
        <v>0.226321</v>
      </c>
    </row>
    <row r="167" spans="1:4">
      <c r="A167" t="s">
        <v>225</v>
      </c>
      <c r="B167">
        <v>2005</v>
      </c>
      <c r="C167" t="s">
        <v>19</v>
      </c>
      <c r="D167">
        <v>7.626</v>
      </c>
    </row>
    <row r="168" spans="1:4">
      <c r="A168" t="s">
        <v>225</v>
      </c>
      <c r="B168">
        <v>2006</v>
      </c>
      <c r="C168" t="s">
        <v>19</v>
      </c>
      <c r="D168">
        <v>8.572</v>
      </c>
    </row>
    <row r="169" spans="1:4">
      <c r="A169" t="s">
        <v>225</v>
      </c>
      <c r="B169">
        <v>2007</v>
      </c>
      <c r="C169" t="s">
        <v>19</v>
      </c>
      <c r="D169">
        <v>9.444</v>
      </c>
    </row>
    <row r="170" spans="1:4">
      <c r="A170" t="s">
        <v>225</v>
      </c>
      <c r="B170">
        <v>2008</v>
      </c>
      <c r="C170" t="s">
        <v>19</v>
      </c>
      <c r="D170">
        <v>10.606</v>
      </c>
    </row>
    <row r="171" spans="1:4">
      <c r="A171" t="s">
        <v>225</v>
      </c>
      <c r="B171">
        <v>2009</v>
      </c>
      <c r="C171" t="s">
        <v>19</v>
      </c>
      <c r="D171">
        <v>11.744</v>
      </c>
    </row>
    <row r="172" spans="1:4">
      <c r="A172" t="s">
        <v>225</v>
      </c>
      <c r="B172">
        <v>2010</v>
      </c>
      <c r="C172" t="s">
        <v>19</v>
      </c>
      <c r="D172">
        <v>13.268</v>
      </c>
    </row>
    <row r="173" spans="1:4">
      <c r="A173" t="s">
        <v>225</v>
      </c>
      <c r="B173">
        <v>2011</v>
      </c>
      <c r="C173" t="s">
        <v>19</v>
      </c>
      <c r="D173">
        <v>15.027</v>
      </c>
    </row>
    <row r="174" spans="1:4">
      <c r="A174" t="s">
        <v>225</v>
      </c>
      <c r="B174">
        <v>2012</v>
      </c>
      <c r="C174" t="s">
        <v>19</v>
      </c>
      <c r="D174">
        <v>16.896</v>
      </c>
    </row>
    <row r="175" spans="1:4">
      <c r="A175" t="s">
        <v>225</v>
      </c>
      <c r="B175">
        <v>2013</v>
      </c>
      <c r="C175" t="s">
        <v>19</v>
      </c>
      <c r="D175">
        <v>18.918</v>
      </c>
    </row>
    <row r="176" spans="1:4">
      <c r="A176" t="s">
        <v>225</v>
      </c>
      <c r="B176">
        <v>2014</v>
      </c>
      <c r="C176" t="s">
        <v>19</v>
      </c>
      <c r="D176">
        <v>20.442</v>
      </c>
    </row>
    <row r="177" spans="1:4">
      <c r="A177" t="s">
        <v>225</v>
      </c>
      <c r="B177">
        <v>2015</v>
      </c>
      <c r="C177" t="s">
        <v>19</v>
      </c>
      <c r="D177">
        <v>22.468</v>
      </c>
    </row>
    <row r="178" spans="1:4">
      <c r="A178" t="s">
        <v>225</v>
      </c>
      <c r="B178">
        <v>2005</v>
      </c>
      <c r="C178" t="s">
        <v>20</v>
      </c>
      <c r="D178">
        <v>1.662157</v>
      </c>
    </row>
    <row r="179" spans="1:4">
      <c r="A179" t="s">
        <v>225</v>
      </c>
      <c r="B179">
        <v>2006</v>
      </c>
      <c r="C179" t="s">
        <v>20</v>
      </c>
      <c r="D179">
        <v>1.778861</v>
      </c>
    </row>
    <row r="180" spans="1:4">
      <c r="A180" t="s">
        <v>225</v>
      </c>
      <c r="B180">
        <v>2007</v>
      </c>
      <c r="C180" t="s">
        <v>20</v>
      </c>
      <c r="D180">
        <v>1.882901</v>
      </c>
    </row>
    <row r="181" spans="1:4">
      <c r="A181" t="s">
        <v>225</v>
      </c>
      <c r="B181">
        <v>2008</v>
      </c>
      <c r="C181" t="s">
        <v>20</v>
      </c>
      <c r="D181">
        <v>1.924281</v>
      </c>
    </row>
    <row r="182" spans="1:4">
      <c r="A182" t="s">
        <v>225</v>
      </c>
      <c r="B182">
        <v>2009</v>
      </c>
      <c r="C182" t="s">
        <v>20</v>
      </c>
      <c r="D182">
        <v>1.902429</v>
      </c>
    </row>
    <row r="183" spans="1:4">
      <c r="A183" t="s">
        <v>225</v>
      </c>
      <c r="B183">
        <v>2010</v>
      </c>
      <c r="C183" t="s">
        <v>20</v>
      </c>
      <c r="D183">
        <v>1.872715</v>
      </c>
    </row>
    <row r="184" spans="1:4">
      <c r="A184" t="s">
        <v>225</v>
      </c>
      <c r="B184">
        <v>2011</v>
      </c>
      <c r="C184" t="s">
        <v>20</v>
      </c>
      <c r="D184">
        <v>1.88781</v>
      </c>
    </row>
    <row r="185" spans="1:4">
      <c r="A185" t="s">
        <v>225</v>
      </c>
      <c r="B185">
        <v>2012</v>
      </c>
      <c r="C185" t="s">
        <v>20</v>
      </c>
      <c r="D185">
        <v>1.88255</v>
      </c>
    </row>
    <row r="186" spans="1:4">
      <c r="A186" t="s">
        <v>225</v>
      </c>
      <c r="B186">
        <v>2013</v>
      </c>
      <c r="C186" t="s">
        <v>20</v>
      </c>
      <c r="D186">
        <v>1.910165</v>
      </c>
    </row>
    <row r="187" spans="1:4">
      <c r="A187" t="s">
        <v>225</v>
      </c>
      <c r="B187">
        <v>2014</v>
      </c>
      <c r="C187" t="s">
        <v>20</v>
      </c>
      <c r="D187">
        <v>1.943868</v>
      </c>
    </row>
    <row r="188" spans="1:4">
      <c r="A188" t="s">
        <v>225</v>
      </c>
      <c r="B188">
        <v>2015</v>
      </c>
      <c r="C188" t="s">
        <v>20</v>
      </c>
      <c r="D188">
        <v>1.98513</v>
      </c>
    </row>
    <row r="189" spans="1:4">
      <c r="A189" t="s">
        <v>225</v>
      </c>
      <c r="B189">
        <v>2005</v>
      </c>
      <c r="C189" t="s">
        <v>21</v>
      </c>
      <c r="D189">
        <v>34.873</v>
      </c>
    </row>
    <row r="190" spans="1:4">
      <c r="A190" t="s">
        <v>225</v>
      </c>
      <c r="B190">
        <v>2006</v>
      </c>
      <c r="C190" t="s">
        <v>21</v>
      </c>
      <c r="D190">
        <v>35.509</v>
      </c>
    </row>
    <row r="191" spans="1:4">
      <c r="A191" t="s">
        <v>225</v>
      </c>
      <c r="B191">
        <v>2007</v>
      </c>
      <c r="C191" t="s">
        <v>21</v>
      </c>
      <c r="D191">
        <v>35.898</v>
      </c>
    </row>
    <row r="192" spans="1:4">
      <c r="A192" t="s">
        <v>225</v>
      </c>
      <c r="B192">
        <v>2008</v>
      </c>
      <c r="C192" t="s">
        <v>21</v>
      </c>
      <c r="D192">
        <v>36.327</v>
      </c>
    </row>
    <row r="193" spans="1:4">
      <c r="A193" t="s">
        <v>225</v>
      </c>
      <c r="B193">
        <v>2009</v>
      </c>
      <c r="C193" t="s">
        <v>21</v>
      </c>
      <c r="D193">
        <v>36.599</v>
      </c>
    </row>
    <row r="194" spans="1:4">
      <c r="A194" t="s">
        <v>225</v>
      </c>
      <c r="B194">
        <v>2010</v>
      </c>
      <c r="C194" t="s">
        <v>21</v>
      </c>
      <c r="D194">
        <v>36.985</v>
      </c>
    </row>
    <row r="195" spans="1:4">
      <c r="A195" t="s">
        <v>225</v>
      </c>
      <c r="B195">
        <v>2011</v>
      </c>
      <c r="C195" t="s">
        <v>21</v>
      </c>
      <c r="D195">
        <v>37.353</v>
      </c>
    </row>
    <row r="196" spans="1:4">
      <c r="A196" t="s">
        <v>225</v>
      </c>
      <c r="B196">
        <v>2012</v>
      </c>
      <c r="C196" t="s">
        <v>21</v>
      </c>
      <c r="D196">
        <v>37.327612</v>
      </c>
    </row>
    <row r="197" spans="1:4">
      <c r="A197" t="s">
        <v>225</v>
      </c>
      <c r="B197">
        <v>2013</v>
      </c>
      <c r="C197" t="s">
        <v>21</v>
      </c>
      <c r="D197">
        <v>37.21903</v>
      </c>
    </row>
    <row r="198" spans="1:4">
      <c r="A198" t="s">
        <v>225</v>
      </c>
      <c r="B198">
        <v>2014</v>
      </c>
      <c r="C198" t="s">
        <v>21</v>
      </c>
      <c r="D198">
        <v>37.346703</v>
      </c>
    </row>
    <row r="199" spans="1:4">
      <c r="A199" t="s">
        <v>225</v>
      </c>
      <c r="B199">
        <v>2015</v>
      </c>
      <c r="C199" t="s">
        <v>21</v>
      </c>
      <c r="D199">
        <v>37.626613</v>
      </c>
    </row>
    <row r="200" spans="1:4">
      <c r="A200" t="s">
        <v>225</v>
      </c>
      <c r="B200">
        <v>2005</v>
      </c>
      <c r="C200" t="s">
        <v>22</v>
      </c>
      <c r="D200">
        <v>57.091</v>
      </c>
    </row>
    <row r="201" spans="1:4">
      <c r="A201" t="s">
        <v>225</v>
      </c>
      <c r="B201">
        <v>2006</v>
      </c>
      <c r="C201" t="s">
        <v>22</v>
      </c>
      <c r="D201">
        <v>57.521</v>
      </c>
    </row>
    <row r="202" spans="1:4">
      <c r="A202" t="s">
        <v>225</v>
      </c>
      <c r="B202">
        <v>2007</v>
      </c>
      <c r="C202" t="s">
        <v>22</v>
      </c>
      <c r="D202">
        <v>57.624</v>
      </c>
    </row>
    <row r="203" spans="1:4">
      <c r="A203" t="s">
        <v>225</v>
      </c>
      <c r="B203">
        <v>2008</v>
      </c>
      <c r="C203" t="s">
        <v>22</v>
      </c>
      <c r="D203">
        <v>57.865</v>
      </c>
    </row>
    <row r="204" spans="1:4">
      <c r="A204" t="s">
        <v>225</v>
      </c>
      <c r="B204">
        <v>2009</v>
      </c>
      <c r="C204" t="s">
        <v>22</v>
      </c>
      <c r="D204">
        <v>58.02</v>
      </c>
    </row>
    <row r="205" spans="1:4">
      <c r="A205" t="s">
        <v>225</v>
      </c>
      <c r="B205">
        <v>2010</v>
      </c>
      <c r="C205" t="s">
        <v>22</v>
      </c>
      <c r="D205">
        <v>58.347</v>
      </c>
    </row>
    <row r="206" spans="1:4">
      <c r="A206" t="s">
        <v>225</v>
      </c>
      <c r="B206">
        <v>2011</v>
      </c>
      <c r="C206" t="s">
        <v>22</v>
      </c>
      <c r="D206">
        <v>58.67</v>
      </c>
    </row>
    <row r="207" spans="1:4">
      <c r="A207" t="s">
        <v>225</v>
      </c>
      <c r="B207">
        <v>2012</v>
      </c>
      <c r="C207" t="s">
        <v>22</v>
      </c>
      <c r="D207">
        <v>59.421</v>
      </c>
    </row>
    <row r="208" spans="1:4">
      <c r="A208" t="s">
        <v>225</v>
      </c>
      <c r="B208">
        <v>2013</v>
      </c>
      <c r="C208" t="s">
        <v>22</v>
      </c>
      <c r="D208">
        <v>60.035848</v>
      </c>
    </row>
    <row r="209" spans="1:4">
      <c r="A209" t="s">
        <v>225</v>
      </c>
      <c r="B209">
        <v>2014</v>
      </c>
      <c r="C209" t="s">
        <v>22</v>
      </c>
      <c r="D209">
        <v>60.66807</v>
      </c>
    </row>
    <row r="210" spans="1:4">
      <c r="A210" t="s">
        <v>225</v>
      </c>
      <c r="B210">
        <v>2015</v>
      </c>
      <c r="C210" t="s">
        <v>22</v>
      </c>
      <c r="D210">
        <v>60.987883</v>
      </c>
    </row>
    <row r="211" spans="1:4">
      <c r="A211" t="s">
        <v>225</v>
      </c>
      <c r="B211">
        <v>2005</v>
      </c>
      <c r="C211" t="s">
        <v>23</v>
      </c>
      <c r="D211">
        <v>18.345078</v>
      </c>
    </row>
    <row r="212" spans="1:4">
      <c r="A212" t="s">
        <v>225</v>
      </c>
      <c r="B212">
        <v>2006</v>
      </c>
      <c r="C212" t="s">
        <v>23</v>
      </c>
      <c r="D212">
        <v>19.311973</v>
      </c>
    </row>
    <row r="213" spans="1:4">
      <c r="A213" t="s">
        <v>225</v>
      </c>
      <c r="B213">
        <v>2007</v>
      </c>
      <c r="C213" t="s">
        <v>23</v>
      </c>
      <c r="D213">
        <v>20.7246</v>
      </c>
    </row>
    <row r="214" spans="1:4">
      <c r="A214" t="s">
        <v>225</v>
      </c>
      <c r="B214">
        <v>2008</v>
      </c>
      <c r="C214" t="s">
        <v>23</v>
      </c>
      <c r="D214">
        <v>22.407678</v>
      </c>
    </row>
    <row r="215" spans="1:4">
      <c r="A215" t="s">
        <v>225</v>
      </c>
      <c r="B215">
        <v>2009</v>
      </c>
      <c r="C215" t="s">
        <v>23</v>
      </c>
      <c r="D215">
        <v>23.18686</v>
      </c>
    </row>
    <row r="216" spans="1:4">
      <c r="A216" t="s">
        <v>225</v>
      </c>
      <c r="B216">
        <v>2010</v>
      </c>
      <c r="C216" t="s">
        <v>23</v>
      </c>
      <c r="D216">
        <v>24.653384</v>
      </c>
    </row>
    <row r="217" spans="1:4">
      <c r="A217" t="s">
        <v>225</v>
      </c>
      <c r="B217">
        <v>2011</v>
      </c>
      <c r="C217" t="s">
        <v>23</v>
      </c>
      <c r="D217">
        <v>26.271432</v>
      </c>
    </row>
    <row r="218" spans="1:4">
      <c r="A218" t="s">
        <v>225</v>
      </c>
      <c r="B218">
        <v>2012</v>
      </c>
      <c r="C218" t="s">
        <v>23</v>
      </c>
      <c r="D218">
        <v>27.72508</v>
      </c>
    </row>
    <row r="219" spans="1:4">
      <c r="A219" t="s">
        <v>225</v>
      </c>
      <c r="B219">
        <v>2013</v>
      </c>
      <c r="C219" t="s">
        <v>23</v>
      </c>
      <c r="D219">
        <v>28.922757</v>
      </c>
    </row>
    <row r="220" spans="1:4">
      <c r="A220" t="s">
        <v>225</v>
      </c>
      <c r="B220">
        <v>2014</v>
      </c>
      <c r="C220" t="s">
        <v>23</v>
      </c>
      <c r="D220">
        <v>30.518966</v>
      </c>
    </row>
    <row r="221" spans="1:4">
      <c r="A221" t="s">
        <v>225</v>
      </c>
      <c r="B221">
        <v>2015</v>
      </c>
      <c r="C221" t="s">
        <v>23</v>
      </c>
      <c r="D221">
        <v>31.461389</v>
      </c>
    </row>
    <row r="222" spans="1:4">
      <c r="A222" t="s">
        <v>225</v>
      </c>
      <c r="B222">
        <v>2005</v>
      </c>
      <c r="C222" t="s">
        <v>24</v>
      </c>
      <c r="D222">
        <v>14.902664</v>
      </c>
    </row>
    <row r="223" spans="1:4">
      <c r="A223" t="s">
        <v>225</v>
      </c>
      <c r="B223">
        <v>2006</v>
      </c>
      <c r="C223" t="s">
        <v>24</v>
      </c>
      <c r="D223">
        <v>15.721219</v>
      </c>
    </row>
    <row r="224" spans="1:4">
      <c r="A224" t="s">
        <v>225</v>
      </c>
      <c r="B224">
        <v>2007</v>
      </c>
      <c r="C224" t="s">
        <v>24</v>
      </c>
      <c r="D224">
        <v>16.676895</v>
      </c>
    </row>
    <row r="225" spans="1:4">
      <c r="A225" t="s">
        <v>225</v>
      </c>
      <c r="B225">
        <v>2008</v>
      </c>
      <c r="C225" t="s">
        <v>24</v>
      </c>
      <c r="D225">
        <v>17.9861436666667</v>
      </c>
    </row>
    <row r="226" spans="1:4">
      <c r="A226" t="s">
        <v>225</v>
      </c>
      <c r="B226">
        <v>2009</v>
      </c>
      <c r="C226" t="s">
        <v>24</v>
      </c>
      <c r="D226">
        <v>18.8806603333333</v>
      </c>
    </row>
    <row r="227" spans="1:4">
      <c r="A227" t="s">
        <v>225</v>
      </c>
      <c r="B227">
        <v>2010</v>
      </c>
      <c r="C227" t="s">
        <v>24</v>
      </c>
      <c r="D227">
        <v>19.947797</v>
      </c>
    </row>
    <row r="228" spans="1:4">
      <c r="A228" t="s">
        <v>225</v>
      </c>
      <c r="B228">
        <v>2011</v>
      </c>
      <c r="C228" t="s">
        <v>24</v>
      </c>
      <c r="D228">
        <v>22.121991</v>
      </c>
    </row>
    <row r="229" spans="1:4">
      <c r="A229" t="s">
        <v>225</v>
      </c>
      <c r="B229">
        <v>2012</v>
      </c>
      <c r="C229" t="s">
        <v>24</v>
      </c>
      <c r="D229">
        <v>24.065127</v>
      </c>
    </row>
    <row r="230" spans="1:4">
      <c r="A230" t="s">
        <v>225</v>
      </c>
      <c r="B230">
        <v>2013</v>
      </c>
      <c r="C230" t="s">
        <v>24</v>
      </c>
      <c r="D230">
        <v>25.967972</v>
      </c>
    </row>
    <row r="231" spans="1:4">
      <c r="A231" t="s">
        <v>225</v>
      </c>
      <c r="B231">
        <v>2014</v>
      </c>
      <c r="C231" t="s">
        <v>24</v>
      </c>
      <c r="D231">
        <v>27.695111</v>
      </c>
    </row>
    <row r="232" spans="1:4">
      <c r="A232" t="s">
        <v>225</v>
      </c>
      <c r="B232">
        <v>2015</v>
      </c>
      <c r="C232" t="s">
        <v>24</v>
      </c>
      <c r="D232">
        <v>29.563625</v>
      </c>
    </row>
    <row r="233" spans="1:4">
      <c r="A233" t="s">
        <v>225</v>
      </c>
      <c r="B233">
        <v>2005</v>
      </c>
      <c r="C233" t="s">
        <v>25</v>
      </c>
      <c r="D233">
        <v>165.333</v>
      </c>
    </row>
    <row r="234" spans="1:4">
      <c r="A234" t="s">
        <v>225</v>
      </c>
      <c r="B234">
        <v>2006</v>
      </c>
      <c r="C234" t="s">
        <v>25</v>
      </c>
      <c r="D234">
        <v>170.198</v>
      </c>
    </row>
    <row r="235" spans="1:4">
      <c r="A235" t="s">
        <v>225</v>
      </c>
      <c r="B235">
        <v>2007</v>
      </c>
      <c r="C235" t="s">
        <v>25</v>
      </c>
      <c r="D235">
        <v>172.118</v>
      </c>
    </row>
    <row r="236" spans="1:4">
      <c r="A236" t="s">
        <v>225</v>
      </c>
      <c r="B236">
        <v>2008</v>
      </c>
      <c r="C236" t="s">
        <v>25</v>
      </c>
      <c r="D236">
        <v>174.916</v>
      </c>
    </row>
    <row r="237" spans="1:4">
      <c r="A237" t="s">
        <v>225</v>
      </c>
      <c r="B237">
        <v>2009</v>
      </c>
      <c r="C237" t="s">
        <v>25</v>
      </c>
      <c r="D237">
        <v>172.896</v>
      </c>
    </row>
    <row r="238" spans="1:4">
      <c r="A238" t="s">
        <v>225</v>
      </c>
      <c r="B238">
        <v>2010</v>
      </c>
      <c r="C238" t="s">
        <v>25</v>
      </c>
      <c r="D238">
        <v>170.474</v>
      </c>
    </row>
    <row r="239" spans="1:4">
      <c r="A239" t="s">
        <v>225</v>
      </c>
      <c r="B239">
        <v>2011</v>
      </c>
      <c r="C239" t="s">
        <v>25</v>
      </c>
      <c r="D239">
        <v>170.559</v>
      </c>
    </row>
    <row r="240" spans="1:4">
      <c r="A240" t="s">
        <v>225</v>
      </c>
      <c r="B240">
        <v>2012</v>
      </c>
      <c r="C240" t="s">
        <v>25</v>
      </c>
      <c r="D240">
        <v>165.123628</v>
      </c>
    </row>
    <row r="241" spans="1:4">
      <c r="A241" t="s">
        <v>225</v>
      </c>
      <c r="B241">
        <v>2013</v>
      </c>
      <c r="C241" t="s">
        <v>25</v>
      </c>
      <c r="D241">
        <v>166.295633</v>
      </c>
    </row>
    <row r="242" spans="1:4">
      <c r="A242" t="s">
        <v>225</v>
      </c>
      <c r="B242">
        <v>2014</v>
      </c>
      <c r="C242" t="s">
        <v>25</v>
      </c>
      <c r="D242">
        <v>168.257315</v>
      </c>
    </row>
    <row r="243" spans="1:4">
      <c r="A243" t="s">
        <v>225</v>
      </c>
      <c r="B243">
        <v>2015</v>
      </c>
      <c r="C243" t="s">
        <v>25</v>
      </c>
      <c r="D243">
        <v>171.327125</v>
      </c>
    </row>
    <row r="244" spans="1:4">
      <c r="A244" t="s">
        <v>225</v>
      </c>
      <c r="B244">
        <v>2005</v>
      </c>
      <c r="C244" t="s">
        <v>26</v>
      </c>
      <c r="D244">
        <v>2.029</v>
      </c>
    </row>
    <row r="245" spans="1:4">
      <c r="A245" t="s">
        <v>225</v>
      </c>
      <c r="B245">
        <v>2006</v>
      </c>
      <c r="C245" t="s">
        <v>26</v>
      </c>
      <c r="D245">
        <v>2.085</v>
      </c>
    </row>
    <row r="246" spans="1:4">
      <c r="A246" t="s">
        <v>225</v>
      </c>
      <c r="B246">
        <v>2007</v>
      </c>
      <c r="C246" t="s">
        <v>26</v>
      </c>
      <c r="D246">
        <v>2.155</v>
      </c>
    </row>
    <row r="247" spans="1:4">
      <c r="A247" t="s">
        <v>225</v>
      </c>
      <c r="B247">
        <v>2008</v>
      </c>
      <c r="C247" t="s">
        <v>26</v>
      </c>
      <c r="D247">
        <v>2.198</v>
      </c>
    </row>
    <row r="248" spans="1:4">
      <c r="A248" t="s">
        <v>225</v>
      </c>
      <c r="B248">
        <v>2009</v>
      </c>
      <c r="C248" t="s">
        <v>26</v>
      </c>
      <c r="D248">
        <v>2.243</v>
      </c>
    </row>
    <row r="249" spans="1:4">
      <c r="A249" t="s">
        <v>225</v>
      </c>
      <c r="B249">
        <v>2010</v>
      </c>
      <c r="C249" t="s">
        <v>26</v>
      </c>
      <c r="D249">
        <v>2.305</v>
      </c>
    </row>
    <row r="250" spans="1:4">
      <c r="A250" t="s">
        <v>225</v>
      </c>
      <c r="B250">
        <v>2011</v>
      </c>
      <c r="C250" t="s">
        <v>26</v>
      </c>
      <c r="D250">
        <v>2.37</v>
      </c>
    </row>
    <row r="251" spans="1:4">
      <c r="A251" t="s">
        <v>225</v>
      </c>
      <c r="B251">
        <v>2012</v>
      </c>
      <c r="C251" t="s">
        <v>26</v>
      </c>
      <c r="D251">
        <v>2.433</v>
      </c>
    </row>
    <row r="252" spans="1:4">
      <c r="A252" t="s">
        <v>225</v>
      </c>
      <c r="B252">
        <v>2013</v>
      </c>
      <c r="C252" t="s">
        <v>26</v>
      </c>
      <c r="D252">
        <v>2.487353</v>
      </c>
    </row>
    <row r="253" spans="1:4">
      <c r="A253" t="s">
        <v>225</v>
      </c>
      <c r="B253">
        <v>2014</v>
      </c>
      <c r="C253" t="s">
        <v>26</v>
      </c>
      <c r="D253">
        <v>2.539552</v>
      </c>
    </row>
    <row r="254" spans="1:4">
      <c r="A254" t="s">
        <v>225</v>
      </c>
      <c r="B254">
        <v>2015</v>
      </c>
      <c r="C254" t="s">
        <v>26</v>
      </c>
      <c r="D254">
        <v>2.59239</v>
      </c>
    </row>
    <row r="255" spans="1:4">
      <c r="A255" t="s">
        <v>225</v>
      </c>
      <c r="B255">
        <v>2005</v>
      </c>
      <c r="C255" t="s">
        <v>27</v>
      </c>
      <c r="D255">
        <v>12.339</v>
      </c>
    </row>
    <row r="256" spans="1:4">
      <c r="A256" t="s">
        <v>225</v>
      </c>
      <c r="B256">
        <v>2006</v>
      </c>
      <c r="C256" t="s">
        <v>27</v>
      </c>
      <c r="D256">
        <v>13.384</v>
      </c>
    </row>
    <row r="257" spans="1:4">
      <c r="A257" t="s">
        <v>225</v>
      </c>
      <c r="B257">
        <v>2007</v>
      </c>
      <c r="C257" t="s">
        <v>27</v>
      </c>
      <c r="D257">
        <v>14.589</v>
      </c>
    </row>
    <row r="258" spans="1:4">
      <c r="A258" t="s">
        <v>225</v>
      </c>
      <c r="B258">
        <v>2008</v>
      </c>
      <c r="C258" t="s">
        <v>27</v>
      </c>
      <c r="D258">
        <v>16.08</v>
      </c>
    </row>
    <row r="259" spans="1:4">
      <c r="A259" t="s">
        <v>225</v>
      </c>
      <c r="B259">
        <v>2009</v>
      </c>
      <c r="C259" t="s">
        <v>27</v>
      </c>
      <c r="D259">
        <v>16.495</v>
      </c>
    </row>
    <row r="260" spans="1:4">
      <c r="A260" t="s">
        <v>225</v>
      </c>
      <c r="B260">
        <v>2010</v>
      </c>
      <c r="C260" t="s">
        <v>27</v>
      </c>
      <c r="D260">
        <v>17.24</v>
      </c>
    </row>
    <row r="261" spans="1:4">
      <c r="A261" t="s">
        <v>225</v>
      </c>
      <c r="B261">
        <v>2011</v>
      </c>
      <c r="C261" t="s">
        <v>27</v>
      </c>
      <c r="D261">
        <v>17.872</v>
      </c>
    </row>
    <row r="262" spans="1:4">
      <c r="A262" t="s">
        <v>225</v>
      </c>
      <c r="B262">
        <v>2012</v>
      </c>
      <c r="C262" t="s">
        <v>27</v>
      </c>
      <c r="D262">
        <v>18.744</v>
      </c>
    </row>
    <row r="263" spans="1:4">
      <c r="A263" t="s">
        <v>225</v>
      </c>
      <c r="B263">
        <v>2013</v>
      </c>
      <c r="C263" t="s">
        <v>27</v>
      </c>
      <c r="D263">
        <v>19.34212</v>
      </c>
    </row>
    <row r="264" spans="1:4">
      <c r="A264" t="s">
        <v>225</v>
      </c>
      <c r="B264">
        <v>2014</v>
      </c>
      <c r="C264" t="s">
        <v>27</v>
      </c>
      <c r="D264">
        <v>19.978589</v>
      </c>
    </row>
    <row r="265" spans="1:4">
      <c r="A265" t="s">
        <v>225</v>
      </c>
      <c r="B265">
        <v>2015</v>
      </c>
      <c r="C265" t="s">
        <v>27</v>
      </c>
      <c r="D265">
        <v>20.688174</v>
      </c>
    </row>
    <row r="266" spans="1:4">
      <c r="A266" t="s">
        <v>225</v>
      </c>
      <c r="B266">
        <v>2005</v>
      </c>
      <c r="C266" t="s">
        <v>28</v>
      </c>
      <c r="D266">
        <v>43.529526</v>
      </c>
    </row>
    <row r="267" spans="1:4">
      <c r="A267" t="s">
        <v>225</v>
      </c>
      <c r="B267">
        <v>2006</v>
      </c>
      <c r="C267" t="s">
        <v>28</v>
      </c>
      <c r="D267">
        <v>45.956477</v>
      </c>
    </row>
    <row r="268" spans="1:4">
      <c r="A268" t="s">
        <v>225</v>
      </c>
      <c r="B268">
        <v>2007</v>
      </c>
      <c r="C268" t="s">
        <v>28</v>
      </c>
      <c r="D268">
        <v>51.461047</v>
      </c>
    </row>
    <row r="269" spans="1:4">
      <c r="A269" t="s">
        <v>225</v>
      </c>
      <c r="B269">
        <v>2008</v>
      </c>
      <c r="C269" t="s">
        <v>28</v>
      </c>
      <c r="D269">
        <v>52.06651</v>
      </c>
    </row>
    <row r="270" spans="1:4">
      <c r="A270" t="s">
        <v>225</v>
      </c>
      <c r="B270">
        <v>2009</v>
      </c>
      <c r="C270" t="s">
        <v>28</v>
      </c>
      <c r="D270">
        <v>54.62955</v>
      </c>
    </row>
    <row r="271" spans="1:4">
      <c r="A271" t="s">
        <v>225</v>
      </c>
      <c r="B271">
        <v>2010</v>
      </c>
      <c r="C271" t="s">
        <v>28</v>
      </c>
      <c r="D271">
        <v>58.298106</v>
      </c>
    </row>
    <row r="272" spans="1:4">
      <c r="A272" t="s">
        <v>225</v>
      </c>
      <c r="B272">
        <v>2011</v>
      </c>
      <c r="C272" t="s">
        <v>28</v>
      </c>
      <c r="D272">
        <v>62.126663</v>
      </c>
    </row>
    <row r="273" spans="1:4">
      <c r="A273" t="s">
        <v>225</v>
      </c>
      <c r="B273">
        <v>2012</v>
      </c>
      <c r="C273" t="s">
        <v>28</v>
      </c>
      <c r="D273">
        <v>66.4188436666666</v>
      </c>
    </row>
    <row r="274" spans="1:4">
      <c r="A274" t="s">
        <v>225</v>
      </c>
      <c r="B274">
        <v>2013</v>
      </c>
      <c r="C274" t="s">
        <v>28</v>
      </c>
      <c r="D274">
        <v>69.5489703333333</v>
      </c>
    </row>
    <row r="275" spans="1:4">
      <c r="A275" t="s">
        <v>225</v>
      </c>
      <c r="B275">
        <v>2014</v>
      </c>
      <c r="C275" t="s">
        <v>28</v>
      </c>
      <c r="D275">
        <v>74.737974</v>
      </c>
    </row>
    <row r="276" spans="1:4">
      <c r="A276" t="s">
        <v>225</v>
      </c>
      <c r="B276">
        <v>2015</v>
      </c>
      <c r="C276" t="s">
        <v>28</v>
      </c>
      <c r="D276">
        <v>78.497225</v>
      </c>
    </row>
    <row r="277" spans="1:4">
      <c r="A277" t="s">
        <v>225</v>
      </c>
      <c r="B277">
        <v>2005</v>
      </c>
      <c r="C277" t="s">
        <v>29</v>
      </c>
      <c r="D277">
        <v>27.394</v>
      </c>
    </row>
    <row r="278" spans="1:4">
      <c r="A278" t="s">
        <v>225</v>
      </c>
      <c r="B278">
        <v>2006</v>
      </c>
      <c r="C278" t="s">
        <v>29</v>
      </c>
      <c r="D278">
        <v>28.821</v>
      </c>
    </row>
    <row r="279" spans="1:4">
      <c r="A279" t="s">
        <v>225</v>
      </c>
      <c r="B279">
        <v>2007</v>
      </c>
      <c r="C279" t="s">
        <v>29</v>
      </c>
      <c r="D279">
        <v>31.585</v>
      </c>
    </row>
    <row r="280" spans="1:4">
      <c r="A280" t="s">
        <v>225</v>
      </c>
      <c r="B280">
        <v>2008</v>
      </c>
      <c r="C280" t="s">
        <v>29</v>
      </c>
      <c r="D280">
        <v>34.314</v>
      </c>
    </row>
    <row r="281" spans="1:4">
      <c r="A281" t="s">
        <v>225</v>
      </c>
      <c r="B281">
        <v>2009</v>
      </c>
      <c r="C281" t="s">
        <v>29</v>
      </c>
      <c r="D281">
        <v>35.52662</v>
      </c>
    </row>
    <row r="282" spans="1:4">
      <c r="A282" t="s">
        <v>225</v>
      </c>
      <c r="B282">
        <v>2010</v>
      </c>
      <c r="C282" t="s">
        <v>29</v>
      </c>
      <c r="D282">
        <v>36.955415</v>
      </c>
    </row>
    <row r="283" spans="1:4">
      <c r="A283" t="s">
        <v>225</v>
      </c>
      <c r="B283">
        <v>2011</v>
      </c>
      <c r="C283" t="s">
        <v>29</v>
      </c>
      <c r="D283">
        <v>39.165548</v>
      </c>
    </row>
    <row r="284" spans="1:4">
      <c r="A284" t="s">
        <v>225</v>
      </c>
      <c r="B284">
        <v>2012</v>
      </c>
      <c r="C284" t="s">
        <v>29</v>
      </c>
      <c r="D284">
        <v>41.230575</v>
      </c>
    </row>
    <row r="285" spans="1:4">
      <c r="A285" t="s">
        <v>225</v>
      </c>
      <c r="B285">
        <v>2013</v>
      </c>
      <c r="C285" t="s">
        <v>29</v>
      </c>
      <c r="D285">
        <v>44.002445</v>
      </c>
    </row>
    <row r="286" spans="1:4">
      <c r="A286" t="s">
        <v>225</v>
      </c>
      <c r="B286">
        <v>2014</v>
      </c>
      <c r="C286" t="s">
        <v>29</v>
      </c>
      <c r="D286">
        <v>46.326386</v>
      </c>
    </row>
    <row r="287" spans="1:4">
      <c r="A287" t="s">
        <v>225</v>
      </c>
      <c r="B287">
        <v>2015</v>
      </c>
      <c r="C287" t="s">
        <v>29</v>
      </c>
      <c r="D287">
        <v>47.290321</v>
      </c>
    </row>
    <row r="288" spans="1:4">
      <c r="A288" t="s">
        <v>225</v>
      </c>
      <c r="B288">
        <v>2005</v>
      </c>
      <c r="C288" t="s">
        <v>30</v>
      </c>
      <c r="D288">
        <v>2.16</v>
      </c>
    </row>
    <row r="289" spans="1:4">
      <c r="A289" t="s">
        <v>225</v>
      </c>
      <c r="B289">
        <v>2006</v>
      </c>
      <c r="C289" t="s">
        <v>30</v>
      </c>
      <c r="D289">
        <v>2.29</v>
      </c>
    </row>
    <row r="290" spans="1:4">
      <c r="A290" t="s">
        <v>225</v>
      </c>
      <c r="B290">
        <v>2007</v>
      </c>
      <c r="C290" t="s">
        <v>30</v>
      </c>
      <c r="D290">
        <v>2.45</v>
      </c>
    </row>
    <row r="291" spans="1:4">
      <c r="A291" t="s">
        <v>225</v>
      </c>
      <c r="B291">
        <v>2008</v>
      </c>
      <c r="C291" t="s">
        <v>30</v>
      </c>
      <c r="D291">
        <v>2.62</v>
      </c>
    </row>
    <row r="292" spans="1:4">
      <c r="A292" t="s">
        <v>225</v>
      </c>
      <c r="B292">
        <v>2009</v>
      </c>
      <c r="C292" t="s">
        <v>30</v>
      </c>
      <c r="D292">
        <v>2.83</v>
      </c>
    </row>
    <row r="293" spans="1:4">
      <c r="A293" t="s">
        <v>225</v>
      </c>
      <c r="B293">
        <v>2010</v>
      </c>
      <c r="C293" t="s">
        <v>30</v>
      </c>
      <c r="D293">
        <v>3.11</v>
      </c>
    </row>
    <row r="294" spans="1:4">
      <c r="A294" t="s">
        <v>225</v>
      </c>
      <c r="B294">
        <v>2011</v>
      </c>
      <c r="C294" t="s">
        <v>30</v>
      </c>
      <c r="D294">
        <v>3.41</v>
      </c>
    </row>
    <row r="295" spans="1:4">
      <c r="A295" t="s">
        <v>225</v>
      </c>
      <c r="B295">
        <v>2012</v>
      </c>
      <c r="C295" t="s">
        <v>30</v>
      </c>
      <c r="D295">
        <v>3.689</v>
      </c>
    </row>
    <row r="296" spans="1:4">
      <c r="A296" t="s">
        <v>225</v>
      </c>
      <c r="B296">
        <v>2013</v>
      </c>
      <c r="C296" t="s">
        <v>30</v>
      </c>
      <c r="D296">
        <v>3.8675</v>
      </c>
    </row>
    <row r="297" spans="1:4">
      <c r="A297" t="s">
        <v>225</v>
      </c>
      <c r="B297">
        <v>2014</v>
      </c>
      <c r="C297" t="s">
        <v>30</v>
      </c>
      <c r="D297">
        <v>4.11</v>
      </c>
    </row>
    <row r="298" spans="1:4">
      <c r="A298" t="s">
        <v>225</v>
      </c>
      <c r="B298">
        <v>2015</v>
      </c>
      <c r="C298" t="s">
        <v>30</v>
      </c>
      <c r="D298">
        <v>4.4</v>
      </c>
    </row>
    <row r="299" spans="1:4">
      <c r="A299" t="s">
        <v>225</v>
      </c>
      <c r="B299">
        <v>2005</v>
      </c>
      <c r="C299" t="s">
        <v>31</v>
      </c>
      <c r="D299">
        <v>4.575</v>
      </c>
    </row>
    <row r="300" spans="1:4">
      <c r="A300" t="s">
        <v>225</v>
      </c>
      <c r="B300">
        <v>2006</v>
      </c>
      <c r="C300" t="s">
        <v>31</v>
      </c>
      <c r="D300">
        <v>4.89</v>
      </c>
    </row>
    <row r="301" spans="1:4">
      <c r="A301" t="s">
        <v>225</v>
      </c>
      <c r="B301">
        <v>2007</v>
      </c>
      <c r="C301" t="s">
        <v>31</v>
      </c>
      <c r="D301">
        <v>5.161</v>
      </c>
    </row>
    <row r="302" spans="1:4">
      <c r="A302" t="s">
        <v>225</v>
      </c>
      <c r="B302">
        <v>2008</v>
      </c>
      <c r="C302" t="s">
        <v>31</v>
      </c>
      <c r="D302">
        <v>5.276</v>
      </c>
    </row>
    <row r="303" spans="1:4">
      <c r="A303" t="s">
        <v>225</v>
      </c>
      <c r="B303">
        <v>2009</v>
      </c>
      <c r="C303" t="s">
        <v>31</v>
      </c>
      <c r="D303">
        <v>5.411</v>
      </c>
    </row>
    <row r="304" spans="1:4">
      <c r="A304" t="s">
        <v>225</v>
      </c>
      <c r="B304">
        <v>2010</v>
      </c>
      <c r="C304" t="s">
        <v>31</v>
      </c>
      <c r="D304">
        <v>5.319069</v>
      </c>
    </row>
    <row r="305" spans="1:4">
      <c r="A305" t="s">
        <v>225</v>
      </c>
      <c r="B305">
        <v>2011</v>
      </c>
      <c r="C305" t="s">
        <v>31</v>
      </c>
      <c r="D305">
        <v>5.506922</v>
      </c>
    </row>
    <row r="306" spans="1:4">
      <c r="A306" t="s">
        <v>225</v>
      </c>
      <c r="B306">
        <v>2012</v>
      </c>
      <c r="C306" t="s">
        <v>31</v>
      </c>
      <c r="D306">
        <v>5.733314</v>
      </c>
    </row>
    <row r="307" spans="1:4">
      <c r="A307" t="s">
        <v>225</v>
      </c>
      <c r="B307">
        <v>2013</v>
      </c>
      <c r="C307" t="s">
        <v>31</v>
      </c>
      <c r="D307">
        <v>5.967222</v>
      </c>
    </row>
    <row r="308" spans="1:4">
      <c r="A308" t="s">
        <v>225</v>
      </c>
      <c r="B308">
        <v>2014</v>
      </c>
      <c r="C308" t="s">
        <v>31</v>
      </c>
      <c r="D308">
        <v>6.188332</v>
      </c>
    </row>
    <row r="309" spans="1:4">
      <c r="A309" t="s">
        <v>225</v>
      </c>
      <c r="B309">
        <v>2015</v>
      </c>
      <c r="C309" t="s">
        <v>31</v>
      </c>
      <c r="D309">
        <v>6.383756</v>
      </c>
    </row>
    <row r="310" spans="1:4">
      <c r="A310" t="s">
        <v>225</v>
      </c>
      <c r="B310">
        <v>2005</v>
      </c>
      <c r="C310" t="s">
        <v>32</v>
      </c>
      <c r="D310">
        <v>24.45</v>
      </c>
    </row>
    <row r="311" spans="1:4">
      <c r="A311" t="s">
        <v>225</v>
      </c>
      <c r="B311">
        <v>2006</v>
      </c>
      <c r="C311" t="s">
        <v>32</v>
      </c>
      <c r="D311">
        <v>25.343</v>
      </c>
    </row>
    <row r="312" spans="1:4">
      <c r="A312" t="s">
        <v>225</v>
      </c>
      <c r="B312">
        <v>2007</v>
      </c>
      <c r="C312" t="s">
        <v>32</v>
      </c>
      <c r="D312">
        <v>26.139</v>
      </c>
    </row>
    <row r="313" spans="1:4">
      <c r="A313" t="s">
        <v>225</v>
      </c>
      <c r="B313">
        <v>2008</v>
      </c>
      <c r="C313" t="s">
        <v>32</v>
      </c>
      <c r="D313">
        <v>26.553</v>
      </c>
    </row>
    <row r="314" spans="1:4">
      <c r="A314" t="s">
        <v>225</v>
      </c>
      <c r="B314">
        <v>2009</v>
      </c>
      <c r="C314" t="s">
        <v>32</v>
      </c>
      <c r="D314">
        <v>26.44</v>
      </c>
    </row>
    <row r="315" spans="1:4">
      <c r="A315" t="s">
        <v>225</v>
      </c>
      <c r="B315">
        <v>2010</v>
      </c>
      <c r="C315" t="s">
        <v>32</v>
      </c>
      <c r="D315">
        <v>26.627</v>
      </c>
    </row>
    <row r="316" spans="1:4">
      <c r="A316" t="s">
        <v>225</v>
      </c>
      <c r="B316">
        <v>2011</v>
      </c>
      <c r="C316" t="s">
        <v>32</v>
      </c>
      <c r="D316">
        <v>26.799</v>
      </c>
    </row>
    <row r="317" spans="1:4">
      <c r="A317" t="s">
        <v>225</v>
      </c>
      <c r="B317">
        <v>2012</v>
      </c>
      <c r="C317" t="s">
        <v>32</v>
      </c>
      <c r="D317">
        <v>26.745</v>
      </c>
    </row>
    <row r="318" spans="1:4">
      <c r="A318" t="s">
        <v>225</v>
      </c>
      <c r="B318">
        <v>2013</v>
      </c>
      <c r="C318" t="s">
        <v>32</v>
      </c>
      <c r="D318">
        <v>26.504538</v>
      </c>
    </row>
    <row r="319" spans="1:4">
      <c r="A319" t="s">
        <v>225</v>
      </c>
      <c r="B319">
        <v>2014</v>
      </c>
      <c r="C319" t="s">
        <v>32</v>
      </c>
      <c r="D319">
        <v>26.525512</v>
      </c>
    </row>
    <row r="320" spans="1:4">
      <c r="A320" t="s">
        <v>225</v>
      </c>
      <c r="B320">
        <v>2015</v>
      </c>
      <c r="C320" t="s">
        <v>32</v>
      </c>
      <c r="D320">
        <v>26.948705</v>
      </c>
    </row>
    <row r="321" spans="1:4">
      <c r="A321" t="s">
        <v>225</v>
      </c>
      <c r="B321">
        <v>2005</v>
      </c>
      <c r="C321" t="s">
        <v>33</v>
      </c>
      <c r="D321">
        <v>8.539477</v>
      </c>
    </row>
    <row r="322" spans="1:4">
      <c r="A322" t="s">
        <v>225</v>
      </c>
      <c r="B322">
        <v>2006</v>
      </c>
      <c r="C322" t="s">
        <v>33</v>
      </c>
      <c r="D322">
        <v>8.717287</v>
      </c>
    </row>
    <row r="323" spans="1:4">
      <c r="A323" t="s">
        <v>225</v>
      </c>
      <c r="B323">
        <v>2007</v>
      </c>
      <c r="C323" t="s">
        <v>33</v>
      </c>
      <c r="D323">
        <v>8.81388</v>
      </c>
    </row>
    <row r="324" spans="1:4">
      <c r="A324" t="s">
        <v>225</v>
      </c>
      <c r="B324">
        <v>2008</v>
      </c>
      <c r="C324" t="s">
        <v>33</v>
      </c>
      <c r="D324">
        <v>8.833722</v>
      </c>
    </row>
    <row r="325" spans="1:4">
      <c r="A325" t="s">
        <v>225</v>
      </c>
      <c r="B325">
        <v>2009</v>
      </c>
      <c r="C325" t="s">
        <v>33</v>
      </c>
      <c r="D325">
        <v>8.876604</v>
      </c>
    </row>
    <row r="326" spans="1:4">
      <c r="A326" t="s">
        <v>225</v>
      </c>
      <c r="B326">
        <v>2010</v>
      </c>
      <c r="C326" t="s">
        <v>33</v>
      </c>
      <c r="D326">
        <v>8.990283</v>
      </c>
    </row>
    <row r="327" spans="1:4">
      <c r="A327" t="s">
        <v>225</v>
      </c>
      <c r="B327">
        <v>2011</v>
      </c>
      <c r="C327" t="s">
        <v>33</v>
      </c>
      <c r="D327">
        <v>9.136496</v>
      </c>
    </row>
    <row r="328" spans="1:4">
      <c r="A328" t="s">
        <v>225</v>
      </c>
      <c r="B328">
        <v>2012</v>
      </c>
      <c r="C328" t="s">
        <v>33</v>
      </c>
      <c r="D328">
        <v>9.24719</v>
      </c>
    </row>
    <row r="329" spans="1:4">
      <c r="A329" t="s">
        <v>225</v>
      </c>
      <c r="B329">
        <v>2013</v>
      </c>
      <c r="C329" t="s">
        <v>33</v>
      </c>
      <c r="D329">
        <v>9.351216</v>
      </c>
    </row>
    <row r="330" spans="1:4">
      <c r="A330" t="s">
        <v>225</v>
      </c>
      <c r="B330">
        <v>2014</v>
      </c>
      <c r="C330" t="s">
        <v>33</v>
      </c>
      <c r="D330">
        <v>9.502558</v>
      </c>
    </row>
    <row r="331" spans="1:4">
      <c r="A331" t="s">
        <v>225</v>
      </c>
      <c r="B331">
        <v>2015</v>
      </c>
      <c r="C331" t="s">
        <v>33</v>
      </c>
      <c r="D331">
        <v>9.674064</v>
      </c>
    </row>
    <row r="332" spans="1:4">
      <c r="A332" t="s">
        <v>225</v>
      </c>
      <c r="B332">
        <v>2005</v>
      </c>
      <c r="C332" t="s">
        <v>34</v>
      </c>
      <c r="D332">
        <v>3.906</v>
      </c>
    </row>
    <row r="333" spans="1:4">
      <c r="A333" t="s">
        <v>225</v>
      </c>
      <c r="B333">
        <v>2006</v>
      </c>
      <c r="C333" t="s">
        <v>34</v>
      </c>
      <c r="D333">
        <v>3.946</v>
      </c>
    </row>
    <row r="334" spans="1:4">
      <c r="A334" t="s">
        <v>225</v>
      </c>
      <c r="B334">
        <v>2007</v>
      </c>
      <c r="C334" t="s">
        <v>34</v>
      </c>
      <c r="D334">
        <v>4.002584</v>
      </c>
    </row>
    <row r="335" spans="1:4">
      <c r="A335" t="s">
        <v>225</v>
      </c>
      <c r="B335">
        <v>2008</v>
      </c>
      <c r="C335" t="s">
        <v>34</v>
      </c>
      <c r="D335">
        <v>4.031205</v>
      </c>
    </row>
    <row r="336" spans="1:4">
      <c r="A336" t="s">
        <v>225</v>
      </c>
      <c r="B336">
        <v>2009</v>
      </c>
      <c r="C336" t="s">
        <v>34</v>
      </c>
      <c r="D336">
        <v>4.051832</v>
      </c>
    </row>
    <row r="337" spans="1:4">
      <c r="A337" t="s">
        <v>225</v>
      </c>
      <c r="B337">
        <v>2010</v>
      </c>
      <c r="C337" t="s">
        <v>34</v>
      </c>
      <c r="D337">
        <v>4.119684</v>
      </c>
    </row>
    <row r="338" spans="1:4">
      <c r="A338" t="s">
        <v>225</v>
      </c>
      <c r="B338">
        <v>2011</v>
      </c>
      <c r="C338" t="s">
        <v>34</v>
      </c>
      <c r="D338">
        <v>4.209672</v>
      </c>
    </row>
    <row r="339" spans="1:4">
      <c r="A339" t="s">
        <v>225</v>
      </c>
      <c r="B339">
        <v>2012</v>
      </c>
      <c r="C339" t="s">
        <v>34</v>
      </c>
      <c r="D339">
        <v>4.300036</v>
      </c>
    </row>
    <row r="340" spans="1:4">
      <c r="A340" t="s">
        <v>225</v>
      </c>
      <c r="B340">
        <v>2013</v>
      </c>
      <c r="C340" t="s">
        <v>34</v>
      </c>
      <c r="D340">
        <v>4.366895</v>
      </c>
    </row>
    <row r="341" spans="1:4">
      <c r="A341" t="s">
        <v>225</v>
      </c>
      <c r="B341">
        <v>2014</v>
      </c>
      <c r="C341" t="s">
        <v>34</v>
      </c>
      <c r="D341">
        <v>4.430375</v>
      </c>
    </row>
    <row r="342" spans="1:4">
      <c r="A342" t="s">
        <v>225</v>
      </c>
      <c r="B342">
        <v>2015</v>
      </c>
      <c r="C342" t="s">
        <v>34</v>
      </c>
      <c r="D342">
        <v>4.503865</v>
      </c>
    </row>
    <row r="343" spans="1:4">
      <c r="A343" t="s">
        <v>225</v>
      </c>
      <c r="B343">
        <v>2005</v>
      </c>
      <c r="C343" t="s">
        <v>35</v>
      </c>
      <c r="D343">
        <v>5.773</v>
      </c>
    </row>
    <row r="344" spans="1:4">
      <c r="A344" t="s">
        <v>225</v>
      </c>
      <c r="B344">
        <v>2006</v>
      </c>
      <c r="C344" t="s">
        <v>35</v>
      </c>
      <c r="D344">
        <v>6.141</v>
      </c>
    </row>
    <row r="345" spans="1:4">
      <c r="A345" t="s">
        <v>225</v>
      </c>
      <c r="B345">
        <v>2007</v>
      </c>
      <c r="C345" t="s">
        <v>35</v>
      </c>
      <c r="D345">
        <v>6.472</v>
      </c>
    </row>
    <row r="346" spans="1:4">
      <c r="A346" t="s">
        <v>225</v>
      </c>
      <c r="B346">
        <v>2008</v>
      </c>
      <c r="C346" t="s">
        <v>35</v>
      </c>
      <c r="D346">
        <v>6.797</v>
      </c>
    </row>
    <row r="347" spans="1:4">
      <c r="A347" t="s">
        <v>225</v>
      </c>
      <c r="B347">
        <v>2009</v>
      </c>
      <c r="C347" t="s">
        <v>35</v>
      </c>
      <c r="D347">
        <v>7.094</v>
      </c>
    </row>
    <row r="348" spans="1:4">
      <c r="A348" t="s">
        <v>225</v>
      </c>
      <c r="B348">
        <v>2010</v>
      </c>
      <c r="C348" t="s">
        <v>35</v>
      </c>
      <c r="D348">
        <v>7.545</v>
      </c>
    </row>
    <row r="349" spans="1:4">
      <c r="A349" t="s">
        <v>225</v>
      </c>
      <c r="B349">
        <v>2011</v>
      </c>
      <c r="C349" t="s">
        <v>35</v>
      </c>
      <c r="D349">
        <v>8.113</v>
      </c>
    </row>
    <row r="350" spans="1:4">
      <c r="A350" t="s">
        <v>225</v>
      </c>
      <c r="B350">
        <v>2012</v>
      </c>
      <c r="C350" t="s">
        <v>35</v>
      </c>
      <c r="D350">
        <v>8.649</v>
      </c>
    </row>
    <row r="351" spans="1:4">
      <c r="A351" t="s">
        <v>225</v>
      </c>
      <c r="B351">
        <v>2013</v>
      </c>
      <c r="C351" t="s">
        <v>35</v>
      </c>
      <c r="D351">
        <v>9.283923</v>
      </c>
    </row>
    <row r="352" spans="1:4">
      <c r="A352" t="s">
        <v>225</v>
      </c>
      <c r="B352">
        <v>2014</v>
      </c>
      <c r="C352" t="s">
        <v>35</v>
      </c>
      <c r="D352">
        <v>9.857915</v>
      </c>
    </row>
    <row r="353" spans="1:4">
      <c r="A353" t="s">
        <v>225</v>
      </c>
      <c r="B353">
        <v>2015</v>
      </c>
      <c r="C353" t="s">
        <v>35</v>
      </c>
      <c r="D353">
        <v>10.589337</v>
      </c>
    </row>
    <row r="354" spans="1:4">
      <c r="A354" t="s">
        <v>225</v>
      </c>
      <c r="B354">
        <v>2005</v>
      </c>
      <c r="C354" t="s">
        <v>36</v>
      </c>
      <c r="D354">
        <v>30.477058</v>
      </c>
    </row>
    <row r="355" spans="1:4">
      <c r="A355" t="s">
        <v>225</v>
      </c>
      <c r="B355">
        <v>2006</v>
      </c>
      <c r="C355" t="s">
        <v>36</v>
      </c>
      <c r="D355">
        <v>30.817036</v>
      </c>
    </row>
    <row r="356" spans="1:4">
      <c r="A356" t="s">
        <v>225</v>
      </c>
      <c r="B356">
        <v>2007</v>
      </c>
      <c r="C356" t="s">
        <v>36</v>
      </c>
      <c r="D356">
        <v>31.105988</v>
      </c>
    </row>
    <row r="357" spans="1:4">
      <c r="A357" t="s">
        <v>225</v>
      </c>
      <c r="B357">
        <v>2008</v>
      </c>
      <c r="C357" t="s">
        <v>36</v>
      </c>
      <c r="D357">
        <v>31.252476</v>
      </c>
    </row>
    <row r="358" spans="1:4">
      <c r="A358" t="s">
        <v>225</v>
      </c>
      <c r="B358">
        <v>2009</v>
      </c>
      <c r="C358" t="s">
        <v>36</v>
      </c>
      <c r="D358">
        <v>31.035791</v>
      </c>
    </row>
    <row r="359" spans="1:4">
      <c r="A359" t="s">
        <v>225</v>
      </c>
      <c r="B359">
        <v>2010</v>
      </c>
      <c r="C359" t="s">
        <v>36</v>
      </c>
      <c r="D359">
        <v>31.258197</v>
      </c>
    </row>
    <row r="360" spans="1:4">
      <c r="A360" t="s">
        <v>225</v>
      </c>
      <c r="B360">
        <v>2011</v>
      </c>
      <c r="C360" t="s">
        <v>36</v>
      </c>
      <c r="D360">
        <v>31.362716</v>
      </c>
    </row>
    <row r="361" spans="1:4">
      <c r="A361" t="s">
        <v>225</v>
      </c>
      <c r="B361">
        <v>2012</v>
      </c>
      <c r="C361" t="s">
        <v>36</v>
      </c>
      <c r="D361">
        <v>31.482</v>
      </c>
    </row>
    <row r="362" spans="1:4">
      <c r="A362" t="s">
        <v>225</v>
      </c>
      <c r="B362">
        <v>2013</v>
      </c>
      <c r="C362" t="s">
        <v>36</v>
      </c>
      <c r="D362">
        <v>32.103</v>
      </c>
    </row>
    <row r="363" spans="1:4">
      <c r="A363" t="s">
        <v>225</v>
      </c>
      <c r="B363">
        <v>2014</v>
      </c>
      <c r="C363" t="s">
        <v>36</v>
      </c>
      <c r="D363">
        <v>32.612782</v>
      </c>
    </row>
    <row r="364" spans="1:4">
      <c r="A364" t="s">
        <v>225</v>
      </c>
      <c r="B364">
        <v>2015</v>
      </c>
      <c r="C364" t="s">
        <v>36</v>
      </c>
      <c r="D364">
        <v>33.542448</v>
      </c>
    </row>
    <row r="365" spans="1:4">
      <c r="A365" t="s">
        <v>225</v>
      </c>
      <c r="B365">
        <v>2005</v>
      </c>
      <c r="C365" t="s">
        <v>37</v>
      </c>
      <c r="D365">
        <v>5.831994</v>
      </c>
    </row>
    <row r="366" spans="1:4">
      <c r="A366" t="s">
        <v>225</v>
      </c>
      <c r="B366">
        <v>2006</v>
      </c>
      <c r="C366" t="s">
        <v>37</v>
      </c>
      <c r="D366">
        <v>5.923311</v>
      </c>
    </row>
    <row r="367" spans="1:4">
      <c r="A367" t="s">
        <v>225</v>
      </c>
      <c r="B367">
        <v>2007</v>
      </c>
      <c r="C367" t="s">
        <v>37</v>
      </c>
      <c r="D367">
        <v>6.278944</v>
      </c>
    </row>
    <row r="368" spans="1:4">
      <c r="A368" t="s">
        <v>225</v>
      </c>
      <c r="B368">
        <v>2008</v>
      </c>
      <c r="C368" t="s">
        <v>37</v>
      </c>
      <c r="D368">
        <v>6.760351</v>
      </c>
    </row>
    <row r="369" spans="1:4">
      <c r="A369" t="s">
        <v>225</v>
      </c>
      <c r="B369">
        <v>2009</v>
      </c>
      <c r="C369" t="s">
        <v>37</v>
      </c>
      <c r="D369">
        <v>6.905365</v>
      </c>
    </row>
    <row r="370" spans="1:4">
      <c r="A370" t="s">
        <v>225</v>
      </c>
      <c r="B370">
        <v>2010</v>
      </c>
      <c r="C370" t="s">
        <v>37</v>
      </c>
      <c r="D370">
        <v>7.17429</v>
      </c>
    </row>
    <row r="371" spans="1:4">
      <c r="A371" t="s">
        <v>225</v>
      </c>
      <c r="B371">
        <v>2011</v>
      </c>
      <c r="C371" t="s">
        <v>37</v>
      </c>
      <c r="D371">
        <v>7.327973</v>
      </c>
    </row>
    <row r="372" spans="1:4">
      <c r="A372" t="s">
        <v>225</v>
      </c>
      <c r="B372">
        <v>2012</v>
      </c>
      <c r="C372" t="s">
        <v>37</v>
      </c>
      <c r="D372">
        <v>7.592379</v>
      </c>
    </row>
    <row r="373" spans="1:4">
      <c r="A373" t="s">
        <v>225</v>
      </c>
      <c r="B373">
        <v>2013</v>
      </c>
      <c r="C373" t="s">
        <v>37</v>
      </c>
      <c r="D373">
        <v>7.834418</v>
      </c>
    </row>
    <row r="374" spans="1:4">
      <c r="A374" t="s">
        <v>225</v>
      </c>
      <c r="B374">
        <v>2014</v>
      </c>
      <c r="C374" t="s">
        <v>37</v>
      </c>
      <c r="D374">
        <v>7.852561</v>
      </c>
    </row>
    <row r="375" spans="1:4">
      <c r="A375" t="s">
        <v>225</v>
      </c>
      <c r="B375">
        <v>2015</v>
      </c>
      <c r="C375" t="s">
        <v>37</v>
      </c>
      <c r="D375">
        <v>7.929813</v>
      </c>
    </row>
    <row r="376" spans="1:4">
      <c r="A376" t="s">
        <v>225</v>
      </c>
      <c r="B376">
        <v>2005</v>
      </c>
      <c r="C376" t="s">
        <v>38</v>
      </c>
      <c r="D376">
        <v>2.500543</v>
      </c>
    </row>
    <row r="377" spans="1:4">
      <c r="A377" t="s">
        <v>225</v>
      </c>
      <c r="B377">
        <v>2006</v>
      </c>
      <c r="C377" t="s">
        <v>38</v>
      </c>
      <c r="D377">
        <v>2.57306</v>
      </c>
    </row>
    <row r="378" spans="1:4">
      <c r="A378" t="s">
        <v>225</v>
      </c>
      <c r="B378">
        <v>2007</v>
      </c>
      <c r="C378" t="s">
        <v>38</v>
      </c>
      <c r="D378">
        <v>2.601922</v>
      </c>
    </row>
    <row r="379" spans="1:4">
      <c r="A379" t="s">
        <v>225</v>
      </c>
      <c r="B379">
        <v>2008</v>
      </c>
      <c r="C379" t="s">
        <v>38</v>
      </c>
      <c r="D379">
        <v>2.701122</v>
      </c>
    </row>
    <row r="380" spans="1:4">
      <c r="A380" t="s">
        <v>225</v>
      </c>
      <c r="B380">
        <v>2009</v>
      </c>
      <c r="C380" t="s">
        <v>38</v>
      </c>
      <c r="D380">
        <v>2.907909</v>
      </c>
    </row>
    <row r="381" spans="1:4">
      <c r="A381" t="s">
        <v>225</v>
      </c>
      <c r="B381">
        <v>2010</v>
      </c>
      <c r="C381" t="s">
        <v>38</v>
      </c>
      <c r="D381">
        <v>2.895297</v>
      </c>
    </row>
    <row r="382" spans="1:4">
      <c r="A382" t="s">
        <v>225</v>
      </c>
      <c r="B382">
        <v>2011</v>
      </c>
      <c r="C382" t="s">
        <v>38</v>
      </c>
      <c r="D382">
        <v>3.026822</v>
      </c>
    </row>
    <row r="383" spans="1:4">
      <c r="A383" t="s">
        <v>225</v>
      </c>
      <c r="B383">
        <v>2012</v>
      </c>
      <c r="C383" t="s">
        <v>38</v>
      </c>
      <c r="D383">
        <v>2.938063</v>
      </c>
    </row>
    <row r="384" spans="1:4">
      <c r="A384" t="s">
        <v>225</v>
      </c>
      <c r="B384">
        <v>2013</v>
      </c>
      <c r="C384" t="s">
        <v>38</v>
      </c>
      <c r="D384">
        <v>3.131709</v>
      </c>
    </row>
    <row r="385" spans="1:4">
      <c r="A385" t="s">
        <v>225</v>
      </c>
      <c r="B385">
        <v>2014</v>
      </c>
      <c r="C385" t="s">
        <v>38</v>
      </c>
      <c r="D385">
        <v>3.348007</v>
      </c>
    </row>
    <row r="386" spans="1:4">
      <c r="A386" t="s">
        <v>225</v>
      </c>
      <c r="B386">
        <v>2015</v>
      </c>
      <c r="C386" t="s">
        <v>38</v>
      </c>
      <c r="D386">
        <v>3.449462</v>
      </c>
    </row>
    <row r="387" spans="1:4">
      <c r="A387" t="s">
        <v>227</v>
      </c>
      <c r="B387">
        <v>2005</v>
      </c>
      <c r="C387" t="s">
        <v>4</v>
      </c>
      <c r="D387">
        <v>2.868</v>
      </c>
    </row>
    <row r="388" spans="1:4">
      <c r="A388" t="s">
        <v>227</v>
      </c>
      <c r="B388">
        <v>2006</v>
      </c>
      <c r="C388" t="s">
        <v>4</v>
      </c>
      <c r="D388">
        <v>2.997643</v>
      </c>
    </row>
    <row r="389" spans="1:4">
      <c r="A389" t="s">
        <v>227</v>
      </c>
      <c r="B389">
        <v>2007</v>
      </c>
      <c r="C389" t="s">
        <v>4</v>
      </c>
      <c r="D389">
        <v>3.19973</v>
      </c>
    </row>
    <row r="390" spans="1:4">
      <c r="A390" t="s">
        <v>227</v>
      </c>
      <c r="B390">
        <v>2008</v>
      </c>
      <c r="C390" t="s">
        <v>4</v>
      </c>
      <c r="D390">
        <v>3.549565</v>
      </c>
    </row>
    <row r="391" spans="1:4">
      <c r="A391" t="s">
        <v>227</v>
      </c>
      <c r="B391">
        <v>2009</v>
      </c>
      <c r="C391" t="s">
        <v>4</v>
      </c>
      <c r="D391">
        <v>3.794453</v>
      </c>
    </row>
    <row r="392" spans="1:4">
      <c r="A392" t="s">
        <v>227</v>
      </c>
      <c r="B392">
        <v>2010</v>
      </c>
      <c r="C392" t="s">
        <v>4</v>
      </c>
      <c r="D392">
        <v>3.992844</v>
      </c>
    </row>
    <row r="393" spans="1:4">
      <c r="A393" t="s">
        <v>227</v>
      </c>
      <c r="B393">
        <v>2011</v>
      </c>
      <c r="C393" t="s">
        <v>4</v>
      </c>
      <c r="D393">
        <v>4.157757</v>
      </c>
    </row>
    <row r="394" spans="1:4">
      <c r="A394" t="s">
        <v>227</v>
      </c>
      <c r="B394">
        <v>2012</v>
      </c>
      <c r="C394" t="s">
        <v>4</v>
      </c>
      <c r="D394">
        <v>4.421008</v>
      </c>
    </row>
    <row r="395" spans="1:4">
      <c r="A395" t="s">
        <v>227</v>
      </c>
      <c r="B395">
        <v>2013</v>
      </c>
      <c r="C395" t="s">
        <v>4</v>
      </c>
      <c r="D395">
        <v>4.619493</v>
      </c>
    </row>
    <row r="396" spans="1:4">
      <c r="A396" t="s">
        <v>227</v>
      </c>
      <c r="B396">
        <v>2014</v>
      </c>
      <c r="C396" t="s">
        <v>4</v>
      </c>
      <c r="D396">
        <v>4.833927</v>
      </c>
    </row>
    <row r="397" spans="1:4">
      <c r="A397" t="s">
        <v>227</v>
      </c>
      <c r="B397">
        <v>2015</v>
      </c>
      <c r="C397" t="s">
        <v>4</v>
      </c>
      <c r="D397">
        <v>5.269472</v>
      </c>
    </row>
    <row r="398" spans="1:4">
      <c r="A398" t="s">
        <v>227</v>
      </c>
      <c r="B398">
        <v>2005</v>
      </c>
      <c r="C398" t="s">
        <v>5</v>
      </c>
      <c r="D398">
        <v>3.34293</v>
      </c>
    </row>
    <row r="399" spans="1:4">
      <c r="A399" t="s">
        <v>227</v>
      </c>
      <c r="B399">
        <v>2006</v>
      </c>
      <c r="C399" t="s">
        <v>5</v>
      </c>
      <c r="D399">
        <v>3.513242</v>
      </c>
    </row>
    <row r="400" spans="1:4">
      <c r="A400" t="s">
        <v>227</v>
      </c>
      <c r="B400">
        <v>2007</v>
      </c>
      <c r="C400" t="s">
        <v>5</v>
      </c>
      <c r="D400">
        <v>3.858375</v>
      </c>
    </row>
    <row r="401" spans="1:4">
      <c r="A401" t="s">
        <v>227</v>
      </c>
      <c r="B401">
        <v>2008</v>
      </c>
      <c r="C401" t="s">
        <v>5</v>
      </c>
      <c r="D401">
        <v>4.389597</v>
      </c>
    </row>
    <row r="402" spans="1:4">
      <c r="A402" t="s">
        <v>227</v>
      </c>
      <c r="B402">
        <v>2009</v>
      </c>
      <c r="C402" t="s">
        <v>5</v>
      </c>
      <c r="D402">
        <v>4.561514</v>
      </c>
    </row>
    <row r="403" spans="1:4">
      <c r="A403" t="s">
        <v>227</v>
      </c>
      <c r="B403">
        <v>2010</v>
      </c>
      <c r="C403" t="s">
        <v>5</v>
      </c>
      <c r="D403">
        <v>4.686781</v>
      </c>
    </row>
    <row r="404" spans="1:4">
      <c r="A404" t="s">
        <v>227</v>
      </c>
      <c r="B404">
        <v>2011</v>
      </c>
      <c r="C404" t="s">
        <v>5</v>
      </c>
      <c r="D404">
        <v>4.81957</v>
      </c>
    </row>
    <row r="405" spans="1:4">
      <c r="A405" t="s">
        <v>227</v>
      </c>
      <c r="B405">
        <v>2012</v>
      </c>
      <c r="C405" t="s">
        <v>5</v>
      </c>
      <c r="D405">
        <v>4.941314</v>
      </c>
    </row>
    <row r="406" spans="1:4">
      <c r="A406" t="s">
        <v>227</v>
      </c>
      <c r="B406">
        <v>2013</v>
      </c>
      <c r="C406" t="s">
        <v>5</v>
      </c>
      <c r="D406">
        <v>5.113792</v>
      </c>
    </row>
    <row r="407" spans="1:4">
      <c r="A407" t="s">
        <v>227</v>
      </c>
      <c r="B407">
        <v>2014</v>
      </c>
      <c r="C407" t="s">
        <v>5</v>
      </c>
      <c r="D407">
        <v>5.323998</v>
      </c>
    </row>
    <row r="408" spans="1:4">
      <c r="A408" t="s">
        <v>227</v>
      </c>
      <c r="B408">
        <v>2015</v>
      </c>
      <c r="C408" t="s">
        <v>5</v>
      </c>
      <c r="D408">
        <v>5.506777</v>
      </c>
    </row>
    <row r="409" spans="1:4">
      <c r="A409" t="s">
        <v>227</v>
      </c>
      <c r="B409">
        <v>2005</v>
      </c>
      <c r="C409" t="s">
        <v>6</v>
      </c>
      <c r="D409">
        <v>2.601</v>
      </c>
    </row>
    <row r="410" spans="1:4">
      <c r="A410" t="s">
        <v>227</v>
      </c>
      <c r="B410">
        <v>2006</v>
      </c>
      <c r="C410" t="s">
        <v>6</v>
      </c>
      <c r="D410">
        <v>2.706</v>
      </c>
    </row>
    <row r="411" spans="1:4">
      <c r="A411" t="s">
        <v>227</v>
      </c>
      <c r="B411">
        <v>2007</v>
      </c>
      <c r="C411" t="s">
        <v>6</v>
      </c>
      <c r="D411">
        <v>2.801</v>
      </c>
    </row>
    <row r="412" spans="1:4">
      <c r="A412" t="s">
        <v>227</v>
      </c>
      <c r="B412">
        <v>2008</v>
      </c>
      <c r="C412" t="s">
        <v>6</v>
      </c>
      <c r="D412">
        <v>2.925</v>
      </c>
    </row>
    <row r="413" spans="1:4">
      <c r="A413" t="s">
        <v>227</v>
      </c>
      <c r="B413">
        <v>2009</v>
      </c>
      <c r="C413" t="s">
        <v>6</v>
      </c>
      <c r="D413">
        <v>3.027</v>
      </c>
    </row>
    <row r="414" spans="1:4">
      <c r="A414" t="s">
        <v>227</v>
      </c>
      <c r="B414">
        <v>2010</v>
      </c>
      <c r="C414" t="s">
        <v>6</v>
      </c>
      <c r="D414">
        <v>3.132</v>
      </c>
    </row>
    <row r="415" spans="1:4">
      <c r="A415" t="s">
        <v>227</v>
      </c>
      <c r="B415">
        <v>2011</v>
      </c>
      <c r="C415" t="s">
        <v>6</v>
      </c>
      <c r="D415">
        <v>2.716</v>
      </c>
    </row>
    <row r="416" spans="1:4">
      <c r="A416" t="s">
        <v>227</v>
      </c>
      <c r="B416">
        <v>2012</v>
      </c>
      <c r="C416" t="s">
        <v>6</v>
      </c>
      <c r="D416">
        <v>3.318121</v>
      </c>
    </row>
    <row r="417" spans="1:4">
      <c r="A417" t="s">
        <v>227</v>
      </c>
      <c r="B417">
        <v>2013</v>
      </c>
      <c r="C417" t="s">
        <v>6</v>
      </c>
      <c r="D417">
        <v>3.435843</v>
      </c>
    </row>
    <row r="418" spans="1:4">
      <c r="A418" t="s">
        <v>227</v>
      </c>
      <c r="B418">
        <v>2014</v>
      </c>
      <c r="C418" t="s">
        <v>6</v>
      </c>
      <c r="D418">
        <v>3.556059</v>
      </c>
    </row>
    <row r="419" spans="1:4">
      <c r="A419" t="s">
        <v>227</v>
      </c>
      <c r="B419">
        <v>2015</v>
      </c>
      <c r="C419" t="s">
        <v>6</v>
      </c>
      <c r="D419">
        <v>3.651103</v>
      </c>
    </row>
    <row r="420" spans="1:4">
      <c r="A420" t="s">
        <v>227</v>
      </c>
      <c r="B420">
        <v>2005</v>
      </c>
      <c r="C420" t="s">
        <v>7</v>
      </c>
      <c r="D420">
        <v>0.367</v>
      </c>
    </row>
    <row r="421" spans="1:4">
      <c r="A421" t="s">
        <v>227</v>
      </c>
      <c r="B421">
        <v>2006</v>
      </c>
      <c r="C421" t="s">
        <v>7</v>
      </c>
      <c r="D421">
        <v>0.374</v>
      </c>
    </row>
    <row r="422" spans="1:4">
      <c r="A422" t="s">
        <v>227</v>
      </c>
      <c r="B422">
        <v>2007</v>
      </c>
      <c r="C422" t="s">
        <v>7</v>
      </c>
      <c r="D422">
        <v>0.382</v>
      </c>
    </row>
    <row r="423" spans="1:4">
      <c r="A423" t="s">
        <v>227</v>
      </c>
      <c r="B423">
        <v>2008</v>
      </c>
      <c r="C423" t="s">
        <v>7</v>
      </c>
      <c r="D423">
        <v>0.391</v>
      </c>
    </row>
    <row r="424" spans="1:4">
      <c r="A424" t="s">
        <v>227</v>
      </c>
      <c r="B424">
        <v>2009</v>
      </c>
      <c r="C424" t="s">
        <v>7</v>
      </c>
      <c r="D424">
        <v>0.398</v>
      </c>
    </row>
    <row r="425" spans="1:4">
      <c r="A425" t="s">
        <v>227</v>
      </c>
      <c r="B425">
        <v>2010</v>
      </c>
      <c r="C425" t="s">
        <v>7</v>
      </c>
      <c r="D425">
        <v>0.406</v>
      </c>
    </row>
    <row r="426" spans="1:4">
      <c r="A426" t="s">
        <v>227</v>
      </c>
      <c r="B426">
        <v>2011</v>
      </c>
      <c r="C426" t="s">
        <v>7</v>
      </c>
      <c r="D426">
        <v>0.417</v>
      </c>
    </row>
    <row r="427" spans="1:4">
      <c r="A427" t="s">
        <v>227</v>
      </c>
      <c r="B427">
        <v>2012</v>
      </c>
      <c r="C427" t="s">
        <v>7</v>
      </c>
      <c r="D427">
        <v>0.426</v>
      </c>
    </row>
    <row r="428" spans="1:4">
      <c r="A428" t="s">
        <v>227</v>
      </c>
      <c r="B428">
        <v>2013</v>
      </c>
      <c r="C428" t="s">
        <v>7</v>
      </c>
      <c r="D428">
        <v>0.434331</v>
      </c>
    </row>
    <row r="429" spans="1:4">
      <c r="A429" t="s">
        <v>227</v>
      </c>
      <c r="B429">
        <v>2014</v>
      </c>
      <c r="C429" t="s">
        <v>7</v>
      </c>
      <c r="D429">
        <v>0.4445</v>
      </c>
    </row>
    <row r="430" spans="1:4">
      <c r="A430" t="s">
        <v>227</v>
      </c>
      <c r="B430">
        <v>2015</v>
      </c>
      <c r="C430" t="s">
        <v>7</v>
      </c>
      <c r="D430">
        <v>0.453702</v>
      </c>
    </row>
    <row r="431" spans="1:4">
      <c r="A431" t="s">
        <v>227</v>
      </c>
      <c r="B431">
        <v>2005</v>
      </c>
      <c r="C431" t="s">
        <v>8</v>
      </c>
      <c r="D431">
        <v>0.352157</v>
      </c>
    </row>
    <row r="432" spans="1:4">
      <c r="A432" t="s">
        <v>227</v>
      </c>
      <c r="B432">
        <v>2006</v>
      </c>
      <c r="C432" t="s">
        <v>8</v>
      </c>
      <c r="D432">
        <v>0.380948</v>
      </c>
    </row>
    <row r="433" spans="1:4">
      <c r="A433" t="s">
        <v>227</v>
      </c>
      <c r="B433">
        <v>2007</v>
      </c>
      <c r="C433" t="s">
        <v>8</v>
      </c>
      <c r="D433">
        <v>0.386738</v>
      </c>
    </row>
    <row r="434" spans="1:4">
      <c r="A434" t="s">
        <v>227</v>
      </c>
      <c r="B434">
        <v>2008</v>
      </c>
      <c r="C434" t="s">
        <v>8</v>
      </c>
      <c r="D434">
        <v>0.391948</v>
      </c>
    </row>
    <row r="435" spans="1:4">
      <c r="A435" t="s">
        <v>227</v>
      </c>
      <c r="B435">
        <v>2009</v>
      </c>
      <c r="C435" t="s">
        <v>8</v>
      </c>
      <c r="D435">
        <v>0.375458</v>
      </c>
    </row>
    <row r="436" spans="1:4">
      <c r="A436" t="s">
        <v>227</v>
      </c>
      <c r="B436">
        <v>2010</v>
      </c>
      <c r="C436" t="s">
        <v>8</v>
      </c>
      <c r="D436">
        <v>0.309352</v>
      </c>
    </row>
    <row r="437" spans="1:4">
      <c r="A437" t="s">
        <v>227</v>
      </c>
      <c r="B437">
        <v>2011</v>
      </c>
      <c r="C437" t="s">
        <v>8</v>
      </c>
      <c r="D437">
        <v>0.316301</v>
      </c>
    </row>
    <row r="438" spans="1:4">
      <c r="A438" t="s">
        <v>227</v>
      </c>
      <c r="B438">
        <v>2012</v>
      </c>
      <c r="C438" t="s">
        <v>8</v>
      </c>
      <c r="D438">
        <v>0.325703</v>
      </c>
    </row>
    <row r="439" spans="1:4">
      <c r="A439" t="s">
        <v>227</v>
      </c>
      <c r="B439">
        <v>2013</v>
      </c>
      <c r="C439" t="s">
        <v>8</v>
      </c>
      <c r="D439">
        <v>0.337232</v>
      </c>
    </row>
    <row r="440" spans="1:4">
      <c r="A440" t="s">
        <v>227</v>
      </c>
      <c r="B440">
        <v>2014</v>
      </c>
      <c r="C440" t="s">
        <v>8</v>
      </c>
      <c r="D440">
        <v>0.295866</v>
      </c>
    </row>
    <row r="441" spans="1:4">
      <c r="A441" t="s">
        <v>227</v>
      </c>
      <c r="B441">
        <v>2015</v>
      </c>
      <c r="C441" t="s">
        <v>8</v>
      </c>
      <c r="D441">
        <v>0.307147</v>
      </c>
    </row>
    <row r="442" spans="1:4">
      <c r="A442" t="s">
        <v>227</v>
      </c>
      <c r="B442">
        <v>2005</v>
      </c>
      <c r="C442" t="s">
        <v>9</v>
      </c>
      <c r="D442">
        <v>1.77607</v>
      </c>
    </row>
    <row r="443" spans="1:4">
      <c r="A443" t="s">
        <v>227</v>
      </c>
      <c r="B443">
        <v>2006</v>
      </c>
      <c r="C443" t="s">
        <v>9</v>
      </c>
      <c r="D443">
        <v>1.78794</v>
      </c>
    </row>
    <row r="444" spans="1:4">
      <c r="A444" t="s">
        <v>227</v>
      </c>
      <c r="B444">
        <v>2007</v>
      </c>
      <c r="C444" t="s">
        <v>9</v>
      </c>
      <c r="D444">
        <v>1.828794</v>
      </c>
    </row>
    <row r="445" spans="1:4">
      <c r="A445" t="s">
        <v>227</v>
      </c>
      <c r="B445">
        <v>2008</v>
      </c>
      <c r="C445" t="s">
        <v>9</v>
      </c>
      <c r="D445">
        <v>1.868128</v>
      </c>
    </row>
    <row r="446" spans="1:4">
      <c r="A446" t="s">
        <v>227</v>
      </c>
      <c r="B446">
        <v>2009</v>
      </c>
      <c r="C446" t="s">
        <v>9</v>
      </c>
      <c r="D446">
        <v>1.874934</v>
      </c>
    </row>
    <row r="447" spans="1:4">
      <c r="A447" t="s">
        <v>227</v>
      </c>
      <c r="B447">
        <v>2010</v>
      </c>
      <c r="C447" t="s">
        <v>9</v>
      </c>
      <c r="D447">
        <v>1.879314</v>
      </c>
    </row>
    <row r="448" spans="1:4">
      <c r="A448" t="s">
        <v>227</v>
      </c>
      <c r="B448">
        <v>2011</v>
      </c>
      <c r="C448" t="s">
        <v>9</v>
      </c>
      <c r="D448">
        <v>1.883684</v>
      </c>
    </row>
    <row r="449" spans="1:4">
      <c r="A449" t="s">
        <v>227</v>
      </c>
      <c r="B449">
        <v>2012</v>
      </c>
      <c r="C449" t="s">
        <v>9</v>
      </c>
      <c r="D449">
        <v>1.873987</v>
      </c>
    </row>
    <row r="450" spans="1:4">
      <c r="A450" t="s">
        <v>227</v>
      </c>
      <c r="B450">
        <v>2013</v>
      </c>
      <c r="C450" t="s">
        <v>9</v>
      </c>
      <c r="D450">
        <v>1.894508</v>
      </c>
    </row>
    <row r="451" spans="1:4">
      <c r="A451" t="s">
        <v>227</v>
      </c>
      <c r="B451">
        <v>2014</v>
      </c>
      <c r="C451" t="s">
        <v>9</v>
      </c>
      <c r="D451">
        <v>1.90259</v>
      </c>
    </row>
    <row r="452" spans="1:4">
      <c r="A452" t="s">
        <v>227</v>
      </c>
      <c r="B452">
        <v>2015</v>
      </c>
      <c r="C452" t="s">
        <v>9</v>
      </c>
      <c r="D452">
        <v>1.939395</v>
      </c>
    </row>
    <row r="453" spans="1:4">
      <c r="A453" t="s">
        <v>227</v>
      </c>
      <c r="B453">
        <v>2005</v>
      </c>
      <c r="C453" t="s">
        <v>10</v>
      </c>
      <c r="D453">
        <v>4.112682</v>
      </c>
    </row>
    <row r="454" spans="1:4">
      <c r="A454" t="s">
        <v>227</v>
      </c>
      <c r="B454">
        <v>2006</v>
      </c>
      <c r="C454" t="s">
        <v>10</v>
      </c>
      <c r="D454">
        <v>4.192272</v>
      </c>
    </row>
    <row r="455" spans="1:4">
      <c r="A455" t="s">
        <v>227</v>
      </c>
      <c r="B455">
        <v>2007</v>
      </c>
      <c r="C455" t="s">
        <v>10</v>
      </c>
      <c r="D455">
        <v>4.345826</v>
      </c>
    </row>
    <row r="456" spans="1:4">
      <c r="A456" t="s">
        <v>227</v>
      </c>
      <c r="B456">
        <v>2008</v>
      </c>
      <c r="C456" t="s">
        <v>10</v>
      </c>
      <c r="D456">
        <v>4.592854</v>
      </c>
    </row>
    <row r="457" spans="1:4">
      <c r="A457" t="s">
        <v>227</v>
      </c>
      <c r="B457">
        <v>2009</v>
      </c>
      <c r="C457" t="s">
        <v>10</v>
      </c>
      <c r="D457">
        <v>4.852564</v>
      </c>
    </row>
    <row r="458" spans="1:4">
      <c r="A458" t="s">
        <v>227</v>
      </c>
      <c r="B458">
        <v>2010</v>
      </c>
      <c r="C458" t="s">
        <v>10</v>
      </c>
      <c r="D458">
        <v>5.222702</v>
      </c>
    </row>
    <row r="459" spans="1:4">
      <c r="A459" t="s">
        <v>227</v>
      </c>
      <c r="B459">
        <v>2011</v>
      </c>
      <c r="C459" t="s">
        <v>10</v>
      </c>
      <c r="D459">
        <v>5.763624</v>
      </c>
    </row>
    <row r="460" spans="1:4">
      <c r="A460" t="s">
        <v>227</v>
      </c>
      <c r="B460">
        <v>2012</v>
      </c>
      <c r="C460" t="s">
        <v>10</v>
      </c>
      <c r="D460">
        <v>6.20807</v>
      </c>
    </row>
    <row r="461" spans="1:4">
      <c r="A461" t="s">
        <v>227</v>
      </c>
      <c r="B461">
        <v>2013</v>
      </c>
      <c r="C461" t="s">
        <v>10</v>
      </c>
      <c r="D461">
        <v>6.679247</v>
      </c>
    </row>
    <row r="462" spans="1:4">
      <c r="A462" t="s">
        <v>227</v>
      </c>
      <c r="B462">
        <v>2014</v>
      </c>
      <c r="C462" t="s">
        <v>10</v>
      </c>
      <c r="D462">
        <v>7.111102</v>
      </c>
    </row>
    <row r="463" spans="1:4">
      <c r="A463" t="s">
        <v>227</v>
      </c>
      <c r="B463">
        <v>2015</v>
      </c>
      <c r="C463" t="s">
        <v>10</v>
      </c>
      <c r="D463">
        <v>7.271901</v>
      </c>
    </row>
    <row r="464" spans="1:4">
      <c r="A464" t="s">
        <v>227</v>
      </c>
      <c r="B464">
        <v>2005</v>
      </c>
      <c r="C464" t="s">
        <v>11</v>
      </c>
      <c r="D464">
        <v>10.272</v>
      </c>
    </row>
    <row r="465" spans="1:4">
      <c r="A465" t="s">
        <v>227</v>
      </c>
      <c r="B465">
        <v>2006</v>
      </c>
      <c r="C465" t="s">
        <v>11</v>
      </c>
      <c r="D465">
        <v>10.778</v>
      </c>
    </row>
    <row r="466" spans="1:4">
      <c r="A466" t="s">
        <v>227</v>
      </c>
      <c r="B466">
        <v>2007</v>
      </c>
      <c r="C466" t="s">
        <v>11</v>
      </c>
      <c r="D466">
        <v>11.624</v>
      </c>
    </row>
    <row r="467" spans="1:4">
      <c r="A467" t="s">
        <v>227</v>
      </c>
      <c r="B467">
        <v>2008</v>
      </c>
      <c r="C467" t="s">
        <v>11</v>
      </c>
      <c r="D467">
        <v>12.607</v>
      </c>
    </row>
    <row r="468" spans="1:4">
      <c r="A468" t="s">
        <v>227</v>
      </c>
      <c r="B468">
        <v>2009</v>
      </c>
      <c r="C468" t="s">
        <v>11</v>
      </c>
      <c r="D468">
        <v>14.355</v>
      </c>
    </row>
    <row r="469" spans="1:4">
      <c r="A469" t="s">
        <v>227</v>
      </c>
      <c r="B469">
        <v>2010</v>
      </c>
      <c r="C469" t="s">
        <v>11</v>
      </c>
      <c r="D469">
        <v>16.384</v>
      </c>
    </row>
    <row r="470" spans="1:4">
      <c r="A470" t="s">
        <v>227</v>
      </c>
      <c r="B470">
        <v>2011</v>
      </c>
      <c r="C470" t="s">
        <v>11</v>
      </c>
      <c r="D470">
        <v>18.713</v>
      </c>
    </row>
    <row r="471" spans="1:4">
      <c r="A471" t="s">
        <v>227</v>
      </c>
      <c r="B471">
        <v>2012</v>
      </c>
      <c r="C471" t="s">
        <v>11</v>
      </c>
      <c r="D471">
        <v>21.844</v>
      </c>
    </row>
    <row r="472" spans="1:4">
      <c r="A472" t="s">
        <v>227</v>
      </c>
      <c r="B472">
        <v>2013</v>
      </c>
      <c r="C472" t="s">
        <v>11</v>
      </c>
      <c r="D472">
        <v>25.3402</v>
      </c>
    </row>
    <row r="473" spans="1:4">
      <c r="A473" t="s">
        <v>227</v>
      </c>
      <c r="B473">
        <v>2014</v>
      </c>
      <c r="C473" t="s">
        <v>11</v>
      </c>
      <c r="D473">
        <v>28.499163</v>
      </c>
    </row>
    <row r="474" spans="1:4">
      <c r="A474" t="s">
        <v>227</v>
      </c>
      <c r="B474">
        <v>2015</v>
      </c>
      <c r="C474" t="s">
        <v>11</v>
      </c>
      <c r="D474">
        <v>27.039668</v>
      </c>
    </row>
    <row r="475" spans="1:4">
      <c r="A475" t="s">
        <v>227</v>
      </c>
      <c r="B475">
        <v>2005</v>
      </c>
      <c r="C475" t="s">
        <v>12</v>
      </c>
      <c r="D475">
        <v>0.236282</v>
      </c>
    </row>
    <row r="476" spans="1:4">
      <c r="A476" t="s">
        <v>227</v>
      </c>
      <c r="B476">
        <v>2006</v>
      </c>
      <c r="C476" t="s">
        <v>12</v>
      </c>
      <c r="D476">
        <v>0.246275</v>
      </c>
    </row>
    <row r="477" spans="1:4">
      <c r="A477" t="s">
        <v>227</v>
      </c>
      <c r="B477">
        <v>2007</v>
      </c>
      <c r="C477" t="s">
        <v>12</v>
      </c>
      <c r="D477">
        <v>0.253791</v>
      </c>
    </row>
    <row r="478" spans="1:4">
      <c r="A478" t="s">
        <v>227</v>
      </c>
      <c r="B478">
        <v>2008</v>
      </c>
      <c r="C478" t="s">
        <v>12</v>
      </c>
      <c r="D478">
        <v>0.277383</v>
      </c>
    </row>
    <row r="479" spans="1:4">
      <c r="A479" t="s">
        <v>227</v>
      </c>
      <c r="B479">
        <v>2009</v>
      </c>
      <c r="C479" t="s">
        <v>12</v>
      </c>
      <c r="D479">
        <v>0.272631</v>
      </c>
    </row>
    <row r="480" spans="1:4">
      <c r="A480" t="s">
        <v>227</v>
      </c>
      <c r="B480">
        <v>2010</v>
      </c>
      <c r="C480" t="s">
        <v>12</v>
      </c>
      <c r="D480">
        <v>0.262581</v>
      </c>
    </row>
    <row r="481" spans="1:4">
      <c r="A481" t="s">
        <v>227</v>
      </c>
      <c r="B481">
        <v>2011</v>
      </c>
      <c r="C481" t="s">
        <v>12</v>
      </c>
      <c r="D481">
        <v>0.259476</v>
      </c>
    </row>
    <row r="482" spans="1:4">
      <c r="A482" t="s">
        <v>227</v>
      </c>
      <c r="B482">
        <v>2012</v>
      </c>
      <c r="C482" t="s">
        <v>12</v>
      </c>
      <c r="D482">
        <v>0.245563</v>
      </c>
    </row>
    <row r="483" spans="1:4">
      <c r="A483" t="s">
        <v>227</v>
      </c>
      <c r="B483">
        <v>2013</v>
      </c>
      <c r="C483" t="s">
        <v>12</v>
      </c>
      <c r="D483">
        <v>0.247094</v>
      </c>
    </row>
    <row r="484" spans="1:4">
      <c r="A484" t="s">
        <v>227</v>
      </c>
      <c r="B484">
        <v>2014</v>
      </c>
      <c r="C484" t="s">
        <v>12</v>
      </c>
      <c r="D484">
        <v>0.252704</v>
      </c>
    </row>
    <row r="485" spans="1:4">
      <c r="A485" t="s">
        <v>227</v>
      </c>
      <c r="B485">
        <v>2015</v>
      </c>
      <c r="C485" t="s">
        <v>12</v>
      </c>
      <c r="D485">
        <v>0.262987</v>
      </c>
    </row>
    <row r="486" spans="1:4">
      <c r="A486" t="s">
        <v>227</v>
      </c>
      <c r="B486">
        <v>2005</v>
      </c>
      <c r="C486" t="s">
        <v>13</v>
      </c>
      <c r="D486">
        <v>0.736</v>
      </c>
    </row>
    <row r="487" spans="1:4">
      <c r="A487" t="s">
        <v>227</v>
      </c>
      <c r="B487">
        <v>2006</v>
      </c>
      <c r="C487" t="s">
        <v>13</v>
      </c>
      <c r="D487">
        <v>0.799</v>
      </c>
    </row>
    <row r="488" spans="1:4">
      <c r="A488" t="s">
        <v>227</v>
      </c>
      <c r="B488">
        <v>2007</v>
      </c>
      <c r="C488" t="s">
        <v>13</v>
      </c>
      <c r="D488">
        <v>0.896</v>
      </c>
    </row>
    <row r="489" spans="1:4">
      <c r="A489" t="s">
        <v>227</v>
      </c>
      <c r="B489">
        <v>2008</v>
      </c>
      <c r="C489" t="s">
        <v>13</v>
      </c>
      <c r="D489">
        <v>0.99</v>
      </c>
    </row>
    <row r="490" spans="1:4">
      <c r="A490" t="s">
        <v>227</v>
      </c>
      <c r="B490">
        <v>2009</v>
      </c>
      <c r="C490" t="s">
        <v>13</v>
      </c>
      <c r="D490">
        <v>1.004</v>
      </c>
    </row>
    <row r="491" spans="1:4">
      <c r="A491" t="s">
        <v>227</v>
      </c>
      <c r="B491">
        <v>2010</v>
      </c>
      <c r="C491" t="s">
        <v>13</v>
      </c>
      <c r="D491">
        <v>1.003</v>
      </c>
    </row>
    <row r="492" spans="1:4">
      <c r="A492" t="s">
        <v>227</v>
      </c>
      <c r="B492">
        <v>2011</v>
      </c>
      <c r="C492" t="s">
        <v>13</v>
      </c>
      <c r="D492">
        <v>1.011</v>
      </c>
    </row>
    <row r="493" spans="1:4">
      <c r="A493" t="s">
        <v>227</v>
      </c>
      <c r="B493">
        <v>2012</v>
      </c>
      <c r="C493" t="s">
        <v>13</v>
      </c>
      <c r="D493">
        <v>1.00585</v>
      </c>
    </row>
    <row r="494" spans="1:4">
      <c r="A494" t="s">
        <v>227</v>
      </c>
      <c r="B494">
        <v>2013</v>
      </c>
      <c r="C494" t="s">
        <v>13</v>
      </c>
      <c r="D494">
        <v>1.016496</v>
      </c>
    </row>
    <row r="495" spans="1:4">
      <c r="A495" t="s">
        <v>227</v>
      </c>
      <c r="B495">
        <v>2014</v>
      </c>
      <c r="C495" t="s">
        <v>13</v>
      </c>
      <c r="D495">
        <v>1.038844</v>
      </c>
    </row>
    <row r="496" spans="1:4">
      <c r="A496" t="s">
        <v>227</v>
      </c>
      <c r="B496">
        <v>2015</v>
      </c>
      <c r="C496" t="s">
        <v>13</v>
      </c>
      <c r="D496">
        <v>1.072013</v>
      </c>
    </row>
    <row r="497" spans="1:4">
      <c r="A497" t="s">
        <v>227</v>
      </c>
      <c r="B497">
        <v>2005</v>
      </c>
      <c r="C497" t="s">
        <v>14</v>
      </c>
      <c r="D497">
        <v>6.198</v>
      </c>
    </row>
    <row r="498" spans="1:4">
      <c r="A498" t="s">
        <v>227</v>
      </c>
      <c r="B498">
        <v>2006</v>
      </c>
      <c r="C498" t="s">
        <v>14</v>
      </c>
      <c r="D498">
        <v>6.261</v>
      </c>
    </row>
    <row r="499" spans="1:4">
      <c r="A499" t="s">
        <v>227</v>
      </c>
      <c r="B499">
        <v>2007</v>
      </c>
      <c r="C499" t="s">
        <v>14</v>
      </c>
      <c r="D499">
        <v>6.333</v>
      </c>
    </row>
    <row r="500" spans="1:4">
      <c r="A500" t="s">
        <v>227</v>
      </c>
      <c r="B500">
        <v>2008</v>
      </c>
      <c r="C500" t="s">
        <v>14</v>
      </c>
      <c r="D500">
        <v>6.362</v>
      </c>
    </row>
    <row r="501" spans="1:4">
      <c r="A501" t="s">
        <v>227</v>
      </c>
      <c r="B501">
        <v>2009</v>
      </c>
      <c r="C501" t="s">
        <v>14</v>
      </c>
      <c r="D501">
        <v>6.388</v>
      </c>
    </row>
    <row r="502" spans="1:4">
      <c r="A502" t="s">
        <v>227</v>
      </c>
      <c r="B502">
        <v>2010</v>
      </c>
      <c r="C502" t="s">
        <v>14</v>
      </c>
      <c r="D502">
        <v>6.444</v>
      </c>
    </row>
    <row r="503" spans="1:4">
      <c r="A503" t="s">
        <v>227</v>
      </c>
      <c r="B503">
        <v>2011</v>
      </c>
      <c r="C503" t="s">
        <v>14</v>
      </c>
      <c r="D503">
        <v>6.517</v>
      </c>
    </row>
    <row r="504" spans="1:4">
      <c r="A504" t="s">
        <v>227</v>
      </c>
      <c r="B504">
        <v>2012</v>
      </c>
      <c r="C504" t="s">
        <v>14</v>
      </c>
      <c r="D504">
        <v>6.538</v>
      </c>
    </row>
    <row r="505" spans="1:4">
      <c r="A505" t="s">
        <v>227</v>
      </c>
      <c r="B505">
        <v>2013</v>
      </c>
      <c r="C505" t="s">
        <v>14</v>
      </c>
      <c r="D505">
        <v>6.55</v>
      </c>
    </row>
    <row r="506" spans="1:4">
      <c r="A506" t="s">
        <v>227</v>
      </c>
      <c r="B506">
        <v>2014</v>
      </c>
      <c r="C506" t="s">
        <v>14</v>
      </c>
      <c r="D506">
        <v>6.608</v>
      </c>
    </row>
    <row r="507" spans="1:4">
      <c r="A507" t="s">
        <v>227</v>
      </c>
      <c r="B507">
        <v>2015</v>
      </c>
      <c r="C507" t="s">
        <v>14</v>
      </c>
      <c r="D507">
        <v>6.652</v>
      </c>
    </row>
    <row r="508" spans="1:4">
      <c r="A508" t="s">
        <v>227</v>
      </c>
      <c r="B508">
        <v>2005</v>
      </c>
      <c r="C508" t="s">
        <v>15</v>
      </c>
      <c r="D508">
        <v>3.133</v>
      </c>
    </row>
    <row r="509" spans="1:4">
      <c r="A509" t="s">
        <v>227</v>
      </c>
      <c r="B509">
        <v>2006</v>
      </c>
      <c r="C509" t="s">
        <v>15</v>
      </c>
      <c r="D509">
        <v>3.172</v>
      </c>
    </row>
    <row r="510" spans="1:4">
      <c r="A510" t="s">
        <v>227</v>
      </c>
      <c r="B510">
        <v>2007</v>
      </c>
      <c r="C510" t="s">
        <v>15</v>
      </c>
      <c r="D510">
        <v>2.837</v>
      </c>
    </row>
    <row r="511" spans="1:4">
      <c r="A511" t="s">
        <v>227</v>
      </c>
      <c r="B511">
        <v>2008</v>
      </c>
      <c r="C511" t="s">
        <v>15</v>
      </c>
      <c r="D511">
        <v>2.859</v>
      </c>
    </row>
    <row r="512" spans="1:4">
      <c r="A512" t="s">
        <v>227</v>
      </c>
      <c r="B512">
        <v>2009</v>
      </c>
      <c r="C512" t="s">
        <v>15</v>
      </c>
      <c r="D512">
        <v>2.893</v>
      </c>
    </row>
    <row r="513" spans="1:4">
      <c r="A513" t="s">
        <v>227</v>
      </c>
      <c r="B513">
        <v>2010</v>
      </c>
      <c r="C513" t="s">
        <v>15</v>
      </c>
      <c r="D513">
        <v>2.96</v>
      </c>
    </row>
    <row r="514" spans="1:4">
      <c r="A514" t="s">
        <v>227</v>
      </c>
      <c r="B514">
        <v>2011</v>
      </c>
      <c r="C514" t="s">
        <v>15</v>
      </c>
      <c r="D514">
        <v>3.056</v>
      </c>
    </row>
    <row r="515" spans="1:4">
      <c r="A515" t="s">
        <v>227</v>
      </c>
      <c r="B515">
        <v>2012</v>
      </c>
      <c r="C515" t="s">
        <v>15</v>
      </c>
      <c r="D515">
        <v>3.107</v>
      </c>
    </row>
    <row r="516" spans="1:4">
      <c r="A516" t="s">
        <v>227</v>
      </c>
      <c r="B516">
        <v>2013</v>
      </c>
      <c r="C516" t="s">
        <v>15</v>
      </c>
      <c r="D516">
        <v>3.163469</v>
      </c>
    </row>
    <row r="517" spans="1:4">
      <c r="A517" t="s">
        <v>227</v>
      </c>
      <c r="B517">
        <v>2014</v>
      </c>
      <c r="C517" t="s">
        <v>15</v>
      </c>
      <c r="D517">
        <v>3.244457</v>
      </c>
    </row>
    <row r="518" spans="1:4">
      <c r="A518" t="s">
        <v>227</v>
      </c>
      <c r="B518">
        <v>2015</v>
      </c>
      <c r="C518" t="s">
        <v>15</v>
      </c>
      <c r="D518">
        <v>3.355885</v>
      </c>
    </row>
    <row r="519" spans="1:4">
      <c r="A519" t="s">
        <v>227</v>
      </c>
      <c r="B519">
        <v>2005</v>
      </c>
      <c r="C519" t="s">
        <v>16</v>
      </c>
      <c r="D519">
        <v>1.335312</v>
      </c>
    </row>
    <row r="520" spans="1:4">
      <c r="A520" t="s">
        <v>227</v>
      </c>
      <c r="B520">
        <v>2006</v>
      </c>
      <c r="C520" t="s">
        <v>16</v>
      </c>
      <c r="D520">
        <v>1.365827</v>
      </c>
    </row>
    <row r="521" spans="1:4">
      <c r="A521" t="s">
        <v>227</v>
      </c>
      <c r="B521">
        <v>2007</v>
      </c>
      <c r="C521" t="s">
        <v>16</v>
      </c>
      <c r="D521">
        <v>1.404047</v>
      </c>
    </row>
    <row r="522" spans="1:4">
      <c r="A522" t="s">
        <v>227</v>
      </c>
      <c r="B522">
        <v>2008</v>
      </c>
      <c r="C522" t="s">
        <v>16</v>
      </c>
      <c r="D522">
        <v>1.441711</v>
      </c>
    </row>
    <row r="523" spans="1:4">
      <c r="A523" t="s">
        <v>227</v>
      </c>
      <c r="B523">
        <v>2009</v>
      </c>
      <c r="C523" t="s">
        <v>16</v>
      </c>
      <c r="D523">
        <v>1.457754</v>
      </c>
    </row>
    <row r="524" spans="1:4">
      <c r="A524" t="s">
        <v>227</v>
      </c>
      <c r="B524">
        <v>2010</v>
      </c>
      <c r="C524" t="s">
        <v>16</v>
      </c>
      <c r="D524">
        <v>1.470172</v>
      </c>
    </row>
    <row r="525" spans="1:4">
      <c r="A525" t="s">
        <v>227</v>
      </c>
      <c r="B525">
        <v>2011</v>
      </c>
      <c r="C525" t="s">
        <v>16</v>
      </c>
      <c r="D525">
        <v>1.469881</v>
      </c>
    </row>
    <row r="526" spans="1:4">
      <c r="A526" t="s">
        <v>227</v>
      </c>
      <c r="B526">
        <v>2012</v>
      </c>
      <c r="C526" t="s">
        <v>16</v>
      </c>
      <c r="D526">
        <v>1.46318</v>
      </c>
    </row>
    <row r="527" spans="1:4">
      <c r="A527" t="s">
        <v>227</v>
      </c>
      <c r="B527">
        <v>2013</v>
      </c>
      <c r="C527" t="s">
        <v>16</v>
      </c>
      <c r="D527">
        <v>1.455183</v>
      </c>
    </row>
    <row r="528" spans="1:4">
      <c r="A528" t="s">
        <v>227</v>
      </c>
      <c r="B528">
        <v>2014</v>
      </c>
      <c r="C528" t="s">
        <v>16</v>
      </c>
      <c r="D528">
        <v>1.431663</v>
      </c>
    </row>
    <row r="529" spans="1:4">
      <c r="A529" t="s">
        <v>227</v>
      </c>
      <c r="B529">
        <v>2015</v>
      </c>
      <c r="C529" t="s">
        <v>16</v>
      </c>
      <c r="D529">
        <v>1.206896</v>
      </c>
    </row>
    <row r="530" spans="1:4">
      <c r="A530" t="s">
        <v>227</v>
      </c>
      <c r="B530">
        <v>2005</v>
      </c>
      <c r="C530" t="s">
        <v>17</v>
      </c>
      <c r="D530">
        <v>1.334</v>
      </c>
    </row>
    <row r="531" spans="1:4">
      <c r="A531" t="s">
        <v>227</v>
      </c>
      <c r="B531">
        <v>2006</v>
      </c>
      <c r="C531" t="s">
        <v>17</v>
      </c>
      <c r="D531">
        <v>1.262</v>
      </c>
    </row>
    <row r="532" spans="1:4">
      <c r="A532" t="s">
        <v>227</v>
      </c>
      <c r="B532">
        <v>2007</v>
      </c>
      <c r="C532" t="s">
        <v>17</v>
      </c>
      <c r="D532">
        <v>1.37</v>
      </c>
    </row>
    <row r="533" spans="1:4">
      <c r="A533" t="s">
        <v>227</v>
      </c>
      <c r="B533">
        <v>2008</v>
      </c>
      <c r="C533" t="s">
        <v>17</v>
      </c>
      <c r="D533">
        <v>1.484886</v>
      </c>
    </row>
    <row r="534" spans="1:4">
      <c r="A534" t="s">
        <v>227</v>
      </c>
      <c r="B534">
        <v>2009</v>
      </c>
      <c r="C534" t="s">
        <v>17</v>
      </c>
      <c r="D534">
        <v>1.513243</v>
      </c>
    </row>
    <row r="535" spans="1:4">
      <c r="A535" t="s">
        <v>227</v>
      </c>
      <c r="B535">
        <v>2010</v>
      </c>
      <c r="C535" t="s">
        <v>17</v>
      </c>
      <c r="D535">
        <v>1.534962</v>
      </c>
    </row>
    <row r="536" spans="1:4">
      <c r="A536" t="s">
        <v>227</v>
      </c>
      <c r="B536">
        <v>2011</v>
      </c>
      <c r="C536" t="s">
        <v>17</v>
      </c>
      <c r="D536">
        <v>1.578129</v>
      </c>
    </row>
    <row r="537" spans="1:4">
      <c r="A537" t="s">
        <v>227</v>
      </c>
      <c r="B537">
        <v>2012</v>
      </c>
      <c r="C537" t="s">
        <v>17</v>
      </c>
      <c r="D537">
        <v>1.623437</v>
      </c>
    </row>
    <row r="538" spans="1:4">
      <c r="A538" t="s">
        <v>227</v>
      </c>
      <c r="B538">
        <v>2013</v>
      </c>
      <c r="C538" t="s">
        <v>17</v>
      </c>
      <c r="D538">
        <v>1.639114</v>
      </c>
    </row>
    <row r="539" spans="1:4">
      <c r="A539" t="s">
        <v>227</v>
      </c>
      <c r="B539">
        <v>2014</v>
      </c>
      <c r="C539" t="s">
        <v>17</v>
      </c>
      <c r="D539">
        <v>1.730313</v>
      </c>
    </row>
    <row r="540" spans="1:4">
      <c r="A540" t="s">
        <v>227</v>
      </c>
      <c r="B540">
        <v>2015</v>
      </c>
      <c r="C540" t="s">
        <v>17</v>
      </c>
      <c r="D540">
        <v>1.838336</v>
      </c>
    </row>
    <row r="541" spans="1:4">
      <c r="A541" t="s">
        <v>227</v>
      </c>
      <c r="B541">
        <v>2005</v>
      </c>
      <c r="C541" t="s">
        <v>18</v>
      </c>
      <c r="D541">
        <v>0.027</v>
      </c>
    </row>
    <row r="542" spans="1:4">
      <c r="A542" t="s">
        <v>227</v>
      </c>
      <c r="B542">
        <v>2006</v>
      </c>
      <c r="C542" t="s">
        <v>18</v>
      </c>
      <c r="D542">
        <v>0.03</v>
      </c>
    </row>
    <row r="543" spans="1:4">
      <c r="A543" t="s">
        <v>227</v>
      </c>
      <c r="B543">
        <v>2007</v>
      </c>
      <c r="C543" t="s">
        <v>18</v>
      </c>
      <c r="D543">
        <v>0.033</v>
      </c>
    </row>
    <row r="544" spans="1:4">
      <c r="A544" t="s">
        <v>227</v>
      </c>
      <c r="B544">
        <v>2008</v>
      </c>
      <c r="C544" t="s">
        <v>18</v>
      </c>
      <c r="D544">
        <v>0.034</v>
      </c>
    </row>
    <row r="545" spans="1:4">
      <c r="A545" t="s">
        <v>227</v>
      </c>
      <c r="B545">
        <v>2009</v>
      </c>
      <c r="C545" t="s">
        <v>18</v>
      </c>
      <c r="D545">
        <v>0.036</v>
      </c>
    </row>
    <row r="546" spans="1:4">
      <c r="A546" t="s">
        <v>227</v>
      </c>
      <c r="B546">
        <v>2010</v>
      </c>
      <c r="C546" t="s">
        <v>18</v>
      </c>
      <c r="D546">
        <v>0.038</v>
      </c>
    </row>
    <row r="547" spans="1:4">
      <c r="A547" t="s">
        <v>227</v>
      </c>
      <c r="B547">
        <v>2011</v>
      </c>
      <c r="C547" t="s">
        <v>18</v>
      </c>
      <c r="D547">
        <v>0.032181</v>
      </c>
    </row>
    <row r="548" spans="1:4">
      <c r="A548" t="s">
        <v>227</v>
      </c>
      <c r="B548">
        <v>2012</v>
      </c>
      <c r="C548" t="s">
        <v>18</v>
      </c>
      <c r="D548">
        <v>0.032422</v>
      </c>
    </row>
    <row r="549" spans="1:4">
      <c r="A549" t="s">
        <v>227</v>
      </c>
      <c r="B549">
        <v>2013</v>
      </c>
      <c r="C549" t="s">
        <v>18</v>
      </c>
      <c r="D549">
        <v>0.032836</v>
      </c>
    </row>
    <row r="550" spans="1:4">
      <c r="A550" t="s">
        <v>227</v>
      </c>
      <c r="B550">
        <v>2014</v>
      </c>
      <c r="C550" t="s">
        <v>18</v>
      </c>
      <c r="D550">
        <v>0.033664</v>
      </c>
    </row>
    <row r="551" spans="1:4">
      <c r="A551" t="s">
        <v>227</v>
      </c>
      <c r="B551">
        <v>2015</v>
      </c>
      <c r="C551" t="s">
        <v>18</v>
      </c>
      <c r="D551">
        <v>0.035426</v>
      </c>
    </row>
    <row r="552" spans="1:4">
      <c r="A552" t="s">
        <v>227</v>
      </c>
      <c r="B552">
        <v>2005</v>
      </c>
      <c r="C552" t="s">
        <v>19</v>
      </c>
      <c r="D552">
        <v>2.706</v>
      </c>
    </row>
    <row r="553" spans="1:4">
      <c r="A553" t="s">
        <v>227</v>
      </c>
      <c r="B553">
        <v>2006</v>
      </c>
      <c r="C553" t="s">
        <v>19</v>
      </c>
      <c r="D553">
        <v>2.948</v>
      </c>
    </row>
    <row r="554" spans="1:4">
      <c r="A554" t="s">
        <v>227</v>
      </c>
      <c r="B554">
        <v>2007</v>
      </c>
      <c r="C554" t="s">
        <v>19</v>
      </c>
      <c r="D554">
        <v>3.642</v>
      </c>
    </row>
    <row r="555" spans="1:4">
      <c r="A555" t="s">
        <v>227</v>
      </c>
      <c r="B555">
        <v>2008</v>
      </c>
      <c r="C555" t="s">
        <v>19</v>
      </c>
      <c r="D555">
        <v>3.954</v>
      </c>
    </row>
    <row r="556" spans="1:4">
      <c r="A556" t="s">
        <v>227</v>
      </c>
      <c r="B556">
        <v>2009</v>
      </c>
      <c r="C556" t="s">
        <v>19</v>
      </c>
      <c r="D556">
        <v>4.433</v>
      </c>
    </row>
    <row r="557" spans="1:4">
      <c r="A557" t="s">
        <v>227</v>
      </c>
      <c r="B557">
        <v>2010</v>
      </c>
      <c r="C557" t="s">
        <v>19</v>
      </c>
      <c r="D557">
        <v>4.682</v>
      </c>
    </row>
    <row r="558" spans="1:4">
      <c r="A558" t="s">
        <v>227</v>
      </c>
      <c r="B558">
        <v>2011</v>
      </c>
      <c r="C558" t="s">
        <v>19</v>
      </c>
      <c r="D558">
        <v>5.086</v>
      </c>
    </row>
    <row r="559" spans="1:4">
      <c r="A559" t="s">
        <v>227</v>
      </c>
      <c r="B559">
        <v>2012</v>
      </c>
      <c r="C559" t="s">
        <v>19</v>
      </c>
      <c r="D559">
        <v>5.726</v>
      </c>
    </row>
    <row r="560" spans="1:4">
      <c r="A560" t="s">
        <v>227</v>
      </c>
      <c r="B560">
        <v>2013</v>
      </c>
      <c r="C560" t="s">
        <v>19</v>
      </c>
      <c r="D560">
        <v>5.908</v>
      </c>
    </row>
    <row r="561" spans="1:4">
      <c r="A561" t="s">
        <v>227</v>
      </c>
      <c r="B561">
        <v>2014</v>
      </c>
      <c r="C561" t="s">
        <v>19</v>
      </c>
      <c r="D561">
        <v>6.068</v>
      </c>
    </row>
    <row r="562" spans="1:4">
      <c r="A562" t="s">
        <v>227</v>
      </c>
      <c r="B562">
        <v>2015</v>
      </c>
      <c r="C562" t="s">
        <v>19</v>
      </c>
      <c r="D562">
        <v>6.392</v>
      </c>
    </row>
    <row r="563" spans="1:4">
      <c r="A563" t="s">
        <v>227</v>
      </c>
      <c r="B563">
        <v>2005</v>
      </c>
      <c r="C563" t="s">
        <v>20</v>
      </c>
      <c r="D563">
        <v>0.286548</v>
      </c>
    </row>
    <row r="564" spans="1:4">
      <c r="A564" t="s">
        <v>227</v>
      </c>
      <c r="B564">
        <v>2006</v>
      </c>
      <c r="C564" t="s">
        <v>20</v>
      </c>
      <c r="D564">
        <v>0.318604</v>
      </c>
    </row>
    <row r="565" spans="1:4">
      <c r="A565" t="s">
        <v>227</v>
      </c>
      <c r="B565">
        <v>2007</v>
      </c>
      <c r="C565" t="s">
        <v>20</v>
      </c>
      <c r="D565">
        <v>0.345874</v>
      </c>
    </row>
    <row r="566" spans="1:4">
      <c r="A566" t="s">
        <v>227</v>
      </c>
      <c r="B566">
        <v>2008</v>
      </c>
      <c r="C566" t="s">
        <v>20</v>
      </c>
      <c r="D566">
        <v>0.351307</v>
      </c>
    </row>
    <row r="567" spans="1:4">
      <c r="A567" t="s">
        <v>227</v>
      </c>
      <c r="B567">
        <v>2009</v>
      </c>
      <c r="C567" t="s">
        <v>20</v>
      </c>
      <c r="D567">
        <v>0.34394</v>
      </c>
    </row>
    <row r="568" spans="1:4">
      <c r="A568" t="s">
        <v>227</v>
      </c>
      <c r="B568">
        <v>2010</v>
      </c>
      <c r="C568" t="s">
        <v>20</v>
      </c>
      <c r="D568">
        <v>0.327096</v>
      </c>
    </row>
    <row r="569" spans="1:4">
      <c r="A569" t="s">
        <v>227</v>
      </c>
      <c r="B569">
        <v>2011</v>
      </c>
      <c r="C569" t="s">
        <v>20</v>
      </c>
      <c r="D569">
        <v>0.320966</v>
      </c>
    </row>
    <row r="570" spans="1:4">
      <c r="A570" t="s">
        <v>227</v>
      </c>
      <c r="B570">
        <v>2012</v>
      </c>
      <c r="C570" t="s">
        <v>20</v>
      </c>
      <c r="D570">
        <v>0.309219</v>
      </c>
    </row>
    <row r="571" spans="1:4">
      <c r="A571" t="s">
        <v>227</v>
      </c>
      <c r="B571">
        <v>2013</v>
      </c>
      <c r="C571" t="s">
        <v>20</v>
      </c>
      <c r="D571">
        <v>0.317849</v>
      </c>
    </row>
    <row r="572" spans="1:4">
      <c r="A572" t="s">
        <v>227</v>
      </c>
      <c r="B572">
        <v>2014</v>
      </c>
      <c r="C572" t="s">
        <v>20</v>
      </c>
      <c r="D572">
        <v>0.317378</v>
      </c>
    </row>
    <row r="573" spans="1:4">
      <c r="A573" t="s">
        <v>227</v>
      </c>
      <c r="B573">
        <v>2015</v>
      </c>
      <c r="C573" t="s">
        <v>20</v>
      </c>
      <c r="D573">
        <v>0.330541</v>
      </c>
    </row>
    <row r="574" spans="1:4">
      <c r="A574" t="s">
        <v>227</v>
      </c>
      <c r="B574">
        <v>2005</v>
      </c>
      <c r="C574" t="s">
        <v>21</v>
      </c>
      <c r="D574">
        <v>4.468</v>
      </c>
    </row>
    <row r="575" spans="1:4">
      <c r="A575" t="s">
        <v>227</v>
      </c>
      <c r="B575">
        <v>2006</v>
      </c>
      <c r="C575" t="s">
        <v>21</v>
      </c>
      <c r="D575">
        <v>4.627</v>
      </c>
    </row>
    <row r="576" spans="1:4">
      <c r="A576" t="s">
        <v>227</v>
      </c>
      <c r="B576">
        <v>2007</v>
      </c>
      <c r="C576" t="s">
        <v>21</v>
      </c>
      <c r="D576">
        <v>4.736</v>
      </c>
    </row>
    <row r="577" spans="1:4">
      <c r="A577" t="s">
        <v>227</v>
      </c>
      <c r="B577">
        <v>2008</v>
      </c>
      <c r="C577" t="s">
        <v>21</v>
      </c>
      <c r="D577">
        <v>4.838</v>
      </c>
    </row>
    <row r="578" spans="1:4">
      <c r="A578" t="s">
        <v>227</v>
      </c>
      <c r="B578">
        <v>2009</v>
      </c>
      <c r="C578" t="s">
        <v>21</v>
      </c>
      <c r="D578">
        <v>4.889</v>
      </c>
    </row>
    <row r="579" spans="1:4">
      <c r="A579" t="s">
        <v>227</v>
      </c>
      <c r="B579">
        <v>2010</v>
      </c>
      <c r="C579" t="s">
        <v>21</v>
      </c>
      <c r="D579">
        <v>4.946</v>
      </c>
    </row>
    <row r="580" spans="1:4">
      <c r="A580" t="s">
        <v>227</v>
      </c>
      <c r="B580">
        <v>2011</v>
      </c>
      <c r="C580" t="s">
        <v>21</v>
      </c>
      <c r="D580">
        <v>5.001</v>
      </c>
    </row>
    <row r="581" spans="1:4">
      <c r="A581" t="s">
        <v>227</v>
      </c>
      <c r="B581">
        <v>2012</v>
      </c>
      <c r="C581" t="s">
        <v>21</v>
      </c>
      <c r="D581">
        <v>4.969</v>
      </c>
    </row>
    <row r="582" spans="1:4">
      <c r="A582" t="s">
        <v>227</v>
      </c>
      <c r="B582">
        <v>2013</v>
      </c>
      <c r="C582" t="s">
        <v>21</v>
      </c>
      <c r="D582">
        <v>4.914967</v>
      </c>
    </row>
    <row r="583" spans="1:4">
      <c r="A583" t="s">
        <v>227</v>
      </c>
      <c r="B583">
        <v>2014</v>
      </c>
      <c r="C583" t="s">
        <v>21</v>
      </c>
      <c r="D583">
        <v>4.913953</v>
      </c>
    </row>
    <row r="584" spans="1:4">
      <c r="A584" t="s">
        <v>227</v>
      </c>
      <c r="B584">
        <v>2015</v>
      </c>
      <c r="C584" t="s">
        <v>21</v>
      </c>
      <c r="D584">
        <v>4.939838</v>
      </c>
    </row>
    <row r="585" spans="1:4">
      <c r="A585" t="s">
        <v>227</v>
      </c>
      <c r="B585">
        <v>2005</v>
      </c>
      <c r="C585" t="s">
        <v>22</v>
      </c>
      <c r="D585">
        <v>18.596</v>
      </c>
    </row>
    <row r="586" spans="1:4">
      <c r="A586" t="s">
        <v>227</v>
      </c>
      <c r="B586">
        <v>2006</v>
      </c>
      <c r="C586" t="s">
        <v>22</v>
      </c>
      <c r="D586">
        <v>18.338</v>
      </c>
    </row>
    <row r="587" spans="1:4">
      <c r="A587" t="s">
        <v>227</v>
      </c>
      <c r="B587">
        <v>2007</v>
      </c>
      <c r="C587" t="s">
        <v>22</v>
      </c>
      <c r="D587">
        <v>18.091</v>
      </c>
    </row>
    <row r="588" spans="1:4">
      <c r="A588" t="s">
        <v>227</v>
      </c>
      <c r="B588">
        <v>2008</v>
      </c>
      <c r="C588" t="s">
        <v>22</v>
      </c>
      <c r="D588">
        <v>17.663</v>
      </c>
    </row>
    <row r="589" spans="1:4">
      <c r="A589" t="s">
        <v>227</v>
      </c>
      <c r="B589">
        <v>2009</v>
      </c>
      <c r="C589" t="s">
        <v>22</v>
      </c>
      <c r="D589">
        <v>17.305</v>
      </c>
    </row>
    <row r="590" spans="1:4">
      <c r="A590" t="s">
        <v>227</v>
      </c>
      <c r="B590">
        <v>2010</v>
      </c>
      <c r="C590" t="s">
        <v>22</v>
      </c>
      <c r="D590">
        <v>17.014</v>
      </c>
    </row>
    <row r="591" spans="1:4">
      <c r="A591" t="s">
        <v>227</v>
      </c>
      <c r="B591">
        <v>2011</v>
      </c>
      <c r="C591" t="s">
        <v>22</v>
      </c>
      <c r="D591">
        <v>16.843</v>
      </c>
    </row>
    <row r="592" spans="1:4">
      <c r="A592" t="s">
        <v>227</v>
      </c>
      <c r="B592">
        <v>2012</v>
      </c>
      <c r="C592" t="s">
        <v>22</v>
      </c>
      <c r="D592">
        <v>16.705</v>
      </c>
    </row>
    <row r="593" spans="1:4">
      <c r="A593" t="s">
        <v>227</v>
      </c>
      <c r="B593">
        <v>2013</v>
      </c>
      <c r="C593" t="s">
        <v>22</v>
      </c>
      <c r="D593">
        <v>16.583218</v>
      </c>
    </row>
    <row r="594" spans="1:4">
      <c r="A594" t="s">
        <v>227</v>
      </c>
      <c r="B594">
        <v>2014</v>
      </c>
      <c r="C594" t="s">
        <v>22</v>
      </c>
      <c r="D594">
        <v>16.520396</v>
      </c>
    </row>
    <row r="595" spans="1:4">
      <c r="A595" t="s">
        <v>227</v>
      </c>
      <c r="B595">
        <v>2015</v>
      </c>
      <c r="C595" t="s">
        <v>22</v>
      </c>
      <c r="D595">
        <v>16.416448</v>
      </c>
    </row>
    <row r="596" spans="1:4">
      <c r="A596" t="s">
        <v>227</v>
      </c>
      <c r="B596">
        <v>2005</v>
      </c>
      <c r="C596" t="s">
        <v>23</v>
      </c>
      <c r="D596">
        <v>8.246373</v>
      </c>
    </row>
    <row r="597" spans="1:4">
      <c r="A597" t="s">
        <v>227</v>
      </c>
      <c r="B597">
        <v>2006</v>
      </c>
      <c r="C597" t="s">
        <v>23</v>
      </c>
      <c r="D597">
        <v>8.785122</v>
      </c>
    </row>
    <row r="598" spans="1:4">
      <c r="A598" t="s">
        <v>227</v>
      </c>
      <c r="B598">
        <v>2007</v>
      </c>
      <c r="C598" t="s">
        <v>23</v>
      </c>
      <c r="D598">
        <v>9.504061</v>
      </c>
    </row>
    <row r="599" spans="1:4">
      <c r="A599" t="s">
        <v>227</v>
      </c>
      <c r="B599">
        <v>2008</v>
      </c>
      <c r="C599" t="s">
        <v>23</v>
      </c>
      <c r="D599">
        <v>10.341381</v>
      </c>
    </row>
    <row r="600" spans="1:4">
      <c r="A600" t="s">
        <v>227</v>
      </c>
      <c r="B600">
        <v>2009</v>
      </c>
      <c r="C600" t="s">
        <v>23</v>
      </c>
      <c r="D600">
        <v>10.729044</v>
      </c>
    </row>
    <row r="601" spans="1:4">
      <c r="A601" t="s">
        <v>227</v>
      </c>
      <c r="B601">
        <v>2010</v>
      </c>
      <c r="C601" t="s">
        <v>23</v>
      </c>
      <c r="D601">
        <v>11.491416</v>
      </c>
    </row>
    <row r="602" spans="1:4">
      <c r="A602" t="s">
        <v>227</v>
      </c>
      <c r="B602">
        <v>2011</v>
      </c>
      <c r="C602" t="s">
        <v>23</v>
      </c>
      <c r="D602">
        <v>12.212654</v>
      </c>
    </row>
    <row r="603" spans="1:4">
      <c r="A603" t="s">
        <v>227</v>
      </c>
      <c r="B603">
        <v>2012</v>
      </c>
      <c r="C603" t="s">
        <v>23</v>
      </c>
      <c r="D603">
        <v>12.920811</v>
      </c>
    </row>
    <row r="604" spans="1:4">
      <c r="A604" t="s">
        <v>227</v>
      </c>
      <c r="B604">
        <v>2013</v>
      </c>
      <c r="C604" t="s">
        <v>23</v>
      </c>
      <c r="D604">
        <v>13.35392</v>
      </c>
    </row>
    <row r="605" spans="1:4">
      <c r="A605" t="s">
        <v>227</v>
      </c>
      <c r="B605">
        <v>2014</v>
      </c>
      <c r="C605" t="s">
        <v>23</v>
      </c>
      <c r="D605">
        <v>14.08419</v>
      </c>
    </row>
    <row r="606" spans="1:4">
      <c r="A606" t="s">
        <v>227</v>
      </c>
      <c r="B606">
        <v>2015</v>
      </c>
      <c r="C606" t="s">
        <v>23</v>
      </c>
      <c r="D606">
        <v>14.757721</v>
      </c>
    </row>
    <row r="607" spans="1:4">
      <c r="A607" t="s">
        <v>227</v>
      </c>
      <c r="B607">
        <v>2005</v>
      </c>
      <c r="C607" t="s">
        <v>24</v>
      </c>
      <c r="D607">
        <v>5.001988</v>
      </c>
    </row>
    <row r="608" spans="1:4">
      <c r="A608" t="s">
        <v>227</v>
      </c>
      <c r="B608">
        <v>2006</v>
      </c>
      <c r="C608" t="s">
        <v>24</v>
      </c>
      <c r="D608">
        <v>5.231131</v>
      </c>
    </row>
    <row r="609" spans="1:4">
      <c r="A609" t="s">
        <v>227</v>
      </c>
      <c r="B609">
        <v>2007</v>
      </c>
      <c r="C609" t="s">
        <v>24</v>
      </c>
      <c r="D609">
        <v>5.535</v>
      </c>
    </row>
    <row r="610" spans="1:4">
      <c r="A610" t="s">
        <v>227</v>
      </c>
      <c r="B610">
        <v>2008</v>
      </c>
      <c r="C610" t="s">
        <v>24</v>
      </c>
      <c r="D610">
        <v>5.81052266666667</v>
      </c>
    </row>
    <row r="611" spans="1:4">
      <c r="A611" t="s">
        <v>227</v>
      </c>
      <c r="B611">
        <v>2009</v>
      </c>
      <c r="C611" t="s">
        <v>24</v>
      </c>
      <c r="D611">
        <v>6.02452733333333</v>
      </c>
    </row>
    <row r="612" spans="1:4">
      <c r="A612" t="s">
        <v>227</v>
      </c>
      <c r="B612">
        <v>2010</v>
      </c>
      <c r="C612" t="s">
        <v>24</v>
      </c>
      <c r="D612">
        <v>6.311517</v>
      </c>
    </row>
    <row r="613" spans="1:4">
      <c r="A613" t="s">
        <v>227</v>
      </c>
      <c r="B613">
        <v>2011</v>
      </c>
      <c r="C613" t="s">
        <v>24</v>
      </c>
      <c r="D613">
        <v>6.77765366666667</v>
      </c>
    </row>
    <row r="614" spans="1:4">
      <c r="A614" t="s">
        <v>227</v>
      </c>
      <c r="B614">
        <v>2012</v>
      </c>
      <c r="C614" t="s">
        <v>24</v>
      </c>
      <c r="D614">
        <v>7.30348533333333</v>
      </c>
    </row>
    <row r="615" spans="1:4">
      <c r="A615" t="s">
        <v>227</v>
      </c>
      <c r="B615">
        <v>2013</v>
      </c>
      <c r="C615" t="s">
        <v>24</v>
      </c>
      <c r="D615">
        <v>7.59378</v>
      </c>
    </row>
    <row r="616" spans="1:4">
      <c r="A616" t="s">
        <v>227</v>
      </c>
      <c r="B616">
        <v>2014</v>
      </c>
      <c r="C616" t="s">
        <v>24</v>
      </c>
      <c r="D616">
        <v>7.831396</v>
      </c>
    </row>
    <row r="617" spans="1:4">
      <c r="A617" t="s">
        <v>227</v>
      </c>
      <c r="B617">
        <v>2015</v>
      </c>
      <c r="C617" t="s">
        <v>24</v>
      </c>
      <c r="D617">
        <v>8.138328</v>
      </c>
    </row>
    <row r="618" spans="1:4">
      <c r="A618" t="s">
        <v>227</v>
      </c>
      <c r="B618">
        <v>2005</v>
      </c>
      <c r="C618" t="s">
        <v>25</v>
      </c>
      <c r="D618">
        <v>112.824</v>
      </c>
    </row>
    <row r="619" spans="1:4">
      <c r="A619" t="s">
        <v>227</v>
      </c>
      <c r="B619">
        <v>2006</v>
      </c>
      <c r="C619" t="s">
        <v>25</v>
      </c>
      <c r="D619">
        <v>118.21</v>
      </c>
    </row>
    <row r="620" spans="1:4">
      <c r="A620" t="s">
        <v>227</v>
      </c>
      <c r="B620">
        <v>2007</v>
      </c>
      <c r="C620" t="s">
        <v>25</v>
      </c>
      <c r="D620">
        <v>122.523</v>
      </c>
    </row>
    <row r="621" spans="1:4">
      <c r="A621" t="s">
        <v>227</v>
      </c>
      <c r="B621">
        <v>2008</v>
      </c>
      <c r="C621" t="s">
        <v>25</v>
      </c>
      <c r="D621">
        <v>123.625</v>
      </c>
    </row>
    <row r="622" spans="1:4">
      <c r="A622" t="s">
        <v>227</v>
      </c>
      <c r="B622">
        <v>2009</v>
      </c>
      <c r="C622" t="s">
        <v>25</v>
      </c>
      <c r="D622">
        <v>126.56</v>
      </c>
    </row>
    <row r="623" spans="1:4">
      <c r="A623" t="s">
        <v>227</v>
      </c>
      <c r="B623">
        <v>2010</v>
      </c>
      <c r="C623" t="s">
        <v>25</v>
      </c>
      <c r="D623">
        <v>129.471</v>
      </c>
    </row>
    <row r="624" spans="1:4">
      <c r="A624" t="s">
        <v>227</v>
      </c>
      <c r="B624">
        <v>2011</v>
      </c>
      <c r="C624" t="s">
        <v>25</v>
      </c>
      <c r="D624">
        <v>131.954</v>
      </c>
    </row>
    <row r="625" spans="1:4">
      <c r="A625" t="s">
        <v>227</v>
      </c>
      <c r="B625">
        <v>2012</v>
      </c>
      <c r="C625" t="s">
        <v>25</v>
      </c>
      <c r="D625">
        <v>141.371459</v>
      </c>
    </row>
    <row r="626" spans="1:4">
      <c r="A626" t="s">
        <v>227</v>
      </c>
      <c r="B626">
        <v>2013</v>
      </c>
      <c r="C626" t="s">
        <v>25</v>
      </c>
      <c r="D626">
        <v>143.623173</v>
      </c>
    </row>
    <row r="627" spans="1:4">
      <c r="A627" t="s">
        <v>227</v>
      </c>
      <c r="B627">
        <v>2014</v>
      </c>
      <c r="C627" t="s">
        <v>25</v>
      </c>
      <c r="D627">
        <v>148.373844</v>
      </c>
    </row>
    <row r="628" spans="1:4">
      <c r="A628" t="s">
        <v>227</v>
      </c>
      <c r="B628">
        <v>2015</v>
      </c>
      <c r="C628" t="s">
        <v>25</v>
      </c>
      <c r="D628">
        <v>153.435383</v>
      </c>
    </row>
    <row r="629" spans="1:4">
      <c r="A629" t="s">
        <v>227</v>
      </c>
      <c r="B629">
        <v>2005</v>
      </c>
      <c r="C629" t="s">
        <v>26</v>
      </c>
      <c r="D629">
        <v>0.494</v>
      </c>
    </row>
    <row r="630" spans="1:4">
      <c r="A630" t="s">
        <v>227</v>
      </c>
      <c r="B630">
        <v>2006</v>
      </c>
      <c r="C630" t="s">
        <v>26</v>
      </c>
      <c r="D630">
        <v>0.515</v>
      </c>
    </row>
    <row r="631" spans="1:4">
      <c r="A631" t="s">
        <v>227</v>
      </c>
      <c r="B631">
        <v>2007</v>
      </c>
      <c r="C631" t="s">
        <v>26</v>
      </c>
      <c r="D631">
        <v>0.538</v>
      </c>
    </row>
    <row r="632" spans="1:4">
      <c r="A632" t="s">
        <v>227</v>
      </c>
      <c r="B632">
        <v>2008</v>
      </c>
      <c r="C632" t="s">
        <v>26</v>
      </c>
      <c r="D632">
        <v>0.546</v>
      </c>
    </row>
    <row r="633" spans="1:4">
      <c r="A633" t="s">
        <v>227</v>
      </c>
      <c r="B633">
        <v>2009</v>
      </c>
      <c r="C633" t="s">
        <v>26</v>
      </c>
      <c r="D633">
        <v>0.547</v>
      </c>
    </row>
    <row r="634" spans="1:4">
      <c r="A634" t="s">
        <v>227</v>
      </c>
      <c r="B634">
        <v>2010</v>
      </c>
      <c r="C634" t="s">
        <v>26</v>
      </c>
      <c r="D634">
        <v>0.551</v>
      </c>
    </row>
    <row r="635" spans="1:4">
      <c r="A635" t="s">
        <v>227</v>
      </c>
      <c r="B635">
        <v>2011</v>
      </c>
      <c r="C635" t="s">
        <v>26</v>
      </c>
      <c r="D635">
        <v>0.56</v>
      </c>
    </row>
    <row r="636" spans="1:4">
      <c r="A636" t="s">
        <v>227</v>
      </c>
      <c r="B636">
        <v>2012</v>
      </c>
      <c r="C636" t="s">
        <v>26</v>
      </c>
      <c r="D636">
        <v>0.571</v>
      </c>
    </row>
    <row r="637" spans="1:4">
      <c r="A637" t="s">
        <v>227</v>
      </c>
      <c r="B637">
        <v>2013</v>
      </c>
      <c r="C637" t="s">
        <v>26</v>
      </c>
      <c r="D637">
        <v>0.578531</v>
      </c>
    </row>
    <row r="638" spans="1:4">
      <c r="A638" t="s">
        <v>227</v>
      </c>
      <c r="B638">
        <v>2014</v>
      </c>
      <c r="C638" t="s">
        <v>26</v>
      </c>
      <c r="D638">
        <v>0.584838</v>
      </c>
    </row>
    <row r="639" spans="1:4">
      <c r="A639" t="s">
        <v>227</v>
      </c>
      <c r="B639">
        <v>2015</v>
      </c>
      <c r="C639" t="s">
        <v>26</v>
      </c>
      <c r="D639">
        <v>0.590872</v>
      </c>
    </row>
    <row r="640" spans="1:4">
      <c r="A640" t="s">
        <v>227</v>
      </c>
      <c r="B640">
        <v>2005</v>
      </c>
      <c r="C640" t="s">
        <v>27</v>
      </c>
      <c r="D640">
        <v>2.481</v>
      </c>
    </row>
    <row r="641" spans="1:4">
      <c r="A641" t="s">
        <v>227</v>
      </c>
      <c r="B641">
        <v>2006</v>
      </c>
      <c r="C641" t="s">
        <v>27</v>
      </c>
      <c r="D641">
        <v>2.58</v>
      </c>
    </row>
    <row r="642" spans="1:4">
      <c r="A642" t="s">
        <v>227</v>
      </c>
      <c r="B642">
        <v>2007</v>
      </c>
      <c r="C642" t="s">
        <v>27</v>
      </c>
      <c r="D642">
        <v>2.719</v>
      </c>
    </row>
    <row r="643" spans="1:4">
      <c r="A643" t="s">
        <v>227</v>
      </c>
      <c r="B643">
        <v>2008</v>
      </c>
      <c r="C643" t="s">
        <v>27</v>
      </c>
      <c r="D643">
        <v>2.926</v>
      </c>
    </row>
    <row r="644" spans="1:4">
      <c r="A644" t="s">
        <v>227</v>
      </c>
      <c r="B644">
        <v>2009</v>
      </c>
      <c r="C644" t="s">
        <v>27</v>
      </c>
      <c r="D644">
        <v>3.025</v>
      </c>
    </row>
    <row r="645" spans="1:4">
      <c r="A645" t="s">
        <v>227</v>
      </c>
      <c r="B645">
        <v>2010</v>
      </c>
      <c r="C645" t="s">
        <v>27</v>
      </c>
      <c r="D645">
        <v>3.219</v>
      </c>
    </row>
    <row r="646" spans="1:4">
      <c r="A646" t="s">
        <v>227</v>
      </c>
      <c r="B646">
        <v>2011</v>
      </c>
      <c r="C646" t="s">
        <v>27</v>
      </c>
      <c r="D646">
        <v>3.381</v>
      </c>
    </row>
    <row r="647" spans="1:4">
      <c r="A647" t="s">
        <v>227</v>
      </c>
      <c r="B647">
        <v>2012</v>
      </c>
      <c r="C647" t="s">
        <v>27</v>
      </c>
      <c r="D647">
        <v>3.429</v>
      </c>
    </row>
    <row r="648" spans="1:4">
      <c r="A648" t="s">
        <v>227</v>
      </c>
      <c r="B648">
        <v>2013</v>
      </c>
      <c r="C648" t="s">
        <v>27</v>
      </c>
      <c r="D648">
        <v>3.508</v>
      </c>
    </row>
    <row r="649" spans="1:4">
      <c r="A649" t="s">
        <v>227</v>
      </c>
      <c r="B649">
        <v>2014</v>
      </c>
      <c r="C649" t="s">
        <v>27</v>
      </c>
      <c r="D649">
        <v>3.469014</v>
      </c>
    </row>
    <row r="650" spans="1:4">
      <c r="A650" t="s">
        <v>227</v>
      </c>
      <c r="B650">
        <v>2015</v>
      </c>
      <c r="C650" t="s">
        <v>27</v>
      </c>
      <c r="D650">
        <v>3.562199</v>
      </c>
    </row>
    <row r="651" spans="1:4">
      <c r="A651" t="s">
        <v>227</v>
      </c>
      <c r="B651">
        <v>2005</v>
      </c>
      <c r="C651" t="s">
        <v>28</v>
      </c>
      <c r="D651">
        <v>18.875892935287</v>
      </c>
    </row>
    <row r="652" spans="1:4">
      <c r="A652" t="s">
        <v>227</v>
      </c>
      <c r="B652">
        <v>2006</v>
      </c>
      <c r="C652" t="s">
        <v>28</v>
      </c>
      <c r="D652">
        <v>19.3214828752403</v>
      </c>
    </row>
    <row r="653" spans="1:4">
      <c r="A653" t="s">
        <v>227</v>
      </c>
      <c r="B653">
        <v>2007</v>
      </c>
      <c r="C653" t="s">
        <v>28</v>
      </c>
      <c r="D653">
        <v>21.2918117254902</v>
      </c>
    </row>
    <row r="654" spans="1:4">
      <c r="A654" t="s">
        <v>227</v>
      </c>
      <c r="B654">
        <v>2008</v>
      </c>
      <c r="C654" t="s">
        <v>28</v>
      </c>
      <c r="D654">
        <v>21.861615</v>
      </c>
    </row>
    <row r="655" spans="1:4">
      <c r="A655" t="s">
        <v>227</v>
      </c>
      <c r="B655">
        <v>2009</v>
      </c>
      <c r="C655" t="s">
        <v>28</v>
      </c>
      <c r="D655">
        <v>22.335358</v>
      </c>
    </row>
    <row r="656" spans="1:4">
      <c r="A656" t="s">
        <v>227</v>
      </c>
      <c r="B656">
        <v>2010</v>
      </c>
      <c r="C656" t="s">
        <v>28</v>
      </c>
      <c r="D656">
        <v>22.976014</v>
      </c>
    </row>
    <row r="657" spans="1:4">
      <c r="A657" t="s">
        <v>227</v>
      </c>
      <c r="B657">
        <v>2011</v>
      </c>
      <c r="C657" t="s">
        <v>28</v>
      </c>
      <c r="D657">
        <v>23.795397</v>
      </c>
    </row>
    <row r="658" spans="1:4">
      <c r="A658" t="s">
        <v>227</v>
      </c>
      <c r="B658">
        <v>2012</v>
      </c>
      <c r="C658" t="s">
        <v>28</v>
      </c>
      <c r="D658">
        <v>24.846936</v>
      </c>
    </row>
    <row r="659" spans="1:4">
      <c r="A659" t="s">
        <v>227</v>
      </c>
      <c r="B659">
        <v>2013</v>
      </c>
      <c r="C659" t="s">
        <v>28</v>
      </c>
      <c r="D659">
        <v>25.916251</v>
      </c>
    </row>
    <row r="660" spans="1:4">
      <c r="A660" t="s">
        <v>227</v>
      </c>
      <c r="B660">
        <v>2014</v>
      </c>
      <c r="C660" t="s">
        <v>28</v>
      </c>
      <c r="D660">
        <v>27.174536</v>
      </c>
    </row>
    <row r="661" spans="1:4">
      <c r="A661" t="s">
        <v>227</v>
      </c>
      <c r="B661">
        <v>2015</v>
      </c>
      <c r="C661" t="s">
        <v>28</v>
      </c>
      <c r="D661">
        <v>28.039458</v>
      </c>
    </row>
    <row r="662" spans="1:4">
      <c r="A662" t="s">
        <v>227</v>
      </c>
      <c r="B662">
        <v>2005</v>
      </c>
      <c r="C662" t="s">
        <v>29</v>
      </c>
      <c r="D662">
        <v>6.006</v>
      </c>
    </row>
    <row r="663" spans="1:4">
      <c r="A663" t="s">
        <v>227</v>
      </c>
      <c r="B663">
        <v>2006</v>
      </c>
      <c r="C663" t="s">
        <v>29</v>
      </c>
      <c r="D663">
        <v>6.135</v>
      </c>
    </row>
    <row r="664" spans="1:4">
      <c r="A664" t="s">
        <v>227</v>
      </c>
      <c r="B664">
        <v>2007</v>
      </c>
      <c r="C664" t="s">
        <v>29</v>
      </c>
      <c r="D664">
        <v>6.433</v>
      </c>
    </row>
    <row r="665" spans="1:4">
      <c r="A665" t="s">
        <v>227</v>
      </c>
      <c r="B665">
        <v>2008</v>
      </c>
      <c r="C665" t="s">
        <v>29</v>
      </c>
      <c r="D665">
        <v>6.656</v>
      </c>
    </row>
    <row r="666" spans="1:4">
      <c r="A666" t="s">
        <v>227</v>
      </c>
      <c r="B666">
        <v>2009</v>
      </c>
      <c r="C666" t="s">
        <v>29</v>
      </c>
      <c r="D666">
        <v>6.648754</v>
      </c>
    </row>
    <row r="667" spans="1:4">
      <c r="A667" t="s">
        <v>227</v>
      </c>
      <c r="B667">
        <v>2010</v>
      </c>
      <c r="C667" t="s">
        <v>29</v>
      </c>
      <c r="D667">
        <v>6.750035</v>
      </c>
    </row>
    <row r="668" spans="1:4">
      <c r="A668" t="s">
        <v>227</v>
      </c>
      <c r="B668">
        <v>2011</v>
      </c>
      <c r="C668" t="s">
        <v>29</v>
      </c>
      <c r="D668">
        <v>6.888314</v>
      </c>
    </row>
    <row r="669" spans="1:4">
      <c r="A669" t="s">
        <v>227</v>
      </c>
      <c r="B669">
        <v>2012</v>
      </c>
      <c r="C669" t="s">
        <v>29</v>
      </c>
      <c r="D669">
        <v>7.389739</v>
      </c>
    </row>
    <row r="670" spans="1:4">
      <c r="A670" t="s">
        <v>227</v>
      </c>
      <c r="B670">
        <v>2013</v>
      </c>
      <c r="C670" t="s">
        <v>29</v>
      </c>
      <c r="D670">
        <v>7.367783</v>
      </c>
    </row>
    <row r="671" spans="1:4">
      <c r="A671" t="s">
        <v>227</v>
      </c>
      <c r="B671">
        <v>2014</v>
      </c>
      <c r="C671" t="s">
        <v>29</v>
      </c>
      <c r="D671">
        <v>7.58462</v>
      </c>
    </row>
    <row r="672" spans="1:4">
      <c r="A672" t="s">
        <v>227</v>
      </c>
      <c r="B672">
        <v>2015</v>
      </c>
      <c r="C672" t="s">
        <v>29</v>
      </c>
      <c r="D672">
        <v>7.567046</v>
      </c>
    </row>
    <row r="673" spans="1:4">
      <c r="A673" t="s">
        <v>227</v>
      </c>
      <c r="B673">
        <v>2005</v>
      </c>
      <c r="C673" t="s">
        <v>30</v>
      </c>
      <c r="D673">
        <v>1.42</v>
      </c>
    </row>
    <row r="674" spans="1:4">
      <c r="A674" t="s">
        <v>227</v>
      </c>
      <c r="B674">
        <v>2006</v>
      </c>
      <c r="C674" t="s">
        <v>30</v>
      </c>
      <c r="D674">
        <v>1.44</v>
      </c>
    </row>
    <row r="675" spans="1:4">
      <c r="A675" t="s">
        <v>227</v>
      </c>
      <c r="B675">
        <v>2007</v>
      </c>
      <c r="C675" t="s">
        <v>30</v>
      </c>
      <c r="D675">
        <v>1.54</v>
      </c>
    </row>
    <row r="676" spans="1:4">
      <c r="A676" t="s">
        <v>227</v>
      </c>
      <c r="B676">
        <v>2008</v>
      </c>
      <c r="C676" t="s">
        <v>30</v>
      </c>
      <c r="D676">
        <v>1.61</v>
      </c>
    </row>
    <row r="677" spans="1:4">
      <c r="A677" t="s">
        <v>227</v>
      </c>
      <c r="B677">
        <v>2009</v>
      </c>
      <c r="C677" t="s">
        <v>30</v>
      </c>
      <c r="D677">
        <v>1.68</v>
      </c>
    </row>
    <row r="678" spans="1:4">
      <c r="A678" t="s">
        <v>227</v>
      </c>
      <c r="B678">
        <v>2010</v>
      </c>
      <c r="C678" t="s">
        <v>30</v>
      </c>
      <c r="D678">
        <v>1.76</v>
      </c>
    </row>
    <row r="679" spans="1:4">
      <c r="A679" t="s">
        <v>227</v>
      </c>
      <c r="B679">
        <v>2011</v>
      </c>
      <c r="C679" t="s">
        <v>30</v>
      </c>
      <c r="D679">
        <v>1.87</v>
      </c>
    </row>
    <row r="680" spans="1:4">
      <c r="A680" t="s">
        <v>227</v>
      </c>
      <c r="B680">
        <v>2012</v>
      </c>
      <c r="C680" t="s">
        <v>30</v>
      </c>
      <c r="D680">
        <v>2.013889</v>
      </c>
    </row>
    <row r="681" spans="1:4">
      <c r="A681" t="s">
        <v>227</v>
      </c>
      <c r="B681">
        <v>2013</v>
      </c>
      <c r="C681" t="s">
        <v>30</v>
      </c>
      <c r="D681">
        <v>2.0825</v>
      </c>
    </row>
    <row r="682" spans="1:4">
      <c r="A682" t="s">
        <v>227</v>
      </c>
      <c r="B682">
        <v>2014</v>
      </c>
      <c r="C682" t="s">
        <v>30</v>
      </c>
      <c r="D682">
        <v>2.13</v>
      </c>
    </row>
    <row r="683" spans="1:4">
      <c r="A683" t="s">
        <v>227</v>
      </c>
      <c r="B683">
        <v>2015</v>
      </c>
      <c r="C683" t="s">
        <v>30</v>
      </c>
      <c r="D683">
        <v>2.2</v>
      </c>
    </row>
    <row r="684" spans="1:4">
      <c r="A684" t="s">
        <v>227</v>
      </c>
      <c r="B684">
        <v>2005</v>
      </c>
      <c r="C684" t="s">
        <v>31</v>
      </c>
      <c r="D684">
        <v>2.297</v>
      </c>
    </row>
    <row r="685" spans="1:4">
      <c r="A685" t="s">
        <v>227</v>
      </c>
      <c r="B685">
        <v>2006</v>
      </c>
      <c r="C685" t="s">
        <v>31</v>
      </c>
      <c r="D685">
        <v>2.482</v>
      </c>
    </row>
    <row r="686" spans="1:4">
      <c r="A686" t="s">
        <v>227</v>
      </c>
      <c r="B686">
        <v>2007</v>
      </c>
      <c r="C686" t="s">
        <v>31</v>
      </c>
      <c r="D686">
        <v>2.642</v>
      </c>
    </row>
    <row r="687" spans="1:4">
      <c r="A687" t="s">
        <v>227</v>
      </c>
      <c r="B687">
        <v>2008</v>
      </c>
      <c r="C687" t="s">
        <v>31</v>
      </c>
      <c r="D687">
        <v>2.741</v>
      </c>
    </row>
    <row r="688" spans="1:4">
      <c r="A688" t="s">
        <v>227</v>
      </c>
      <c r="B688">
        <v>2009</v>
      </c>
      <c r="C688" t="s">
        <v>31</v>
      </c>
      <c r="D688">
        <v>2.81</v>
      </c>
    </row>
    <row r="689" spans="1:4">
      <c r="A689" t="s">
        <v>227</v>
      </c>
      <c r="B689">
        <v>2010</v>
      </c>
      <c r="C689" t="s">
        <v>31</v>
      </c>
      <c r="D689">
        <v>2.837535</v>
      </c>
    </row>
    <row r="690" spans="1:4">
      <c r="A690" t="s">
        <v>227</v>
      </c>
      <c r="B690">
        <v>2011</v>
      </c>
      <c r="C690" t="s">
        <v>31</v>
      </c>
      <c r="D690">
        <v>2.897565</v>
      </c>
    </row>
    <row r="691" spans="1:4">
      <c r="A691" t="s">
        <v>227</v>
      </c>
      <c r="B691">
        <v>2012</v>
      </c>
      <c r="C691" t="s">
        <v>31</v>
      </c>
      <c r="D691">
        <v>2.966369</v>
      </c>
    </row>
    <row r="692" spans="1:4">
      <c r="A692" t="s">
        <v>227</v>
      </c>
      <c r="B692">
        <v>2013</v>
      </c>
      <c r="C692" t="s">
        <v>31</v>
      </c>
      <c r="D692">
        <v>3.045466</v>
      </c>
    </row>
    <row r="693" spans="1:4">
      <c r="A693" t="s">
        <v>227</v>
      </c>
      <c r="B693">
        <v>2014</v>
      </c>
      <c r="C693" t="s">
        <v>31</v>
      </c>
      <c r="D693">
        <v>3.130862</v>
      </c>
    </row>
    <row r="694" spans="1:4">
      <c r="A694" t="s">
        <v>227</v>
      </c>
      <c r="B694">
        <v>2015</v>
      </c>
      <c r="C694" t="s">
        <v>31</v>
      </c>
      <c r="D694">
        <v>3.216656</v>
      </c>
    </row>
    <row r="695" spans="1:4">
      <c r="A695" t="s">
        <v>227</v>
      </c>
      <c r="B695">
        <v>2005</v>
      </c>
      <c r="C695" t="s">
        <v>32</v>
      </c>
      <c r="D695">
        <v>6.231</v>
      </c>
    </row>
    <row r="696" spans="1:4">
      <c r="A696" t="s">
        <v>227</v>
      </c>
      <c r="B696">
        <v>2006</v>
      </c>
      <c r="C696" t="s">
        <v>32</v>
      </c>
      <c r="D696">
        <v>6.51</v>
      </c>
    </row>
    <row r="697" spans="1:4">
      <c r="A697" t="s">
        <v>227</v>
      </c>
      <c r="B697">
        <v>2007</v>
      </c>
      <c r="C697" t="s">
        <v>32</v>
      </c>
      <c r="D697">
        <v>6.762</v>
      </c>
    </row>
    <row r="698" spans="1:4">
      <c r="A698" t="s">
        <v>227</v>
      </c>
      <c r="B698">
        <v>2008</v>
      </c>
      <c r="C698" t="s">
        <v>32</v>
      </c>
      <c r="D698">
        <v>6.817</v>
      </c>
    </row>
    <row r="699" spans="1:4">
      <c r="A699" t="s">
        <v>227</v>
      </c>
      <c r="B699">
        <v>2009</v>
      </c>
      <c r="C699" t="s">
        <v>32</v>
      </c>
      <c r="D699">
        <v>6.759</v>
      </c>
    </row>
    <row r="700" spans="1:4">
      <c r="A700" t="s">
        <v>227</v>
      </c>
      <c r="B700">
        <v>2010</v>
      </c>
      <c r="C700" t="s">
        <v>32</v>
      </c>
      <c r="D700">
        <v>6.719</v>
      </c>
    </row>
    <row r="701" spans="1:4">
      <c r="A701" t="s">
        <v>227</v>
      </c>
      <c r="B701">
        <v>2011</v>
      </c>
      <c r="C701" t="s">
        <v>32</v>
      </c>
      <c r="D701">
        <v>6.67</v>
      </c>
    </row>
    <row r="702" spans="1:4">
      <c r="A702" t="s">
        <v>227</v>
      </c>
      <c r="B702">
        <v>2012</v>
      </c>
      <c r="C702" t="s">
        <v>32</v>
      </c>
      <c r="D702">
        <v>6.543</v>
      </c>
    </row>
    <row r="703" spans="1:4">
      <c r="A703" t="s">
        <v>227</v>
      </c>
      <c r="B703">
        <v>2013</v>
      </c>
      <c r="C703" t="s">
        <v>32</v>
      </c>
      <c r="D703">
        <v>6.403266</v>
      </c>
    </row>
    <row r="704" spans="1:4">
      <c r="A704" t="s">
        <v>227</v>
      </c>
      <c r="B704">
        <v>2014</v>
      </c>
      <c r="C704" t="s">
        <v>32</v>
      </c>
      <c r="D704">
        <v>6.336843</v>
      </c>
    </row>
    <row r="705" spans="1:4">
      <c r="A705" t="s">
        <v>227</v>
      </c>
      <c r="B705">
        <v>2015</v>
      </c>
      <c r="C705" t="s">
        <v>32</v>
      </c>
      <c r="D705">
        <v>6.385971</v>
      </c>
    </row>
    <row r="706" spans="1:4">
      <c r="A706" t="s">
        <v>227</v>
      </c>
      <c r="B706">
        <v>2005</v>
      </c>
      <c r="C706" t="s">
        <v>33</v>
      </c>
      <c r="D706">
        <v>1.04069</v>
      </c>
    </row>
    <row r="707" spans="1:4">
      <c r="A707" t="s">
        <v>227</v>
      </c>
      <c r="B707">
        <v>2006</v>
      </c>
      <c r="C707" t="s">
        <v>33</v>
      </c>
      <c r="D707">
        <v>1.102925</v>
      </c>
    </row>
    <row r="708" spans="1:4">
      <c r="A708" t="s">
        <v>227</v>
      </c>
      <c r="B708">
        <v>2007</v>
      </c>
      <c r="C708" t="s">
        <v>33</v>
      </c>
      <c r="D708">
        <v>1.155745</v>
      </c>
    </row>
    <row r="709" spans="1:4">
      <c r="A709" t="s">
        <v>227</v>
      </c>
      <c r="B709">
        <v>2008</v>
      </c>
      <c r="C709" t="s">
        <v>33</v>
      </c>
      <c r="D709">
        <v>1.158004</v>
      </c>
    </row>
    <row r="710" spans="1:4">
      <c r="A710" t="s">
        <v>227</v>
      </c>
      <c r="B710">
        <v>2009</v>
      </c>
      <c r="C710" t="s">
        <v>33</v>
      </c>
      <c r="D710">
        <v>1.138281</v>
      </c>
    </row>
    <row r="711" spans="1:4">
      <c r="A711" t="s">
        <v>227</v>
      </c>
      <c r="B711">
        <v>2010</v>
      </c>
      <c r="C711" t="s">
        <v>33</v>
      </c>
      <c r="D711">
        <v>1.129334</v>
      </c>
    </row>
    <row r="712" spans="1:4">
      <c r="A712" t="s">
        <v>227</v>
      </c>
      <c r="B712">
        <v>2011</v>
      </c>
      <c r="C712" t="s">
        <v>33</v>
      </c>
      <c r="D712">
        <v>1.137864</v>
      </c>
    </row>
    <row r="713" spans="1:4">
      <c r="A713" t="s">
        <v>227</v>
      </c>
      <c r="B713">
        <v>2012</v>
      </c>
      <c r="C713" t="s">
        <v>33</v>
      </c>
      <c r="D713">
        <v>1.132714</v>
      </c>
    </row>
    <row r="714" spans="1:4">
      <c r="A714" t="s">
        <v>227</v>
      </c>
      <c r="B714">
        <v>2013</v>
      </c>
      <c r="C714" t="s">
        <v>33</v>
      </c>
      <c r="D714">
        <v>1.127339</v>
      </c>
    </row>
    <row r="715" spans="1:4">
      <c r="A715" t="s">
        <v>227</v>
      </c>
      <c r="B715">
        <v>2014</v>
      </c>
      <c r="C715" t="s">
        <v>33</v>
      </c>
      <c r="D715">
        <v>1.137973</v>
      </c>
    </row>
    <row r="716" spans="1:4">
      <c r="A716" t="s">
        <v>227</v>
      </c>
      <c r="B716">
        <v>2015</v>
      </c>
      <c r="C716" t="s">
        <v>33</v>
      </c>
      <c r="D716">
        <v>1.151717</v>
      </c>
    </row>
    <row r="717" spans="1:4">
      <c r="A717" t="s">
        <v>227</v>
      </c>
      <c r="B717">
        <v>2005</v>
      </c>
      <c r="C717" t="s">
        <v>34</v>
      </c>
      <c r="D717">
        <v>0.336</v>
      </c>
    </row>
    <row r="718" spans="1:4">
      <c r="A718" t="s">
        <v>227</v>
      </c>
      <c r="B718">
        <v>2006</v>
      </c>
      <c r="C718" t="s">
        <v>34</v>
      </c>
      <c r="D718">
        <v>0.343</v>
      </c>
    </row>
    <row r="719" spans="1:4">
      <c r="A719" t="s">
        <v>227</v>
      </c>
      <c r="B719">
        <v>2007</v>
      </c>
      <c r="C719" t="s">
        <v>34</v>
      </c>
      <c r="D719">
        <v>0.354126</v>
      </c>
    </row>
    <row r="720" spans="1:4">
      <c r="A720" t="s">
        <v>227</v>
      </c>
      <c r="B720">
        <v>2008</v>
      </c>
      <c r="C720" t="s">
        <v>34</v>
      </c>
      <c r="D720">
        <v>0.354031</v>
      </c>
    </row>
    <row r="721" spans="1:4">
      <c r="A721" t="s">
        <v>227</v>
      </c>
      <c r="B721">
        <v>2009</v>
      </c>
      <c r="C721" t="s">
        <v>34</v>
      </c>
      <c r="D721">
        <v>0.355861</v>
      </c>
    </row>
    <row r="722" spans="1:4">
      <c r="A722" t="s">
        <v>227</v>
      </c>
      <c r="B722">
        <v>2010</v>
      </c>
      <c r="C722" t="s">
        <v>34</v>
      </c>
      <c r="D722">
        <v>0.363489</v>
      </c>
    </row>
    <row r="723" spans="1:4">
      <c r="A723" t="s">
        <v>227</v>
      </c>
      <c r="B723">
        <v>2011</v>
      </c>
      <c r="C723" t="s">
        <v>34</v>
      </c>
      <c r="D723">
        <v>0.377275</v>
      </c>
    </row>
    <row r="724" spans="1:4">
      <c r="A724" t="s">
        <v>227</v>
      </c>
      <c r="B724">
        <v>2012</v>
      </c>
      <c r="C724" t="s">
        <v>34</v>
      </c>
      <c r="D724">
        <v>0.390668</v>
      </c>
    </row>
    <row r="725" spans="1:4">
      <c r="A725" t="s">
        <v>227</v>
      </c>
      <c r="B725">
        <v>2013</v>
      </c>
      <c r="C725" t="s">
        <v>34</v>
      </c>
      <c r="D725">
        <v>0.399322</v>
      </c>
    </row>
    <row r="726" spans="1:4">
      <c r="A726" t="s">
        <v>227</v>
      </c>
      <c r="B726">
        <v>2014</v>
      </c>
      <c r="C726" t="s">
        <v>34</v>
      </c>
      <c r="D726">
        <v>0.410118</v>
      </c>
    </row>
    <row r="727" spans="1:4">
      <c r="A727" t="s">
        <v>227</v>
      </c>
      <c r="B727">
        <v>2015</v>
      </c>
      <c r="C727" t="s">
        <v>34</v>
      </c>
      <c r="D727">
        <v>0.420613</v>
      </c>
    </row>
    <row r="728" spans="1:4">
      <c r="A728" t="s">
        <v>227</v>
      </c>
      <c r="B728">
        <v>2005</v>
      </c>
      <c r="C728" t="s">
        <v>35</v>
      </c>
      <c r="D728">
        <v>2.654</v>
      </c>
    </row>
    <row r="729" spans="1:4">
      <c r="A729" t="s">
        <v>227</v>
      </c>
      <c r="B729">
        <v>2006</v>
      </c>
      <c r="C729" t="s">
        <v>35</v>
      </c>
      <c r="D729">
        <v>2.939</v>
      </c>
    </row>
    <row r="730" spans="1:4">
      <c r="A730" t="s">
        <v>227</v>
      </c>
      <c r="B730">
        <v>2007</v>
      </c>
      <c r="C730" t="s">
        <v>35</v>
      </c>
      <c r="D730">
        <v>3.181</v>
      </c>
    </row>
    <row r="731" spans="1:4">
      <c r="A731" t="s">
        <v>227</v>
      </c>
      <c r="B731">
        <v>2008</v>
      </c>
      <c r="C731" t="s">
        <v>35</v>
      </c>
      <c r="D731">
        <v>3.394</v>
      </c>
    </row>
    <row r="732" spans="1:4">
      <c r="A732" t="s">
        <v>227</v>
      </c>
      <c r="B732">
        <v>2009</v>
      </c>
      <c r="C732" t="s">
        <v>35</v>
      </c>
      <c r="D732">
        <v>3.517</v>
      </c>
    </row>
    <row r="733" spans="1:4">
      <c r="A733" t="s">
        <v>227</v>
      </c>
      <c r="B733">
        <v>2010</v>
      </c>
      <c r="C733" t="s">
        <v>35</v>
      </c>
      <c r="D733">
        <v>3.721</v>
      </c>
    </row>
    <row r="734" spans="1:4">
      <c r="A734" t="s">
        <v>227</v>
      </c>
      <c r="B734">
        <v>2011</v>
      </c>
      <c r="C734" t="s">
        <v>35</v>
      </c>
      <c r="D734">
        <v>3.949</v>
      </c>
    </row>
    <row r="735" spans="1:4">
      <c r="A735" t="s">
        <v>227</v>
      </c>
      <c r="B735">
        <v>2012</v>
      </c>
      <c r="C735" t="s">
        <v>35</v>
      </c>
      <c r="D735">
        <v>4.178</v>
      </c>
    </row>
    <row r="736" spans="1:4">
      <c r="A736" t="s">
        <v>227</v>
      </c>
      <c r="B736">
        <v>2013</v>
      </c>
      <c r="C736" t="s">
        <v>35</v>
      </c>
      <c r="D736">
        <v>4.366881</v>
      </c>
    </row>
    <row r="737" spans="1:4">
      <c r="A737" t="s">
        <v>227</v>
      </c>
      <c r="B737">
        <v>2014</v>
      </c>
      <c r="C737" t="s">
        <v>35</v>
      </c>
      <c r="D737">
        <v>4.515402</v>
      </c>
    </row>
    <row r="738" spans="1:4">
      <c r="A738" t="s">
        <v>227</v>
      </c>
      <c r="B738">
        <v>2015</v>
      </c>
      <c r="C738" t="s">
        <v>35</v>
      </c>
      <c r="D738">
        <v>4.771619</v>
      </c>
    </row>
    <row r="739" spans="1:4">
      <c r="A739" t="s">
        <v>227</v>
      </c>
      <c r="B739">
        <v>2005</v>
      </c>
      <c r="C739" t="s">
        <v>36</v>
      </c>
      <c r="D739">
        <v>3.916765</v>
      </c>
    </row>
    <row r="740" spans="1:4">
      <c r="A740" t="s">
        <v>227</v>
      </c>
      <c r="B740">
        <v>2006</v>
      </c>
      <c r="C740" t="s">
        <v>36</v>
      </c>
      <c r="D740">
        <v>4.117987</v>
      </c>
    </row>
    <row r="741" spans="1:4">
      <c r="A741" t="s">
        <v>227</v>
      </c>
      <c r="B741">
        <v>2007</v>
      </c>
      <c r="C741" t="s">
        <v>36</v>
      </c>
      <c r="D741">
        <v>4.247988</v>
      </c>
    </row>
    <row r="742" spans="1:4">
      <c r="A742" t="s">
        <v>227</v>
      </c>
      <c r="B742">
        <v>2008</v>
      </c>
      <c r="C742" t="s">
        <v>36</v>
      </c>
      <c r="D742">
        <v>4.285206</v>
      </c>
    </row>
    <row r="743" spans="1:4">
      <c r="A743" t="s">
        <v>227</v>
      </c>
      <c r="B743">
        <v>2009</v>
      </c>
      <c r="C743" t="s">
        <v>36</v>
      </c>
      <c r="D743">
        <v>4.181519</v>
      </c>
    </row>
    <row r="744" spans="1:4">
      <c r="A744" t="s">
        <v>227</v>
      </c>
      <c r="B744">
        <v>2010</v>
      </c>
      <c r="C744" t="s">
        <v>36</v>
      </c>
      <c r="D744">
        <v>4.220455</v>
      </c>
    </row>
    <row r="745" spans="1:4">
      <c r="A745" t="s">
        <v>227</v>
      </c>
      <c r="B745">
        <v>2011</v>
      </c>
      <c r="C745" t="s">
        <v>36</v>
      </c>
      <c r="D745">
        <v>4.269641</v>
      </c>
    </row>
    <row r="746" spans="1:4">
      <c r="A746" t="s">
        <v>227</v>
      </c>
      <c r="B746">
        <v>2012</v>
      </c>
      <c r="C746" t="s">
        <v>36</v>
      </c>
      <c r="D746">
        <v>4.279</v>
      </c>
    </row>
    <row r="747" spans="1:4">
      <c r="A747" t="s">
        <v>227</v>
      </c>
      <c r="B747">
        <v>2013</v>
      </c>
      <c r="C747" t="s">
        <v>36</v>
      </c>
      <c r="D747">
        <v>4.364718</v>
      </c>
    </row>
    <row r="748" spans="1:4">
      <c r="A748" t="s">
        <v>227</v>
      </c>
      <c r="B748">
        <v>2014</v>
      </c>
      <c r="C748" t="s">
        <v>36</v>
      </c>
      <c r="D748">
        <v>4.500576</v>
      </c>
    </row>
    <row r="749" spans="1:4">
      <c r="A749" t="s">
        <v>227</v>
      </c>
      <c r="B749">
        <v>2015</v>
      </c>
      <c r="C749" t="s">
        <v>36</v>
      </c>
      <c r="D749">
        <v>4.677162</v>
      </c>
    </row>
    <row r="750" spans="1:4">
      <c r="A750" t="s">
        <v>227</v>
      </c>
      <c r="B750">
        <v>2005</v>
      </c>
      <c r="C750" t="s">
        <v>37</v>
      </c>
      <c r="D750">
        <v>1.295623</v>
      </c>
    </row>
    <row r="751" spans="1:4">
      <c r="A751" t="s">
        <v>227</v>
      </c>
      <c r="B751">
        <v>2006</v>
      </c>
      <c r="C751" t="s">
        <v>37</v>
      </c>
      <c r="D751">
        <v>1.363143</v>
      </c>
    </row>
    <row r="752" spans="1:4">
      <c r="A752" t="s">
        <v>227</v>
      </c>
      <c r="B752">
        <v>2007</v>
      </c>
      <c r="C752" t="s">
        <v>37</v>
      </c>
      <c r="D752">
        <v>1.400923</v>
      </c>
    </row>
    <row r="753" spans="1:4">
      <c r="A753" t="s">
        <v>227</v>
      </c>
      <c r="B753">
        <v>2008</v>
      </c>
      <c r="C753" t="s">
        <v>37</v>
      </c>
      <c r="D753">
        <v>1.514458</v>
      </c>
    </row>
    <row r="754" spans="1:4">
      <c r="A754" t="s">
        <v>227</v>
      </c>
      <c r="B754">
        <v>2009</v>
      </c>
      <c r="C754" t="s">
        <v>37</v>
      </c>
      <c r="D754">
        <v>1.48852</v>
      </c>
    </row>
    <row r="755" spans="1:4">
      <c r="A755" t="s">
        <v>227</v>
      </c>
      <c r="B755">
        <v>2010</v>
      </c>
      <c r="C755" t="s">
        <v>37</v>
      </c>
      <c r="D755">
        <v>1.510638</v>
      </c>
    </row>
    <row r="756" spans="1:4">
      <c r="A756" t="s">
        <v>227</v>
      </c>
      <c r="B756">
        <v>2011</v>
      </c>
      <c r="C756" t="s">
        <v>37</v>
      </c>
      <c r="D756">
        <v>1.521045</v>
      </c>
    </row>
    <row r="757" spans="1:4">
      <c r="A757" t="s">
        <v>227</v>
      </c>
      <c r="B757">
        <v>2012</v>
      </c>
      <c r="C757" t="s">
        <v>37</v>
      </c>
      <c r="D757">
        <v>1.944263</v>
      </c>
    </row>
    <row r="758" spans="1:4">
      <c r="A758" t="s">
        <v>227</v>
      </c>
      <c r="B758">
        <v>2013</v>
      </c>
      <c r="C758" t="s">
        <v>37</v>
      </c>
      <c r="D758">
        <v>2.061507</v>
      </c>
    </row>
    <row r="759" spans="1:4">
      <c r="A759" t="s">
        <v>227</v>
      </c>
      <c r="B759">
        <v>2014</v>
      </c>
      <c r="C759" t="s">
        <v>37</v>
      </c>
      <c r="D759">
        <v>2.001558</v>
      </c>
    </row>
    <row r="760" spans="1:4">
      <c r="A760" t="s">
        <v>227</v>
      </c>
      <c r="B760">
        <v>2015</v>
      </c>
      <c r="C760" t="s">
        <v>37</v>
      </c>
      <c r="D760">
        <v>1.885667</v>
      </c>
    </row>
    <row r="761" spans="1:4">
      <c r="A761" t="s">
        <v>227</v>
      </c>
      <c r="B761">
        <v>2005</v>
      </c>
      <c r="C761" t="s">
        <v>38</v>
      </c>
      <c r="D761">
        <v>0.274741</v>
      </c>
    </row>
    <row r="762" spans="1:4">
      <c r="A762" t="s">
        <v>227</v>
      </c>
      <c r="B762">
        <v>2006</v>
      </c>
      <c r="C762" t="s">
        <v>38</v>
      </c>
      <c r="D762">
        <v>0.283512</v>
      </c>
    </row>
    <row r="763" spans="1:4">
      <c r="A763" t="s">
        <v>227</v>
      </c>
      <c r="B763">
        <v>2007</v>
      </c>
      <c r="C763" t="s">
        <v>38</v>
      </c>
      <c r="D763">
        <v>0.310315</v>
      </c>
    </row>
    <row r="764" spans="1:4">
      <c r="A764" t="s">
        <v>227</v>
      </c>
      <c r="B764">
        <v>2008</v>
      </c>
      <c r="C764" t="s">
        <v>38</v>
      </c>
      <c r="D764">
        <v>0.326327</v>
      </c>
    </row>
    <row r="765" spans="1:4">
      <c r="A765" t="s">
        <v>227</v>
      </c>
      <c r="B765">
        <v>2009</v>
      </c>
      <c r="C765" t="s">
        <v>38</v>
      </c>
      <c r="D765">
        <v>0.349525</v>
      </c>
    </row>
    <row r="766" spans="1:4">
      <c r="A766" t="s">
        <v>227</v>
      </c>
      <c r="B766">
        <v>2010</v>
      </c>
      <c r="C766" t="s">
        <v>38</v>
      </c>
      <c r="D766">
        <v>0.366934</v>
      </c>
    </row>
    <row r="767" spans="1:4">
      <c r="A767" t="s">
        <v>227</v>
      </c>
      <c r="B767">
        <v>2011</v>
      </c>
      <c r="C767" t="s">
        <v>38</v>
      </c>
      <c r="D767">
        <v>0.360386</v>
      </c>
    </row>
    <row r="768" spans="1:4">
      <c r="A768" t="s">
        <v>227</v>
      </c>
      <c r="B768">
        <v>2012</v>
      </c>
      <c r="C768" t="s">
        <v>38</v>
      </c>
      <c r="D768">
        <v>0.321339</v>
      </c>
    </row>
    <row r="769" spans="1:4">
      <c r="A769" t="s">
        <v>227</v>
      </c>
      <c r="B769">
        <v>2013</v>
      </c>
      <c r="C769" t="s">
        <v>38</v>
      </c>
      <c r="D769">
        <v>0.333303</v>
      </c>
    </row>
    <row r="770" spans="1:4">
      <c r="A770" t="s">
        <v>227</v>
      </c>
      <c r="B770">
        <v>2014</v>
      </c>
      <c r="C770" t="s">
        <v>38</v>
      </c>
      <c r="D770">
        <v>0.395566</v>
      </c>
    </row>
    <row r="771" spans="1:4">
      <c r="A771" t="s">
        <v>227</v>
      </c>
      <c r="B771">
        <v>2015</v>
      </c>
      <c r="C771" t="s">
        <v>38</v>
      </c>
      <c r="D771">
        <v>0.410062</v>
      </c>
    </row>
  </sheetData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zoomScale="77" zoomScaleNormal="77" workbookViewId="0">
      <selection activeCell="F20" sqref="F20"/>
    </sheetView>
  </sheetViews>
  <sheetFormatPr defaultColWidth="9" defaultRowHeight="14.5" outlineLevelCol="3"/>
  <sheetData>
    <row r="1" spans="1:4">
      <c r="A1" t="s">
        <v>228</v>
      </c>
      <c r="B1" t="s">
        <v>229</v>
      </c>
      <c r="C1" t="s">
        <v>222</v>
      </c>
      <c r="D1" t="s">
        <v>230</v>
      </c>
    </row>
    <row r="2" spans="1:4">
      <c r="A2" t="s">
        <v>231</v>
      </c>
      <c r="B2" t="s">
        <v>6</v>
      </c>
      <c r="C2">
        <v>2019</v>
      </c>
      <c r="D2">
        <v>0.006718</v>
      </c>
    </row>
    <row r="3" spans="1:4">
      <c r="A3" t="s">
        <v>231</v>
      </c>
      <c r="B3" t="s">
        <v>6</v>
      </c>
      <c r="C3">
        <v>2020</v>
      </c>
      <c r="D3">
        <v>0.0069</v>
      </c>
    </row>
    <row r="4" spans="1:4">
      <c r="A4" t="s">
        <v>231</v>
      </c>
      <c r="B4" t="s">
        <v>6</v>
      </c>
      <c r="C4">
        <v>2021</v>
      </c>
      <c r="D4">
        <v>0.021</v>
      </c>
    </row>
    <row r="5" spans="1:4">
      <c r="A5" t="s">
        <v>231</v>
      </c>
      <c r="B5" t="s">
        <v>6</v>
      </c>
      <c r="C5">
        <v>2022</v>
      </c>
      <c r="D5">
        <v>0.065</v>
      </c>
    </row>
    <row r="6" spans="1:4">
      <c r="A6" t="s">
        <v>231</v>
      </c>
      <c r="B6" t="s">
        <v>6</v>
      </c>
      <c r="C6">
        <v>2023</v>
      </c>
      <c r="D6">
        <v>0.098</v>
      </c>
    </row>
    <row r="7" spans="1:4">
      <c r="A7" t="s">
        <v>231</v>
      </c>
      <c r="B7" t="s">
        <v>7</v>
      </c>
      <c r="C7">
        <v>2019</v>
      </c>
      <c r="D7">
        <v>0.008</v>
      </c>
    </row>
    <row r="8" spans="1:4">
      <c r="A8" t="s">
        <v>231</v>
      </c>
      <c r="B8" t="s">
        <v>7</v>
      </c>
      <c r="C8">
        <v>2020</v>
      </c>
      <c r="D8">
        <v>0.026</v>
      </c>
    </row>
    <row r="9" spans="1:4">
      <c r="A9" t="s">
        <v>231</v>
      </c>
      <c r="B9" t="s">
        <v>7</v>
      </c>
      <c r="C9">
        <v>2021</v>
      </c>
      <c r="D9">
        <v>0.041</v>
      </c>
    </row>
    <row r="10" spans="1:4">
      <c r="A10" t="s">
        <v>231</v>
      </c>
      <c r="B10" t="s">
        <v>7</v>
      </c>
      <c r="C10">
        <v>2022</v>
      </c>
      <c r="D10">
        <v>0.055</v>
      </c>
    </row>
    <row r="11" spans="1:4">
      <c r="A11" t="s">
        <v>231</v>
      </c>
      <c r="B11" t="s">
        <v>7</v>
      </c>
      <c r="C11">
        <v>2023</v>
      </c>
      <c r="D11">
        <v>0.065</v>
      </c>
    </row>
    <row r="12" spans="1:4">
      <c r="A12" t="s">
        <v>231</v>
      </c>
      <c r="B12" t="s">
        <v>9</v>
      </c>
      <c r="C12">
        <v>2019</v>
      </c>
      <c r="D12">
        <v>0.075</v>
      </c>
    </row>
    <row r="13" spans="1:4">
      <c r="A13" t="s">
        <v>231</v>
      </c>
      <c r="B13" t="s">
        <v>9</v>
      </c>
      <c r="C13">
        <v>2020</v>
      </c>
      <c r="D13">
        <v>0.119</v>
      </c>
    </row>
    <row r="14" spans="1:4">
      <c r="A14" t="s">
        <v>231</v>
      </c>
      <c r="B14" t="s">
        <v>9</v>
      </c>
      <c r="C14">
        <v>2021</v>
      </c>
      <c r="D14">
        <v>0.201</v>
      </c>
    </row>
    <row r="15" spans="1:4">
      <c r="A15" t="s">
        <v>231</v>
      </c>
      <c r="B15" t="s">
        <v>9</v>
      </c>
      <c r="C15">
        <v>2022</v>
      </c>
      <c r="D15">
        <v>0.32</v>
      </c>
    </row>
    <row r="16" spans="1:4">
      <c r="A16" t="s">
        <v>231</v>
      </c>
      <c r="B16" t="s">
        <v>9</v>
      </c>
      <c r="C16">
        <v>2023</v>
      </c>
      <c r="D16">
        <v>0.403</v>
      </c>
    </row>
    <row r="17" spans="1:4">
      <c r="A17" t="s">
        <v>231</v>
      </c>
      <c r="B17" t="s">
        <v>10</v>
      </c>
      <c r="C17">
        <v>2019</v>
      </c>
      <c r="D17">
        <v>0.001</v>
      </c>
    </row>
    <row r="18" spans="1:4">
      <c r="A18" t="s">
        <v>231</v>
      </c>
      <c r="B18" t="s">
        <v>10</v>
      </c>
      <c r="C18">
        <v>2020</v>
      </c>
      <c r="D18">
        <v>0.019745</v>
      </c>
    </row>
    <row r="19" spans="1:4">
      <c r="A19" t="s">
        <v>231</v>
      </c>
      <c r="B19" t="s">
        <v>10</v>
      </c>
      <c r="C19">
        <v>2021</v>
      </c>
      <c r="D19">
        <v>0.0325</v>
      </c>
    </row>
    <row r="20" spans="1:4">
      <c r="A20" t="s">
        <v>231</v>
      </c>
      <c r="B20" t="s">
        <v>10</v>
      </c>
      <c r="C20">
        <v>2022</v>
      </c>
      <c r="D20">
        <v>0.05</v>
      </c>
    </row>
    <row r="21" spans="1:4">
      <c r="A21" t="s">
        <v>231</v>
      </c>
      <c r="B21" t="s">
        <v>10</v>
      </c>
      <c r="C21">
        <v>2023</v>
      </c>
      <c r="D21">
        <v>0.052</v>
      </c>
    </row>
    <row r="22" spans="1:4">
      <c r="A22" t="s">
        <v>231</v>
      </c>
      <c r="B22" t="s">
        <v>11</v>
      </c>
      <c r="C22">
        <v>2019</v>
      </c>
      <c r="D22">
        <v>1.11</v>
      </c>
    </row>
    <row r="23" spans="1:4">
      <c r="A23" t="s">
        <v>231</v>
      </c>
      <c r="B23" t="s">
        <v>11</v>
      </c>
      <c r="C23">
        <v>2020</v>
      </c>
      <c r="D23">
        <v>1.33</v>
      </c>
    </row>
    <row r="24" spans="1:4">
      <c r="A24" t="s">
        <v>231</v>
      </c>
      <c r="B24" t="s">
        <v>11</v>
      </c>
      <c r="C24">
        <v>2021</v>
      </c>
      <c r="D24">
        <v>3.4</v>
      </c>
    </row>
    <row r="25" spans="1:4">
      <c r="A25" t="s">
        <v>231</v>
      </c>
      <c r="B25" t="s">
        <v>11</v>
      </c>
      <c r="C25">
        <v>2022</v>
      </c>
      <c r="D25">
        <v>6.2</v>
      </c>
    </row>
    <row r="26" spans="1:4">
      <c r="A26" t="s">
        <v>231</v>
      </c>
      <c r="B26" t="s">
        <v>11</v>
      </c>
      <c r="C26">
        <v>2023</v>
      </c>
      <c r="D26">
        <v>8.1</v>
      </c>
    </row>
    <row r="27" spans="1:4">
      <c r="A27" t="s">
        <v>231</v>
      </c>
      <c r="B27" t="s">
        <v>14</v>
      </c>
      <c r="C27">
        <v>2019</v>
      </c>
      <c r="D27">
        <v>0.045</v>
      </c>
    </row>
    <row r="28" spans="1:4">
      <c r="A28" t="s">
        <v>231</v>
      </c>
      <c r="B28" t="s">
        <v>14</v>
      </c>
      <c r="C28">
        <v>2020</v>
      </c>
      <c r="D28">
        <v>0.185</v>
      </c>
    </row>
    <row r="29" spans="1:4">
      <c r="A29" t="s">
        <v>231</v>
      </c>
      <c r="B29" t="s">
        <v>14</v>
      </c>
      <c r="C29">
        <v>2021</v>
      </c>
      <c r="D29">
        <v>0.315</v>
      </c>
    </row>
    <row r="30" spans="1:4">
      <c r="A30" t="s">
        <v>231</v>
      </c>
      <c r="B30" t="s">
        <v>14</v>
      </c>
      <c r="C30">
        <v>2022</v>
      </c>
      <c r="D30">
        <v>0.4</v>
      </c>
    </row>
    <row r="31" spans="1:4">
      <c r="A31" t="s">
        <v>231</v>
      </c>
      <c r="B31" t="s">
        <v>14</v>
      </c>
      <c r="C31">
        <v>2023</v>
      </c>
      <c r="D31">
        <v>0.47</v>
      </c>
    </row>
    <row r="32" spans="1:4">
      <c r="A32" t="s">
        <v>231</v>
      </c>
      <c r="B32" t="s">
        <v>15</v>
      </c>
      <c r="C32">
        <v>2019</v>
      </c>
      <c r="D32">
        <v>0.075</v>
      </c>
    </row>
    <row r="33" spans="1:4">
      <c r="A33" t="s">
        <v>231</v>
      </c>
      <c r="B33" t="s">
        <v>15</v>
      </c>
      <c r="C33">
        <v>2020</v>
      </c>
      <c r="D33">
        <v>0.398</v>
      </c>
    </row>
    <row r="34" spans="1:4">
      <c r="A34" t="s">
        <v>231</v>
      </c>
      <c r="B34" t="s">
        <v>15</v>
      </c>
      <c r="C34">
        <v>2021</v>
      </c>
      <c r="D34">
        <v>0.681</v>
      </c>
    </row>
    <row r="35" spans="1:4">
      <c r="A35" t="s">
        <v>231</v>
      </c>
      <c r="B35" t="s">
        <v>15</v>
      </c>
      <c r="C35">
        <v>2022</v>
      </c>
      <c r="D35">
        <v>0.83</v>
      </c>
    </row>
    <row r="36" spans="1:4">
      <c r="A36" t="s">
        <v>231</v>
      </c>
      <c r="B36" t="s">
        <v>15</v>
      </c>
      <c r="C36">
        <v>2023</v>
      </c>
      <c r="D36">
        <v>0.7</v>
      </c>
    </row>
    <row r="37" spans="1:4">
      <c r="A37" t="s">
        <v>231</v>
      </c>
      <c r="B37" t="s">
        <v>16</v>
      </c>
      <c r="C37">
        <v>2019</v>
      </c>
      <c r="D37">
        <v>0.001</v>
      </c>
    </row>
    <row r="38" spans="1:4">
      <c r="A38" t="s">
        <v>231</v>
      </c>
      <c r="B38" t="s">
        <v>16</v>
      </c>
      <c r="C38">
        <v>2020</v>
      </c>
      <c r="D38">
        <v>0.002</v>
      </c>
    </row>
    <row r="39" spans="1:4">
      <c r="A39" t="s">
        <v>231</v>
      </c>
      <c r="B39" t="s">
        <v>16</v>
      </c>
      <c r="C39">
        <v>2021</v>
      </c>
      <c r="D39">
        <v>0.005</v>
      </c>
    </row>
    <row r="40" spans="1:4">
      <c r="A40" t="s">
        <v>231</v>
      </c>
      <c r="B40" t="s">
        <v>16</v>
      </c>
      <c r="C40">
        <v>2022</v>
      </c>
      <c r="D40">
        <v>0.013</v>
      </c>
    </row>
    <row r="41" spans="1:4">
      <c r="A41" t="s">
        <v>231</v>
      </c>
      <c r="B41" t="s">
        <v>16</v>
      </c>
      <c r="C41">
        <v>2023</v>
      </c>
      <c r="D41">
        <v>0.017</v>
      </c>
    </row>
    <row r="42" spans="1:4">
      <c r="A42" t="s">
        <v>231</v>
      </c>
      <c r="B42" t="s">
        <v>18</v>
      </c>
      <c r="C42">
        <v>2019</v>
      </c>
      <c r="D42">
        <v>0.002</v>
      </c>
    </row>
    <row r="43" spans="1:4">
      <c r="A43" t="s">
        <v>231</v>
      </c>
      <c r="B43" t="s">
        <v>18</v>
      </c>
      <c r="C43">
        <v>2020</v>
      </c>
      <c r="D43">
        <v>0.004</v>
      </c>
    </row>
    <row r="44" spans="1:4">
      <c r="A44" t="s">
        <v>231</v>
      </c>
      <c r="B44" t="s">
        <v>18</v>
      </c>
      <c r="C44">
        <v>2021</v>
      </c>
      <c r="D44">
        <v>0.008</v>
      </c>
    </row>
    <row r="45" spans="1:4">
      <c r="A45" t="s">
        <v>231</v>
      </c>
      <c r="B45" t="s">
        <v>18</v>
      </c>
      <c r="C45">
        <v>2022</v>
      </c>
      <c r="D45">
        <v>0.011</v>
      </c>
    </row>
    <row r="46" spans="1:4">
      <c r="A46" t="s">
        <v>231</v>
      </c>
      <c r="B46" t="s">
        <v>18</v>
      </c>
      <c r="C46">
        <v>2023</v>
      </c>
      <c r="D46">
        <v>0.0124</v>
      </c>
    </row>
    <row r="47" spans="1:4">
      <c r="A47" t="s">
        <v>231</v>
      </c>
      <c r="B47" t="s">
        <v>19</v>
      </c>
      <c r="C47">
        <v>2019</v>
      </c>
      <c r="D47">
        <v>0.00156</v>
      </c>
    </row>
    <row r="48" spans="1:4">
      <c r="A48" t="s">
        <v>231</v>
      </c>
      <c r="B48" t="s">
        <v>19</v>
      </c>
      <c r="C48">
        <v>2020</v>
      </c>
      <c r="D48">
        <v>0.005</v>
      </c>
    </row>
    <row r="49" spans="1:4">
      <c r="A49" t="s">
        <v>231</v>
      </c>
      <c r="B49" t="s">
        <v>19</v>
      </c>
      <c r="C49">
        <v>2021</v>
      </c>
      <c r="D49">
        <v>0.016</v>
      </c>
    </row>
    <row r="50" spans="1:4">
      <c r="A50" t="s">
        <v>231</v>
      </c>
      <c r="B50" t="s">
        <v>19</v>
      </c>
      <c r="C50">
        <v>2022</v>
      </c>
      <c r="D50">
        <v>0.051</v>
      </c>
    </row>
    <row r="51" spans="1:4">
      <c r="A51" t="s">
        <v>231</v>
      </c>
      <c r="B51" t="s">
        <v>19</v>
      </c>
      <c r="C51">
        <v>2023</v>
      </c>
      <c r="D51">
        <v>0.08227</v>
      </c>
    </row>
    <row r="52" spans="1:4">
      <c r="A52" t="s">
        <v>231</v>
      </c>
      <c r="B52" t="s">
        <v>21</v>
      </c>
      <c r="C52">
        <v>2019</v>
      </c>
      <c r="D52">
        <v>0.006</v>
      </c>
    </row>
    <row r="53" spans="1:4">
      <c r="A53" t="s">
        <v>231</v>
      </c>
      <c r="B53" t="s">
        <v>21</v>
      </c>
      <c r="C53">
        <v>2020</v>
      </c>
      <c r="D53">
        <v>0.032</v>
      </c>
    </row>
    <row r="54" spans="1:4">
      <c r="A54" t="s">
        <v>231</v>
      </c>
      <c r="B54" t="s">
        <v>21</v>
      </c>
      <c r="C54">
        <v>2021</v>
      </c>
      <c r="D54">
        <v>0.067</v>
      </c>
    </row>
    <row r="55" spans="1:4">
      <c r="A55" t="s">
        <v>231</v>
      </c>
      <c r="B55" t="s">
        <v>21</v>
      </c>
      <c r="C55">
        <v>2022</v>
      </c>
      <c r="D55">
        <v>0.11</v>
      </c>
    </row>
    <row r="56" spans="1:4">
      <c r="A56" t="s">
        <v>231</v>
      </c>
      <c r="B56" t="s">
        <v>21</v>
      </c>
      <c r="C56">
        <v>2023</v>
      </c>
      <c r="D56">
        <v>0.136</v>
      </c>
    </row>
    <row r="57" spans="1:4">
      <c r="A57" t="s">
        <v>231</v>
      </c>
      <c r="B57" t="s">
        <v>22</v>
      </c>
      <c r="C57">
        <v>2019</v>
      </c>
      <c r="D57">
        <v>0.022</v>
      </c>
    </row>
    <row r="58" spans="1:4">
      <c r="A58" t="s">
        <v>231</v>
      </c>
      <c r="B58" t="s">
        <v>22</v>
      </c>
      <c r="C58">
        <v>2020</v>
      </c>
      <c r="D58">
        <v>0.029</v>
      </c>
    </row>
    <row r="59" spans="1:4">
      <c r="A59" t="s">
        <v>231</v>
      </c>
      <c r="B59" t="s">
        <v>22</v>
      </c>
      <c r="C59">
        <v>2021</v>
      </c>
      <c r="D59">
        <v>0.044</v>
      </c>
    </row>
    <row r="60" spans="1:4">
      <c r="A60" t="s">
        <v>231</v>
      </c>
      <c r="B60" t="s">
        <v>22</v>
      </c>
      <c r="C60">
        <v>2022</v>
      </c>
      <c r="D60">
        <v>0.092</v>
      </c>
    </row>
    <row r="61" spans="1:4">
      <c r="A61" t="s">
        <v>231</v>
      </c>
      <c r="B61" t="s">
        <v>22</v>
      </c>
      <c r="C61">
        <v>2023</v>
      </c>
      <c r="D61">
        <v>0.1403</v>
      </c>
    </row>
    <row r="62" spans="1:4">
      <c r="A62" t="s">
        <v>231</v>
      </c>
      <c r="B62" t="s">
        <v>23</v>
      </c>
      <c r="C62">
        <v>2019</v>
      </c>
      <c r="D62" s="76">
        <v>5e-5</v>
      </c>
    </row>
    <row r="63" spans="1:4">
      <c r="A63" t="s">
        <v>231</v>
      </c>
      <c r="B63" t="s">
        <v>23</v>
      </c>
      <c r="C63">
        <v>2020</v>
      </c>
      <c r="D63">
        <v>0.0001</v>
      </c>
    </row>
    <row r="64" spans="1:4">
      <c r="A64" t="s">
        <v>231</v>
      </c>
      <c r="B64" t="s">
        <v>23</v>
      </c>
      <c r="C64">
        <v>2021</v>
      </c>
      <c r="D64">
        <v>0.0003</v>
      </c>
    </row>
    <row r="65" spans="1:4">
      <c r="A65" t="s">
        <v>231</v>
      </c>
      <c r="B65" t="s">
        <v>23</v>
      </c>
      <c r="C65">
        <v>2022</v>
      </c>
      <c r="D65">
        <v>0.0006</v>
      </c>
    </row>
    <row r="66" spans="1:4">
      <c r="A66" t="s">
        <v>231</v>
      </c>
      <c r="B66" t="s">
        <v>23</v>
      </c>
      <c r="C66">
        <v>2023</v>
      </c>
      <c r="D66">
        <v>0.00092</v>
      </c>
    </row>
    <row r="67" spans="1:4">
      <c r="A67" t="s">
        <v>231</v>
      </c>
      <c r="B67" t="s">
        <v>24</v>
      </c>
      <c r="C67">
        <v>2019</v>
      </c>
      <c r="D67">
        <v>0.0025</v>
      </c>
    </row>
    <row r="68" spans="1:4">
      <c r="A68" t="s">
        <v>231</v>
      </c>
      <c r="B68" t="s">
        <v>24</v>
      </c>
      <c r="C68">
        <v>2020</v>
      </c>
      <c r="D68">
        <v>0.008</v>
      </c>
    </row>
    <row r="69" spans="1:4">
      <c r="A69" t="s">
        <v>231</v>
      </c>
      <c r="B69" t="s">
        <v>24</v>
      </c>
      <c r="C69">
        <v>2021</v>
      </c>
      <c r="D69">
        <v>0.02</v>
      </c>
    </row>
    <row r="70" spans="1:4">
      <c r="A70" t="s">
        <v>231</v>
      </c>
      <c r="B70" t="s">
        <v>24</v>
      </c>
      <c r="C70">
        <v>2022</v>
      </c>
      <c r="D70">
        <v>0.04</v>
      </c>
    </row>
    <row r="71" spans="1:4">
      <c r="A71" t="s">
        <v>231</v>
      </c>
      <c r="B71" t="s">
        <v>24</v>
      </c>
      <c r="C71">
        <v>2023</v>
      </c>
      <c r="D71">
        <v>0.065</v>
      </c>
    </row>
    <row r="72" spans="1:4">
      <c r="A72" t="s">
        <v>231</v>
      </c>
      <c r="B72" t="s">
        <v>25</v>
      </c>
      <c r="C72">
        <v>2019</v>
      </c>
      <c r="D72">
        <v>0.3882</v>
      </c>
    </row>
    <row r="73" spans="1:4">
      <c r="A73" t="s">
        <v>231</v>
      </c>
      <c r="B73" t="s">
        <v>25</v>
      </c>
      <c r="C73">
        <v>2020</v>
      </c>
      <c r="D73">
        <v>0.38</v>
      </c>
    </row>
    <row r="74" spans="1:4">
      <c r="A74" t="s">
        <v>231</v>
      </c>
      <c r="B74" t="s">
        <v>25</v>
      </c>
      <c r="C74">
        <v>2021</v>
      </c>
      <c r="D74">
        <v>0.756</v>
      </c>
    </row>
    <row r="75" spans="1:4">
      <c r="A75" t="s">
        <v>231</v>
      </c>
      <c r="B75" t="s">
        <v>25</v>
      </c>
      <c r="C75">
        <v>2022</v>
      </c>
      <c r="D75">
        <v>1.066</v>
      </c>
    </row>
    <row r="76" spans="1:4">
      <c r="A76" t="s">
        <v>231</v>
      </c>
      <c r="B76" t="s">
        <v>25</v>
      </c>
      <c r="C76">
        <v>2023</v>
      </c>
      <c r="D76">
        <v>1.5762</v>
      </c>
    </row>
    <row r="77" spans="1:4">
      <c r="A77" t="s">
        <v>231</v>
      </c>
      <c r="B77" t="s">
        <v>26</v>
      </c>
      <c r="C77">
        <v>2019</v>
      </c>
      <c r="D77">
        <v>0.060316</v>
      </c>
    </row>
    <row r="78" spans="1:4">
      <c r="A78" t="s">
        <v>231</v>
      </c>
      <c r="B78" t="s">
        <v>26</v>
      </c>
      <c r="C78">
        <v>2020</v>
      </c>
      <c r="D78">
        <v>0.106</v>
      </c>
    </row>
    <row r="79" spans="1:4">
      <c r="A79" t="s">
        <v>231</v>
      </c>
      <c r="B79" t="s">
        <v>26</v>
      </c>
      <c r="C79">
        <v>2021</v>
      </c>
      <c r="D79">
        <v>0.139</v>
      </c>
    </row>
    <row r="80" spans="1:4">
      <c r="A80" t="s">
        <v>231</v>
      </c>
      <c r="B80" t="s">
        <v>26</v>
      </c>
      <c r="C80">
        <v>2022</v>
      </c>
      <c r="D80">
        <v>0.135</v>
      </c>
    </row>
    <row r="81" spans="1:4">
      <c r="A81" t="s">
        <v>231</v>
      </c>
      <c r="B81" t="s">
        <v>26</v>
      </c>
      <c r="C81">
        <v>2023</v>
      </c>
      <c r="D81">
        <v>0.11</v>
      </c>
    </row>
    <row r="82" spans="1:4">
      <c r="A82" t="s">
        <v>231</v>
      </c>
      <c r="B82" t="s">
        <v>27</v>
      </c>
      <c r="C82">
        <v>2019</v>
      </c>
      <c r="D82">
        <v>0.002</v>
      </c>
    </row>
    <row r="83" spans="1:4">
      <c r="A83" t="s">
        <v>231</v>
      </c>
      <c r="B83" t="s">
        <v>27</v>
      </c>
      <c r="C83">
        <v>2020</v>
      </c>
      <c r="D83">
        <v>0.008</v>
      </c>
    </row>
    <row r="84" spans="1:4">
      <c r="A84" t="s">
        <v>231</v>
      </c>
      <c r="B84" t="s">
        <v>27</v>
      </c>
      <c r="C84">
        <v>2021</v>
      </c>
      <c r="D84">
        <v>0.012</v>
      </c>
    </row>
    <row r="85" spans="1:4">
      <c r="A85" t="s">
        <v>231</v>
      </c>
      <c r="B85" t="s">
        <v>27</v>
      </c>
      <c r="C85">
        <v>2022</v>
      </c>
      <c r="D85">
        <v>0.024</v>
      </c>
    </row>
    <row r="86" spans="1:4">
      <c r="A86" t="s">
        <v>231</v>
      </c>
      <c r="B86" t="s">
        <v>27</v>
      </c>
      <c r="C86">
        <v>2023</v>
      </c>
      <c r="D86">
        <v>0.0301</v>
      </c>
    </row>
    <row r="87" spans="1:4">
      <c r="A87" t="s">
        <v>231</v>
      </c>
      <c r="B87" t="s">
        <v>28</v>
      </c>
      <c r="C87">
        <v>2019</v>
      </c>
      <c r="D87">
        <v>0.0096</v>
      </c>
    </row>
    <row r="88" spans="1:4">
      <c r="A88" t="s">
        <v>231</v>
      </c>
      <c r="B88" t="s">
        <v>28</v>
      </c>
      <c r="C88">
        <v>2020</v>
      </c>
      <c r="D88">
        <v>0.033</v>
      </c>
    </row>
    <row r="89" spans="1:4">
      <c r="A89" t="s">
        <v>231</v>
      </c>
      <c r="B89" t="s">
        <v>28</v>
      </c>
      <c r="C89">
        <v>2021</v>
      </c>
      <c r="D89">
        <v>0.121</v>
      </c>
    </row>
    <row r="90" spans="1:4">
      <c r="A90" t="s">
        <v>231</v>
      </c>
      <c r="B90" t="s">
        <v>28</v>
      </c>
      <c r="C90">
        <v>2022</v>
      </c>
      <c r="D90">
        <v>0.157</v>
      </c>
    </row>
    <row r="91" spans="1:4">
      <c r="A91" t="s">
        <v>231</v>
      </c>
      <c r="B91" t="s">
        <v>28</v>
      </c>
      <c r="C91">
        <v>2023</v>
      </c>
      <c r="D91">
        <v>0.1743</v>
      </c>
    </row>
    <row r="92" spans="1:4">
      <c r="A92" t="s">
        <v>231</v>
      </c>
      <c r="B92" t="s">
        <v>31</v>
      </c>
      <c r="C92">
        <v>2019</v>
      </c>
      <c r="D92">
        <v>0.0001</v>
      </c>
    </row>
    <row r="93" spans="1:4">
      <c r="A93" t="s">
        <v>231</v>
      </c>
      <c r="B93" t="s">
        <v>31</v>
      </c>
      <c r="C93">
        <v>2020</v>
      </c>
      <c r="D93">
        <v>0.0002</v>
      </c>
    </row>
    <row r="94" spans="1:4">
      <c r="A94" t="s">
        <v>231</v>
      </c>
      <c r="B94" t="s">
        <v>31</v>
      </c>
      <c r="C94">
        <v>2021</v>
      </c>
      <c r="D94">
        <v>0.0004</v>
      </c>
    </row>
    <row r="95" spans="1:4">
      <c r="A95" t="s">
        <v>231</v>
      </c>
      <c r="B95" t="s">
        <v>31</v>
      </c>
      <c r="C95">
        <v>2022</v>
      </c>
      <c r="D95">
        <v>0.0008</v>
      </c>
    </row>
    <row r="96" spans="1:4">
      <c r="A96" t="s">
        <v>231</v>
      </c>
      <c r="B96" t="s">
        <v>31</v>
      </c>
      <c r="C96">
        <v>2023</v>
      </c>
      <c r="D96">
        <v>0.00108</v>
      </c>
    </row>
    <row r="97" spans="1:4">
      <c r="A97" t="s">
        <v>231</v>
      </c>
      <c r="B97" t="s">
        <v>32</v>
      </c>
      <c r="C97">
        <v>2019</v>
      </c>
      <c r="D97">
        <v>0.0085</v>
      </c>
    </row>
    <row r="98" spans="1:4">
      <c r="A98" t="s">
        <v>231</v>
      </c>
      <c r="B98" t="s">
        <v>32</v>
      </c>
      <c r="C98">
        <v>2020</v>
      </c>
      <c r="D98">
        <v>0.033</v>
      </c>
    </row>
    <row r="99" spans="1:4">
      <c r="A99" t="s">
        <v>231</v>
      </c>
      <c r="B99" t="s">
        <v>32</v>
      </c>
      <c r="C99">
        <v>2021</v>
      </c>
      <c r="D99">
        <v>0.073</v>
      </c>
    </row>
    <row r="100" spans="1:4">
      <c r="A100" t="s">
        <v>231</v>
      </c>
      <c r="B100" t="s">
        <v>32</v>
      </c>
      <c r="C100">
        <v>2022</v>
      </c>
      <c r="D100">
        <v>0.13</v>
      </c>
    </row>
    <row r="101" spans="1:4">
      <c r="A101" t="s">
        <v>231</v>
      </c>
      <c r="B101" t="s">
        <v>32</v>
      </c>
      <c r="C101">
        <v>2023</v>
      </c>
      <c r="D101">
        <v>0.185</v>
      </c>
    </row>
    <row r="102" spans="1:4">
      <c r="A102" t="s">
        <v>231</v>
      </c>
      <c r="B102" t="s">
        <v>33</v>
      </c>
      <c r="C102">
        <v>2019</v>
      </c>
      <c r="D102">
        <v>0.04</v>
      </c>
    </row>
    <row r="103" spans="1:4">
      <c r="A103" t="s">
        <v>231</v>
      </c>
      <c r="B103" t="s">
        <v>33</v>
      </c>
      <c r="C103">
        <v>2020</v>
      </c>
      <c r="D103">
        <v>0.122</v>
      </c>
    </row>
    <row r="104" spans="1:4">
      <c r="A104" t="s">
        <v>231</v>
      </c>
      <c r="B104" t="s">
        <v>33</v>
      </c>
      <c r="C104">
        <v>2021</v>
      </c>
      <c r="D104">
        <v>0.194</v>
      </c>
    </row>
    <row r="105" spans="1:4">
      <c r="A105" t="s">
        <v>231</v>
      </c>
      <c r="B105" t="s">
        <v>33</v>
      </c>
      <c r="C105">
        <v>2022</v>
      </c>
      <c r="D105">
        <v>0.262</v>
      </c>
    </row>
    <row r="106" spans="1:4">
      <c r="A106" t="s">
        <v>231</v>
      </c>
      <c r="B106" t="s">
        <v>33</v>
      </c>
      <c r="C106">
        <v>2023</v>
      </c>
      <c r="D106">
        <v>0.299</v>
      </c>
    </row>
    <row r="107" spans="1:4">
      <c r="A107" t="s">
        <v>231</v>
      </c>
      <c r="B107" t="s">
        <v>34</v>
      </c>
      <c r="C107">
        <v>2019</v>
      </c>
      <c r="D107">
        <v>0.0085</v>
      </c>
    </row>
    <row r="108" spans="1:4">
      <c r="A108" t="s">
        <v>231</v>
      </c>
      <c r="B108" t="s">
        <v>34</v>
      </c>
      <c r="C108">
        <v>2020</v>
      </c>
      <c r="D108">
        <v>0.028</v>
      </c>
    </row>
    <row r="109" spans="1:4">
      <c r="A109" t="s">
        <v>231</v>
      </c>
      <c r="B109" t="s">
        <v>34</v>
      </c>
      <c r="C109">
        <v>2021</v>
      </c>
      <c r="D109">
        <v>0.048</v>
      </c>
    </row>
    <row r="110" spans="1:4">
      <c r="A110" t="s">
        <v>231</v>
      </c>
      <c r="B110" t="s">
        <v>34</v>
      </c>
      <c r="C110">
        <v>2022</v>
      </c>
      <c r="D110">
        <v>0.062</v>
      </c>
    </row>
    <row r="111" spans="1:4">
      <c r="A111" t="s">
        <v>231</v>
      </c>
      <c r="B111" t="s">
        <v>34</v>
      </c>
      <c r="C111">
        <v>2023</v>
      </c>
      <c r="D111">
        <v>0.076</v>
      </c>
    </row>
    <row r="112" spans="1:4">
      <c r="A112" t="s">
        <v>231</v>
      </c>
      <c r="B112" t="s">
        <v>35</v>
      </c>
      <c r="C112">
        <v>2019</v>
      </c>
      <c r="D112">
        <v>0.001</v>
      </c>
    </row>
    <row r="113" spans="1:4">
      <c r="A113" t="s">
        <v>231</v>
      </c>
      <c r="B113" t="s">
        <v>35</v>
      </c>
      <c r="C113">
        <v>2020</v>
      </c>
      <c r="D113">
        <v>0.002</v>
      </c>
    </row>
    <row r="114" spans="1:4">
      <c r="A114" t="s">
        <v>231</v>
      </c>
      <c r="B114" t="s">
        <v>35</v>
      </c>
      <c r="C114">
        <v>2021</v>
      </c>
      <c r="D114">
        <v>0.005</v>
      </c>
    </row>
    <row r="115" spans="1:4">
      <c r="A115" t="s">
        <v>231</v>
      </c>
      <c r="B115" t="s">
        <v>35</v>
      </c>
      <c r="C115">
        <v>2022</v>
      </c>
      <c r="D115">
        <v>0.035</v>
      </c>
    </row>
    <row r="116" spans="1:4">
      <c r="A116" t="s">
        <v>231</v>
      </c>
      <c r="B116" t="s">
        <v>35</v>
      </c>
      <c r="C116">
        <v>2023</v>
      </c>
      <c r="D116">
        <v>0.0687</v>
      </c>
    </row>
    <row r="117" spans="1:4">
      <c r="A117" t="s">
        <v>231</v>
      </c>
      <c r="B117" t="s">
        <v>36</v>
      </c>
      <c r="C117">
        <v>2019</v>
      </c>
      <c r="D117">
        <v>0.038</v>
      </c>
    </row>
    <row r="118" spans="1:4">
      <c r="A118" t="s">
        <v>231</v>
      </c>
      <c r="B118" t="s">
        <v>36</v>
      </c>
      <c r="C118">
        <v>2020</v>
      </c>
      <c r="D118">
        <v>0.176</v>
      </c>
    </row>
    <row r="119" spans="1:4">
      <c r="A119" t="s">
        <v>231</v>
      </c>
      <c r="B119" t="s">
        <v>36</v>
      </c>
      <c r="C119">
        <v>2021</v>
      </c>
      <c r="D119">
        <v>0.191</v>
      </c>
    </row>
    <row r="120" spans="1:4">
      <c r="A120" t="s">
        <v>231</v>
      </c>
      <c r="B120" t="s">
        <v>36</v>
      </c>
      <c r="C120">
        <v>2022</v>
      </c>
      <c r="D120">
        <v>0.37</v>
      </c>
    </row>
    <row r="121" spans="1:4">
      <c r="A121" t="s">
        <v>231</v>
      </c>
      <c r="B121" t="s">
        <v>36</v>
      </c>
      <c r="C121">
        <v>2023</v>
      </c>
      <c r="D121">
        <v>0.45</v>
      </c>
    </row>
    <row r="122" spans="1:4">
      <c r="A122" t="s">
        <v>232</v>
      </c>
      <c r="B122" t="s">
        <v>6</v>
      </c>
      <c r="C122">
        <v>2018</v>
      </c>
      <c r="D122">
        <v>0.015</v>
      </c>
    </row>
    <row r="123" spans="1:4">
      <c r="A123" t="s">
        <v>232</v>
      </c>
      <c r="B123" t="s">
        <v>7</v>
      </c>
      <c r="C123">
        <v>2018</v>
      </c>
      <c r="D123">
        <v>0.03</v>
      </c>
    </row>
    <row r="124" spans="1:4">
      <c r="A124" t="s">
        <v>232</v>
      </c>
      <c r="B124" t="s">
        <v>9</v>
      </c>
      <c r="C124">
        <v>2018</v>
      </c>
      <c r="D124">
        <v>0.16</v>
      </c>
    </row>
    <row r="125" spans="1:4">
      <c r="A125" t="s">
        <v>232</v>
      </c>
      <c r="B125" t="s">
        <v>10</v>
      </c>
      <c r="C125">
        <v>2018</v>
      </c>
      <c r="D125">
        <v>0.008</v>
      </c>
    </row>
    <row r="126" spans="1:4">
      <c r="A126" t="s">
        <v>232</v>
      </c>
      <c r="B126" t="s">
        <v>11</v>
      </c>
      <c r="C126">
        <v>2018</v>
      </c>
      <c r="D126">
        <v>2.6</v>
      </c>
    </row>
    <row r="127" spans="1:4">
      <c r="A127" t="s">
        <v>232</v>
      </c>
      <c r="B127" t="s">
        <v>14</v>
      </c>
      <c r="C127">
        <v>2018</v>
      </c>
      <c r="D127">
        <v>0.15</v>
      </c>
    </row>
    <row r="128" spans="1:4">
      <c r="A128" t="s">
        <v>232</v>
      </c>
      <c r="B128" t="s">
        <v>15</v>
      </c>
      <c r="C128">
        <v>2018</v>
      </c>
      <c r="D128">
        <v>0.2</v>
      </c>
    </row>
    <row r="129" spans="1:4">
      <c r="A129" t="s">
        <v>232</v>
      </c>
      <c r="B129" t="s">
        <v>16</v>
      </c>
      <c r="C129">
        <v>2018</v>
      </c>
      <c r="D129">
        <v>0.003</v>
      </c>
    </row>
    <row r="130" spans="1:4">
      <c r="A130" t="s">
        <v>232</v>
      </c>
      <c r="B130" t="s">
        <v>18</v>
      </c>
      <c r="C130">
        <v>2018</v>
      </c>
      <c r="D130">
        <v>0.008</v>
      </c>
    </row>
    <row r="131" spans="1:4">
      <c r="A131" t="s">
        <v>232</v>
      </c>
      <c r="B131" t="s">
        <v>19</v>
      </c>
      <c r="C131">
        <v>2018</v>
      </c>
      <c r="D131">
        <v>0.008</v>
      </c>
    </row>
    <row r="132" spans="1:4">
      <c r="A132" t="s">
        <v>232</v>
      </c>
      <c r="B132" t="s">
        <v>21</v>
      </c>
      <c r="C132">
        <v>2018</v>
      </c>
      <c r="D132">
        <v>0.025</v>
      </c>
    </row>
    <row r="133" spans="1:4">
      <c r="A133" t="s">
        <v>232</v>
      </c>
      <c r="B133" t="s">
        <v>22</v>
      </c>
      <c r="C133">
        <v>2018</v>
      </c>
      <c r="D133">
        <v>0.06</v>
      </c>
    </row>
    <row r="134" spans="1:4">
      <c r="A134" t="s">
        <v>232</v>
      </c>
      <c r="B134" t="s">
        <v>23</v>
      </c>
      <c r="C134">
        <v>2018</v>
      </c>
      <c r="D134">
        <v>0.0003</v>
      </c>
    </row>
    <row r="135" spans="1:4">
      <c r="A135" t="s">
        <v>232</v>
      </c>
      <c r="B135" t="s">
        <v>24</v>
      </c>
      <c r="C135">
        <v>2018</v>
      </c>
      <c r="D135">
        <v>0.008</v>
      </c>
    </row>
    <row r="136" spans="1:4">
      <c r="A136" t="s">
        <v>232</v>
      </c>
      <c r="B136" t="s">
        <v>25</v>
      </c>
      <c r="C136">
        <v>2018</v>
      </c>
      <c r="D136">
        <v>1.0715</v>
      </c>
    </row>
    <row r="137" spans="1:4">
      <c r="A137" t="s">
        <v>232</v>
      </c>
      <c r="B137" t="s">
        <v>26</v>
      </c>
      <c r="C137">
        <v>2018</v>
      </c>
      <c r="D137">
        <v>0.2</v>
      </c>
    </row>
    <row r="138" spans="1:4">
      <c r="A138" t="s">
        <v>232</v>
      </c>
      <c r="B138" t="s">
        <v>27</v>
      </c>
      <c r="C138">
        <v>2018</v>
      </c>
      <c r="D138">
        <v>0.008</v>
      </c>
    </row>
    <row r="139" spans="1:4">
      <c r="A139" t="s">
        <v>232</v>
      </c>
      <c r="B139" t="s">
        <v>28</v>
      </c>
      <c r="C139">
        <v>2018</v>
      </c>
      <c r="D139">
        <v>0.058</v>
      </c>
    </row>
    <row r="140" spans="1:4">
      <c r="A140" t="s">
        <v>232</v>
      </c>
      <c r="B140" t="s">
        <v>31</v>
      </c>
      <c r="C140">
        <v>2018</v>
      </c>
      <c r="D140">
        <v>0.0005</v>
      </c>
    </row>
    <row r="141" spans="1:4">
      <c r="A141" t="s">
        <v>232</v>
      </c>
      <c r="B141" t="s">
        <v>32</v>
      </c>
      <c r="C141">
        <v>2018</v>
      </c>
      <c r="D141">
        <v>0.035</v>
      </c>
    </row>
    <row r="142" spans="1:4">
      <c r="A142" t="s">
        <v>232</v>
      </c>
      <c r="B142" t="s">
        <v>33</v>
      </c>
      <c r="C142">
        <v>2018</v>
      </c>
      <c r="D142">
        <v>0.117</v>
      </c>
    </row>
    <row r="143" spans="1:4">
      <c r="A143" t="s">
        <v>232</v>
      </c>
      <c r="B143" t="s">
        <v>34</v>
      </c>
      <c r="C143">
        <v>2018</v>
      </c>
      <c r="D143">
        <v>0.035</v>
      </c>
    </row>
    <row r="144" spans="1:4">
      <c r="A144" t="s">
        <v>232</v>
      </c>
      <c r="B144" t="s">
        <v>35</v>
      </c>
      <c r="C144">
        <v>2018</v>
      </c>
      <c r="D144">
        <v>0.003</v>
      </c>
    </row>
    <row r="145" spans="1:4">
      <c r="A145" t="s">
        <v>232</v>
      </c>
      <c r="B145" t="s">
        <v>36</v>
      </c>
      <c r="C145">
        <v>2018</v>
      </c>
      <c r="D145">
        <v>0.13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V233"/>
  <sheetViews>
    <sheetView zoomScale="54" zoomScaleNormal="54" workbookViewId="0">
      <selection activeCell="BR3" sqref="BR3"/>
    </sheetView>
  </sheetViews>
  <sheetFormatPr defaultColWidth="9" defaultRowHeight="14.5"/>
  <cols>
    <col min="1" max="1" width="3.86363636363636" customWidth="1"/>
    <col min="3" max="3" width="8.86363636363636" customWidth="1"/>
    <col min="4" max="4" width="5.6" customWidth="1"/>
    <col min="5" max="5" width="26.2636363636364" customWidth="1"/>
    <col min="6" max="6" width="21.8636363636364" customWidth="1"/>
    <col min="7" max="7" width="12.1363636363636" customWidth="1"/>
    <col min="8" max="25" width="4.6" customWidth="1"/>
    <col min="26" max="26" width="4.86363636363636" customWidth="1"/>
    <col min="27" max="27" width="5" customWidth="1"/>
    <col min="28" max="32" width="4.6" customWidth="1"/>
    <col min="33" max="33" width="5" customWidth="1"/>
    <col min="34" max="34" width="4.86363636363636" customWidth="1"/>
    <col min="35" max="35" width="5" customWidth="1"/>
    <col min="36" max="37" width="4.6" customWidth="1"/>
    <col min="38" max="41" width="5.13636363636364" customWidth="1"/>
    <col min="42" max="42" width="4.13636363636364" customWidth="1"/>
    <col min="43" max="53" width="5.13636363636364" customWidth="1"/>
    <col min="54" max="54" width="4.72727272727273" customWidth="1"/>
    <col min="55" max="55" width="9.72727272727273" customWidth="1"/>
    <col min="56" max="101" width="4.6" customWidth="1"/>
    <col min="103" max="120" width="4.6" customWidth="1"/>
    <col min="121" max="121" width="4.86363636363636" customWidth="1"/>
    <col min="122" max="127" width="4.6" customWidth="1"/>
    <col min="128" max="128" width="5" customWidth="1"/>
    <col min="129" max="129" width="4.86363636363636" customWidth="1"/>
    <col min="130" max="130" width="5" customWidth="1"/>
    <col min="131" max="132" width="4.6" customWidth="1"/>
    <col min="133" max="148" width="5.13636363636364" customWidth="1"/>
    <col min="150" max="150" width="12.4" customWidth="1"/>
    <col min="151" max="151" width="5" customWidth="1"/>
    <col min="152" max="152" width="11.4" customWidth="1"/>
  </cols>
  <sheetData>
    <row r="1" spans="1:152">
      <c r="CY1" s="52" t="s">
        <v>233</v>
      </c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</row>
    <row r="2" spans="1:152">
      <c r="A2" s="123" t="s">
        <v>171</v>
      </c>
      <c r="B2" t="s">
        <v>172</v>
      </c>
      <c r="C2" s="54" t="s">
        <v>173</v>
      </c>
      <c r="D2" s="54" t="s">
        <v>174</v>
      </c>
      <c r="E2" s="54" t="s">
        <v>175</v>
      </c>
      <c r="F2" s="54" t="s">
        <v>172</v>
      </c>
      <c r="G2" s="54" t="s">
        <v>176</v>
      </c>
      <c r="H2" s="54" t="str">
        <f>'TRA balance'!E4</f>
        <v>Africa_North</v>
      </c>
      <c r="I2" s="54" t="str">
        <f>'TRA balance'!F4</f>
        <v>Africa_Other</v>
      </c>
      <c r="J2" s="54" t="str">
        <f>'TRA balance'!G4</f>
        <v>Australia</v>
      </c>
      <c r="K2" s="54" t="str">
        <f>'TRA balance'!H4</f>
        <v>Austria</v>
      </c>
      <c r="L2" s="54" t="str">
        <f>'TRA balance'!I4</f>
        <v>Baltics</v>
      </c>
      <c r="M2" s="54" t="str">
        <f>'TRA balance'!J4</f>
        <v>BeNeLux</v>
      </c>
      <c r="N2" s="54" t="str">
        <f>'TRA balance'!K4</f>
        <v>Brazil</v>
      </c>
      <c r="O2" s="54" t="str">
        <f>'TRA balance'!L4</f>
        <v>China</v>
      </c>
      <c r="P2" s="54" t="str">
        <f>'TRA balance'!M4</f>
        <v>CroSloven</v>
      </c>
      <c r="Q2" s="54" t="str">
        <f>'TRA balance'!N4</f>
        <v>CzechSlovak</v>
      </c>
      <c r="R2" s="54" t="str">
        <f>'TRA balance'!O4</f>
        <v>France</v>
      </c>
      <c r="S2" s="54" t="str">
        <f>'TRA balance'!P4</f>
        <v>Germany</v>
      </c>
      <c r="T2" s="54" t="str">
        <f>'TRA balance'!Q4</f>
        <v>GreeceCyp</v>
      </c>
      <c r="U2" s="54" t="str">
        <f>'TRA balance'!R4</f>
        <v>HunRomBul</v>
      </c>
      <c r="V2" s="54" t="str">
        <f>'TRA balance'!S4</f>
        <v>Iceland</v>
      </c>
      <c r="W2" s="54" t="str">
        <f>'TRA balance'!T4</f>
        <v>India</v>
      </c>
      <c r="X2" s="54" t="str">
        <f>'TRA balance'!U4</f>
        <v>Ireland</v>
      </c>
      <c r="Y2" s="54" t="str">
        <f>'TRA balance'!V4</f>
        <v>ItalyMal</v>
      </c>
      <c r="Z2" s="54" t="str">
        <f>'TRA balance'!W4</f>
        <v>Japan</v>
      </c>
      <c r="AA2" s="54" t="str">
        <f>'TRA balance'!X4</f>
        <v>LatAm</v>
      </c>
      <c r="AB2" s="54" t="str">
        <f>'TRA balance'!Y4</f>
        <v>MidEast</v>
      </c>
      <c r="AC2" s="54" t="str">
        <f>'TRA balance'!Z4</f>
        <v>NorthAm</v>
      </c>
      <c r="AD2" s="54" t="str">
        <f>'TRA balance'!AA4</f>
        <v>Norway</v>
      </c>
      <c r="AE2" s="54" t="str">
        <f>'TRA balance'!AB4</f>
        <v>Poland</v>
      </c>
      <c r="AF2" s="54" t="str">
        <f>'TRA balance'!AC4</f>
        <v>ROW</v>
      </c>
      <c r="AG2" s="54" t="str">
        <f>'TRA balance'!AD4</f>
        <v>Russia</v>
      </c>
      <c r="AH2" s="54" t="str">
        <f>'TRA balance'!AE4</f>
        <v>SaudiArabia</v>
      </c>
      <c r="AI2" s="54" t="str">
        <f>'TRA balance'!AF4</f>
        <v>SouthAfrica</v>
      </c>
      <c r="AJ2" s="54" t="str">
        <f>'TRA balance'!AG4</f>
        <v>SpainPor</v>
      </c>
      <c r="AK2" s="54" t="str">
        <f>'TRA balance'!AH4</f>
        <v>SweFinDen</v>
      </c>
      <c r="AL2" s="54" t="str">
        <f>'TRA balance'!AI4</f>
        <v>Switzerland</v>
      </c>
      <c r="AM2" s="54" t="str">
        <f>'TRA balance'!AJ4</f>
        <v>Turkey</v>
      </c>
      <c r="AN2" s="54" t="str">
        <f>'TRA balance'!AK4</f>
        <v>UK</v>
      </c>
      <c r="AO2" s="54" t="str">
        <f>'TRA balance'!AL4</f>
        <v>Ukraine</v>
      </c>
      <c r="AP2" s="54" t="str">
        <f>'TRA balance'!AM4</f>
        <v>WestBalkans</v>
      </c>
      <c r="AQ2" s="54" t="str">
        <f>'TRA balance'!AN4</f>
        <v>\I:</v>
      </c>
      <c r="AR2" s="54" t="str">
        <f>'TRA balance'!AO4</f>
        <v>\I:</v>
      </c>
      <c r="AS2" s="54" t="str">
        <f>'TRA balance'!AP4</f>
        <v>\I:</v>
      </c>
      <c r="AT2" s="54" t="str">
        <f>'TRA balance'!AQ4</f>
        <v>\I:</v>
      </c>
      <c r="AU2" s="54" t="str">
        <f>'TRA balance'!AR4</f>
        <v>\I:</v>
      </c>
      <c r="AV2" s="54" t="str">
        <f>'TRA balance'!AS4</f>
        <v>\I:</v>
      </c>
      <c r="AW2" s="54" t="str">
        <f>'TRA balance'!AT4</f>
        <v>\I:</v>
      </c>
      <c r="AX2" s="54" t="str">
        <f>'TRA balance'!AU4</f>
        <v>\I:</v>
      </c>
      <c r="AY2" s="54" t="str">
        <f>'TRA balance'!AV4</f>
        <v>\I:</v>
      </c>
      <c r="AZ2" s="54" t="str">
        <f>'TRA balance'!AW4</f>
        <v>\I:</v>
      </c>
      <c r="BA2" s="54" t="str">
        <f>'TRA balance'!AX4</f>
        <v>\I:</v>
      </c>
      <c r="BD2" s="55" t="str">
        <f>H2</f>
        <v>Africa_North</v>
      </c>
      <c r="BE2" s="55" t="str">
        <f t="shared" ref="BE2:CW2" si="0">I2</f>
        <v>Africa_Other</v>
      </c>
      <c r="BF2" s="55" t="str">
        <f t="shared" si="0"/>
        <v>Australia</v>
      </c>
      <c r="BG2" s="55" t="str">
        <f t="shared" si="0"/>
        <v>Austria</v>
      </c>
      <c r="BH2" s="55" t="str">
        <f t="shared" si="0"/>
        <v>Baltics</v>
      </c>
      <c r="BI2" s="55" t="str">
        <f t="shared" si="0"/>
        <v>BeNeLux</v>
      </c>
      <c r="BJ2" s="55" t="str">
        <f t="shared" si="0"/>
        <v>Brazil</v>
      </c>
      <c r="BK2" s="55" t="str">
        <f t="shared" si="0"/>
        <v>China</v>
      </c>
      <c r="BL2" s="55" t="str">
        <f t="shared" si="0"/>
        <v>CroSloven</v>
      </c>
      <c r="BM2" s="55" t="str">
        <f t="shared" si="0"/>
        <v>CzechSlovak</v>
      </c>
      <c r="BN2" s="55" t="str">
        <f t="shared" si="0"/>
        <v>France</v>
      </c>
      <c r="BO2" s="55" t="str">
        <f t="shared" si="0"/>
        <v>Germany</v>
      </c>
      <c r="BP2" s="55" t="str">
        <f t="shared" si="0"/>
        <v>GreeceCyp</v>
      </c>
      <c r="BQ2" s="55" t="str">
        <f t="shared" si="0"/>
        <v>HunRomBul</v>
      </c>
      <c r="BR2" s="55" t="str">
        <f t="shared" si="0"/>
        <v>Iceland</v>
      </c>
      <c r="BS2" s="55" t="str">
        <f t="shared" si="0"/>
        <v>India</v>
      </c>
      <c r="BT2" s="55" t="str">
        <f t="shared" si="0"/>
        <v>Ireland</v>
      </c>
      <c r="BU2" s="55" t="str">
        <f t="shared" si="0"/>
        <v>ItalyMal</v>
      </c>
      <c r="BV2" s="55" t="str">
        <f t="shared" si="0"/>
        <v>Japan</v>
      </c>
      <c r="BW2" s="55" t="str">
        <f t="shared" si="0"/>
        <v>LatAm</v>
      </c>
      <c r="BX2" s="55" t="str">
        <f t="shared" si="0"/>
        <v>MidEast</v>
      </c>
      <c r="BY2" s="55" t="str">
        <f t="shared" si="0"/>
        <v>NorthAm</v>
      </c>
      <c r="BZ2" s="55" t="str">
        <f t="shared" si="0"/>
        <v>Norway</v>
      </c>
      <c r="CA2" s="55" t="str">
        <f t="shared" si="0"/>
        <v>Poland</v>
      </c>
      <c r="CB2" s="55" t="str">
        <f t="shared" si="0"/>
        <v>ROW</v>
      </c>
      <c r="CC2" s="55" t="str">
        <f t="shared" si="0"/>
        <v>Russia</v>
      </c>
      <c r="CD2" s="55" t="str">
        <f t="shared" si="0"/>
        <v>SaudiArabia</v>
      </c>
      <c r="CE2" s="55" t="str">
        <f t="shared" si="0"/>
        <v>SouthAfrica</v>
      </c>
      <c r="CF2" s="55" t="str">
        <f t="shared" si="0"/>
        <v>SpainPor</v>
      </c>
      <c r="CG2" s="55" t="str">
        <f t="shared" si="0"/>
        <v>SweFinDen</v>
      </c>
      <c r="CH2" s="55" t="str">
        <f t="shared" si="0"/>
        <v>Switzerland</v>
      </c>
      <c r="CI2" s="55" t="str">
        <f t="shared" si="0"/>
        <v>Turkey</v>
      </c>
      <c r="CJ2" s="55" t="str">
        <f t="shared" si="0"/>
        <v>UK</v>
      </c>
      <c r="CK2" s="55" t="str">
        <f t="shared" si="0"/>
        <v>Ukraine</v>
      </c>
      <c r="CL2" s="55" t="str">
        <f t="shared" si="0"/>
        <v>WestBalkans</v>
      </c>
      <c r="CM2" s="55" t="str">
        <f t="shared" si="0"/>
        <v>\I:</v>
      </c>
      <c r="CN2" s="55" t="str">
        <f t="shared" si="0"/>
        <v>\I:</v>
      </c>
      <c r="CO2" s="55" t="str">
        <f t="shared" si="0"/>
        <v>\I:</v>
      </c>
      <c r="CP2" s="55" t="str">
        <f t="shared" si="0"/>
        <v>\I:</v>
      </c>
      <c r="CQ2" s="55" t="str">
        <f t="shared" si="0"/>
        <v>\I:</v>
      </c>
      <c r="CR2" s="55" t="str">
        <f t="shared" si="0"/>
        <v>\I:</v>
      </c>
      <c r="CS2" s="55" t="str">
        <f t="shared" si="0"/>
        <v>\I:</v>
      </c>
      <c r="CT2" s="55" t="str">
        <f t="shared" si="0"/>
        <v>\I:</v>
      </c>
      <c r="CU2" s="55" t="str">
        <f t="shared" si="0"/>
        <v>\I:</v>
      </c>
      <c r="CV2" s="55" t="str">
        <f t="shared" si="0"/>
        <v>\I:</v>
      </c>
      <c r="CW2" s="55" t="str">
        <f t="shared" si="0"/>
        <v>\I:</v>
      </c>
      <c r="CY2" s="39" t="str">
        <f>BD2</f>
        <v>Africa_North</v>
      </c>
      <c r="CZ2" s="39" t="str">
        <f t="shared" ref="CZ2:ER2" si="1">BE2</f>
        <v>Africa_Other</v>
      </c>
      <c r="DA2" s="39" t="str">
        <f t="shared" si="1"/>
        <v>Australia</v>
      </c>
      <c r="DB2" s="39" t="str">
        <f t="shared" si="1"/>
        <v>Austria</v>
      </c>
      <c r="DC2" s="39" t="str">
        <f t="shared" si="1"/>
        <v>Baltics</v>
      </c>
      <c r="DD2" s="39" t="str">
        <f t="shared" si="1"/>
        <v>BeNeLux</v>
      </c>
      <c r="DE2" s="39" t="str">
        <f t="shared" si="1"/>
        <v>Brazil</v>
      </c>
      <c r="DF2" s="39" t="str">
        <f t="shared" si="1"/>
        <v>China</v>
      </c>
      <c r="DG2" s="39" t="str">
        <f t="shared" si="1"/>
        <v>CroSloven</v>
      </c>
      <c r="DH2" s="39" t="str">
        <f t="shared" si="1"/>
        <v>CzechSlovak</v>
      </c>
      <c r="DI2" s="39" t="str">
        <f t="shared" si="1"/>
        <v>France</v>
      </c>
      <c r="DJ2" s="39" t="str">
        <f t="shared" si="1"/>
        <v>Germany</v>
      </c>
      <c r="DK2" s="39" t="str">
        <f t="shared" si="1"/>
        <v>GreeceCyp</v>
      </c>
      <c r="DL2" s="39" t="str">
        <f t="shared" si="1"/>
        <v>HunRomBul</v>
      </c>
      <c r="DM2" s="39" t="str">
        <f t="shared" si="1"/>
        <v>Iceland</v>
      </c>
      <c r="DN2" s="39" t="str">
        <f t="shared" si="1"/>
        <v>India</v>
      </c>
      <c r="DO2" s="39" t="str">
        <f t="shared" si="1"/>
        <v>Ireland</v>
      </c>
      <c r="DP2" s="39" t="str">
        <f t="shared" si="1"/>
        <v>ItalyMal</v>
      </c>
      <c r="DQ2" s="39" t="str">
        <f t="shared" si="1"/>
        <v>Japan</v>
      </c>
      <c r="DR2" s="39" t="str">
        <f t="shared" si="1"/>
        <v>LatAm</v>
      </c>
      <c r="DS2" s="39" t="str">
        <f t="shared" si="1"/>
        <v>MidEast</v>
      </c>
      <c r="DT2" s="39" t="str">
        <f t="shared" si="1"/>
        <v>NorthAm</v>
      </c>
      <c r="DU2" s="39" t="str">
        <f t="shared" si="1"/>
        <v>Norway</v>
      </c>
      <c r="DV2" s="39" t="str">
        <f t="shared" si="1"/>
        <v>Poland</v>
      </c>
      <c r="DW2" s="39" t="str">
        <f t="shared" si="1"/>
        <v>ROW</v>
      </c>
      <c r="DX2" s="39" t="str">
        <f t="shared" si="1"/>
        <v>Russia</v>
      </c>
      <c r="DY2" s="39" t="str">
        <f t="shared" si="1"/>
        <v>SaudiArabia</v>
      </c>
      <c r="DZ2" s="39" t="str">
        <f t="shared" si="1"/>
        <v>SouthAfrica</v>
      </c>
      <c r="EA2" s="39" t="str">
        <f t="shared" si="1"/>
        <v>SpainPor</v>
      </c>
      <c r="EB2" s="39" t="str">
        <f t="shared" si="1"/>
        <v>SweFinDen</v>
      </c>
      <c r="EC2" s="39" t="str">
        <f t="shared" si="1"/>
        <v>Switzerland</v>
      </c>
      <c r="ED2" s="39" t="str">
        <f t="shared" si="1"/>
        <v>Turkey</v>
      </c>
      <c r="EE2" s="39" t="str">
        <f t="shared" si="1"/>
        <v>UK</v>
      </c>
      <c r="EF2" s="39" t="str">
        <f t="shared" si="1"/>
        <v>Ukraine</v>
      </c>
      <c r="EG2" s="39" t="str">
        <f t="shared" si="1"/>
        <v>WestBalkans</v>
      </c>
      <c r="EH2" s="39" t="str">
        <f t="shared" si="1"/>
        <v>\I:</v>
      </c>
      <c r="EI2" s="39" t="str">
        <f t="shared" si="1"/>
        <v>\I:</v>
      </c>
      <c r="EJ2" s="39" t="str">
        <f t="shared" si="1"/>
        <v>\I:</v>
      </c>
      <c r="EK2" s="39" t="str">
        <f t="shared" si="1"/>
        <v>\I:</v>
      </c>
      <c r="EL2" s="39" t="str">
        <f t="shared" si="1"/>
        <v>\I:</v>
      </c>
      <c r="EM2" s="39" t="str">
        <f t="shared" si="1"/>
        <v>\I:</v>
      </c>
      <c r="EN2" s="39" t="str">
        <f t="shared" si="1"/>
        <v>\I:</v>
      </c>
      <c r="EO2" s="39" t="str">
        <f t="shared" si="1"/>
        <v>\I:</v>
      </c>
      <c r="EP2" s="39" t="str">
        <f t="shared" si="1"/>
        <v>\I:</v>
      </c>
      <c r="EQ2" s="39" t="str">
        <f t="shared" si="1"/>
        <v>\I:</v>
      </c>
      <c r="ER2" s="39" t="str">
        <f t="shared" si="1"/>
        <v>\I:</v>
      </c>
      <c r="EV2" t="s">
        <v>234</v>
      </c>
    </row>
    <row r="3" spans="1:152">
      <c r="A3">
        <v>1</v>
      </c>
      <c r="B3" t="str">
        <f>VLOOKUP(F3,'TRA balance'!$BA$5:$BB$14,2,FALSE)</f>
        <v>TRACOA</v>
      </c>
      <c r="C3" s="56" t="str">
        <f>LEFT(G3,2)</f>
        <v>TT</v>
      </c>
      <c r="D3" s="57" t="s">
        <v>192</v>
      </c>
      <c r="E3" s="57" t="s">
        <v>193</v>
      </c>
      <c r="F3" s="58" t="s">
        <v>55</v>
      </c>
      <c r="G3" s="56" t="s">
        <v>194</v>
      </c>
      <c r="H3" s="59">
        <f ca="1">OFFSET(TIAM15_assumptions!$G3,0,MATCH(VLOOKUP(Assumptions!H$2,TIAM15_assumptions!$Y$3:$Z$87,2,FALSE),TIAM15_assumptions!$H$2:$V$2,0))</f>
        <v>0.8</v>
      </c>
      <c r="I3" s="59">
        <f ca="1">OFFSET(TIAM15_assumptions!$G3,0,MATCH(VLOOKUP(Assumptions!I$2,TIAM15_assumptions!$Y$3:$Z$87,2,FALSE),TIAM15_assumptions!$H$2:$V$2,0))</f>
        <v>0.8</v>
      </c>
      <c r="J3" s="59">
        <f ca="1">OFFSET(TIAM15_assumptions!$G3,0,MATCH(VLOOKUP(Assumptions!J$2,TIAM15_assumptions!$Y$3:$Z$87,2,FALSE),TIAM15_assumptions!$H$2:$V$2,0))</f>
        <v>0.9</v>
      </c>
      <c r="K3" s="59">
        <f ca="1">OFFSET(TIAM15_assumptions!$G3,0,MATCH(VLOOKUP(Assumptions!K$2,TIAM15_assumptions!$Y$3:$Z$87,2,FALSE),TIAM15_assumptions!$H$2:$V$2,0))</f>
        <v>1</v>
      </c>
      <c r="L3" s="59">
        <f ca="1">OFFSET(TIAM15_assumptions!$G3,0,MATCH(VLOOKUP(Assumptions!L$2,TIAM15_assumptions!$Y$3:$Z$87,2,FALSE),TIAM15_assumptions!$H$2:$V$2,0))</f>
        <v>0.8</v>
      </c>
      <c r="M3" s="59">
        <f ca="1">OFFSET(TIAM15_assumptions!$G3,0,MATCH(VLOOKUP(Assumptions!M$2,TIAM15_assumptions!$Y$3:$Z$87,2,FALSE),TIAM15_assumptions!$H$2:$V$2,0))</f>
        <v>1</v>
      </c>
      <c r="N3" s="59">
        <f ca="1">OFFSET(TIAM15_assumptions!$G3,0,MATCH(VLOOKUP(Assumptions!N$2,TIAM15_assumptions!$Y$3:$Z$87,2,FALSE),TIAM15_assumptions!$H$2:$V$2,0))</f>
        <v>1</v>
      </c>
      <c r="O3" s="59">
        <f ca="1">OFFSET(TIAM15_assumptions!$G3,0,MATCH(VLOOKUP(Assumptions!O$2,TIAM15_assumptions!$Y$3:$Z$87,2,FALSE),TIAM15_assumptions!$H$2:$V$2,0))</f>
        <v>0.75</v>
      </c>
      <c r="P3" s="59">
        <f ca="1">OFFSET(TIAM15_assumptions!$G3,0,MATCH(VLOOKUP(Assumptions!P$2,TIAM15_assumptions!$Y$3:$Z$87,2,FALSE),TIAM15_assumptions!$H$2:$V$2,0))</f>
        <v>0.8</v>
      </c>
      <c r="Q3" s="59">
        <f ca="1">OFFSET(TIAM15_assumptions!$G3,0,MATCH(VLOOKUP(Assumptions!Q$2,TIAM15_assumptions!$Y$3:$Z$87,2,FALSE),TIAM15_assumptions!$H$2:$V$2,0))</f>
        <v>0.8</v>
      </c>
      <c r="R3" s="59">
        <f ca="1">OFFSET(TIAM15_assumptions!$G3,0,MATCH(VLOOKUP(Assumptions!R$2,TIAM15_assumptions!$Y$3:$Z$87,2,FALSE),TIAM15_assumptions!$H$2:$V$2,0))</f>
        <v>1</v>
      </c>
      <c r="S3" s="59">
        <f ca="1">OFFSET(TIAM15_assumptions!$G3,0,MATCH(VLOOKUP(Assumptions!S$2,TIAM15_assumptions!$Y$3:$Z$87,2,FALSE),TIAM15_assumptions!$H$2:$V$2,0))</f>
        <v>1</v>
      </c>
      <c r="T3" s="59">
        <f ca="1">OFFSET(TIAM15_assumptions!$G3,0,MATCH(VLOOKUP(Assumptions!T$2,TIAM15_assumptions!$Y$3:$Z$87,2,FALSE),TIAM15_assumptions!$H$2:$V$2,0))</f>
        <v>1</v>
      </c>
      <c r="U3" s="59">
        <f ca="1">OFFSET(TIAM15_assumptions!$G3,0,MATCH(VLOOKUP(Assumptions!U$2,TIAM15_assumptions!$Y$3:$Z$87,2,FALSE),TIAM15_assumptions!$H$2:$V$2,0))</f>
        <v>0.8</v>
      </c>
      <c r="V3" s="59">
        <f ca="1">OFFSET(TIAM15_assumptions!$G3,0,MATCH(VLOOKUP(Assumptions!V$2,TIAM15_assumptions!$Y$3:$Z$87,2,FALSE),TIAM15_assumptions!$H$2:$V$2,0))</f>
        <v>1</v>
      </c>
      <c r="W3" s="59">
        <f ca="1">OFFSET(TIAM15_assumptions!$G3,0,MATCH(VLOOKUP(Assumptions!W$2,TIAM15_assumptions!$Y$3:$Z$87,2,FALSE),TIAM15_assumptions!$H$2:$V$2,0))</f>
        <v>0.8</v>
      </c>
      <c r="X3" s="59">
        <f ca="1">OFFSET(TIAM15_assumptions!$G3,0,MATCH(VLOOKUP(Assumptions!X$2,TIAM15_assumptions!$Y$3:$Z$87,2,FALSE),TIAM15_assumptions!$H$2:$V$2,0))</f>
        <v>1</v>
      </c>
      <c r="Y3" s="59">
        <f ca="1">OFFSET(TIAM15_assumptions!$G3,0,MATCH(VLOOKUP(Assumptions!Y$2,TIAM15_assumptions!$Y$3:$Z$87,2,FALSE),TIAM15_assumptions!$H$2:$V$2,0))</f>
        <v>1</v>
      </c>
      <c r="Z3" s="59">
        <f ca="1">OFFSET(TIAM15_assumptions!$G3,0,MATCH(VLOOKUP(Assumptions!Z$2,TIAM15_assumptions!$Y$3:$Z$87,2,FALSE),TIAM15_assumptions!$H$2:$V$2,0))</f>
        <v>0.07</v>
      </c>
      <c r="AA3" s="59">
        <f ca="1">OFFSET(TIAM15_assumptions!$G3,0,MATCH(VLOOKUP(Assumptions!AA$2,TIAM15_assumptions!$Y$3:$Z$87,2,FALSE),TIAM15_assumptions!$H$2:$V$2,0))</f>
        <v>1</v>
      </c>
      <c r="AB3" s="59">
        <f ca="1">OFFSET(TIAM15_assumptions!$G3,0,MATCH(VLOOKUP(Assumptions!AB$2,TIAM15_assumptions!$Y$3:$Z$87,2,FALSE),TIAM15_assumptions!$H$2:$V$2,0))</f>
        <v>0.8</v>
      </c>
      <c r="AC3" s="59">
        <f ca="1">OFFSET(TIAM15_assumptions!$G3,0,MATCH(VLOOKUP(Assumptions!AC$2,TIAM15_assumptions!$Y$3:$Z$87,2,FALSE),TIAM15_assumptions!$H$2:$V$2,0))</f>
        <v>0.8</v>
      </c>
      <c r="AD3" s="59">
        <f ca="1">OFFSET(TIAM15_assumptions!$G3,0,MATCH(VLOOKUP(Assumptions!AD$2,TIAM15_assumptions!$Y$3:$Z$87,2,FALSE),TIAM15_assumptions!$H$2:$V$2,0))</f>
        <v>1</v>
      </c>
      <c r="AE3" s="59">
        <f ca="1">OFFSET(TIAM15_assumptions!$G3,0,MATCH(VLOOKUP(Assumptions!AE$2,TIAM15_assumptions!$Y$3:$Z$87,2,FALSE),TIAM15_assumptions!$H$2:$V$2,0))</f>
        <v>0.8</v>
      </c>
      <c r="AF3" s="59">
        <f ca="1">OFFSET(TIAM15_assumptions!$G3,0,MATCH(VLOOKUP(Assumptions!AF$2,TIAM15_assumptions!$Y$3:$Z$87,2,FALSE),TIAM15_assumptions!$H$2:$V$2,0))</f>
        <v>0.8</v>
      </c>
      <c r="AG3" s="59">
        <f ca="1">OFFSET(TIAM15_assumptions!$G3,0,MATCH(VLOOKUP(Assumptions!AG$2,TIAM15_assumptions!$Y$3:$Z$87,2,FALSE),TIAM15_assumptions!$H$2:$V$2,0))</f>
        <v>0.8</v>
      </c>
      <c r="AH3" s="59">
        <f ca="1">OFFSET(TIAM15_assumptions!$G3,0,MATCH(VLOOKUP(Assumptions!AH$2,TIAM15_assumptions!$Y$3:$Z$87,2,FALSE),TIAM15_assumptions!$H$2:$V$2,0))</f>
        <v>0.8</v>
      </c>
      <c r="AI3" s="59">
        <f ca="1">OFFSET(TIAM15_assumptions!$G3,0,MATCH(VLOOKUP(Assumptions!AI$2,TIAM15_assumptions!$Y$3:$Z$87,2,FALSE),TIAM15_assumptions!$H$2:$V$2,0))</f>
        <v>0.8</v>
      </c>
      <c r="AJ3" s="59">
        <f ca="1">OFFSET(TIAM15_assumptions!$G3,0,MATCH(VLOOKUP(Assumptions!AJ$2,TIAM15_assumptions!$Y$3:$Z$87,2,FALSE),TIAM15_assumptions!$H$2:$V$2,0))</f>
        <v>1</v>
      </c>
      <c r="AK3" s="59">
        <f ca="1">OFFSET(TIAM15_assumptions!$G3,0,MATCH(VLOOKUP(Assumptions!AK$2,TIAM15_assumptions!$Y$3:$Z$87,2,FALSE),TIAM15_assumptions!$H$2:$V$2,0))</f>
        <v>1</v>
      </c>
      <c r="AL3" s="59">
        <f ca="1">OFFSET(TIAM15_assumptions!$G3,0,MATCH(VLOOKUP(Assumptions!AL$2,TIAM15_assumptions!$Y$3:$Z$87,2,FALSE),TIAM15_assumptions!$H$2:$V$2,0))</f>
        <v>1</v>
      </c>
      <c r="AM3" s="59">
        <f ca="1">OFFSET(TIAM15_assumptions!$G3,0,MATCH(VLOOKUP(Assumptions!AM$2,TIAM15_assumptions!$Y$3:$Z$87,2,FALSE),TIAM15_assumptions!$H$2:$V$2,0))</f>
        <v>0.8</v>
      </c>
      <c r="AN3" s="59">
        <f ca="1">OFFSET(TIAM15_assumptions!$G3,0,MATCH(VLOOKUP(Assumptions!AN$2,TIAM15_assumptions!$Y$3:$Z$87,2,FALSE),TIAM15_assumptions!$H$2:$V$2,0))</f>
        <v>1</v>
      </c>
      <c r="AO3" s="59">
        <f ca="1">OFFSET(TIAM15_assumptions!$G3,0,MATCH(VLOOKUP(Assumptions!AO$2,TIAM15_assumptions!$Y$3:$Z$87,2,FALSE),TIAM15_assumptions!$H$2:$V$2,0))</f>
        <v>0.8</v>
      </c>
      <c r="AP3" s="59">
        <f ca="1">OFFSET(TIAM15_assumptions!$G3,0,MATCH(VLOOKUP(Assumptions!AP$2,TIAM15_assumptions!$Y$3:$Z$87,2,FALSE),TIAM15_assumptions!$H$2:$V$2,0))</f>
        <v>0.8</v>
      </c>
      <c r="AQ3" s="59">
        <f ca="1">OFFSET(TIAM15_assumptions!$G3,0,MATCH(VLOOKUP(Assumptions!AQ$2,TIAM15_assumptions!$Y$3:$Z$87,2,FALSE),TIAM15_assumptions!$H$2:$V$2,0))</f>
        <v>0.8</v>
      </c>
      <c r="AR3" s="59">
        <f ca="1">OFFSET(TIAM15_assumptions!$G3,0,MATCH(VLOOKUP(Assumptions!AR$2,TIAM15_assumptions!$Y$3:$Z$87,2,FALSE),TIAM15_assumptions!$H$2:$V$2,0))</f>
        <v>0.8</v>
      </c>
      <c r="AS3" s="59">
        <f ca="1">OFFSET(TIAM15_assumptions!$G3,0,MATCH(VLOOKUP(Assumptions!AS$2,TIAM15_assumptions!$Y$3:$Z$87,2,FALSE),TIAM15_assumptions!$H$2:$V$2,0))</f>
        <v>0.8</v>
      </c>
      <c r="AT3" s="59">
        <f ca="1">OFFSET(TIAM15_assumptions!$G3,0,MATCH(VLOOKUP(Assumptions!AT$2,TIAM15_assumptions!$Y$3:$Z$87,2,FALSE),TIAM15_assumptions!$H$2:$V$2,0))</f>
        <v>0.8</v>
      </c>
      <c r="AU3" s="59">
        <f ca="1">OFFSET(TIAM15_assumptions!$G3,0,MATCH(VLOOKUP(Assumptions!AU$2,TIAM15_assumptions!$Y$3:$Z$87,2,FALSE),TIAM15_assumptions!$H$2:$V$2,0))</f>
        <v>0.8</v>
      </c>
      <c r="AV3" s="59">
        <f ca="1">OFFSET(TIAM15_assumptions!$G3,0,MATCH(VLOOKUP(Assumptions!AV$2,TIAM15_assumptions!$Y$3:$Z$87,2,FALSE),TIAM15_assumptions!$H$2:$V$2,0))</f>
        <v>0.8</v>
      </c>
      <c r="AW3" s="59">
        <f ca="1">OFFSET(TIAM15_assumptions!$G3,0,MATCH(VLOOKUP(Assumptions!AW$2,TIAM15_assumptions!$Y$3:$Z$87,2,FALSE),TIAM15_assumptions!$H$2:$V$2,0))</f>
        <v>0.8</v>
      </c>
      <c r="AX3" s="59">
        <f ca="1">OFFSET(TIAM15_assumptions!$G3,0,MATCH(VLOOKUP(Assumptions!AX$2,TIAM15_assumptions!$Y$3:$Z$87,2,FALSE),TIAM15_assumptions!$H$2:$V$2,0))</f>
        <v>0.8</v>
      </c>
      <c r="AY3" s="59">
        <f ca="1">OFFSET(TIAM15_assumptions!$G3,0,MATCH(VLOOKUP(Assumptions!AY$2,TIAM15_assumptions!$Y$3:$Z$87,2,FALSE),TIAM15_assumptions!$H$2:$V$2,0))</f>
        <v>0.8</v>
      </c>
      <c r="AZ3" s="59">
        <f ca="1">OFFSET(TIAM15_assumptions!$G3,0,MATCH(VLOOKUP(Assumptions!AZ$2,TIAM15_assumptions!$Y$3:$Z$87,2,FALSE),TIAM15_assumptions!$H$2:$V$2,0))</f>
        <v>0.8</v>
      </c>
      <c r="BA3" s="59">
        <f ca="1">OFFSET(TIAM15_assumptions!$G3,0,MATCH(VLOOKUP(Assumptions!BA$2,TIAM15_assumptions!$Y$3:$Z$87,2,FALSE),TIAM15_assumptions!$H$2:$V$2,0))</f>
        <v>0.8</v>
      </c>
      <c r="BD3" s="41">
        <f ca="1">IFERROR(SUMIFS('TRA balance'!E$5:E$40,'TRA balance'!$C$5:$C$40,Assumptions!$C3,'TRA balance'!$D$5:$D$40,Assumptions!$B3)*CY3*H3,"")</f>
        <v>0</v>
      </c>
      <c r="BE3" s="41">
        <f ca="1">IFERROR(SUMIFS('TRA balance'!F$5:F$40,'TRA balance'!$C$5:$C$40,Assumptions!$C3,'TRA balance'!$D$5:$D$40,Assumptions!$B3)*CZ3*I3,"")</f>
        <v>0.11692560096</v>
      </c>
      <c r="BF3" s="41">
        <f ca="1">IFERROR(SUMIFS('TRA balance'!G$5:G$40,'TRA balance'!$C$5:$C$40,Assumptions!$C3,'TRA balance'!$D$5:$D$40,Assumptions!$B3)*DA3*J3,"")</f>
        <v>0</v>
      </c>
      <c r="BG3" s="41">
        <f ca="1">IFERROR(SUMIFS('TRA balance'!H$5:H$40,'TRA balance'!$C$5:$C$40,Assumptions!$C3,'TRA balance'!$D$5:$D$40,Assumptions!$B3)*DB3*K3,"")</f>
        <v>0.0042998436</v>
      </c>
      <c r="BH3" s="41">
        <f ca="1">IFERROR(SUMIFS('TRA balance'!I$5:I$40,'TRA balance'!$C$5:$C$40,Assumptions!$C3,'TRA balance'!$D$5:$D$40,Assumptions!$B3)*DC3*L3,"")</f>
        <v>0</v>
      </c>
      <c r="BI3" s="41">
        <f ca="1">IFERROR(SUMIFS('TRA balance'!J$5:J$40,'TRA balance'!$C$5:$C$40,Assumptions!$C3,'TRA balance'!$D$5:$D$40,Assumptions!$B3)*DD3*M3,"")</f>
        <v>0.0026293104</v>
      </c>
      <c r="BJ3" s="41">
        <f ca="1">IFERROR(SUMIFS('TRA balance'!K$5:K$40,'TRA balance'!$C$5:$C$40,Assumptions!$C3,'TRA balance'!$D$5:$D$40,Assumptions!$B3)*DE3*N3,"")</f>
        <v>0</v>
      </c>
      <c r="BK3" s="41">
        <f ca="1">IFERROR(SUMIFS('TRA balance'!L$5:L$40,'TRA balance'!$C$5:$C$40,Assumptions!$C3,'TRA balance'!$D$5:$D$40,Assumptions!$B3)*DF3*O3,"")</f>
        <v>0</v>
      </c>
      <c r="BL3" s="41">
        <f ca="1">IFERROR(SUMIFS('TRA balance'!M$5:M$40,'TRA balance'!$C$5:$C$40,Assumptions!$C3,'TRA balance'!$D$5:$D$40,Assumptions!$B3)*DG3*P3,"")</f>
        <v>0.00343987488</v>
      </c>
      <c r="BM3" s="41">
        <f ca="1">IFERROR(SUMIFS('TRA balance'!N$5:N$40,'TRA balance'!$C$5:$C$40,Assumptions!$C3,'TRA balance'!$D$5:$D$40,Assumptions!$B3)*DH3*Q3,"")</f>
        <v>0.01053063936</v>
      </c>
      <c r="BN3" s="41">
        <f ca="1">IFERROR(SUMIFS('TRA balance'!O$5:O$40,'TRA balance'!$C$5:$C$40,Assumptions!$C3,'TRA balance'!$D$5:$D$40,Assumptions!$B3)*DI3*R3,"")</f>
        <v>0</v>
      </c>
      <c r="BO3" s="41">
        <f ca="1">IFERROR(SUMIFS('TRA balance'!P$5:P$40,'TRA balance'!$C$5:$C$40,Assumptions!$C3,'TRA balance'!$D$5:$D$40,Assumptions!$B3)*DJ3*S3,"")</f>
        <v>0</v>
      </c>
      <c r="BP3" s="41">
        <f ca="1">IFERROR(SUMIFS('TRA balance'!Q$5:Q$40,'TRA balance'!$C$5:$C$40,Assumptions!$C3,'TRA balance'!$D$5:$D$40,Assumptions!$B3)*DK3*T3,"")</f>
        <v>0</v>
      </c>
      <c r="BQ3" s="41">
        <f ca="1">IFERROR(SUMIFS('TRA balance'!R$5:R$40,'TRA balance'!$C$5:$C$40,Assumptions!$C3,'TRA balance'!$D$5:$D$40,Assumptions!$B3)*DL3*U3,"")</f>
        <v>0</v>
      </c>
      <c r="BR3" s="41">
        <f ca="1">IFERROR(SUMIFS('TRA balance'!S$5:S$40,'TRA balance'!$C$5:$C$40,Assumptions!$C3,'TRA balance'!$D$5:$D$40,Assumptions!$B3)*DM3*V3,"")</f>
        <v>0</v>
      </c>
      <c r="BS3" s="41">
        <f ca="1">IFERROR(SUMIFS('TRA balance'!T$5:T$40,'TRA balance'!$C$5:$C$40,Assumptions!$C3,'TRA balance'!$D$5:$D$40,Assumptions!$B3)*DN3*W3,"")</f>
        <v>0</v>
      </c>
      <c r="BT3" s="41">
        <f ca="1">IFERROR(SUMIFS('TRA balance'!U$5:U$40,'TRA balance'!$C$5:$C$40,Assumptions!$C3,'TRA balance'!$D$5:$D$40,Assumptions!$B3)*DO3*X3,"")</f>
        <v>0</v>
      </c>
      <c r="BU3" s="41">
        <f ca="1">IFERROR(SUMIFS('TRA balance'!V$5:V$40,'TRA balance'!$C$5:$C$40,Assumptions!$C3,'TRA balance'!$D$5:$D$40,Assumptions!$B3)*DP3*Y3,"")</f>
        <v>0</v>
      </c>
      <c r="BV3" s="41">
        <f ca="1">IFERROR(SUMIFS('TRA balance'!W$5:W$40,'TRA balance'!$C$5:$C$40,Assumptions!$C3,'TRA balance'!$D$5:$D$40,Assumptions!$B3)*DQ3*Z3,"")</f>
        <v>0.002519281296</v>
      </c>
      <c r="BW3" s="41">
        <f ca="1">IFERROR(SUMIFS('TRA balance'!X$5:X$40,'TRA balance'!$C$5:$C$40,Assumptions!$C3,'TRA balance'!$D$5:$D$40,Assumptions!$B3)*DR3*AA3,"")</f>
        <v>0</v>
      </c>
      <c r="BX3" s="41">
        <f ca="1">IFERROR(SUMIFS('TRA balance'!Y$5:Y$40,'TRA balance'!$C$5:$C$40,Assumptions!$C3,'TRA balance'!$D$5:$D$40,Assumptions!$B3)*DS3*AB3,"")</f>
        <v>0</v>
      </c>
      <c r="BY3" s="41">
        <f ca="1">IFERROR(SUMIFS('TRA balance'!Z$5:Z$40,'TRA balance'!$C$5:$C$40,Assumptions!$C3,'TRA balance'!$D$5:$D$40,Assumptions!$B3)*DT3*AC3,"")</f>
        <v>0</v>
      </c>
      <c r="BZ3" s="41">
        <f ca="1">IFERROR(SUMIFS('TRA balance'!AA$5:AA$40,'TRA balance'!$C$5:$C$40,Assumptions!$C3,'TRA balance'!$D$5:$D$40,Assumptions!$B3)*DU3*AD3,"")</f>
        <v>0</v>
      </c>
      <c r="CA3" s="41">
        <f ca="1">IFERROR(SUMIFS('TRA balance'!AB$5:AB$40,'TRA balance'!$C$5:$C$40,Assumptions!$C3,'TRA balance'!$D$5:$D$40,Assumptions!$B3)*DV3*AE3,"")</f>
        <v>0</v>
      </c>
      <c r="CB3" s="41">
        <f ca="1">IFERROR(SUMIFS('TRA balance'!AC$5:AC$40,'TRA balance'!$C$5:$C$40,Assumptions!$C3,'TRA balance'!$D$5:$D$40,Assumptions!$B3)*DW3*AF3,"")</f>
        <v>1.16939668608</v>
      </c>
      <c r="CC3" s="41">
        <f ca="1">IFERROR(SUMIFS('TRA balance'!AD$5:AD$40,'TRA balance'!$C$5:$C$40,Assumptions!$C3,'TRA balance'!$D$5:$D$40,Assumptions!$B3)*DX3*AG3,"")</f>
        <v>0.19401966144</v>
      </c>
      <c r="CD3" s="41">
        <f ca="1">IFERROR(SUMIFS('TRA balance'!AE$5:AE$40,'TRA balance'!$C$5:$C$40,Assumptions!$C3,'TRA balance'!$D$5:$D$40,Assumptions!$B3)*DY3*AH3,"")</f>
        <v>0</v>
      </c>
      <c r="CE3" s="41">
        <f ca="1">IFERROR(SUMIFS('TRA balance'!AF$5:AF$40,'TRA balance'!$C$5:$C$40,Assumptions!$C3,'TRA balance'!$D$5:$D$40,Assumptions!$B3)*DZ3*AI3,"")</f>
        <v>0</v>
      </c>
      <c r="CF3" s="41">
        <f ca="1">IFERROR(SUMIFS('TRA balance'!AG$5:AG$40,'TRA balance'!$C$5:$C$40,Assumptions!$C3,'TRA balance'!$D$5:$D$40,Assumptions!$B3)*EA3*AJ3,"")</f>
        <v>0</v>
      </c>
      <c r="CG3" s="41">
        <f ca="1">IFERROR(SUMIFS('TRA balance'!AH$5:AH$40,'TRA balance'!$C$5:$C$40,Assumptions!$C3,'TRA balance'!$D$5:$D$40,Assumptions!$B3)*EB3*AK3,"")</f>
        <v>0</v>
      </c>
      <c r="CH3" s="41">
        <f ca="1">IFERROR(SUMIFS('TRA balance'!AI$5:AI$40,'TRA balance'!$C$5:$C$40,Assumptions!$C3,'TRA balance'!$D$5:$D$40,Assumptions!$B3)*EC3*AL3,"")</f>
        <v>0</v>
      </c>
      <c r="CI3" s="41">
        <f ca="1">IFERROR(SUMIFS('TRA balance'!AJ$5:AJ$40,'TRA balance'!$C$5:$C$40,Assumptions!$C3,'TRA balance'!$D$5:$D$40,Assumptions!$B3)*ED3*AM3,"")</f>
        <v>0</v>
      </c>
      <c r="CJ3" s="41">
        <f ca="1">IFERROR(SUMIFS('TRA balance'!AK$5:AK$40,'TRA balance'!$C$5:$C$40,Assumptions!$C3,'TRA balance'!$D$5:$D$40,Assumptions!$B3)*EE3*AN3,"")</f>
        <v>0.410683212</v>
      </c>
      <c r="CK3" s="41">
        <f ca="1">IFERROR(SUMIFS('TRA balance'!AL$5:AL$40,'TRA balance'!$C$5:$C$40,Assumptions!$C3,'TRA balance'!$D$5:$D$40,Assumptions!$B3)*EF3*AO3,"")</f>
        <v>0.1582777872</v>
      </c>
      <c r="CL3" s="41">
        <f ca="1">IFERROR(SUMIFS('TRA balance'!AM$5:AM$40,'TRA balance'!$C$5:$C$40,Assumptions!$C3,'TRA balance'!$D$5:$D$40,Assumptions!$B3)*EG3*AP3,"")</f>
        <v>0</v>
      </c>
      <c r="CM3" s="41">
        <f ca="1">IFERROR(SUMIFS('TRA balance'!AN$5:AN$40,'TRA balance'!$C$5:$C$40,Assumptions!$C3,'TRA balance'!$D$5:$D$40,Assumptions!$B3)*EH3*AQ3,"")</f>
        <v>0</v>
      </c>
      <c r="CN3" s="41">
        <f ca="1">IFERROR(SUMIFS('TRA balance'!AO$5:AO$40,'TRA balance'!$C$5:$C$40,Assumptions!$C3,'TRA balance'!$D$5:$D$40,Assumptions!$B3)*EI3*AR3,"")</f>
        <v>0</v>
      </c>
      <c r="CO3" s="41">
        <f ca="1">IFERROR(SUMIFS('TRA balance'!AP$5:AP$40,'TRA balance'!$C$5:$C$40,Assumptions!$C3,'TRA balance'!$D$5:$D$40,Assumptions!$B3)*EJ3*AS3,"")</f>
        <v>0</v>
      </c>
      <c r="CP3" s="41">
        <f ca="1">IFERROR(SUMIFS('TRA balance'!AQ$5:AQ$40,'TRA balance'!$C$5:$C$40,Assumptions!$C3,'TRA balance'!$D$5:$D$40,Assumptions!$B3)*EK3*AT3,"")</f>
        <v>0</v>
      </c>
      <c r="CQ3" s="41">
        <f ca="1">IFERROR(SUMIFS('TRA balance'!AR$5:AR$40,'TRA balance'!$C$5:$C$40,Assumptions!$C3,'TRA balance'!$D$5:$D$40,Assumptions!$B3)*EL3*AU3,"")</f>
        <v>0</v>
      </c>
      <c r="CR3" s="41">
        <f ca="1">IFERROR(SUMIFS('TRA balance'!AS$5:AS$40,'TRA balance'!$C$5:$C$40,Assumptions!$C3,'TRA balance'!$D$5:$D$40,Assumptions!$B3)*EM3*AV3,"")</f>
        <v>0</v>
      </c>
      <c r="CS3" s="41">
        <f ca="1">IFERROR(SUMIFS('TRA balance'!AT$5:AT$40,'TRA balance'!$C$5:$C$40,Assumptions!$C3,'TRA balance'!$D$5:$D$40,Assumptions!$B3)*EN3*AW3,"")</f>
        <v>0</v>
      </c>
      <c r="CT3" s="41">
        <f ca="1">IFERROR(SUMIFS('TRA balance'!AU$5:AU$40,'TRA balance'!$C$5:$C$40,Assumptions!$C3,'TRA balance'!$D$5:$D$40,Assumptions!$B3)*EO3*AX3,"")</f>
        <v>0</v>
      </c>
      <c r="CU3" s="41">
        <f ca="1">IFERROR(SUMIFS('TRA balance'!AV$5:AV$40,'TRA balance'!$C$5:$C$40,Assumptions!$C3,'TRA balance'!$D$5:$D$40,Assumptions!$B3)*EP3*AY3,"")</f>
        <v>0</v>
      </c>
      <c r="CV3" s="41">
        <f ca="1">IFERROR(SUMIFS('TRA balance'!AW$5:AW$40,'TRA balance'!$C$5:$C$40,Assumptions!$C3,'TRA balance'!$D$5:$D$40,Assumptions!$B3)*EQ3*AZ3,"")</f>
        <v>0</v>
      </c>
      <c r="CW3" s="41">
        <f ca="1">IFERROR(SUMIFS('TRA balance'!AX$5:AX$40,'TRA balance'!$C$5:$C$40,Assumptions!$C3,'TRA balance'!$D$5:$D$40,Assumptions!$B3)*ER3*BA3,"")</f>
        <v>0</v>
      </c>
      <c r="CY3" s="40">
        <f ca="1" t="shared" ref="CY3:CY34" si="2">IF($C3="TR",SUMIFS(H$3:H$103,$B$3:$B$103,$B3,$C$3:$C$103,$A3),1)</f>
        <v>1</v>
      </c>
      <c r="CZ3" s="40">
        <f ca="1" t="shared" ref="CZ3:CZ66" si="3">IF($C3="TR",SUMIFS(I$3:I$103,$B$3:$B$103,$B3,$C$3:$C$103,$A3),1)</f>
        <v>1</v>
      </c>
      <c r="DA3" s="40">
        <f ca="1" t="shared" ref="DA3:DA66" si="4">IF($C3="TR",SUMIFS(J$3:J$103,$B$3:$B$103,$B3,$C$3:$C$103,$A3),1)</f>
        <v>1</v>
      </c>
      <c r="DB3" s="40">
        <f ca="1" t="shared" ref="DB3:DB66" si="5">IF($C3="TR",SUMIFS(K$3:K$103,$B$3:$B$103,$B3,$C$3:$C$103,$A3),1)</f>
        <v>1</v>
      </c>
      <c r="DC3" s="40">
        <f ca="1" t="shared" ref="DC3:DC66" si="6">IF($C3="TR",SUMIFS(L$3:L$103,$B$3:$B$103,$B3,$C$3:$C$103,$A3),1)</f>
        <v>1</v>
      </c>
      <c r="DD3" s="40">
        <f ca="1" t="shared" ref="DD3:DD66" si="7">IF($C3="TR",SUMIFS(M$3:M$103,$B$3:$B$103,$B3,$C$3:$C$103,$A3),1)</f>
        <v>1</v>
      </c>
      <c r="DE3" s="40">
        <f ca="1" t="shared" ref="DE3:DE66" si="8">IF($C3="TR",SUMIFS(N$3:N$103,$B$3:$B$103,$B3,$C$3:$C$103,$A3),1)</f>
        <v>1</v>
      </c>
      <c r="DF3" s="40">
        <f ca="1" t="shared" ref="DF3:DF66" si="9">IF($C3="TR",SUMIFS(O$3:O$103,$B$3:$B$103,$B3,$C$3:$C$103,$A3),1)</f>
        <v>1</v>
      </c>
      <c r="DG3" s="40">
        <f ca="1" t="shared" ref="DG3:DG66" si="10">IF($C3="TR",SUMIFS(P$3:P$103,$B$3:$B$103,$B3,$C$3:$C$103,$A3),1)</f>
        <v>1</v>
      </c>
      <c r="DH3" s="40">
        <f ca="1" t="shared" ref="DH3:DH66" si="11">IF($C3="TR",SUMIFS(Q$3:Q$103,$B$3:$B$103,$B3,$C$3:$C$103,$A3),1)</f>
        <v>1</v>
      </c>
      <c r="DI3" s="40">
        <f ca="1" t="shared" ref="DI3:DI66" si="12">IF($C3="TR",SUMIFS(R$3:R$103,$B$3:$B$103,$B3,$C$3:$C$103,$A3),1)</f>
        <v>1</v>
      </c>
      <c r="DJ3" s="40">
        <f ca="1" t="shared" ref="DJ3:DJ66" si="13">IF($C3="TR",SUMIFS(S$3:S$103,$B$3:$B$103,$B3,$C$3:$C$103,$A3),1)</f>
        <v>1</v>
      </c>
      <c r="DK3" s="40">
        <f ca="1" t="shared" ref="DK3:DK66" si="14">IF($C3="TR",SUMIFS(T$3:T$103,$B$3:$B$103,$B3,$C$3:$C$103,$A3),1)</f>
        <v>1</v>
      </c>
      <c r="DL3" s="40">
        <f ca="1" t="shared" ref="DL3:DL66" si="15">IF($C3="TR",SUMIFS(U$3:U$103,$B$3:$B$103,$B3,$C$3:$C$103,$A3),1)</f>
        <v>1</v>
      </c>
      <c r="DM3" s="40">
        <f ca="1" t="shared" ref="DM3:DM66" si="16">IF($C3="TR",SUMIFS(V$3:V$103,$B$3:$B$103,$B3,$C$3:$C$103,$A3),1)</f>
        <v>1</v>
      </c>
      <c r="DN3" s="40">
        <f ca="1" t="shared" ref="DN3:DN66" si="17">IF($C3="TR",SUMIFS(W$3:W$103,$B$3:$B$103,$B3,$C$3:$C$103,$A3),1)</f>
        <v>1</v>
      </c>
      <c r="DO3" s="40">
        <f ca="1" t="shared" ref="DO3:DO66" si="18">IF($C3="TR",SUMIFS(X$3:X$103,$B$3:$B$103,$B3,$C$3:$C$103,$A3),1)</f>
        <v>1</v>
      </c>
      <c r="DP3" s="40">
        <f ca="1" t="shared" ref="DP3:DP66" si="19">IF($C3="TR",SUMIFS(Y$3:Y$103,$B$3:$B$103,$B3,$C$3:$C$103,$A3),1)</f>
        <v>1</v>
      </c>
      <c r="DQ3" s="40">
        <f ca="1" t="shared" ref="DQ3:DQ66" si="20">IF($C3="TR",SUMIFS(Z$3:Z$103,$B$3:$B$103,$B3,$C$3:$C$103,$A3),1)</f>
        <v>1</v>
      </c>
      <c r="DR3" s="40">
        <f ca="1" t="shared" ref="DR3:DR66" si="21">IF($C3="TR",SUMIFS(AA$3:AA$103,$B$3:$B$103,$B3,$C$3:$C$103,$A3),1)</f>
        <v>1</v>
      </c>
      <c r="DS3" s="40">
        <f ca="1" t="shared" ref="DS3:DS66" si="22">IF($C3="TR",SUMIFS(AB$3:AB$103,$B$3:$B$103,$B3,$C$3:$C$103,$A3),1)</f>
        <v>1</v>
      </c>
      <c r="DT3" s="40">
        <f ca="1" t="shared" ref="DT3:DT66" si="23">IF($C3="TR",SUMIFS(AC$3:AC$103,$B$3:$B$103,$B3,$C$3:$C$103,$A3),1)</f>
        <v>1</v>
      </c>
      <c r="DU3" s="40">
        <f ca="1" t="shared" ref="DU3:DU66" si="24">IF($C3="TR",SUMIFS(AD$3:AD$103,$B$3:$B$103,$B3,$C$3:$C$103,$A3),1)</f>
        <v>1</v>
      </c>
      <c r="DV3" s="40">
        <f ca="1" t="shared" ref="DV3:DV66" si="25">IF($C3="TR",SUMIFS(AE$3:AE$103,$B$3:$B$103,$B3,$C$3:$C$103,$A3),1)</f>
        <v>1</v>
      </c>
      <c r="DW3" s="40">
        <f ca="1" t="shared" ref="DW3:DW66" si="26">IF($C3="TR",SUMIFS(AF$3:AF$103,$B$3:$B$103,$B3,$C$3:$C$103,$A3),1)</f>
        <v>1</v>
      </c>
      <c r="DX3" s="40">
        <f ca="1" t="shared" ref="DX3:DX66" si="27">IF($C3="TR",SUMIFS(AG$3:AG$103,$B$3:$B$103,$B3,$C$3:$C$103,$A3),1)</f>
        <v>1</v>
      </c>
      <c r="DY3" s="40">
        <f ca="1" t="shared" ref="DY3:DY66" si="28">IF($C3="TR",SUMIFS(AH$3:AH$103,$B$3:$B$103,$B3,$C$3:$C$103,$A3),1)</f>
        <v>1</v>
      </c>
      <c r="DZ3" s="40">
        <f ca="1" t="shared" ref="DZ3:DZ66" si="29">IF($C3="TR",SUMIFS(AI$3:AI$103,$B$3:$B$103,$B3,$C$3:$C$103,$A3),1)</f>
        <v>1</v>
      </c>
      <c r="EA3" s="40">
        <f ca="1" t="shared" ref="EA3:EA66" si="30">IF($C3="TR",SUMIFS(AJ$3:AJ$103,$B$3:$B$103,$B3,$C$3:$C$103,$A3),1)</f>
        <v>1</v>
      </c>
      <c r="EB3" s="40">
        <f ca="1" t="shared" ref="EB3:EB66" si="31">IF($C3="TR",SUMIFS(AK$3:AK$103,$B$3:$B$103,$B3,$C$3:$C$103,$A3),1)</f>
        <v>1</v>
      </c>
      <c r="EC3" s="40">
        <f ca="1" t="shared" ref="EC3:EC66" si="32">IF($C3="TR",SUMIFS(AL$3:AL$103,$B$3:$B$103,$B3,$C$3:$C$103,$A3),1)</f>
        <v>1</v>
      </c>
      <c r="ED3" s="40">
        <f ca="1" t="shared" ref="ED3:ED66" si="33">IF($C3="TR",SUMIFS(AM$3:AM$103,$B$3:$B$103,$B3,$C$3:$C$103,$A3),1)</f>
        <v>1</v>
      </c>
      <c r="EE3" s="40">
        <f ca="1" t="shared" ref="EE3:EE66" si="34">IF($C3="TR",SUMIFS(AN$3:AN$103,$B$3:$B$103,$B3,$C$3:$C$103,$A3),1)</f>
        <v>1</v>
      </c>
      <c r="EF3" s="40">
        <f ca="1" t="shared" ref="EF3:EF66" si="35">IF($C3="TR",SUMIFS(AO$3:AO$103,$B$3:$B$103,$B3,$C$3:$C$103,$A3),1)</f>
        <v>1</v>
      </c>
      <c r="EG3" s="40">
        <f ca="1" t="shared" ref="EG3:EG66" si="36">IF($C3="TR",SUMIFS(AP$3:AP$103,$B$3:$B$103,$B3,$C$3:$C$103,$A3),1)</f>
        <v>1</v>
      </c>
      <c r="EH3" s="40">
        <f ca="1" t="shared" ref="EH3:EH66" si="37">IF($C3="TR",SUMIFS(AQ$3:AQ$103,$B$3:$B$103,$B3,$C$3:$C$103,$A3),1)</f>
        <v>1</v>
      </c>
      <c r="EI3" s="40">
        <f ca="1" t="shared" ref="EI3:EI66" si="38">IF($C3="TR",SUMIFS(AR$3:AR$103,$B$3:$B$103,$B3,$C$3:$C$103,$A3),1)</f>
        <v>1</v>
      </c>
      <c r="EJ3" s="40">
        <f ca="1" t="shared" ref="EJ3:EJ66" si="39">IF($C3="TR",SUMIFS(AS$3:AS$103,$B$3:$B$103,$B3,$C$3:$C$103,$A3),1)</f>
        <v>1</v>
      </c>
      <c r="EK3" s="40">
        <f ca="1" t="shared" ref="EK3:EK66" si="40">IF($C3="TR",SUMIFS(AT$3:AT$103,$B$3:$B$103,$B3,$C$3:$C$103,$A3),1)</f>
        <v>1</v>
      </c>
      <c r="EL3" s="40">
        <f ca="1" t="shared" ref="EL3:EL66" si="41">IF($C3="TR",SUMIFS(AU$3:AU$103,$B$3:$B$103,$B3,$C$3:$C$103,$A3),1)</f>
        <v>1</v>
      </c>
      <c r="EM3" s="40">
        <f ca="1" t="shared" ref="EM3:EM66" si="42">IF($C3="TR",SUMIFS(AV$3:AV$103,$B$3:$B$103,$B3,$C$3:$C$103,$A3),1)</f>
        <v>1</v>
      </c>
      <c r="EN3" s="40">
        <f ca="1" t="shared" ref="EN3:EN66" si="43">IF($C3="TR",SUMIFS(AW$3:AW$103,$B$3:$B$103,$B3,$C$3:$C$103,$A3),1)</f>
        <v>1</v>
      </c>
      <c r="EO3" s="40">
        <f ca="1" t="shared" ref="EO3:EO66" si="44">IF($C3="TR",SUMIFS(AX$3:AX$103,$B$3:$B$103,$B3,$C$3:$C$103,$A3),1)</f>
        <v>1</v>
      </c>
      <c r="EP3" s="40">
        <f ca="1" t="shared" ref="EP3:EP66" si="45">IF($C3="TR",SUMIFS(AY$3:AY$103,$B$3:$B$103,$B3,$C$3:$C$103,$A3),1)</f>
        <v>1</v>
      </c>
      <c r="EQ3" s="40">
        <f ca="1" t="shared" ref="EQ3:EQ66" si="46">IF($C3="TR",SUMIFS(AZ$3:AZ$103,$B$3:$B$103,$B3,$C$3:$C$103,$A3),1)</f>
        <v>1</v>
      </c>
      <c r="ER3" s="40">
        <f ca="1" t="shared" ref="ER3:ER66" si="47">IF($C3="TR",SUMIFS(BA$3:BA$103,$B$3:$B$103,$B3,$C$3:$C$103,$A3),1)</f>
        <v>1</v>
      </c>
      <c r="EU3" t="s">
        <v>213</v>
      </c>
      <c r="EV3">
        <v>15</v>
      </c>
    </row>
    <row r="4" spans="1:152">
      <c r="A4">
        <v>1</v>
      </c>
      <c r="B4" t="str">
        <f>VLOOKUP(F4,'TRA balance'!$BA$5:$BB$14,2,FALSE)</f>
        <v>TRACOA</v>
      </c>
      <c r="C4" s="56" t="str">
        <f t="shared" ref="C4:C67" si="48">LEFT(G4,2)</f>
        <v>TT</v>
      </c>
      <c r="D4" s="57" t="s">
        <v>192</v>
      </c>
      <c r="E4" s="57" t="s">
        <v>197</v>
      </c>
      <c r="F4" s="58" t="str">
        <f t="shared" ref="F4:F5" si="49">F3</f>
        <v>Coal</v>
      </c>
      <c r="G4" s="56" t="s">
        <v>198</v>
      </c>
      <c r="H4" s="59">
        <f ca="1">OFFSET(TIAM15_assumptions!$G4,0,MATCH(VLOOKUP(Assumptions!H$2,TIAM15_assumptions!$Y$3:$Z$87,2,FALSE),TIAM15_assumptions!$H$2:$V$2,0))</f>
        <v>0.2</v>
      </c>
      <c r="I4" s="59">
        <f ca="1">OFFSET(TIAM15_assumptions!$G4,0,MATCH(VLOOKUP(Assumptions!I$2,TIAM15_assumptions!$Y$3:$Z$87,2,FALSE),TIAM15_assumptions!$H$2:$V$2,0))</f>
        <v>0.2</v>
      </c>
      <c r="J4" s="59">
        <f ca="1">OFFSET(TIAM15_assumptions!$G4,0,MATCH(VLOOKUP(Assumptions!J$2,TIAM15_assumptions!$Y$3:$Z$87,2,FALSE),TIAM15_assumptions!$H$2:$V$2,0))</f>
        <v>0.1</v>
      </c>
      <c r="K4" s="59">
        <f ca="1">OFFSET(TIAM15_assumptions!$G4,0,MATCH(VLOOKUP(Assumptions!K$2,TIAM15_assumptions!$Y$3:$Z$87,2,FALSE),TIAM15_assumptions!$H$2:$V$2,0))</f>
        <v>0</v>
      </c>
      <c r="L4" s="59">
        <f ca="1">OFFSET(TIAM15_assumptions!$G4,0,MATCH(VLOOKUP(Assumptions!L$2,TIAM15_assumptions!$Y$3:$Z$87,2,FALSE),TIAM15_assumptions!$H$2:$V$2,0))</f>
        <v>0.2</v>
      </c>
      <c r="M4" s="59">
        <f ca="1">OFFSET(TIAM15_assumptions!$G4,0,MATCH(VLOOKUP(Assumptions!M$2,TIAM15_assumptions!$Y$3:$Z$87,2,FALSE),TIAM15_assumptions!$H$2:$V$2,0))</f>
        <v>0</v>
      </c>
      <c r="N4" s="59">
        <f ca="1">OFFSET(TIAM15_assumptions!$G4,0,MATCH(VLOOKUP(Assumptions!N$2,TIAM15_assumptions!$Y$3:$Z$87,2,FALSE),TIAM15_assumptions!$H$2:$V$2,0))</f>
        <v>0</v>
      </c>
      <c r="O4" s="59">
        <f ca="1">OFFSET(TIAM15_assumptions!$G4,0,MATCH(VLOOKUP(Assumptions!O$2,TIAM15_assumptions!$Y$3:$Z$87,2,FALSE),TIAM15_assumptions!$H$2:$V$2,0))</f>
        <v>0.25</v>
      </c>
      <c r="P4" s="59">
        <f ca="1">OFFSET(TIAM15_assumptions!$G4,0,MATCH(VLOOKUP(Assumptions!P$2,TIAM15_assumptions!$Y$3:$Z$87,2,FALSE),TIAM15_assumptions!$H$2:$V$2,0))</f>
        <v>0.2</v>
      </c>
      <c r="Q4" s="59">
        <f ca="1">OFFSET(TIAM15_assumptions!$G4,0,MATCH(VLOOKUP(Assumptions!Q$2,TIAM15_assumptions!$Y$3:$Z$87,2,FALSE),TIAM15_assumptions!$H$2:$V$2,0))</f>
        <v>0.2</v>
      </c>
      <c r="R4" s="59">
        <f ca="1">OFFSET(TIAM15_assumptions!$G4,0,MATCH(VLOOKUP(Assumptions!R$2,TIAM15_assumptions!$Y$3:$Z$87,2,FALSE),TIAM15_assumptions!$H$2:$V$2,0))</f>
        <v>0</v>
      </c>
      <c r="S4" s="59">
        <f ca="1">OFFSET(TIAM15_assumptions!$G4,0,MATCH(VLOOKUP(Assumptions!S$2,TIAM15_assumptions!$Y$3:$Z$87,2,FALSE),TIAM15_assumptions!$H$2:$V$2,0))</f>
        <v>0</v>
      </c>
      <c r="T4" s="59">
        <f ca="1">OFFSET(TIAM15_assumptions!$G4,0,MATCH(VLOOKUP(Assumptions!T$2,TIAM15_assumptions!$Y$3:$Z$87,2,FALSE),TIAM15_assumptions!$H$2:$V$2,0))</f>
        <v>0</v>
      </c>
      <c r="U4" s="59">
        <f ca="1">OFFSET(TIAM15_assumptions!$G4,0,MATCH(VLOOKUP(Assumptions!U$2,TIAM15_assumptions!$Y$3:$Z$87,2,FALSE),TIAM15_assumptions!$H$2:$V$2,0))</f>
        <v>0.2</v>
      </c>
      <c r="V4" s="59">
        <f ca="1">OFFSET(TIAM15_assumptions!$G4,0,MATCH(VLOOKUP(Assumptions!V$2,TIAM15_assumptions!$Y$3:$Z$87,2,FALSE),TIAM15_assumptions!$H$2:$V$2,0))</f>
        <v>0</v>
      </c>
      <c r="W4" s="59">
        <f ca="1">OFFSET(TIAM15_assumptions!$G4,0,MATCH(VLOOKUP(Assumptions!W$2,TIAM15_assumptions!$Y$3:$Z$87,2,FALSE),TIAM15_assumptions!$H$2:$V$2,0))</f>
        <v>0.2</v>
      </c>
      <c r="X4" s="59">
        <f ca="1">OFFSET(TIAM15_assumptions!$G4,0,MATCH(VLOOKUP(Assumptions!X$2,TIAM15_assumptions!$Y$3:$Z$87,2,FALSE),TIAM15_assumptions!$H$2:$V$2,0))</f>
        <v>0</v>
      </c>
      <c r="Y4" s="59">
        <f ca="1">OFFSET(TIAM15_assumptions!$G4,0,MATCH(VLOOKUP(Assumptions!Y$2,TIAM15_assumptions!$Y$3:$Z$87,2,FALSE),TIAM15_assumptions!$H$2:$V$2,0))</f>
        <v>0</v>
      </c>
      <c r="Z4" s="59">
        <f ca="1">OFFSET(TIAM15_assumptions!$G4,0,MATCH(VLOOKUP(Assumptions!Z$2,TIAM15_assumptions!$Y$3:$Z$87,2,FALSE),TIAM15_assumptions!$H$2:$V$2,0))</f>
        <v>0.93</v>
      </c>
      <c r="AA4" s="59">
        <f ca="1">OFFSET(TIAM15_assumptions!$G4,0,MATCH(VLOOKUP(Assumptions!AA$2,TIAM15_assumptions!$Y$3:$Z$87,2,FALSE),TIAM15_assumptions!$H$2:$V$2,0))</f>
        <v>0</v>
      </c>
      <c r="AB4" s="59">
        <f ca="1">OFFSET(TIAM15_assumptions!$G4,0,MATCH(VLOOKUP(Assumptions!AB$2,TIAM15_assumptions!$Y$3:$Z$87,2,FALSE),TIAM15_assumptions!$H$2:$V$2,0))</f>
        <v>0.2</v>
      </c>
      <c r="AC4" s="59">
        <f ca="1">OFFSET(TIAM15_assumptions!$G4,0,MATCH(VLOOKUP(Assumptions!AC$2,TIAM15_assumptions!$Y$3:$Z$87,2,FALSE),TIAM15_assumptions!$H$2:$V$2,0))</f>
        <v>0.2</v>
      </c>
      <c r="AD4" s="59">
        <f ca="1">OFFSET(TIAM15_assumptions!$G4,0,MATCH(VLOOKUP(Assumptions!AD$2,TIAM15_assumptions!$Y$3:$Z$87,2,FALSE),TIAM15_assumptions!$H$2:$V$2,0))</f>
        <v>0</v>
      </c>
      <c r="AE4" s="59">
        <f ca="1">OFFSET(TIAM15_assumptions!$G4,0,MATCH(VLOOKUP(Assumptions!AE$2,TIAM15_assumptions!$Y$3:$Z$87,2,FALSE),TIAM15_assumptions!$H$2:$V$2,0))</f>
        <v>0.2</v>
      </c>
      <c r="AF4" s="59">
        <f ca="1">OFFSET(TIAM15_assumptions!$G4,0,MATCH(VLOOKUP(Assumptions!AF$2,TIAM15_assumptions!$Y$3:$Z$87,2,FALSE),TIAM15_assumptions!$H$2:$V$2,0))</f>
        <v>0.2</v>
      </c>
      <c r="AG4" s="59">
        <f ca="1">OFFSET(TIAM15_assumptions!$G4,0,MATCH(VLOOKUP(Assumptions!AG$2,TIAM15_assumptions!$Y$3:$Z$87,2,FALSE),TIAM15_assumptions!$H$2:$V$2,0))</f>
        <v>0.2</v>
      </c>
      <c r="AH4" s="59">
        <f ca="1">OFFSET(TIAM15_assumptions!$G4,0,MATCH(VLOOKUP(Assumptions!AH$2,TIAM15_assumptions!$Y$3:$Z$87,2,FALSE),TIAM15_assumptions!$H$2:$V$2,0))</f>
        <v>0.2</v>
      </c>
      <c r="AI4" s="59">
        <f ca="1">OFFSET(TIAM15_assumptions!$G4,0,MATCH(VLOOKUP(Assumptions!AI$2,TIAM15_assumptions!$Y$3:$Z$87,2,FALSE),TIAM15_assumptions!$H$2:$V$2,0))</f>
        <v>0.2</v>
      </c>
      <c r="AJ4" s="59">
        <f ca="1">OFFSET(TIAM15_assumptions!$G4,0,MATCH(VLOOKUP(Assumptions!AJ$2,TIAM15_assumptions!$Y$3:$Z$87,2,FALSE),TIAM15_assumptions!$H$2:$V$2,0))</f>
        <v>0</v>
      </c>
      <c r="AK4" s="59">
        <f ca="1">OFFSET(TIAM15_assumptions!$G4,0,MATCH(VLOOKUP(Assumptions!AK$2,TIAM15_assumptions!$Y$3:$Z$87,2,FALSE),TIAM15_assumptions!$H$2:$V$2,0))</f>
        <v>0</v>
      </c>
      <c r="AL4" s="59">
        <f ca="1">OFFSET(TIAM15_assumptions!$G4,0,MATCH(VLOOKUP(Assumptions!AL$2,TIAM15_assumptions!$Y$3:$Z$87,2,FALSE),TIAM15_assumptions!$H$2:$V$2,0))</f>
        <v>0</v>
      </c>
      <c r="AM4" s="59">
        <f ca="1">OFFSET(TIAM15_assumptions!$G4,0,MATCH(VLOOKUP(Assumptions!AM$2,TIAM15_assumptions!$Y$3:$Z$87,2,FALSE),TIAM15_assumptions!$H$2:$V$2,0))</f>
        <v>0.2</v>
      </c>
      <c r="AN4" s="59">
        <f ca="1">OFFSET(TIAM15_assumptions!$G4,0,MATCH(VLOOKUP(Assumptions!AN$2,TIAM15_assumptions!$Y$3:$Z$87,2,FALSE),TIAM15_assumptions!$H$2:$V$2,0))</f>
        <v>0</v>
      </c>
      <c r="AO4" s="59">
        <f ca="1">OFFSET(TIAM15_assumptions!$G4,0,MATCH(VLOOKUP(Assumptions!AO$2,TIAM15_assumptions!$Y$3:$Z$87,2,FALSE),TIAM15_assumptions!$H$2:$V$2,0))</f>
        <v>0.2</v>
      </c>
      <c r="AP4" s="59">
        <f ca="1">OFFSET(TIAM15_assumptions!$G4,0,MATCH(VLOOKUP(Assumptions!AP$2,TIAM15_assumptions!$Y$3:$Z$87,2,FALSE),TIAM15_assumptions!$H$2:$V$2,0))</f>
        <v>0.2</v>
      </c>
      <c r="AQ4" s="59">
        <f ca="1">OFFSET(TIAM15_assumptions!$G4,0,MATCH(VLOOKUP(Assumptions!AQ$2,TIAM15_assumptions!$Y$3:$Z$87,2,FALSE),TIAM15_assumptions!$H$2:$V$2,0))</f>
        <v>0.2</v>
      </c>
      <c r="AR4" s="59">
        <f ca="1">OFFSET(TIAM15_assumptions!$G4,0,MATCH(VLOOKUP(Assumptions!AR$2,TIAM15_assumptions!$Y$3:$Z$87,2,FALSE),TIAM15_assumptions!$H$2:$V$2,0))</f>
        <v>0.2</v>
      </c>
      <c r="AS4" s="59">
        <f ca="1">OFFSET(TIAM15_assumptions!$G4,0,MATCH(VLOOKUP(Assumptions!AS$2,TIAM15_assumptions!$Y$3:$Z$87,2,FALSE),TIAM15_assumptions!$H$2:$V$2,0))</f>
        <v>0.2</v>
      </c>
      <c r="AT4" s="59">
        <f ca="1">OFFSET(TIAM15_assumptions!$G4,0,MATCH(VLOOKUP(Assumptions!AT$2,TIAM15_assumptions!$Y$3:$Z$87,2,FALSE),TIAM15_assumptions!$H$2:$V$2,0))</f>
        <v>0.2</v>
      </c>
      <c r="AU4" s="59">
        <f ca="1">OFFSET(TIAM15_assumptions!$G4,0,MATCH(VLOOKUP(Assumptions!AU$2,TIAM15_assumptions!$Y$3:$Z$87,2,FALSE),TIAM15_assumptions!$H$2:$V$2,0))</f>
        <v>0.2</v>
      </c>
      <c r="AV4" s="59">
        <f ca="1">OFFSET(TIAM15_assumptions!$G4,0,MATCH(VLOOKUP(Assumptions!AV$2,TIAM15_assumptions!$Y$3:$Z$87,2,FALSE),TIAM15_assumptions!$H$2:$V$2,0))</f>
        <v>0.2</v>
      </c>
      <c r="AW4" s="59">
        <f ca="1">OFFSET(TIAM15_assumptions!$G4,0,MATCH(VLOOKUP(Assumptions!AW$2,TIAM15_assumptions!$Y$3:$Z$87,2,FALSE),TIAM15_assumptions!$H$2:$V$2,0))</f>
        <v>0.2</v>
      </c>
      <c r="AX4" s="59">
        <f ca="1">OFFSET(TIAM15_assumptions!$G4,0,MATCH(VLOOKUP(Assumptions!AX$2,TIAM15_assumptions!$Y$3:$Z$87,2,FALSE),TIAM15_assumptions!$H$2:$V$2,0))</f>
        <v>0.2</v>
      </c>
      <c r="AY4" s="59">
        <f ca="1">OFFSET(TIAM15_assumptions!$G4,0,MATCH(VLOOKUP(Assumptions!AY$2,TIAM15_assumptions!$Y$3:$Z$87,2,FALSE),TIAM15_assumptions!$H$2:$V$2,0))</f>
        <v>0.2</v>
      </c>
      <c r="AZ4" s="59">
        <f ca="1">OFFSET(TIAM15_assumptions!$G4,0,MATCH(VLOOKUP(Assumptions!AZ$2,TIAM15_assumptions!$Y$3:$Z$87,2,FALSE),TIAM15_assumptions!$H$2:$V$2,0))</f>
        <v>0.2</v>
      </c>
      <c r="BA4" s="59">
        <f ca="1">OFFSET(TIAM15_assumptions!$G4,0,MATCH(VLOOKUP(Assumptions!BA$2,TIAM15_assumptions!$Y$3:$Z$87,2,FALSE),TIAM15_assumptions!$H$2:$V$2,0))</f>
        <v>0.2</v>
      </c>
      <c r="BD4" s="41">
        <f ca="1">IFERROR(SUMIFS('TRA balance'!E$5:E$40,'TRA balance'!$C$5:$C$40,Assumptions!$C4,'TRA balance'!$D$5:$D$40,Assumptions!$B4)*CY4*H4,"")</f>
        <v>0</v>
      </c>
      <c r="BE4" s="41">
        <f ca="1">IFERROR(SUMIFS('TRA balance'!F$5:F$40,'TRA balance'!$C$5:$C$40,Assumptions!$C4,'TRA balance'!$D$5:$D$40,Assumptions!$B4)*CZ4*I4,"")</f>
        <v>0.02923140024</v>
      </c>
      <c r="BF4" s="41">
        <f ca="1">IFERROR(SUMIFS('TRA balance'!G$5:G$40,'TRA balance'!$C$5:$C$40,Assumptions!$C4,'TRA balance'!$D$5:$D$40,Assumptions!$B4)*DA4*J4,"")</f>
        <v>0</v>
      </c>
      <c r="BG4" s="41">
        <f ca="1">IFERROR(SUMIFS('TRA balance'!H$5:H$40,'TRA balance'!$C$5:$C$40,Assumptions!$C4,'TRA balance'!$D$5:$D$40,Assumptions!$B4)*DB4*K4,"")</f>
        <v>0</v>
      </c>
      <c r="BH4" s="41">
        <f ca="1">IFERROR(SUMIFS('TRA balance'!I$5:I$40,'TRA balance'!$C$5:$C$40,Assumptions!$C4,'TRA balance'!$D$5:$D$40,Assumptions!$B4)*DC4*L4,"")</f>
        <v>0</v>
      </c>
      <c r="BI4" s="41">
        <f ca="1">IFERROR(SUMIFS('TRA balance'!J$5:J$40,'TRA balance'!$C$5:$C$40,Assumptions!$C4,'TRA balance'!$D$5:$D$40,Assumptions!$B4)*DD4*M4,"")</f>
        <v>0</v>
      </c>
      <c r="BJ4" s="41">
        <f ca="1">IFERROR(SUMIFS('TRA balance'!K$5:K$40,'TRA balance'!$C$5:$C$40,Assumptions!$C4,'TRA balance'!$D$5:$D$40,Assumptions!$B4)*DE4*N4,"")</f>
        <v>0</v>
      </c>
      <c r="BK4" s="41">
        <f ca="1">IFERROR(SUMIFS('TRA balance'!L$5:L$40,'TRA balance'!$C$5:$C$40,Assumptions!$C4,'TRA balance'!$D$5:$D$40,Assumptions!$B4)*DF4*O4,"")</f>
        <v>0</v>
      </c>
      <c r="BL4" s="41">
        <f ca="1">IFERROR(SUMIFS('TRA balance'!M$5:M$40,'TRA balance'!$C$5:$C$40,Assumptions!$C4,'TRA balance'!$D$5:$D$40,Assumptions!$B4)*DG4*P4,"")</f>
        <v>0.00085996872</v>
      </c>
      <c r="BM4" s="41">
        <f ca="1">IFERROR(SUMIFS('TRA balance'!N$5:N$40,'TRA balance'!$C$5:$C$40,Assumptions!$C4,'TRA balance'!$D$5:$D$40,Assumptions!$B4)*DH4*Q4,"")</f>
        <v>0.00263265984</v>
      </c>
      <c r="BN4" s="41">
        <f ca="1">IFERROR(SUMIFS('TRA balance'!O$5:O$40,'TRA balance'!$C$5:$C$40,Assumptions!$C4,'TRA balance'!$D$5:$D$40,Assumptions!$B4)*DI4*R4,"")</f>
        <v>0</v>
      </c>
      <c r="BO4" s="41">
        <f ca="1">IFERROR(SUMIFS('TRA balance'!P$5:P$40,'TRA balance'!$C$5:$C$40,Assumptions!$C4,'TRA balance'!$D$5:$D$40,Assumptions!$B4)*DJ4*S4,"")</f>
        <v>0</v>
      </c>
      <c r="BP4" s="41">
        <f ca="1">IFERROR(SUMIFS('TRA balance'!Q$5:Q$40,'TRA balance'!$C$5:$C$40,Assumptions!$C4,'TRA balance'!$D$5:$D$40,Assumptions!$B4)*DK4*T4,"")</f>
        <v>0</v>
      </c>
      <c r="BQ4" s="41">
        <f ca="1">IFERROR(SUMIFS('TRA balance'!R$5:R$40,'TRA balance'!$C$5:$C$40,Assumptions!$C4,'TRA balance'!$D$5:$D$40,Assumptions!$B4)*DL4*U4,"")</f>
        <v>0</v>
      </c>
      <c r="BR4" s="41">
        <f ca="1">IFERROR(SUMIFS('TRA balance'!S$5:S$40,'TRA balance'!$C$5:$C$40,Assumptions!$C4,'TRA balance'!$D$5:$D$40,Assumptions!$B4)*DM4*V4,"")</f>
        <v>0</v>
      </c>
      <c r="BS4" s="41">
        <f ca="1">IFERROR(SUMIFS('TRA balance'!T$5:T$40,'TRA balance'!$C$5:$C$40,Assumptions!$C4,'TRA balance'!$D$5:$D$40,Assumptions!$B4)*DN4*W4,"")</f>
        <v>0</v>
      </c>
      <c r="BT4" s="41">
        <f ca="1">IFERROR(SUMIFS('TRA balance'!U$5:U$40,'TRA balance'!$C$5:$C$40,Assumptions!$C4,'TRA balance'!$D$5:$D$40,Assumptions!$B4)*DO4*X4,"")</f>
        <v>0</v>
      </c>
      <c r="BU4" s="41">
        <f ca="1">IFERROR(SUMIFS('TRA balance'!V$5:V$40,'TRA balance'!$C$5:$C$40,Assumptions!$C4,'TRA balance'!$D$5:$D$40,Assumptions!$B4)*DP4*Y4,"")</f>
        <v>0</v>
      </c>
      <c r="BV4" s="41">
        <f ca="1">IFERROR(SUMIFS('TRA balance'!W$5:W$40,'TRA balance'!$C$5:$C$40,Assumptions!$C4,'TRA balance'!$D$5:$D$40,Assumptions!$B4)*DQ4*Z4,"")</f>
        <v>0.033470451504</v>
      </c>
      <c r="BW4" s="41">
        <f ca="1">IFERROR(SUMIFS('TRA balance'!X$5:X$40,'TRA balance'!$C$5:$C$40,Assumptions!$C4,'TRA balance'!$D$5:$D$40,Assumptions!$B4)*DR4*AA4,"")</f>
        <v>0</v>
      </c>
      <c r="BX4" s="41">
        <f ca="1">IFERROR(SUMIFS('TRA balance'!Y$5:Y$40,'TRA balance'!$C$5:$C$40,Assumptions!$C4,'TRA balance'!$D$5:$D$40,Assumptions!$B4)*DS4*AB4,"")</f>
        <v>0</v>
      </c>
      <c r="BY4" s="41">
        <f ca="1">IFERROR(SUMIFS('TRA balance'!Z$5:Z$40,'TRA balance'!$C$5:$C$40,Assumptions!$C4,'TRA balance'!$D$5:$D$40,Assumptions!$B4)*DT4*AC4,"")</f>
        <v>0</v>
      </c>
      <c r="BZ4" s="41">
        <f ca="1">IFERROR(SUMIFS('TRA balance'!AA$5:AA$40,'TRA balance'!$C$5:$C$40,Assumptions!$C4,'TRA balance'!$D$5:$D$40,Assumptions!$B4)*DU4*AD4,"")</f>
        <v>0</v>
      </c>
      <c r="CA4" s="41">
        <f ca="1">IFERROR(SUMIFS('TRA balance'!AB$5:AB$40,'TRA balance'!$C$5:$C$40,Assumptions!$C4,'TRA balance'!$D$5:$D$40,Assumptions!$B4)*DV4*AE4,"")</f>
        <v>0</v>
      </c>
      <c r="CB4" s="41">
        <f ca="1">IFERROR(SUMIFS('TRA balance'!AC$5:AC$40,'TRA balance'!$C$5:$C$40,Assumptions!$C4,'TRA balance'!$D$5:$D$40,Assumptions!$B4)*DW4*AF4,"")</f>
        <v>0.29234917152</v>
      </c>
      <c r="CC4" s="41">
        <f ca="1">IFERROR(SUMIFS('TRA balance'!AD$5:AD$40,'TRA balance'!$C$5:$C$40,Assumptions!$C4,'TRA balance'!$D$5:$D$40,Assumptions!$B4)*DX4*AG4,"")</f>
        <v>0.04850491536</v>
      </c>
      <c r="CD4" s="41">
        <f ca="1">IFERROR(SUMIFS('TRA balance'!AE$5:AE$40,'TRA balance'!$C$5:$C$40,Assumptions!$C4,'TRA balance'!$D$5:$D$40,Assumptions!$B4)*DY4*AH4,"")</f>
        <v>0</v>
      </c>
      <c r="CE4" s="41">
        <f ca="1">IFERROR(SUMIFS('TRA balance'!AF$5:AF$40,'TRA balance'!$C$5:$C$40,Assumptions!$C4,'TRA balance'!$D$5:$D$40,Assumptions!$B4)*DZ4*AI4,"")</f>
        <v>0</v>
      </c>
      <c r="CF4" s="41">
        <f ca="1">IFERROR(SUMIFS('TRA balance'!AG$5:AG$40,'TRA balance'!$C$5:$C$40,Assumptions!$C4,'TRA balance'!$D$5:$D$40,Assumptions!$B4)*EA4*AJ4,"")</f>
        <v>0</v>
      </c>
      <c r="CG4" s="41">
        <f ca="1">IFERROR(SUMIFS('TRA balance'!AH$5:AH$40,'TRA balance'!$C$5:$C$40,Assumptions!$C4,'TRA balance'!$D$5:$D$40,Assumptions!$B4)*EB4*AK4,"")</f>
        <v>0</v>
      </c>
      <c r="CH4" s="41">
        <f ca="1">IFERROR(SUMIFS('TRA balance'!AI$5:AI$40,'TRA balance'!$C$5:$C$40,Assumptions!$C4,'TRA balance'!$D$5:$D$40,Assumptions!$B4)*EC4*AL4,"")</f>
        <v>0</v>
      </c>
      <c r="CI4" s="41">
        <f ca="1">IFERROR(SUMIFS('TRA balance'!AJ$5:AJ$40,'TRA balance'!$C$5:$C$40,Assumptions!$C4,'TRA balance'!$D$5:$D$40,Assumptions!$B4)*ED4*AM4,"")</f>
        <v>0</v>
      </c>
      <c r="CJ4" s="41">
        <f ca="1">IFERROR(SUMIFS('TRA balance'!AK$5:AK$40,'TRA balance'!$C$5:$C$40,Assumptions!$C4,'TRA balance'!$D$5:$D$40,Assumptions!$B4)*EE4*AN4,"")</f>
        <v>0</v>
      </c>
      <c r="CK4" s="41">
        <f ca="1">IFERROR(SUMIFS('TRA balance'!AL$5:AL$40,'TRA balance'!$C$5:$C$40,Assumptions!$C4,'TRA balance'!$D$5:$D$40,Assumptions!$B4)*EF4*AO4,"")</f>
        <v>0.0395694468</v>
      </c>
      <c r="CL4" s="41">
        <f ca="1">IFERROR(SUMIFS('TRA balance'!AM$5:AM$40,'TRA balance'!$C$5:$C$40,Assumptions!$C4,'TRA balance'!$D$5:$D$40,Assumptions!$B4)*EG4*AP4,"")</f>
        <v>0</v>
      </c>
      <c r="CM4" s="41">
        <f ca="1">IFERROR(SUMIFS('TRA balance'!AN$5:AN$40,'TRA balance'!$C$5:$C$40,Assumptions!$C4,'TRA balance'!$D$5:$D$40,Assumptions!$B4)*EH4*AQ4,"")</f>
        <v>0</v>
      </c>
      <c r="CN4" s="41">
        <f ca="1">IFERROR(SUMIFS('TRA balance'!AO$5:AO$40,'TRA balance'!$C$5:$C$40,Assumptions!$C4,'TRA balance'!$D$5:$D$40,Assumptions!$B4)*EI4*AR4,"")</f>
        <v>0</v>
      </c>
      <c r="CO4" s="41">
        <f ca="1">IFERROR(SUMIFS('TRA balance'!AP$5:AP$40,'TRA balance'!$C$5:$C$40,Assumptions!$C4,'TRA balance'!$D$5:$D$40,Assumptions!$B4)*EJ4*AS4,"")</f>
        <v>0</v>
      </c>
      <c r="CP4" s="41">
        <f ca="1">IFERROR(SUMIFS('TRA balance'!AQ$5:AQ$40,'TRA balance'!$C$5:$C$40,Assumptions!$C4,'TRA balance'!$D$5:$D$40,Assumptions!$B4)*EK4*AT4,"")</f>
        <v>0</v>
      </c>
      <c r="CQ4" s="41">
        <f ca="1">IFERROR(SUMIFS('TRA balance'!AR$5:AR$40,'TRA balance'!$C$5:$C$40,Assumptions!$C4,'TRA balance'!$D$5:$D$40,Assumptions!$B4)*EL4*AU4,"")</f>
        <v>0</v>
      </c>
      <c r="CR4" s="41">
        <f ca="1">IFERROR(SUMIFS('TRA balance'!AS$5:AS$40,'TRA balance'!$C$5:$C$40,Assumptions!$C4,'TRA balance'!$D$5:$D$40,Assumptions!$B4)*EM4*AV4,"")</f>
        <v>0</v>
      </c>
      <c r="CS4" s="41">
        <f ca="1">IFERROR(SUMIFS('TRA balance'!AT$5:AT$40,'TRA balance'!$C$5:$C$40,Assumptions!$C4,'TRA balance'!$D$5:$D$40,Assumptions!$B4)*EN4*AW4,"")</f>
        <v>0</v>
      </c>
      <c r="CT4" s="41">
        <f ca="1">IFERROR(SUMIFS('TRA balance'!AU$5:AU$40,'TRA balance'!$C$5:$C$40,Assumptions!$C4,'TRA balance'!$D$5:$D$40,Assumptions!$B4)*EO4*AX4,"")</f>
        <v>0</v>
      </c>
      <c r="CU4" s="41">
        <f ca="1">IFERROR(SUMIFS('TRA balance'!AV$5:AV$40,'TRA balance'!$C$5:$C$40,Assumptions!$C4,'TRA balance'!$D$5:$D$40,Assumptions!$B4)*EP4*AY4,"")</f>
        <v>0</v>
      </c>
      <c r="CV4" s="41">
        <f ca="1">IFERROR(SUMIFS('TRA balance'!AW$5:AW$40,'TRA balance'!$C$5:$C$40,Assumptions!$C4,'TRA balance'!$D$5:$D$40,Assumptions!$B4)*EQ4*AZ4,"")</f>
        <v>0</v>
      </c>
      <c r="CW4" s="41">
        <f ca="1">IFERROR(SUMIFS('TRA balance'!AX$5:AX$40,'TRA balance'!$C$5:$C$40,Assumptions!$C4,'TRA balance'!$D$5:$D$40,Assumptions!$B4)*ER4*BA4,"")</f>
        <v>0</v>
      </c>
      <c r="CY4" s="40">
        <f ca="1" t="shared" si="2"/>
        <v>1</v>
      </c>
      <c r="CZ4" s="40">
        <f ca="1" t="shared" si="3"/>
        <v>1</v>
      </c>
      <c r="DA4" s="40">
        <f ca="1" t="shared" si="4"/>
        <v>1</v>
      </c>
      <c r="DB4" s="40">
        <f ca="1" t="shared" si="5"/>
        <v>1</v>
      </c>
      <c r="DC4" s="40">
        <f ca="1" t="shared" si="6"/>
        <v>1</v>
      </c>
      <c r="DD4" s="40">
        <f ca="1" t="shared" si="7"/>
        <v>1</v>
      </c>
      <c r="DE4" s="40">
        <f ca="1" t="shared" si="8"/>
        <v>1</v>
      </c>
      <c r="DF4" s="40">
        <f ca="1" t="shared" si="9"/>
        <v>1</v>
      </c>
      <c r="DG4" s="40">
        <f ca="1" t="shared" si="10"/>
        <v>1</v>
      </c>
      <c r="DH4" s="40">
        <f ca="1" t="shared" si="11"/>
        <v>1</v>
      </c>
      <c r="DI4" s="40">
        <f ca="1" t="shared" si="12"/>
        <v>1</v>
      </c>
      <c r="DJ4" s="40">
        <f ca="1" t="shared" si="13"/>
        <v>1</v>
      </c>
      <c r="DK4" s="40">
        <f ca="1" t="shared" si="14"/>
        <v>1</v>
      </c>
      <c r="DL4" s="40">
        <f ca="1" t="shared" si="15"/>
        <v>1</v>
      </c>
      <c r="DM4" s="40">
        <f ca="1" t="shared" si="16"/>
        <v>1</v>
      </c>
      <c r="DN4" s="40">
        <f ca="1" t="shared" si="17"/>
        <v>1</v>
      </c>
      <c r="DO4" s="40">
        <f ca="1" t="shared" si="18"/>
        <v>1</v>
      </c>
      <c r="DP4" s="40">
        <f ca="1" t="shared" si="19"/>
        <v>1</v>
      </c>
      <c r="DQ4" s="40">
        <f ca="1" t="shared" si="20"/>
        <v>1</v>
      </c>
      <c r="DR4" s="40">
        <f ca="1" t="shared" si="21"/>
        <v>1</v>
      </c>
      <c r="DS4" s="40">
        <f ca="1" t="shared" si="22"/>
        <v>1</v>
      </c>
      <c r="DT4" s="40">
        <f ca="1" t="shared" si="23"/>
        <v>1</v>
      </c>
      <c r="DU4" s="40">
        <f ca="1" t="shared" si="24"/>
        <v>1</v>
      </c>
      <c r="DV4" s="40">
        <f ca="1" t="shared" si="25"/>
        <v>1</v>
      </c>
      <c r="DW4" s="40">
        <f ca="1" t="shared" si="26"/>
        <v>1</v>
      </c>
      <c r="DX4" s="40">
        <f ca="1" t="shared" si="27"/>
        <v>1</v>
      </c>
      <c r="DY4" s="40">
        <f ca="1" t="shared" si="28"/>
        <v>1</v>
      </c>
      <c r="DZ4" s="40">
        <f ca="1" t="shared" si="29"/>
        <v>1</v>
      </c>
      <c r="EA4" s="40">
        <f ca="1" t="shared" si="30"/>
        <v>1</v>
      </c>
      <c r="EB4" s="40">
        <f ca="1" t="shared" si="31"/>
        <v>1</v>
      </c>
      <c r="EC4" s="40">
        <f ca="1" t="shared" si="32"/>
        <v>1</v>
      </c>
      <c r="ED4" s="40">
        <f ca="1" t="shared" si="33"/>
        <v>1</v>
      </c>
      <c r="EE4" s="40">
        <f ca="1" t="shared" si="34"/>
        <v>1</v>
      </c>
      <c r="EF4" s="40">
        <f ca="1" t="shared" si="35"/>
        <v>1</v>
      </c>
      <c r="EG4" s="40">
        <f ca="1" t="shared" si="36"/>
        <v>1</v>
      </c>
      <c r="EH4" s="40">
        <f ca="1" t="shared" si="37"/>
        <v>1</v>
      </c>
      <c r="EI4" s="40">
        <f ca="1" t="shared" si="38"/>
        <v>1</v>
      </c>
      <c r="EJ4" s="40">
        <f ca="1" t="shared" si="39"/>
        <v>1</v>
      </c>
      <c r="EK4" s="40">
        <f ca="1" t="shared" si="40"/>
        <v>1</v>
      </c>
      <c r="EL4" s="40">
        <f ca="1" t="shared" si="41"/>
        <v>1</v>
      </c>
      <c r="EM4" s="40">
        <f ca="1" t="shared" si="42"/>
        <v>1</v>
      </c>
      <c r="EN4" s="40">
        <f ca="1" t="shared" si="43"/>
        <v>1</v>
      </c>
      <c r="EO4" s="40">
        <f ca="1" t="shared" si="44"/>
        <v>1</v>
      </c>
      <c r="EP4" s="40">
        <f ca="1" t="shared" si="45"/>
        <v>1</v>
      </c>
      <c r="EQ4" s="40">
        <f ca="1" t="shared" si="46"/>
        <v>1</v>
      </c>
      <c r="ER4" s="40">
        <f ca="1" t="shared" si="47"/>
        <v>1</v>
      </c>
      <c r="EU4" t="s">
        <v>219</v>
      </c>
      <c r="EV4">
        <v>15</v>
      </c>
    </row>
    <row r="5" spans="1:152">
      <c r="A5">
        <v>1</v>
      </c>
      <c r="B5" t="str">
        <f>VLOOKUP(F5,'TRA balance'!$BA$5:$BB$14,2,FALSE)</f>
        <v>TRACOA</v>
      </c>
      <c r="C5" s="60"/>
      <c r="D5" s="60"/>
      <c r="E5" s="61" t="s">
        <v>199</v>
      </c>
      <c r="F5" s="62" t="str">
        <f t="shared" si="49"/>
        <v>Coal</v>
      </c>
      <c r="G5" s="60"/>
      <c r="H5" s="63" t="str">
        <f ca="1" t="shared" ref="H5" si="50">IF(SUM(H3:H4)=1,"-","&lt;&gt;1!!")</f>
        <v>-</v>
      </c>
      <c r="I5" s="63" t="str">
        <f ca="1" t="shared" ref="I5:BA5" si="51">IF(SUM(I3:I4)=1,"-","&lt;&gt;1!!")</f>
        <v>-</v>
      </c>
      <c r="J5" s="63" t="str">
        <f ca="1" t="shared" si="51"/>
        <v>-</v>
      </c>
      <c r="K5" s="63" t="str">
        <f ca="1" t="shared" si="51"/>
        <v>-</v>
      </c>
      <c r="L5" s="63" t="str">
        <f ca="1" t="shared" si="51"/>
        <v>-</v>
      </c>
      <c r="M5" s="63" t="str">
        <f ca="1" t="shared" si="51"/>
        <v>-</v>
      </c>
      <c r="N5" s="63" t="str">
        <f ca="1" t="shared" si="51"/>
        <v>-</v>
      </c>
      <c r="O5" s="63" t="str">
        <f ca="1" t="shared" si="51"/>
        <v>-</v>
      </c>
      <c r="P5" s="63" t="str">
        <f ca="1" t="shared" si="51"/>
        <v>-</v>
      </c>
      <c r="Q5" s="63" t="str">
        <f ca="1" t="shared" si="51"/>
        <v>-</v>
      </c>
      <c r="R5" s="63" t="str">
        <f ca="1" t="shared" si="51"/>
        <v>-</v>
      </c>
      <c r="S5" s="63" t="str">
        <f ca="1" t="shared" si="51"/>
        <v>-</v>
      </c>
      <c r="T5" s="63" t="str">
        <f ca="1" t="shared" si="51"/>
        <v>-</v>
      </c>
      <c r="U5" s="63" t="str">
        <f ca="1" t="shared" si="51"/>
        <v>-</v>
      </c>
      <c r="V5" s="63" t="str">
        <f ca="1" t="shared" si="51"/>
        <v>-</v>
      </c>
      <c r="W5" s="63" t="str">
        <f ca="1" t="shared" si="51"/>
        <v>-</v>
      </c>
      <c r="X5" s="63" t="str">
        <f ca="1" t="shared" si="51"/>
        <v>-</v>
      </c>
      <c r="Y5" s="63" t="str">
        <f ca="1" t="shared" si="51"/>
        <v>-</v>
      </c>
      <c r="Z5" s="63" t="str">
        <f ca="1" t="shared" si="51"/>
        <v>-</v>
      </c>
      <c r="AA5" s="63" t="str">
        <f ca="1" t="shared" si="51"/>
        <v>-</v>
      </c>
      <c r="AB5" s="63" t="str">
        <f ca="1" t="shared" si="51"/>
        <v>-</v>
      </c>
      <c r="AC5" s="63" t="str">
        <f ca="1" t="shared" si="51"/>
        <v>-</v>
      </c>
      <c r="AD5" s="63" t="str">
        <f ca="1" t="shared" si="51"/>
        <v>-</v>
      </c>
      <c r="AE5" s="63" t="str">
        <f ca="1" t="shared" si="51"/>
        <v>-</v>
      </c>
      <c r="AF5" s="63" t="str">
        <f ca="1" t="shared" si="51"/>
        <v>-</v>
      </c>
      <c r="AG5" s="63" t="str">
        <f ca="1" t="shared" si="51"/>
        <v>-</v>
      </c>
      <c r="AH5" s="63" t="str">
        <f ca="1" t="shared" si="51"/>
        <v>-</v>
      </c>
      <c r="AI5" s="63" t="str">
        <f ca="1" t="shared" si="51"/>
        <v>-</v>
      </c>
      <c r="AJ5" s="63" t="str">
        <f ca="1" t="shared" si="51"/>
        <v>-</v>
      </c>
      <c r="AK5" s="63" t="str">
        <f ca="1" t="shared" si="51"/>
        <v>-</v>
      </c>
      <c r="AL5" s="63" t="str">
        <f ca="1" t="shared" si="51"/>
        <v>-</v>
      </c>
      <c r="AM5" s="63" t="str">
        <f ca="1" t="shared" si="51"/>
        <v>-</v>
      </c>
      <c r="AN5" s="63" t="str">
        <f ca="1" t="shared" si="51"/>
        <v>-</v>
      </c>
      <c r="AO5" s="63" t="str">
        <f ca="1" t="shared" si="51"/>
        <v>-</v>
      </c>
      <c r="AP5" s="63" t="str">
        <f ca="1" t="shared" si="51"/>
        <v>-</v>
      </c>
      <c r="AQ5" s="63" t="str">
        <f ca="1" t="shared" si="51"/>
        <v>-</v>
      </c>
      <c r="AR5" s="63" t="str">
        <f ca="1" t="shared" si="51"/>
        <v>-</v>
      </c>
      <c r="AS5" s="63" t="str">
        <f ca="1" t="shared" si="51"/>
        <v>-</v>
      </c>
      <c r="AT5" s="63" t="str">
        <f ca="1" t="shared" si="51"/>
        <v>-</v>
      </c>
      <c r="AU5" s="63" t="str">
        <f ca="1" t="shared" si="51"/>
        <v>-</v>
      </c>
      <c r="AV5" s="63" t="str">
        <f ca="1" t="shared" si="51"/>
        <v>-</v>
      </c>
      <c r="AW5" s="63" t="str">
        <f ca="1" t="shared" si="51"/>
        <v>-</v>
      </c>
      <c r="AX5" s="63" t="str">
        <f ca="1" t="shared" si="51"/>
        <v>-</v>
      </c>
      <c r="AY5" s="63" t="str">
        <f ca="1" t="shared" si="51"/>
        <v>-</v>
      </c>
      <c r="AZ5" s="63" t="str">
        <f ca="1" t="shared" si="51"/>
        <v>-</v>
      </c>
      <c r="BA5" s="63" t="str">
        <f ca="1" t="shared" si="51"/>
        <v>-</v>
      </c>
      <c r="BD5" s="41" t="str">
        <f ca="1">IFERROR(SUMIFS('TRA balance'!E$5:E$40,'TRA balance'!$C$5:$C$40,Assumptions!$C5,'TRA balance'!$D$5:$D$40,Assumptions!$B5)*CY5*H5,"")</f>
        <v/>
      </c>
      <c r="BE5" s="41" t="str">
        <f ca="1">IFERROR(SUMIFS('TRA balance'!F$5:F$40,'TRA balance'!$C$5:$C$40,Assumptions!$C5,'TRA balance'!$D$5:$D$40,Assumptions!$B5)*CZ5*I5,"")</f>
        <v/>
      </c>
      <c r="BF5" s="41" t="str">
        <f ca="1">IFERROR(SUMIFS('TRA balance'!G$5:G$40,'TRA balance'!$C$5:$C$40,Assumptions!$C5,'TRA balance'!$D$5:$D$40,Assumptions!$B5)*DA5*J5,"")</f>
        <v/>
      </c>
      <c r="BG5" s="41" t="str">
        <f ca="1">IFERROR(SUMIFS('TRA balance'!H$5:H$40,'TRA balance'!$C$5:$C$40,Assumptions!$C5,'TRA balance'!$D$5:$D$40,Assumptions!$B5)*DB5*K5,"")</f>
        <v/>
      </c>
      <c r="BH5" s="41" t="str">
        <f ca="1">IFERROR(SUMIFS('TRA balance'!I$5:I$40,'TRA balance'!$C$5:$C$40,Assumptions!$C5,'TRA balance'!$D$5:$D$40,Assumptions!$B5)*DC5*L5,"")</f>
        <v/>
      </c>
      <c r="BI5" s="41" t="str">
        <f ca="1">IFERROR(SUMIFS('TRA balance'!J$5:J$40,'TRA balance'!$C$5:$C$40,Assumptions!$C5,'TRA balance'!$D$5:$D$40,Assumptions!$B5)*DD5*M5,"")</f>
        <v/>
      </c>
      <c r="BJ5" s="41" t="str">
        <f ca="1">IFERROR(SUMIFS('TRA balance'!K$5:K$40,'TRA balance'!$C$5:$C$40,Assumptions!$C5,'TRA balance'!$D$5:$D$40,Assumptions!$B5)*DE5*N5,"")</f>
        <v/>
      </c>
      <c r="BK5" s="41" t="str">
        <f ca="1">IFERROR(SUMIFS('TRA balance'!L$5:L$40,'TRA balance'!$C$5:$C$40,Assumptions!$C5,'TRA balance'!$D$5:$D$40,Assumptions!$B5)*DF5*O5,"")</f>
        <v/>
      </c>
      <c r="BL5" s="41" t="str">
        <f ca="1">IFERROR(SUMIFS('TRA balance'!M$5:M$40,'TRA balance'!$C$5:$C$40,Assumptions!$C5,'TRA balance'!$D$5:$D$40,Assumptions!$B5)*DG5*P5,"")</f>
        <v/>
      </c>
      <c r="BM5" s="41" t="str">
        <f ca="1">IFERROR(SUMIFS('TRA balance'!N$5:N$40,'TRA balance'!$C$5:$C$40,Assumptions!$C5,'TRA balance'!$D$5:$D$40,Assumptions!$B5)*DH5*Q5,"")</f>
        <v/>
      </c>
      <c r="BN5" s="41" t="str">
        <f ca="1">IFERROR(SUMIFS('TRA balance'!O$5:O$40,'TRA balance'!$C$5:$C$40,Assumptions!$C5,'TRA balance'!$D$5:$D$40,Assumptions!$B5)*DI5*R5,"")</f>
        <v/>
      </c>
      <c r="BO5" s="41" t="str">
        <f ca="1">IFERROR(SUMIFS('TRA balance'!P$5:P$40,'TRA balance'!$C$5:$C$40,Assumptions!$C5,'TRA balance'!$D$5:$D$40,Assumptions!$B5)*DJ5*S5,"")</f>
        <v/>
      </c>
      <c r="BP5" s="41" t="str">
        <f ca="1">IFERROR(SUMIFS('TRA balance'!Q$5:Q$40,'TRA balance'!$C$5:$C$40,Assumptions!$C5,'TRA balance'!$D$5:$D$40,Assumptions!$B5)*DK5*T5,"")</f>
        <v/>
      </c>
      <c r="BQ5" s="41" t="str">
        <f ca="1">IFERROR(SUMIFS('TRA balance'!R$5:R$40,'TRA balance'!$C$5:$C$40,Assumptions!$C5,'TRA balance'!$D$5:$D$40,Assumptions!$B5)*DL5*U5,"")</f>
        <v/>
      </c>
      <c r="BR5" s="41" t="str">
        <f ca="1">IFERROR(SUMIFS('TRA balance'!S$5:S$40,'TRA balance'!$C$5:$C$40,Assumptions!$C5,'TRA balance'!$D$5:$D$40,Assumptions!$B5)*DM5*V5,"")</f>
        <v/>
      </c>
      <c r="BS5" s="41" t="str">
        <f ca="1">IFERROR(SUMIFS('TRA balance'!T$5:T$40,'TRA balance'!$C$5:$C$40,Assumptions!$C5,'TRA balance'!$D$5:$D$40,Assumptions!$B5)*DN5*W5,"")</f>
        <v/>
      </c>
      <c r="BT5" s="41" t="str">
        <f ca="1">IFERROR(SUMIFS('TRA balance'!U$5:U$40,'TRA balance'!$C$5:$C$40,Assumptions!$C5,'TRA balance'!$D$5:$D$40,Assumptions!$B5)*DO5*X5,"")</f>
        <v/>
      </c>
      <c r="BU5" s="41" t="str">
        <f ca="1">IFERROR(SUMIFS('TRA balance'!V$5:V$40,'TRA balance'!$C$5:$C$40,Assumptions!$C5,'TRA balance'!$D$5:$D$40,Assumptions!$B5)*DP5*Y5,"")</f>
        <v/>
      </c>
      <c r="BV5" s="41" t="str">
        <f ca="1">IFERROR(SUMIFS('TRA balance'!W$5:W$40,'TRA balance'!$C$5:$C$40,Assumptions!$C5,'TRA balance'!$D$5:$D$40,Assumptions!$B5)*DQ5*Z5,"")</f>
        <v/>
      </c>
      <c r="BW5" s="41" t="str">
        <f ca="1">IFERROR(SUMIFS('TRA balance'!X$5:X$40,'TRA balance'!$C$5:$C$40,Assumptions!$C5,'TRA balance'!$D$5:$D$40,Assumptions!$B5)*DR5*AA5,"")</f>
        <v/>
      </c>
      <c r="BX5" s="41" t="str">
        <f ca="1">IFERROR(SUMIFS('TRA balance'!Y$5:Y$40,'TRA balance'!$C$5:$C$40,Assumptions!$C5,'TRA balance'!$D$5:$D$40,Assumptions!$B5)*DS5*AB5,"")</f>
        <v/>
      </c>
      <c r="BY5" s="41" t="str">
        <f ca="1">IFERROR(SUMIFS('TRA balance'!Z$5:Z$40,'TRA balance'!$C$5:$C$40,Assumptions!$C5,'TRA balance'!$D$5:$D$40,Assumptions!$B5)*DT5*AC5,"")</f>
        <v/>
      </c>
      <c r="BZ5" s="41" t="str">
        <f ca="1">IFERROR(SUMIFS('TRA balance'!AA$5:AA$40,'TRA balance'!$C$5:$C$40,Assumptions!$C5,'TRA balance'!$D$5:$D$40,Assumptions!$B5)*DU5*AD5,"")</f>
        <v/>
      </c>
      <c r="CA5" s="41" t="str">
        <f ca="1">IFERROR(SUMIFS('TRA balance'!AB$5:AB$40,'TRA balance'!$C$5:$C$40,Assumptions!$C5,'TRA balance'!$D$5:$D$40,Assumptions!$B5)*DV5*AE5,"")</f>
        <v/>
      </c>
      <c r="CB5" s="41" t="str">
        <f ca="1">IFERROR(SUMIFS('TRA balance'!AC$5:AC$40,'TRA balance'!$C$5:$C$40,Assumptions!$C5,'TRA balance'!$D$5:$D$40,Assumptions!$B5)*DW5*AF5,"")</f>
        <v/>
      </c>
      <c r="CC5" s="41" t="str">
        <f ca="1">IFERROR(SUMIFS('TRA balance'!AD$5:AD$40,'TRA balance'!$C$5:$C$40,Assumptions!$C5,'TRA balance'!$D$5:$D$40,Assumptions!$B5)*DX5*AG5,"")</f>
        <v/>
      </c>
      <c r="CD5" s="41" t="str">
        <f ca="1">IFERROR(SUMIFS('TRA balance'!AE$5:AE$40,'TRA balance'!$C$5:$C$40,Assumptions!$C5,'TRA balance'!$D$5:$D$40,Assumptions!$B5)*DY5*AH5,"")</f>
        <v/>
      </c>
      <c r="CE5" s="41" t="str">
        <f ca="1">IFERROR(SUMIFS('TRA balance'!AF$5:AF$40,'TRA balance'!$C$5:$C$40,Assumptions!$C5,'TRA balance'!$D$5:$D$40,Assumptions!$B5)*DZ5*AI5,"")</f>
        <v/>
      </c>
      <c r="CF5" s="41" t="str">
        <f ca="1">IFERROR(SUMIFS('TRA balance'!AG$5:AG$40,'TRA balance'!$C$5:$C$40,Assumptions!$C5,'TRA balance'!$D$5:$D$40,Assumptions!$B5)*EA5*AJ5,"")</f>
        <v/>
      </c>
      <c r="CG5" s="41" t="str">
        <f ca="1">IFERROR(SUMIFS('TRA balance'!AH$5:AH$40,'TRA balance'!$C$5:$C$40,Assumptions!$C5,'TRA balance'!$D$5:$D$40,Assumptions!$B5)*EB5*AK5,"")</f>
        <v/>
      </c>
      <c r="CH5" s="41" t="str">
        <f ca="1">IFERROR(SUMIFS('TRA balance'!AI$5:AI$40,'TRA balance'!$C$5:$C$40,Assumptions!$C5,'TRA balance'!$D$5:$D$40,Assumptions!$B5)*EC5*AL5,"")</f>
        <v/>
      </c>
      <c r="CI5" s="41" t="str">
        <f ca="1">IFERROR(SUMIFS('TRA balance'!AJ$5:AJ$40,'TRA balance'!$C$5:$C$40,Assumptions!$C5,'TRA balance'!$D$5:$D$40,Assumptions!$B5)*ED5*AM5,"")</f>
        <v/>
      </c>
      <c r="CJ5" s="41" t="str">
        <f ca="1">IFERROR(SUMIFS('TRA balance'!AK$5:AK$40,'TRA balance'!$C$5:$C$40,Assumptions!$C5,'TRA balance'!$D$5:$D$40,Assumptions!$B5)*EE5*AN5,"")</f>
        <v/>
      </c>
      <c r="CK5" s="41" t="str">
        <f ca="1">IFERROR(SUMIFS('TRA balance'!AL$5:AL$40,'TRA balance'!$C$5:$C$40,Assumptions!$C5,'TRA balance'!$D$5:$D$40,Assumptions!$B5)*EF5*AO5,"")</f>
        <v/>
      </c>
      <c r="CL5" s="41" t="str">
        <f ca="1">IFERROR(SUMIFS('TRA balance'!AM$5:AM$40,'TRA balance'!$C$5:$C$40,Assumptions!$C5,'TRA balance'!$D$5:$D$40,Assumptions!$B5)*EG5*AP5,"")</f>
        <v/>
      </c>
      <c r="CM5" s="41" t="str">
        <f ca="1">IFERROR(SUMIFS('TRA balance'!AN$5:AN$40,'TRA balance'!$C$5:$C$40,Assumptions!$C5,'TRA balance'!$D$5:$D$40,Assumptions!$B5)*EH5*AQ5,"")</f>
        <v/>
      </c>
      <c r="CN5" s="41" t="str">
        <f ca="1">IFERROR(SUMIFS('TRA balance'!AO$5:AO$40,'TRA balance'!$C$5:$C$40,Assumptions!$C5,'TRA balance'!$D$5:$D$40,Assumptions!$B5)*EI5*AR5,"")</f>
        <v/>
      </c>
      <c r="CO5" s="41" t="str">
        <f ca="1">IFERROR(SUMIFS('TRA balance'!AP$5:AP$40,'TRA balance'!$C$5:$C$40,Assumptions!$C5,'TRA balance'!$D$5:$D$40,Assumptions!$B5)*EJ5*AS5,"")</f>
        <v/>
      </c>
      <c r="CP5" s="41" t="str">
        <f ca="1">IFERROR(SUMIFS('TRA balance'!AQ$5:AQ$40,'TRA balance'!$C$5:$C$40,Assumptions!$C5,'TRA balance'!$D$5:$D$40,Assumptions!$B5)*EK5*AT5,"")</f>
        <v/>
      </c>
      <c r="CQ5" s="41" t="str">
        <f ca="1">IFERROR(SUMIFS('TRA balance'!AR$5:AR$40,'TRA balance'!$C$5:$C$40,Assumptions!$C5,'TRA balance'!$D$5:$D$40,Assumptions!$B5)*EL5*AU5,"")</f>
        <v/>
      </c>
      <c r="CR5" s="41" t="str">
        <f ca="1">IFERROR(SUMIFS('TRA balance'!AS$5:AS$40,'TRA balance'!$C$5:$C$40,Assumptions!$C5,'TRA balance'!$D$5:$D$40,Assumptions!$B5)*EM5*AV5,"")</f>
        <v/>
      </c>
      <c r="CS5" s="41" t="str">
        <f ca="1">IFERROR(SUMIFS('TRA balance'!AT$5:AT$40,'TRA balance'!$C$5:$C$40,Assumptions!$C5,'TRA balance'!$D$5:$D$40,Assumptions!$B5)*EN5*AW5,"")</f>
        <v/>
      </c>
      <c r="CT5" s="41" t="str">
        <f ca="1">IFERROR(SUMIFS('TRA balance'!AU$5:AU$40,'TRA balance'!$C$5:$C$40,Assumptions!$C5,'TRA balance'!$D$5:$D$40,Assumptions!$B5)*EO5*AX5,"")</f>
        <v/>
      </c>
      <c r="CU5" s="41" t="str">
        <f ca="1">IFERROR(SUMIFS('TRA balance'!AV$5:AV$40,'TRA balance'!$C$5:$C$40,Assumptions!$C5,'TRA balance'!$D$5:$D$40,Assumptions!$B5)*EP5*AY5,"")</f>
        <v/>
      </c>
      <c r="CV5" s="41" t="str">
        <f ca="1">IFERROR(SUMIFS('TRA balance'!AW$5:AW$40,'TRA balance'!$C$5:$C$40,Assumptions!$C5,'TRA balance'!$D$5:$D$40,Assumptions!$B5)*EQ5*AZ5,"")</f>
        <v/>
      </c>
      <c r="CW5" s="41" t="str">
        <f ca="1">IFERROR(SUMIFS('TRA balance'!AX$5:AX$40,'TRA balance'!$C$5:$C$40,Assumptions!$C5,'TRA balance'!$D$5:$D$40,Assumptions!$B5)*ER5*BA5,"")</f>
        <v/>
      </c>
      <c r="CY5" s="40">
        <f ca="1" t="shared" si="2"/>
        <v>1</v>
      </c>
      <c r="CZ5" s="40">
        <f ca="1" t="shared" si="3"/>
        <v>1</v>
      </c>
      <c r="DA5" s="40">
        <f ca="1" t="shared" si="4"/>
        <v>1</v>
      </c>
      <c r="DB5" s="40">
        <f ca="1" t="shared" si="5"/>
        <v>1</v>
      </c>
      <c r="DC5" s="40">
        <f ca="1" t="shared" si="6"/>
        <v>1</v>
      </c>
      <c r="DD5" s="40">
        <f ca="1" t="shared" si="7"/>
        <v>1</v>
      </c>
      <c r="DE5" s="40">
        <f ca="1" t="shared" si="8"/>
        <v>1</v>
      </c>
      <c r="DF5" s="40">
        <f ca="1" t="shared" si="9"/>
        <v>1</v>
      </c>
      <c r="DG5" s="40">
        <f ca="1" t="shared" si="10"/>
        <v>1</v>
      </c>
      <c r="DH5" s="40">
        <f ca="1" t="shared" si="11"/>
        <v>1</v>
      </c>
      <c r="DI5" s="40">
        <f ca="1" t="shared" si="12"/>
        <v>1</v>
      </c>
      <c r="DJ5" s="40">
        <f ca="1" t="shared" si="13"/>
        <v>1</v>
      </c>
      <c r="DK5" s="40">
        <f ca="1" t="shared" si="14"/>
        <v>1</v>
      </c>
      <c r="DL5" s="40">
        <f ca="1" t="shared" si="15"/>
        <v>1</v>
      </c>
      <c r="DM5" s="40">
        <f ca="1" t="shared" si="16"/>
        <v>1</v>
      </c>
      <c r="DN5" s="40">
        <f ca="1" t="shared" si="17"/>
        <v>1</v>
      </c>
      <c r="DO5" s="40">
        <f ca="1" t="shared" si="18"/>
        <v>1</v>
      </c>
      <c r="DP5" s="40">
        <f ca="1" t="shared" si="19"/>
        <v>1</v>
      </c>
      <c r="DQ5" s="40">
        <f ca="1" t="shared" si="20"/>
        <v>1</v>
      </c>
      <c r="DR5" s="40">
        <f ca="1" t="shared" si="21"/>
        <v>1</v>
      </c>
      <c r="DS5" s="40">
        <f ca="1" t="shared" si="22"/>
        <v>1</v>
      </c>
      <c r="DT5" s="40">
        <f ca="1" t="shared" si="23"/>
        <v>1</v>
      </c>
      <c r="DU5" s="40">
        <f ca="1" t="shared" si="24"/>
        <v>1</v>
      </c>
      <c r="DV5" s="40">
        <f ca="1" t="shared" si="25"/>
        <v>1</v>
      </c>
      <c r="DW5" s="40">
        <f ca="1" t="shared" si="26"/>
        <v>1</v>
      </c>
      <c r="DX5" s="40">
        <f ca="1" t="shared" si="27"/>
        <v>1</v>
      </c>
      <c r="DY5" s="40">
        <f ca="1" t="shared" si="28"/>
        <v>1</v>
      </c>
      <c r="DZ5" s="40">
        <f ca="1" t="shared" si="29"/>
        <v>1</v>
      </c>
      <c r="EA5" s="40">
        <f ca="1" t="shared" si="30"/>
        <v>1</v>
      </c>
      <c r="EB5" s="40">
        <f ca="1" t="shared" si="31"/>
        <v>1</v>
      </c>
      <c r="EC5" s="40">
        <f ca="1" t="shared" si="32"/>
        <v>1</v>
      </c>
      <c r="ED5" s="40">
        <f ca="1" t="shared" si="33"/>
        <v>1</v>
      </c>
      <c r="EE5" s="40">
        <f ca="1" t="shared" si="34"/>
        <v>1</v>
      </c>
      <c r="EF5" s="40">
        <f ca="1" t="shared" si="35"/>
        <v>1</v>
      </c>
      <c r="EG5" s="40">
        <f ca="1" t="shared" si="36"/>
        <v>1</v>
      </c>
      <c r="EH5" s="40">
        <f ca="1" t="shared" si="37"/>
        <v>1</v>
      </c>
      <c r="EI5" s="40">
        <f ca="1" t="shared" si="38"/>
        <v>1</v>
      </c>
      <c r="EJ5" s="40">
        <f ca="1" t="shared" si="39"/>
        <v>1</v>
      </c>
      <c r="EK5" s="40">
        <f ca="1" t="shared" si="40"/>
        <v>1</v>
      </c>
      <c r="EL5" s="40">
        <f ca="1" t="shared" si="41"/>
        <v>1</v>
      </c>
      <c r="EM5" s="40">
        <f ca="1" t="shared" si="42"/>
        <v>1</v>
      </c>
      <c r="EN5" s="40">
        <f ca="1" t="shared" si="43"/>
        <v>1</v>
      </c>
      <c r="EO5" s="40">
        <f ca="1" t="shared" si="44"/>
        <v>1</v>
      </c>
      <c r="EP5" s="40">
        <f ca="1" t="shared" si="45"/>
        <v>1</v>
      </c>
      <c r="EQ5" s="40">
        <f ca="1" t="shared" si="46"/>
        <v>1</v>
      </c>
      <c r="ER5" s="40">
        <f ca="1" t="shared" si="47"/>
        <v>1</v>
      </c>
      <c r="EU5" t="s">
        <v>207</v>
      </c>
      <c r="EV5">
        <v>15</v>
      </c>
    </row>
    <row r="6" spans="1:152">
      <c r="A6">
        <v>1</v>
      </c>
      <c r="B6" t="str">
        <f>VLOOKUP(F6,'TRA balance'!$BA$5:$BB$14,2,FALSE)</f>
        <v>TRADST</v>
      </c>
      <c r="C6" s="64">
        <v>1</v>
      </c>
      <c r="D6" s="65" t="s">
        <v>200</v>
      </c>
      <c r="E6" s="65" t="s">
        <v>201</v>
      </c>
      <c r="F6" s="66" t="s">
        <v>59</v>
      </c>
      <c r="G6" s="64"/>
      <c r="H6" s="67">
        <f ca="1">OFFSET(TIAM15_assumptions!$G6,0,MATCH(VLOOKUP(Assumptions!H$2,TIAM15_assumptions!$Y$3:$Z$87,2,FALSE),TIAM15_assumptions!$H$2:$V$2,0))</f>
        <v>0.1</v>
      </c>
      <c r="I6" s="67">
        <f ca="1">OFFSET(TIAM15_assumptions!$G6,0,MATCH(VLOOKUP(Assumptions!I$2,TIAM15_assumptions!$Y$3:$Z$87,2,FALSE),TIAM15_assumptions!$H$2:$V$2,0))</f>
        <v>0.1</v>
      </c>
      <c r="J6" s="67">
        <f ca="1">OFFSET(TIAM15_assumptions!$G6,0,MATCH(VLOOKUP(Assumptions!J$2,TIAM15_assumptions!$Y$3:$Z$87,2,FALSE),TIAM15_assumptions!$H$2:$V$2,0))</f>
        <v>0.02</v>
      </c>
      <c r="K6" s="67">
        <f ca="1">OFFSET(TIAM15_assumptions!$G6,0,MATCH(VLOOKUP(Assumptions!K$2,TIAM15_assumptions!$Y$3:$Z$87,2,FALSE),TIAM15_assumptions!$H$2:$V$2,0))</f>
        <v>0.2</v>
      </c>
      <c r="L6" s="67">
        <f ca="1">OFFSET(TIAM15_assumptions!$G6,0,MATCH(VLOOKUP(Assumptions!L$2,TIAM15_assumptions!$Y$3:$Z$87,2,FALSE),TIAM15_assumptions!$H$2:$V$2,0))</f>
        <v>0.05</v>
      </c>
      <c r="M6" s="67">
        <f ca="1">OFFSET(TIAM15_assumptions!$G6,0,MATCH(VLOOKUP(Assumptions!M$2,TIAM15_assumptions!$Y$3:$Z$87,2,FALSE),TIAM15_assumptions!$H$2:$V$2,0))</f>
        <v>0.2</v>
      </c>
      <c r="N6" s="67">
        <f ca="1">OFFSET(TIAM15_assumptions!$G6,0,MATCH(VLOOKUP(Assumptions!N$2,TIAM15_assumptions!$Y$3:$Z$87,2,FALSE),TIAM15_assumptions!$H$2:$V$2,0))</f>
        <v>0.07</v>
      </c>
      <c r="O6" s="67">
        <f ca="1">OFFSET(TIAM15_assumptions!$G6,0,MATCH(VLOOKUP(Assumptions!O$2,TIAM15_assumptions!$Y$3:$Z$87,2,FALSE),TIAM15_assumptions!$H$2:$V$2,0))</f>
        <v>0.1</v>
      </c>
      <c r="P6" s="67">
        <f ca="1">OFFSET(TIAM15_assumptions!$G6,0,MATCH(VLOOKUP(Assumptions!P$2,TIAM15_assumptions!$Y$3:$Z$87,2,FALSE),TIAM15_assumptions!$H$2:$V$2,0))</f>
        <v>0.2</v>
      </c>
      <c r="Q6" s="67">
        <f ca="1">OFFSET(TIAM15_assumptions!$G6,0,MATCH(VLOOKUP(Assumptions!Q$2,TIAM15_assumptions!$Y$3:$Z$87,2,FALSE),TIAM15_assumptions!$H$2:$V$2,0))</f>
        <v>0.2</v>
      </c>
      <c r="R6" s="67">
        <f ca="1">OFFSET(TIAM15_assumptions!$G6,0,MATCH(VLOOKUP(Assumptions!R$2,TIAM15_assumptions!$Y$3:$Z$87,2,FALSE),TIAM15_assumptions!$H$2:$V$2,0))</f>
        <v>0.2</v>
      </c>
      <c r="S6" s="67">
        <f ca="1">OFFSET(TIAM15_assumptions!$G6,0,MATCH(VLOOKUP(Assumptions!S$2,TIAM15_assumptions!$Y$3:$Z$87,2,FALSE),TIAM15_assumptions!$H$2:$V$2,0))</f>
        <v>0.2</v>
      </c>
      <c r="T6" s="67">
        <f ca="1">OFFSET(TIAM15_assumptions!$G6,0,MATCH(VLOOKUP(Assumptions!T$2,TIAM15_assumptions!$Y$3:$Z$87,2,FALSE),TIAM15_assumptions!$H$2:$V$2,0))</f>
        <v>0.2</v>
      </c>
      <c r="U6" s="67">
        <f ca="1">OFFSET(TIAM15_assumptions!$G6,0,MATCH(VLOOKUP(Assumptions!U$2,TIAM15_assumptions!$Y$3:$Z$87,2,FALSE),TIAM15_assumptions!$H$2:$V$2,0))</f>
        <v>0.2</v>
      </c>
      <c r="V6" s="67">
        <f ca="1">OFFSET(TIAM15_assumptions!$G6,0,MATCH(VLOOKUP(Assumptions!V$2,TIAM15_assumptions!$Y$3:$Z$87,2,FALSE),TIAM15_assumptions!$H$2:$V$2,0))</f>
        <v>0.2</v>
      </c>
      <c r="W6" s="67">
        <f ca="1">OFFSET(TIAM15_assumptions!$G6,0,MATCH(VLOOKUP(Assumptions!W$2,TIAM15_assumptions!$Y$3:$Z$87,2,FALSE),TIAM15_assumptions!$H$2:$V$2,0))</f>
        <v>0.25</v>
      </c>
      <c r="X6" s="67">
        <f ca="1">OFFSET(TIAM15_assumptions!$G6,0,MATCH(VLOOKUP(Assumptions!X$2,TIAM15_assumptions!$Y$3:$Z$87,2,FALSE),TIAM15_assumptions!$H$2:$V$2,0))</f>
        <v>0.2</v>
      </c>
      <c r="Y6" s="67">
        <f ca="1">OFFSET(TIAM15_assumptions!$G6,0,MATCH(VLOOKUP(Assumptions!Y$2,TIAM15_assumptions!$Y$3:$Z$87,2,FALSE),TIAM15_assumptions!$H$2:$V$2,0))</f>
        <v>0.2</v>
      </c>
      <c r="Z6" s="67">
        <f ca="1">OFFSET(TIAM15_assumptions!$G6,0,MATCH(VLOOKUP(Assumptions!Z$2,TIAM15_assumptions!$Y$3:$Z$87,2,FALSE),TIAM15_assumptions!$H$2:$V$2,0))</f>
        <v>0.05</v>
      </c>
      <c r="AA6" s="67">
        <f ca="1">OFFSET(TIAM15_assumptions!$G6,0,MATCH(VLOOKUP(Assumptions!AA$2,TIAM15_assumptions!$Y$3:$Z$87,2,FALSE),TIAM15_assumptions!$H$2:$V$2,0))</f>
        <v>0.07</v>
      </c>
      <c r="AB6" s="67">
        <f ca="1">OFFSET(TIAM15_assumptions!$G6,0,MATCH(VLOOKUP(Assumptions!AB$2,TIAM15_assumptions!$Y$3:$Z$87,2,FALSE),TIAM15_assumptions!$H$2:$V$2,0))</f>
        <v>0.1</v>
      </c>
      <c r="AC6" s="67">
        <f ca="1">OFFSET(TIAM15_assumptions!$G6,0,MATCH(VLOOKUP(Assumptions!AC$2,TIAM15_assumptions!$Y$3:$Z$87,2,FALSE),TIAM15_assumptions!$H$2:$V$2,0))</f>
        <v>0.0244064218226165</v>
      </c>
      <c r="AD6" s="67">
        <f ca="1">OFFSET(TIAM15_assumptions!$G6,0,MATCH(VLOOKUP(Assumptions!AD$2,TIAM15_assumptions!$Y$3:$Z$87,2,FALSE),TIAM15_assumptions!$H$2:$V$2,0))</f>
        <v>0.2</v>
      </c>
      <c r="AE6" s="67">
        <f ca="1">OFFSET(TIAM15_assumptions!$G6,0,MATCH(VLOOKUP(Assumptions!AE$2,TIAM15_assumptions!$Y$3:$Z$87,2,FALSE),TIAM15_assumptions!$H$2:$V$2,0))</f>
        <v>0.2</v>
      </c>
      <c r="AF6" s="67">
        <f ca="1">OFFSET(TIAM15_assumptions!$G6,0,MATCH(VLOOKUP(Assumptions!AF$2,TIAM15_assumptions!$Y$3:$Z$87,2,FALSE),TIAM15_assumptions!$H$2:$V$2,0))</f>
        <v>0.08</v>
      </c>
      <c r="AG6" s="67">
        <f ca="1">OFFSET(TIAM15_assumptions!$G6,0,MATCH(VLOOKUP(Assumptions!AG$2,TIAM15_assumptions!$Y$3:$Z$87,2,FALSE),TIAM15_assumptions!$H$2:$V$2,0))</f>
        <v>0.05</v>
      </c>
      <c r="AH6" s="67">
        <f ca="1">OFFSET(TIAM15_assumptions!$G6,0,MATCH(VLOOKUP(Assumptions!AH$2,TIAM15_assumptions!$Y$3:$Z$87,2,FALSE),TIAM15_assumptions!$H$2:$V$2,0))</f>
        <v>0.1</v>
      </c>
      <c r="AI6" s="67">
        <f ca="1">OFFSET(TIAM15_assumptions!$G6,0,MATCH(VLOOKUP(Assumptions!AI$2,TIAM15_assumptions!$Y$3:$Z$87,2,FALSE),TIAM15_assumptions!$H$2:$V$2,0))</f>
        <v>0.1</v>
      </c>
      <c r="AJ6" s="67">
        <f ca="1">OFFSET(TIAM15_assumptions!$G6,0,MATCH(VLOOKUP(Assumptions!AJ$2,TIAM15_assumptions!$Y$3:$Z$87,2,FALSE),TIAM15_assumptions!$H$2:$V$2,0))</f>
        <v>0.2</v>
      </c>
      <c r="AK6" s="67">
        <f ca="1">OFFSET(TIAM15_assumptions!$G6,0,MATCH(VLOOKUP(Assumptions!AK$2,TIAM15_assumptions!$Y$3:$Z$87,2,FALSE),TIAM15_assumptions!$H$2:$V$2,0))</f>
        <v>0.2</v>
      </c>
      <c r="AL6" s="67">
        <f ca="1">OFFSET(TIAM15_assumptions!$G6,0,MATCH(VLOOKUP(Assumptions!AL$2,TIAM15_assumptions!$Y$3:$Z$87,2,FALSE),TIAM15_assumptions!$H$2:$V$2,0))</f>
        <v>0.2</v>
      </c>
      <c r="AM6" s="67">
        <f ca="1">OFFSET(TIAM15_assumptions!$G6,0,MATCH(VLOOKUP(Assumptions!AM$2,TIAM15_assumptions!$Y$3:$Z$87,2,FALSE),TIAM15_assumptions!$H$2:$V$2,0))</f>
        <v>0.1</v>
      </c>
      <c r="AN6" s="67">
        <f ca="1">OFFSET(TIAM15_assumptions!$G6,0,MATCH(VLOOKUP(Assumptions!AN$2,TIAM15_assumptions!$Y$3:$Z$87,2,FALSE),TIAM15_assumptions!$H$2:$V$2,0))</f>
        <v>0.2</v>
      </c>
      <c r="AO6" s="67">
        <f ca="1">OFFSET(TIAM15_assumptions!$G6,0,MATCH(VLOOKUP(Assumptions!AO$2,TIAM15_assumptions!$Y$3:$Z$87,2,FALSE),TIAM15_assumptions!$H$2:$V$2,0))</f>
        <v>0.05</v>
      </c>
      <c r="AP6" s="67">
        <f ca="1">OFFSET(TIAM15_assumptions!$G6,0,MATCH(VLOOKUP(Assumptions!AP$2,TIAM15_assumptions!$Y$3:$Z$87,2,FALSE),TIAM15_assumptions!$H$2:$V$2,0))</f>
        <v>0.2</v>
      </c>
      <c r="AQ6" s="67">
        <f ca="1">OFFSET(TIAM15_assumptions!$G6,0,MATCH(VLOOKUP(Assumptions!AQ$2,TIAM15_assumptions!$Y$3:$Z$87,2,FALSE),TIAM15_assumptions!$H$2:$V$2,0))</f>
        <v>0.0244064218226165</v>
      </c>
      <c r="AR6" s="67">
        <f ca="1">OFFSET(TIAM15_assumptions!$G6,0,MATCH(VLOOKUP(Assumptions!AR$2,TIAM15_assumptions!$Y$3:$Z$87,2,FALSE),TIAM15_assumptions!$H$2:$V$2,0))</f>
        <v>0.0244064218226165</v>
      </c>
      <c r="AS6" s="67">
        <f ca="1">OFFSET(TIAM15_assumptions!$G6,0,MATCH(VLOOKUP(Assumptions!AS$2,TIAM15_assumptions!$Y$3:$Z$87,2,FALSE),TIAM15_assumptions!$H$2:$V$2,0))</f>
        <v>0.0244064218226165</v>
      </c>
      <c r="AT6" s="67">
        <f ca="1">OFFSET(TIAM15_assumptions!$G6,0,MATCH(VLOOKUP(Assumptions!AT$2,TIAM15_assumptions!$Y$3:$Z$87,2,FALSE),TIAM15_assumptions!$H$2:$V$2,0))</f>
        <v>0.0244064218226165</v>
      </c>
      <c r="AU6" s="67">
        <f ca="1">OFFSET(TIAM15_assumptions!$G6,0,MATCH(VLOOKUP(Assumptions!AU$2,TIAM15_assumptions!$Y$3:$Z$87,2,FALSE),TIAM15_assumptions!$H$2:$V$2,0))</f>
        <v>0.0244064218226165</v>
      </c>
      <c r="AV6" s="67">
        <f ca="1">OFFSET(TIAM15_assumptions!$G6,0,MATCH(VLOOKUP(Assumptions!AV$2,TIAM15_assumptions!$Y$3:$Z$87,2,FALSE),TIAM15_assumptions!$H$2:$V$2,0))</f>
        <v>0.0244064218226165</v>
      </c>
      <c r="AW6" s="67">
        <f ca="1">OFFSET(TIAM15_assumptions!$G6,0,MATCH(VLOOKUP(Assumptions!AW$2,TIAM15_assumptions!$Y$3:$Z$87,2,FALSE),TIAM15_assumptions!$H$2:$V$2,0))</f>
        <v>0.0244064218226165</v>
      </c>
      <c r="AX6" s="67">
        <f ca="1">OFFSET(TIAM15_assumptions!$G6,0,MATCH(VLOOKUP(Assumptions!AX$2,TIAM15_assumptions!$Y$3:$Z$87,2,FALSE),TIAM15_assumptions!$H$2:$V$2,0))</f>
        <v>0.0244064218226165</v>
      </c>
      <c r="AY6" s="67">
        <f ca="1">OFFSET(TIAM15_assumptions!$G6,0,MATCH(VLOOKUP(Assumptions!AY$2,TIAM15_assumptions!$Y$3:$Z$87,2,FALSE),TIAM15_assumptions!$H$2:$V$2,0))</f>
        <v>0.0244064218226165</v>
      </c>
      <c r="AZ6" s="67">
        <f ca="1">OFFSET(TIAM15_assumptions!$G6,0,MATCH(VLOOKUP(Assumptions!AZ$2,TIAM15_assumptions!$Y$3:$Z$87,2,FALSE),TIAM15_assumptions!$H$2:$V$2,0))</f>
        <v>0.0244064218226165</v>
      </c>
      <c r="BA6" s="67">
        <f ca="1">OFFSET(TIAM15_assumptions!$G6,0,MATCH(VLOOKUP(Assumptions!BA$2,TIAM15_assumptions!$Y$3:$Z$87,2,FALSE),TIAM15_assumptions!$H$2:$V$2,0))</f>
        <v>0.0244064218226165</v>
      </c>
      <c r="BD6" s="41">
        <f ca="1">IFERROR(SUMIFS('TRA balance'!E$5:E$40,'TRA balance'!$C$5:$C$40,Assumptions!$C6,'TRA balance'!$D$5:$D$40,Assumptions!$B6)*CY6*H6,"")</f>
        <v>0</v>
      </c>
      <c r="BE6" s="41">
        <f ca="1">IFERROR(SUMIFS('TRA balance'!F$5:F$40,'TRA balance'!$C$5:$C$40,Assumptions!$C6,'TRA balance'!$D$5:$D$40,Assumptions!$B6)*CZ6*I6,"")</f>
        <v>0</v>
      </c>
      <c r="BF6" s="41">
        <f ca="1">IFERROR(SUMIFS('TRA balance'!G$5:G$40,'TRA balance'!$C$5:$C$40,Assumptions!$C6,'TRA balance'!$D$5:$D$40,Assumptions!$B6)*DA6*J6,"")</f>
        <v>0</v>
      </c>
      <c r="BG6" s="41">
        <f ca="1">IFERROR(SUMIFS('TRA balance'!H$5:H$40,'TRA balance'!$C$5:$C$40,Assumptions!$C6,'TRA balance'!$D$5:$D$40,Assumptions!$B6)*DB6*K6,"")</f>
        <v>0</v>
      </c>
      <c r="BH6" s="41">
        <f ca="1">IFERROR(SUMIFS('TRA balance'!I$5:I$40,'TRA balance'!$C$5:$C$40,Assumptions!$C6,'TRA balance'!$D$5:$D$40,Assumptions!$B6)*DC6*L6,"")</f>
        <v>0</v>
      </c>
      <c r="BI6" s="41">
        <f ca="1">IFERROR(SUMIFS('TRA balance'!J$5:J$40,'TRA balance'!$C$5:$C$40,Assumptions!$C6,'TRA balance'!$D$5:$D$40,Assumptions!$B6)*DD6*M6,"")</f>
        <v>0</v>
      </c>
      <c r="BJ6" s="41">
        <f ca="1">IFERROR(SUMIFS('TRA balance'!K$5:K$40,'TRA balance'!$C$5:$C$40,Assumptions!$C6,'TRA balance'!$D$5:$D$40,Assumptions!$B6)*DE6*N6,"")</f>
        <v>0</v>
      </c>
      <c r="BK6" s="41">
        <f ca="1">IFERROR(SUMIFS('TRA balance'!L$5:L$40,'TRA balance'!$C$5:$C$40,Assumptions!$C6,'TRA balance'!$D$5:$D$40,Assumptions!$B6)*DF6*O6,"")</f>
        <v>0</v>
      </c>
      <c r="BL6" s="41">
        <f ca="1">IFERROR(SUMIFS('TRA balance'!M$5:M$40,'TRA balance'!$C$5:$C$40,Assumptions!$C6,'TRA balance'!$D$5:$D$40,Assumptions!$B6)*DG6*P6,"")</f>
        <v>0</v>
      </c>
      <c r="BM6" s="41">
        <f ca="1">IFERROR(SUMIFS('TRA balance'!N$5:N$40,'TRA balance'!$C$5:$C$40,Assumptions!$C6,'TRA balance'!$D$5:$D$40,Assumptions!$B6)*DH6*Q6,"")</f>
        <v>0</v>
      </c>
      <c r="BN6" s="41">
        <f ca="1">IFERROR(SUMIFS('TRA balance'!O$5:O$40,'TRA balance'!$C$5:$C$40,Assumptions!$C6,'TRA balance'!$D$5:$D$40,Assumptions!$B6)*DI6*R6,"")</f>
        <v>0</v>
      </c>
      <c r="BO6" s="41">
        <f ca="1">IFERROR(SUMIFS('TRA balance'!P$5:P$40,'TRA balance'!$C$5:$C$40,Assumptions!$C6,'TRA balance'!$D$5:$D$40,Assumptions!$B6)*DJ6*S6,"")</f>
        <v>0</v>
      </c>
      <c r="BP6" s="41">
        <f ca="1">IFERROR(SUMIFS('TRA balance'!Q$5:Q$40,'TRA balance'!$C$5:$C$40,Assumptions!$C6,'TRA balance'!$D$5:$D$40,Assumptions!$B6)*DK6*T6,"")</f>
        <v>0</v>
      </c>
      <c r="BQ6" s="41">
        <f ca="1">IFERROR(SUMIFS('TRA balance'!R$5:R$40,'TRA balance'!$C$5:$C$40,Assumptions!$C6,'TRA balance'!$D$5:$D$40,Assumptions!$B6)*DL6*U6,"")</f>
        <v>0</v>
      </c>
      <c r="BR6" s="41">
        <f ca="1">IFERROR(SUMIFS('TRA balance'!S$5:S$40,'TRA balance'!$C$5:$C$40,Assumptions!$C6,'TRA balance'!$D$5:$D$40,Assumptions!$B6)*DM6*V6,"")</f>
        <v>0</v>
      </c>
      <c r="BS6" s="41">
        <f ca="1">IFERROR(SUMIFS('TRA balance'!T$5:T$40,'TRA balance'!$C$5:$C$40,Assumptions!$C6,'TRA balance'!$D$5:$D$40,Assumptions!$B6)*DN6*W6,"")</f>
        <v>0</v>
      </c>
      <c r="BT6" s="41">
        <f ca="1">IFERROR(SUMIFS('TRA balance'!U$5:U$40,'TRA balance'!$C$5:$C$40,Assumptions!$C6,'TRA balance'!$D$5:$D$40,Assumptions!$B6)*DO6*X6,"")</f>
        <v>0</v>
      </c>
      <c r="BU6" s="41">
        <f ca="1">IFERROR(SUMIFS('TRA balance'!V$5:V$40,'TRA balance'!$C$5:$C$40,Assumptions!$C6,'TRA balance'!$D$5:$D$40,Assumptions!$B6)*DP6*Y6,"")</f>
        <v>0</v>
      </c>
      <c r="BV6" s="41">
        <f ca="1">IFERROR(SUMIFS('TRA balance'!W$5:W$40,'TRA balance'!$C$5:$C$40,Assumptions!$C6,'TRA balance'!$D$5:$D$40,Assumptions!$B6)*DQ6*Z6,"")</f>
        <v>0</v>
      </c>
      <c r="BW6" s="41">
        <f ca="1">IFERROR(SUMIFS('TRA balance'!X$5:X$40,'TRA balance'!$C$5:$C$40,Assumptions!$C6,'TRA balance'!$D$5:$D$40,Assumptions!$B6)*DR6*AA6,"")</f>
        <v>0</v>
      </c>
      <c r="BX6" s="41">
        <f ca="1">IFERROR(SUMIFS('TRA balance'!Y$5:Y$40,'TRA balance'!$C$5:$C$40,Assumptions!$C6,'TRA balance'!$D$5:$D$40,Assumptions!$B6)*DS6*AB6,"")</f>
        <v>0</v>
      </c>
      <c r="BY6" s="41">
        <f ca="1">IFERROR(SUMIFS('TRA balance'!Z$5:Z$40,'TRA balance'!$C$5:$C$40,Assumptions!$C6,'TRA balance'!$D$5:$D$40,Assumptions!$B6)*DT6*AC6,"")</f>
        <v>0</v>
      </c>
      <c r="BZ6" s="41">
        <f ca="1">IFERROR(SUMIFS('TRA balance'!AA$5:AA$40,'TRA balance'!$C$5:$C$40,Assumptions!$C6,'TRA balance'!$D$5:$D$40,Assumptions!$B6)*DU6*AD6,"")</f>
        <v>0</v>
      </c>
      <c r="CA6" s="41">
        <f ca="1">IFERROR(SUMIFS('TRA balance'!AB$5:AB$40,'TRA balance'!$C$5:$C$40,Assumptions!$C6,'TRA balance'!$D$5:$D$40,Assumptions!$B6)*DV6*AE6,"")</f>
        <v>0</v>
      </c>
      <c r="CB6" s="41">
        <f ca="1">IFERROR(SUMIFS('TRA balance'!AC$5:AC$40,'TRA balance'!$C$5:$C$40,Assumptions!$C6,'TRA balance'!$D$5:$D$40,Assumptions!$B6)*DW6*AF6,"")</f>
        <v>0</v>
      </c>
      <c r="CC6" s="41">
        <f ca="1">IFERROR(SUMIFS('TRA balance'!AD$5:AD$40,'TRA balance'!$C$5:$C$40,Assumptions!$C6,'TRA balance'!$D$5:$D$40,Assumptions!$B6)*DX6*AG6,"")</f>
        <v>0</v>
      </c>
      <c r="CD6" s="41">
        <f ca="1">IFERROR(SUMIFS('TRA balance'!AE$5:AE$40,'TRA balance'!$C$5:$C$40,Assumptions!$C6,'TRA balance'!$D$5:$D$40,Assumptions!$B6)*DY6*AH6,"")</f>
        <v>0</v>
      </c>
      <c r="CE6" s="41">
        <f ca="1">IFERROR(SUMIFS('TRA balance'!AF$5:AF$40,'TRA balance'!$C$5:$C$40,Assumptions!$C6,'TRA balance'!$D$5:$D$40,Assumptions!$B6)*DZ6*AI6,"")</f>
        <v>0</v>
      </c>
      <c r="CF6" s="41">
        <f ca="1">IFERROR(SUMIFS('TRA balance'!AG$5:AG$40,'TRA balance'!$C$5:$C$40,Assumptions!$C6,'TRA balance'!$D$5:$D$40,Assumptions!$B6)*EA6*AJ6,"")</f>
        <v>0</v>
      </c>
      <c r="CG6" s="41">
        <f ca="1">IFERROR(SUMIFS('TRA balance'!AH$5:AH$40,'TRA balance'!$C$5:$C$40,Assumptions!$C6,'TRA balance'!$D$5:$D$40,Assumptions!$B6)*EB6*AK6,"")</f>
        <v>0</v>
      </c>
      <c r="CH6" s="41">
        <f ca="1">IFERROR(SUMIFS('TRA balance'!AI$5:AI$40,'TRA balance'!$C$5:$C$40,Assumptions!$C6,'TRA balance'!$D$5:$D$40,Assumptions!$B6)*EC6*AL6,"")</f>
        <v>0</v>
      </c>
      <c r="CI6" s="41">
        <f ca="1">IFERROR(SUMIFS('TRA balance'!AJ$5:AJ$40,'TRA balance'!$C$5:$C$40,Assumptions!$C6,'TRA balance'!$D$5:$D$40,Assumptions!$B6)*ED6*AM6,"")</f>
        <v>0</v>
      </c>
      <c r="CJ6" s="41">
        <f ca="1">IFERROR(SUMIFS('TRA balance'!AK$5:AK$40,'TRA balance'!$C$5:$C$40,Assumptions!$C6,'TRA balance'!$D$5:$D$40,Assumptions!$B6)*EE6*AN6,"")</f>
        <v>0</v>
      </c>
      <c r="CK6" s="41">
        <f ca="1">IFERROR(SUMIFS('TRA balance'!AL$5:AL$40,'TRA balance'!$C$5:$C$40,Assumptions!$C6,'TRA balance'!$D$5:$D$40,Assumptions!$B6)*EF6*AO6,"")</f>
        <v>0</v>
      </c>
      <c r="CL6" s="41">
        <f ca="1">IFERROR(SUMIFS('TRA balance'!AM$5:AM$40,'TRA balance'!$C$5:$C$40,Assumptions!$C6,'TRA balance'!$D$5:$D$40,Assumptions!$B6)*EG6*AP6,"")</f>
        <v>0</v>
      </c>
      <c r="CM6" s="41">
        <f ca="1">IFERROR(SUMIFS('TRA balance'!AN$5:AN$40,'TRA balance'!$C$5:$C$40,Assumptions!$C6,'TRA balance'!$D$5:$D$40,Assumptions!$B6)*EH6*AQ6,"")</f>
        <v>0</v>
      </c>
      <c r="CN6" s="41">
        <f ca="1">IFERROR(SUMIFS('TRA balance'!AO$5:AO$40,'TRA balance'!$C$5:$C$40,Assumptions!$C6,'TRA balance'!$D$5:$D$40,Assumptions!$B6)*EI6*AR6,"")</f>
        <v>0</v>
      </c>
      <c r="CO6" s="41">
        <f ca="1">IFERROR(SUMIFS('TRA balance'!AP$5:AP$40,'TRA balance'!$C$5:$C$40,Assumptions!$C6,'TRA balance'!$D$5:$D$40,Assumptions!$B6)*EJ6*AS6,"")</f>
        <v>0</v>
      </c>
      <c r="CP6" s="41">
        <f ca="1">IFERROR(SUMIFS('TRA balance'!AQ$5:AQ$40,'TRA balance'!$C$5:$C$40,Assumptions!$C6,'TRA balance'!$D$5:$D$40,Assumptions!$B6)*EK6*AT6,"")</f>
        <v>0</v>
      </c>
      <c r="CQ6" s="41">
        <f ca="1">IFERROR(SUMIFS('TRA balance'!AR$5:AR$40,'TRA balance'!$C$5:$C$40,Assumptions!$C6,'TRA balance'!$D$5:$D$40,Assumptions!$B6)*EL6*AU6,"")</f>
        <v>0</v>
      </c>
      <c r="CR6" s="41">
        <f ca="1">IFERROR(SUMIFS('TRA balance'!AS$5:AS$40,'TRA balance'!$C$5:$C$40,Assumptions!$C6,'TRA balance'!$D$5:$D$40,Assumptions!$B6)*EM6*AV6,"")</f>
        <v>0</v>
      </c>
      <c r="CS6" s="41">
        <f ca="1">IFERROR(SUMIFS('TRA balance'!AT$5:AT$40,'TRA balance'!$C$5:$C$40,Assumptions!$C6,'TRA balance'!$D$5:$D$40,Assumptions!$B6)*EN6*AW6,"")</f>
        <v>0</v>
      </c>
      <c r="CT6" s="41">
        <f ca="1">IFERROR(SUMIFS('TRA balance'!AU$5:AU$40,'TRA balance'!$C$5:$C$40,Assumptions!$C6,'TRA balance'!$D$5:$D$40,Assumptions!$B6)*EO6*AX6,"")</f>
        <v>0</v>
      </c>
      <c r="CU6" s="41">
        <f ca="1">IFERROR(SUMIFS('TRA balance'!AV$5:AV$40,'TRA balance'!$C$5:$C$40,Assumptions!$C6,'TRA balance'!$D$5:$D$40,Assumptions!$B6)*EP6*AY6,"")</f>
        <v>0</v>
      </c>
      <c r="CV6" s="41">
        <f ca="1">IFERROR(SUMIFS('TRA balance'!AW$5:AW$40,'TRA balance'!$C$5:$C$40,Assumptions!$C6,'TRA balance'!$D$5:$D$40,Assumptions!$B6)*EQ6*AZ6,"")</f>
        <v>0</v>
      </c>
      <c r="CW6" s="41">
        <f ca="1">IFERROR(SUMIFS('TRA balance'!AX$5:AX$40,'TRA balance'!$C$5:$C$40,Assumptions!$C6,'TRA balance'!$D$5:$D$40,Assumptions!$B6)*ER6*BA6,"")</f>
        <v>0</v>
      </c>
      <c r="CY6" s="40">
        <f ca="1" t="shared" si="2"/>
        <v>1</v>
      </c>
      <c r="CZ6" s="40">
        <f ca="1" t="shared" si="3"/>
        <v>1</v>
      </c>
      <c r="DA6" s="40">
        <f ca="1" t="shared" si="4"/>
        <v>1</v>
      </c>
      <c r="DB6" s="40">
        <f ca="1" t="shared" si="5"/>
        <v>1</v>
      </c>
      <c r="DC6" s="40">
        <f ca="1" t="shared" si="6"/>
        <v>1</v>
      </c>
      <c r="DD6" s="40">
        <f ca="1" t="shared" si="7"/>
        <v>1</v>
      </c>
      <c r="DE6" s="40">
        <f ca="1" t="shared" si="8"/>
        <v>1</v>
      </c>
      <c r="DF6" s="40">
        <f ca="1" t="shared" si="9"/>
        <v>1</v>
      </c>
      <c r="DG6" s="40">
        <f ca="1" t="shared" si="10"/>
        <v>1</v>
      </c>
      <c r="DH6" s="40">
        <f ca="1" t="shared" si="11"/>
        <v>1</v>
      </c>
      <c r="DI6" s="40">
        <f ca="1" t="shared" si="12"/>
        <v>1</v>
      </c>
      <c r="DJ6" s="40">
        <f ca="1" t="shared" si="13"/>
        <v>1</v>
      </c>
      <c r="DK6" s="40">
        <f ca="1" t="shared" si="14"/>
        <v>1</v>
      </c>
      <c r="DL6" s="40">
        <f ca="1" t="shared" si="15"/>
        <v>1</v>
      </c>
      <c r="DM6" s="40">
        <f ca="1" t="shared" si="16"/>
        <v>1</v>
      </c>
      <c r="DN6" s="40">
        <f ca="1" t="shared" si="17"/>
        <v>1</v>
      </c>
      <c r="DO6" s="40">
        <f ca="1" t="shared" si="18"/>
        <v>1</v>
      </c>
      <c r="DP6" s="40">
        <f ca="1" t="shared" si="19"/>
        <v>1</v>
      </c>
      <c r="DQ6" s="40">
        <f ca="1" t="shared" si="20"/>
        <v>1</v>
      </c>
      <c r="DR6" s="40">
        <f ca="1" t="shared" si="21"/>
        <v>1</v>
      </c>
      <c r="DS6" s="40">
        <f ca="1" t="shared" si="22"/>
        <v>1</v>
      </c>
      <c r="DT6" s="40">
        <f ca="1" t="shared" si="23"/>
        <v>1</v>
      </c>
      <c r="DU6" s="40">
        <f ca="1" t="shared" si="24"/>
        <v>1</v>
      </c>
      <c r="DV6" s="40">
        <f ca="1" t="shared" si="25"/>
        <v>1</v>
      </c>
      <c r="DW6" s="40">
        <f ca="1" t="shared" si="26"/>
        <v>1</v>
      </c>
      <c r="DX6" s="40">
        <f ca="1" t="shared" si="27"/>
        <v>1</v>
      </c>
      <c r="DY6" s="40">
        <f ca="1" t="shared" si="28"/>
        <v>1</v>
      </c>
      <c r="DZ6" s="40">
        <f ca="1" t="shared" si="29"/>
        <v>1</v>
      </c>
      <c r="EA6" s="40">
        <f ca="1" t="shared" si="30"/>
        <v>1</v>
      </c>
      <c r="EB6" s="40">
        <f ca="1" t="shared" si="31"/>
        <v>1</v>
      </c>
      <c r="EC6" s="40">
        <f ca="1" t="shared" si="32"/>
        <v>1</v>
      </c>
      <c r="ED6" s="40">
        <f ca="1" t="shared" si="33"/>
        <v>1</v>
      </c>
      <c r="EE6" s="40">
        <f ca="1" t="shared" si="34"/>
        <v>1</v>
      </c>
      <c r="EF6" s="40">
        <f ca="1" t="shared" si="35"/>
        <v>1</v>
      </c>
      <c r="EG6" s="40">
        <f ca="1" t="shared" si="36"/>
        <v>1</v>
      </c>
      <c r="EH6" s="40">
        <f ca="1" t="shared" si="37"/>
        <v>1</v>
      </c>
      <c r="EI6" s="40">
        <f ca="1" t="shared" si="38"/>
        <v>1</v>
      </c>
      <c r="EJ6" s="40">
        <f ca="1" t="shared" si="39"/>
        <v>1</v>
      </c>
      <c r="EK6" s="40">
        <f ca="1" t="shared" si="40"/>
        <v>1</v>
      </c>
      <c r="EL6" s="40">
        <f ca="1" t="shared" si="41"/>
        <v>1</v>
      </c>
      <c r="EM6" s="40">
        <f ca="1" t="shared" si="42"/>
        <v>1</v>
      </c>
      <c r="EN6" s="40">
        <f ca="1" t="shared" si="43"/>
        <v>1</v>
      </c>
      <c r="EO6" s="40">
        <f ca="1" t="shared" si="44"/>
        <v>1</v>
      </c>
      <c r="EP6" s="40">
        <f ca="1" t="shared" si="45"/>
        <v>1</v>
      </c>
      <c r="EQ6" s="40">
        <f ca="1" t="shared" si="46"/>
        <v>1</v>
      </c>
      <c r="ER6" s="40">
        <f ca="1" t="shared" si="47"/>
        <v>1</v>
      </c>
      <c r="EU6" t="s">
        <v>215</v>
      </c>
      <c r="EV6">
        <v>15</v>
      </c>
    </row>
    <row r="7" spans="1:152">
      <c r="A7">
        <v>1</v>
      </c>
      <c r="B7" t="str">
        <f>VLOOKUP(F7,'TRA balance'!$BA$5:$BB$14,2,FALSE)</f>
        <v>TRADST</v>
      </c>
      <c r="C7" s="56" t="str">
        <f t="shared" si="48"/>
        <v>TR</v>
      </c>
      <c r="D7" s="57" t="s">
        <v>200</v>
      </c>
      <c r="E7" s="68" t="s">
        <v>202</v>
      </c>
      <c r="F7" s="58" t="str">
        <f>F6</f>
        <v>Diesel</v>
      </c>
      <c r="G7" s="56" t="s">
        <v>203</v>
      </c>
      <c r="H7" s="59">
        <f ca="1">OFFSET(TIAM15_assumptions!$G7,0,MATCH(VLOOKUP(Assumptions!H$2,TIAM15_assumptions!$Y$3:$Z$87,2,FALSE),TIAM15_assumptions!$H$2:$V$2,0))</f>
        <v>0.5</v>
      </c>
      <c r="I7" s="59">
        <f ca="1">OFFSET(TIAM15_assumptions!$G7,0,MATCH(VLOOKUP(Assumptions!I$2,TIAM15_assumptions!$Y$3:$Z$87,2,FALSE),TIAM15_assumptions!$H$2:$V$2,0))</f>
        <v>0.5</v>
      </c>
      <c r="J7" s="59">
        <f ca="1">OFFSET(TIAM15_assumptions!$G7,0,MATCH(VLOOKUP(Assumptions!J$2,TIAM15_assumptions!$Y$3:$Z$87,2,FALSE),TIAM15_assumptions!$H$2:$V$2,0))</f>
        <v>0.3</v>
      </c>
      <c r="K7" s="59">
        <f ca="1">OFFSET(TIAM15_assumptions!$G7,0,MATCH(VLOOKUP(Assumptions!K$2,TIAM15_assumptions!$Y$3:$Z$87,2,FALSE),TIAM15_assumptions!$H$2:$V$2,0))</f>
        <v>0.8</v>
      </c>
      <c r="L7" s="59">
        <f ca="1">OFFSET(TIAM15_assumptions!$G7,0,MATCH(VLOOKUP(Assumptions!L$2,TIAM15_assumptions!$Y$3:$Z$87,2,FALSE),TIAM15_assumptions!$H$2:$V$2,0))</f>
        <v>0.51</v>
      </c>
      <c r="M7" s="59">
        <f ca="1">OFFSET(TIAM15_assumptions!$G7,0,MATCH(VLOOKUP(Assumptions!M$2,TIAM15_assumptions!$Y$3:$Z$87,2,FALSE),TIAM15_assumptions!$H$2:$V$2,0))</f>
        <v>0.8</v>
      </c>
      <c r="N7" s="59">
        <f ca="1">OFFSET(TIAM15_assumptions!$G7,0,MATCH(VLOOKUP(Assumptions!N$2,TIAM15_assumptions!$Y$3:$Z$87,2,FALSE),TIAM15_assumptions!$H$2:$V$2,0))</f>
        <v>0.3</v>
      </c>
      <c r="O7" s="59">
        <f ca="1">OFFSET(TIAM15_assumptions!$G7,0,MATCH(VLOOKUP(Assumptions!O$2,TIAM15_assumptions!$Y$3:$Z$87,2,FALSE),TIAM15_assumptions!$H$2:$V$2,0))</f>
        <v>0.2</v>
      </c>
      <c r="P7" s="59">
        <f ca="1">OFFSET(TIAM15_assumptions!$G7,0,MATCH(VLOOKUP(Assumptions!P$2,TIAM15_assumptions!$Y$3:$Z$87,2,FALSE),TIAM15_assumptions!$H$2:$V$2,0))</f>
        <v>0.51</v>
      </c>
      <c r="Q7" s="59">
        <f ca="1">OFFSET(TIAM15_assumptions!$G7,0,MATCH(VLOOKUP(Assumptions!Q$2,TIAM15_assumptions!$Y$3:$Z$87,2,FALSE),TIAM15_assumptions!$H$2:$V$2,0))</f>
        <v>0.51</v>
      </c>
      <c r="R7" s="59">
        <f ca="1">OFFSET(TIAM15_assumptions!$G7,0,MATCH(VLOOKUP(Assumptions!R$2,TIAM15_assumptions!$Y$3:$Z$87,2,FALSE),TIAM15_assumptions!$H$2:$V$2,0))</f>
        <v>0.8</v>
      </c>
      <c r="S7" s="59">
        <f ca="1">OFFSET(TIAM15_assumptions!$G7,0,MATCH(VLOOKUP(Assumptions!S$2,TIAM15_assumptions!$Y$3:$Z$87,2,FALSE),TIAM15_assumptions!$H$2:$V$2,0))</f>
        <v>0.8</v>
      </c>
      <c r="T7" s="59">
        <f ca="1">OFFSET(TIAM15_assumptions!$G7,0,MATCH(VLOOKUP(Assumptions!T$2,TIAM15_assumptions!$Y$3:$Z$87,2,FALSE),TIAM15_assumptions!$H$2:$V$2,0))</f>
        <v>0.8</v>
      </c>
      <c r="U7" s="59">
        <f ca="1">OFFSET(TIAM15_assumptions!$G7,0,MATCH(VLOOKUP(Assumptions!U$2,TIAM15_assumptions!$Y$3:$Z$87,2,FALSE),TIAM15_assumptions!$H$2:$V$2,0))</f>
        <v>0.51</v>
      </c>
      <c r="V7" s="59">
        <f ca="1">OFFSET(TIAM15_assumptions!$G7,0,MATCH(VLOOKUP(Assumptions!V$2,TIAM15_assumptions!$Y$3:$Z$87,2,FALSE),TIAM15_assumptions!$H$2:$V$2,0))</f>
        <v>0.8</v>
      </c>
      <c r="W7" s="59">
        <f ca="1">OFFSET(TIAM15_assumptions!$G7,0,MATCH(VLOOKUP(Assumptions!W$2,TIAM15_assumptions!$Y$3:$Z$87,2,FALSE),TIAM15_assumptions!$H$2:$V$2,0))</f>
        <v>0.4</v>
      </c>
      <c r="X7" s="59">
        <f ca="1">OFFSET(TIAM15_assumptions!$G7,0,MATCH(VLOOKUP(Assumptions!X$2,TIAM15_assumptions!$Y$3:$Z$87,2,FALSE),TIAM15_assumptions!$H$2:$V$2,0))</f>
        <v>0.8</v>
      </c>
      <c r="Y7" s="59">
        <f ca="1">OFFSET(TIAM15_assumptions!$G7,0,MATCH(VLOOKUP(Assumptions!Y$2,TIAM15_assumptions!$Y$3:$Z$87,2,FALSE),TIAM15_assumptions!$H$2:$V$2,0))</f>
        <v>0.8</v>
      </c>
      <c r="Z7" s="59">
        <f ca="1">OFFSET(TIAM15_assumptions!$G7,0,MATCH(VLOOKUP(Assumptions!Z$2,TIAM15_assumptions!$Y$3:$Z$87,2,FALSE),TIAM15_assumptions!$H$2:$V$2,0))</f>
        <v>0.46</v>
      </c>
      <c r="AA7" s="59">
        <f ca="1">OFFSET(TIAM15_assumptions!$G7,0,MATCH(VLOOKUP(Assumptions!AA$2,TIAM15_assumptions!$Y$3:$Z$87,2,FALSE),TIAM15_assumptions!$H$2:$V$2,0))</f>
        <v>0.3</v>
      </c>
      <c r="AB7" s="59">
        <f ca="1">OFFSET(TIAM15_assumptions!$G7,0,MATCH(VLOOKUP(Assumptions!AB$2,TIAM15_assumptions!$Y$3:$Z$87,2,FALSE),TIAM15_assumptions!$H$2:$V$2,0))</f>
        <v>0.2</v>
      </c>
      <c r="AC7" s="59">
        <f ca="1">OFFSET(TIAM15_assumptions!$G7,0,MATCH(VLOOKUP(Assumptions!AC$2,TIAM15_assumptions!$Y$3:$Z$87,2,FALSE),TIAM15_assumptions!$H$2:$V$2,0))</f>
        <v>0.391737102078734</v>
      </c>
      <c r="AD7" s="59">
        <f ca="1">OFFSET(TIAM15_assumptions!$G7,0,MATCH(VLOOKUP(Assumptions!AD$2,TIAM15_assumptions!$Y$3:$Z$87,2,FALSE),TIAM15_assumptions!$H$2:$V$2,0))</f>
        <v>0.8</v>
      </c>
      <c r="AE7" s="59">
        <f ca="1">OFFSET(TIAM15_assumptions!$G7,0,MATCH(VLOOKUP(Assumptions!AE$2,TIAM15_assumptions!$Y$3:$Z$87,2,FALSE),TIAM15_assumptions!$H$2:$V$2,0))</f>
        <v>0.51</v>
      </c>
      <c r="AF7" s="59">
        <f ca="1">OFFSET(TIAM15_assumptions!$G7,0,MATCH(VLOOKUP(Assumptions!AF$2,TIAM15_assumptions!$Y$3:$Z$87,2,FALSE),TIAM15_assumptions!$H$2:$V$2,0))</f>
        <v>0.34</v>
      </c>
      <c r="AG7" s="59">
        <f ca="1">OFFSET(TIAM15_assumptions!$G7,0,MATCH(VLOOKUP(Assumptions!AG$2,TIAM15_assumptions!$Y$3:$Z$87,2,FALSE),TIAM15_assumptions!$H$2:$V$2,0))</f>
        <v>0.51</v>
      </c>
      <c r="AH7" s="59">
        <f ca="1">OFFSET(TIAM15_assumptions!$G7,0,MATCH(VLOOKUP(Assumptions!AH$2,TIAM15_assumptions!$Y$3:$Z$87,2,FALSE),TIAM15_assumptions!$H$2:$V$2,0))</f>
        <v>0.2</v>
      </c>
      <c r="AI7" s="59">
        <f ca="1">OFFSET(TIAM15_assumptions!$G7,0,MATCH(VLOOKUP(Assumptions!AI$2,TIAM15_assumptions!$Y$3:$Z$87,2,FALSE),TIAM15_assumptions!$H$2:$V$2,0))</f>
        <v>0.5</v>
      </c>
      <c r="AJ7" s="59">
        <f ca="1">OFFSET(TIAM15_assumptions!$G7,0,MATCH(VLOOKUP(Assumptions!AJ$2,TIAM15_assumptions!$Y$3:$Z$87,2,FALSE),TIAM15_assumptions!$H$2:$V$2,0))</f>
        <v>0.8</v>
      </c>
      <c r="AK7" s="59">
        <f ca="1">OFFSET(TIAM15_assumptions!$G7,0,MATCH(VLOOKUP(Assumptions!AK$2,TIAM15_assumptions!$Y$3:$Z$87,2,FALSE),TIAM15_assumptions!$H$2:$V$2,0))</f>
        <v>0.8</v>
      </c>
      <c r="AL7" s="59">
        <f ca="1">OFFSET(TIAM15_assumptions!$G7,0,MATCH(VLOOKUP(Assumptions!AL$2,TIAM15_assumptions!$Y$3:$Z$87,2,FALSE),TIAM15_assumptions!$H$2:$V$2,0))</f>
        <v>0.8</v>
      </c>
      <c r="AM7" s="59">
        <f ca="1">OFFSET(TIAM15_assumptions!$G7,0,MATCH(VLOOKUP(Assumptions!AM$2,TIAM15_assumptions!$Y$3:$Z$87,2,FALSE),TIAM15_assumptions!$H$2:$V$2,0))</f>
        <v>0.2</v>
      </c>
      <c r="AN7" s="59">
        <f ca="1">OFFSET(TIAM15_assumptions!$G7,0,MATCH(VLOOKUP(Assumptions!AN$2,TIAM15_assumptions!$Y$3:$Z$87,2,FALSE),TIAM15_assumptions!$H$2:$V$2,0))</f>
        <v>0.8</v>
      </c>
      <c r="AO7" s="59">
        <f ca="1">OFFSET(TIAM15_assumptions!$G7,0,MATCH(VLOOKUP(Assumptions!AO$2,TIAM15_assumptions!$Y$3:$Z$87,2,FALSE),TIAM15_assumptions!$H$2:$V$2,0))</f>
        <v>0.51</v>
      </c>
      <c r="AP7" s="59">
        <f ca="1">OFFSET(TIAM15_assumptions!$G7,0,MATCH(VLOOKUP(Assumptions!AP$2,TIAM15_assumptions!$Y$3:$Z$87,2,FALSE),TIAM15_assumptions!$H$2:$V$2,0))</f>
        <v>0.51</v>
      </c>
      <c r="AQ7" s="59">
        <f ca="1">OFFSET(TIAM15_assumptions!$G7,0,MATCH(VLOOKUP(Assumptions!AQ$2,TIAM15_assumptions!$Y$3:$Z$87,2,FALSE),TIAM15_assumptions!$H$2:$V$2,0))</f>
        <v>0.391737102078734</v>
      </c>
      <c r="AR7" s="59">
        <f ca="1">OFFSET(TIAM15_assumptions!$G7,0,MATCH(VLOOKUP(Assumptions!AR$2,TIAM15_assumptions!$Y$3:$Z$87,2,FALSE),TIAM15_assumptions!$H$2:$V$2,0))</f>
        <v>0.391737102078734</v>
      </c>
      <c r="AS7" s="59">
        <f ca="1">OFFSET(TIAM15_assumptions!$G7,0,MATCH(VLOOKUP(Assumptions!AS$2,TIAM15_assumptions!$Y$3:$Z$87,2,FALSE),TIAM15_assumptions!$H$2:$V$2,0))</f>
        <v>0.391737102078734</v>
      </c>
      <c r="AT7" s="59">
        <f ca="1">OFFSET(TIAM15_assumptions!$G7,0,MATCH(VLOOKUP(Assumptions!AT$2,TIAM15_assumptions!$Y$3:$Z$87,2,FALSE),TIAM15_assumptions!$H$2:$V$2,0))</f>
        <v>0.391737102078734</v>
      </c>
      <c r="AU7" s="59">
        <f ca="1">OFFSET(TIAM15_assumptions!$G7,0,MATCH(VLOOKUP(Assumptions!AU$2,TIAM15_assumptions!$Y$3:$Z$87,2,FALSE),TIAM15_assumptions!$H$2:$V$2,0))</f>
        <v>0.391737102078734</v>
      </c>
      <c r="AV7" s="59">
        <f ca="1">OFFSET(TIAM15_assumptions!$G7,0,MATCH(VLOOKUP(Assumptions!AV$2,TIAM15_assumptions!$Y$3:$Z$87,2,FALSE),TIAM15_assumptions!$H$2:$V$2,0))</f>
        <v>0.391737102078734</v>
      </c>
      <c r="AW7" s="59">
        <f ca="1">OFFSET(TIAM15_assumptions!$G7,0,MATCH(VLOOKUP(Assumptions!AW$2,TIAM15_assumptions!$Y$3:$Z$87,2,FALSE),TIAM15_assumptions!$H$2:$V$2,0))</f>
        <v>0.391737102078734</v>
      </c>
      <c r="AX7" s="59">
        <f ca="1">OFFSET(TIAM15_assumptions!$G7,0,MATCH(VLOOKUP(Assumptions!AX$2,TIAM15_assumptions!$Y$3:$Z$87,2,FALSE),TIAM15_assumptions!$H$2:$V$2,0))</f>
        <v>0.391737102078734</v>
      </c>
      <c r="AY7" s="59">
        <f ca="1">OFFSET(TIAM15_assumptions!$G7,0,MATCH(VLOOKUP(Assumptions!AY$2,TIAM15_assumptions!$Y$3:$Z$87,2,FALSE),TIAM15_assumptions!$H$2:$V$2,0))</f>
        <v>0.391737102078734</v>
      </c>
      <c r="AZ7" s="59">
        <f ca="1">OFFSET(TIAM15_assumptions!$G7,0,MATCH(VLOOKUP(Assumptions!AZ$2,TIAM15_assumptions!$Y$3:$Z$87,2,FALSE),TIAM15_assumptions!$H$2:$V$2,0))</f>
        <v>0.391737102078734</v>
      </c>
      <c r="BA7" s="59">
        <f ca="1">OFFSET(TIAM15_assumptions!$G7,0,MATCH(VLOOKUP(Assumptions!BA$2,TIAM15_assumptions!$Y$3:$Z$87,2,FALSE),TIAM15_assumptions!$H$2:$V$2,0))</f>
        <v>0.391737102078734</v>
      </c>
      <c r="BD7" s="41">
        <f ca="1">IFERROR(SUMIFS('TRA balance'!E$5:E$40,'TRA balance'!$C$5:$C$40,Assumptions!$C7,'TRA balance'!$D$5:$D$40,Assumptions!$B7)*CY7*H7,"")</f>
        <v>55.6010274303</v>
      </c>
      <c r="BE7" s="41">
        <f ca="1">IFERROR(SUMIFS('TRA balance'!F$5:F$40,'TRA balance'!$C$5:$C$40,Assumptions!$C7,'TRA balance'!$D$5:$D$40,Assumptions!$B7)*CZ7*I7,"")</f>
        <v>49.41138100608</v>
      </c>
      <c r="BF7" s="41">
        <f ca="1">IFERROR(SUMIFS('TRA balance'!G$5:G$40,'TRA balance'!$C$5:$C$40,Assumptions!$C7,'TRA balance'!$D$5:$D$40,Assumptions!$B7)*DA7*J7,"")</f>
        <v>3.4538274663624</v>
      </c>
      <c r="BG7" s="41">
        <f ca="1">IFERROR(SUMIFS('TRA balance'!H$5:H$40,'TRA balance'!$C$5:$C$40,Assumptions!$C7,'TRA balance'!$D$5:$D$40,Assumptions!$B7)*DB7*K7,"")</f>
        <v>41.384086976448</v>
      </c>
      <c r="BH7" s="41">
        <f ca="1">IFERROR(SUMIFS('TRA balance'!I$5:I$40,'TRA balance'!$C$5:$C$40,Assumptions!$C7,'TRA balance'!$D$5:$D$40,Assumptions!$B7)*DC7*L7,"")</f>
        <v>3.092386400307</v>
      </c>
      <c r="BI7" s="41">
        <f ca="1">IFERROR(SUMIFS('TRA balance'!J$5:J$40,'TRA balance'!$C$5:$C$40,Assumptions!$C7,'TRA balance'!$D$5:$D$40,Assumptions!$B7)*DD7*M7,"")</f>
        <v>87.717149073216</v>
      </c>
      <c r="BJ7" s="41">
        <f ca="1">IFERROR(SUMIFS('TRA balance'!K$5:K$40,'TRA balance'!$C$5:$C$40,Assumptions!$C7,'TRA balance'!$D$5:$D$40,Assumptions!$B7)*DE7*N7,"")</f>
        <v>30.1558241933424</v>
      </c>
      <c r="BK7" s="41">
        <f ca="1">IFERROR(SUMIFS('TRA balance'!L$5:L$40,'TRA balance'!$C$5:$C$40,Assumptions!$C7,'TRA balance'!$D$5:$D$40,Assumptions!$B7)*DF7*O7,"")</f>
        <v>77.627432255688</v>
      </c>
      <c r="BL7" s="41">
        <f ca="1">IFERROR(SUMIFS('TRA balance'!M$5:M$40,'TRA balance'!$C$5:$C$40,Assumptions!$C7,'TRA balance'!$D$5:$D$40,Assumptions!$B7)*DG7*P7,"")</f>
        <v>12.290391216468</v>
      </c>
      <c r="BM7" s="41">
        <f ca="1">IFERROR(SUMIFS('TRA balance'!N$5:N$40,'TRA balance'!$C$5:$C$40,Assumptions!$C7,'TRA balance'!$D$5:$D$40,Assumptions!$B7)*DH7*Q7,"")</f>
        <v>26.3362571466336</v>
      </c>
      <c r="BN7" s="41">
        <f ca="1">IFERROR(SUMIFS('TRA balance'!O$5:O$40,'TRA balance'!$C$5:$C$40,Assumptions!$C7,'TRA balance'!$D$5:$D$40,Assumptions!$B7)*DI7*R7,"")</f>
        <v>205.824019814208</v>
      </c>
      <c r="BO7" s="41">
        <f ca="1">IFERROR(SUMIFS('TRA balance'!P$5:P$40,'TRA balance'!$C$5:$C$40,Assumptions!$C7,'TRA balance'!$D$5:$D$40,Assumptions!$B7)*DJ7*S7,"")</f>
        <v>222.2833917168</v>
      </c>
      <c r="BP7" s="41">
        <f ca="1">IFERROR(SUMIFS('TRA balance'!Q$5:Q$40,'TRA balance'!$C$5:$C$40,Assumptions!$C7,'TRA balance'!$D$5:$D$40,Assumptions!$B7)*DK7*T7,"")</f>
        <v>17.975641284288</v>
      </c>
      <c r="BQ7" s="41">
        <f ca="1">IFERROR(SUMIFS('TRA balance'!R$5:R$40,'TRA balance'!$C$5:$C$40,Assumptions!$C7,'TRA balance'!$D$5:$D$40,Assumptions!$B7)*DL7*U7,"")</f>
        <v>41.0900344555896</v>
      </c>
      <c r="BR7" s="41">
        <f ca="1">IFERROR(SUMIFS('TRA balance'!S$5:S$40,'TRA balance'!$C$5:$C$40,Assumptions!$C7,'TRA balance'!$D$5:$D$40,Assumptions!$B7)*DM7*V7,"")</f>
        <v>1.232735266368</v>
      </c>
      <c r="BS7" s="41">
        <f ca="1">IFERROR(SUMIFS('TRA balance'!T$5:T$40,'TRA balance'!$C$5:$C$40,Assumptions!$C7,'TRA balance'!$D$5:$D$40,Assumptions!$B7)*DN7*W7,"")</f>
        <v>243.36589206996</v>
      </c>
      <c r="BT7" s="41">
        <f ca="1">IFERROR(SUMIFS('TRA balance'!U$5:U$40,'TRA balance'!$C$5:$C$40,Assumptions!$C7,'TRA balance'!$D$5:$D$40,Assumptions!$B7)*DO7*X7,"")</f>
        <v>19.73514163968</v>
      </c>
      <c r="BU7" s="41">
        <f ca="1">IFERROR(SUMIFS('TRA balance'!V$5:V$40,'TRA balance'!$C$5:$C$40,Assumptions!$C7,'TRA balance'!$D$5:$D$40,Assumptions!$B7)*DP7*Y7,"")</f>
        <v>144.007197300288</v>
      </c>
      <c r="BV7" s="41">
        <f ca="1">IFERROR(SUMIFS('TRA balance'!W$5:W$40,'TRA balance'!$C$5:$C$40,Assumptions!$C7,'TRA balance'!$D$5:$D$40,Assumptions!$B7)*DQ7*Z7,"")</f>
        <v>21.0052326284028</v>
      </c>
      <c r="BW7" s="41">
        <f ca="1">IFERROR(SUMIFS('TRA balance'!X$5:X$40,'TRA balance'!$C$5:$C$40,Assumptions!$C7,'TRA balance'!$D$5:$D$40,Assumptions!$B7)*DR7*AA7,"")</f>
        <v>30.9617266882896</v>
      </c>
      <c r="BX7" s="41">
        <f ca="1">IFERROR(SUMIFS('TRA balance'!Y$5:Y$40,'TRA balance'!$C$5:$C$40,Assumptions!$C7,'TRA balance'!$D$5:$D$40,Assumptions!$B7)*DS7*AB7,"")</f>
        <v>29.955318559056</v>
      </c>
      <c r="BY7" s="41">
        <f ca="1">IFERROR(SUMIFS('TRA balance'!Z$5:Z$40,'TRA balance'!$C$5:$C$40,Assumptions!$C7,'TRA balance'!$D$5:$D$40,Assumptions!$B7)*DT7*AC7,"")</f>
        <v>60.2350730707134</v>
      </c>
      <c r="BZ7" s="41">
        <f ca="1">IFERROR(SUMIFS('TRA balance'!AA$5:AA$40,'TRA balance'!$C$5:$C$40,Assumptions!$C7,'TRA balance'!$D$5:$D$40,Assumptions!$B7)*DU7*AD7,"")</f>
        <v>14.17602583008</v>
      </c>
      <c r="CA7" s="41">
        <f ca="1">IFERROR(SUMIFS('TRA balance'!AB$5:AB$40,'TRA balance'!$C$5:$C$40,Assumptions!$C7,'TRA balance'!$D$5:$D$40,Assumptions!$B7)*DV7*AE7,"")</f>
        <v>60.4654178527656</v>
      </c>
      <c r="CB7" s="41">
        <f ca="1">IFERROR(SUMIFS('TRA balance'!AC$5:AC$40,'TRA balance'!$C$5:$C$40,Assumptions!$C7,'TRA balance'!$D$5:$D$40,Assumptions!$B7)*DW7*AF7,"")</f>
        <v>109.218101473538</v>
      </c>
      <c r="CC7" s="41">
        <f ca="1">IFERROR(SUMIFS('TRA balance'!AD$5:AD$40,'TRA balance'!$C$5:$C$40,Assumptions!$C7,'TRA balance'!$D$5:$D$40,Assumptions!$B7)*DX7*AG7,"")</f>
        <v>17.883902969712</v>
      </c>
      <c r="CD7" s="41">
        <f ca="1">IFERROR(SUMIFS('TRA balance'!AE$5:AE$40,'TRA balance'!$C$5:$C$40,Assumptions!$C7,'TRA balance'!$D$5:$D$40,Assumptions!$B7)*DY7*AH7,"")</f>
        <v>17.03597448168</v>
      </c>
      <c r="CE7" s="41">
        <f ca="1">IFERROR(SUMIFS('TRA balance'!AF$5:AF$40,'TRA balance'!$C$5:$C$40,Assumptions!$C7,'TRA balance'!$D$5:$D$40,Assumptions!$B7)*DZ7*AI7,"")</f>
        <v>17.35640954496</v>
      </c>
      <c r="CF7" s="41">
        <f ca="1">IFERROR(SUMIFS('TRA balance'!AG$5:AG$40,'TRA balance'!$C$5:$C$40,Assumptions!$C7,'TRA balance'!$D$5:$D$40,Assumptions!$B7)*EA7*AJ7,"")</f>
        <v>171.86916827808</v>
      </c>
      <c r="CG7" s="41">
        <f ca="1">IFERROR(SUMIFS('TRA balance'!AH$5:AH$40,'TRA balance'!$C$5:$C$40,Assumptions!$C7,'TRA balance'!$D$5:$D$40,Assumptions!$B7)*EB7*AK7,"")</f>
        <v>51.594066358272</v>
      </c>
      <c r="CH7" s="41">
        <f ca="1">IFERROR(SUMIFS('TRA balance'!AI$5:AI$40,'TRA balance'!$C$5:$C$40,Assumptions!$C7,'TRA balance'!$D$5:$D$40,Assumptions!$B7)*EC7*AL7,"")</f>
        <v>18.21042965952</v>
      </c>
      <c r="CI7" s="41">
        <f ca="1">IFERROR(SUMIFS('TRA balance'!AJ$5:AJ$40,'TRA balance'!$C$5:$C$40,Assumptions!$C7,'TRA balance'!$D$5:$D$40,Assumptions!$B7)*ED7*AM7,"")</f>
        <v>16.447008030984</v>
      </c>
      <c r="CJ7" s="41">
        <f ca="1">IFERROR(SUMIFS('TRA balance'!AK$5:AK$40,'TRA balance'!$C$5:$C$40,Assumptions!$C7,'TRA balance'!$D$5:$D$40,Assumptions!$B7)*EE7*AN7,"")</f>
        <v>162.262309159296</v>
      </c>
      <c r="CK7" s="41">
        <f ca="1">IFERROR(SUMIFS('TRA balance'!AL$5:AL$40,'TRA balance'!$C$5:$C$40,Assumptions!$C7,'TRA balance'!$D$5:$D$40,Assumptions!$B7)*EF7*AO7,"")</f>
        <v>4.6357572565998</v>
      </c>
      <c r="CL7" s="41">
        <f ca="1">IFERROR(SUMIFS('TRA balance'!AM$5:AM$40,'TRA balance'!$C$5:$C$40,Assumptions!$C7,'TRA balance'!$D$5:$D$40,Assumptions!$B7)*EG7*AP7,"")</f>
        <v>19.147501190412</v>
      </c>
      <c r="CM7" s="41">
        <f ca="1">IFERROR(SUMIFS('TRA balance'!AN$5:AN$40,'TRA balance'!$C$5:$C$40,Assumptions!$C7,'TRA balance'!$D$5:$D$40,Assumptions!$B7)*EH7*AQ7,"")</f>
        <v>0</v>
      </c>
      <c r="CN7" s="41">
        <f ca="1">IFERROR(SUMIFS('TRA balance'!AO$5:AO$40,'TRA balance'!$C$5:$C$40,Assumptions!$C7,'TRA balance'!$D$5:$D$40,Assumptions!$B7)*EI7*AR7,"")</f>
        <v>0</v>
      </c>
      <c r="CO7" s="41">
        <f ca="1">IFERROR(SUMIFS('TRA balance'!AP$5:AP$40,'TRA balance'!$C$5:$C$40,Assumptions!$C7,'TRA balance'!$D$5:$D$40,Assumptions!$B7)*EJ7*AS7,"")</f>
        <v>0</v>
      </c>
      <c r="CP7" s="41">
        <f ca="1">IFERROR(SUMIFS('TRA balance'!AQ$5:AQ$40,'TRA balance'!$C$5:$C$40,Assumptions!$C7,'TRA balance'!$D$5:$D$40,Assumptions!$B7)*EK7*AT7,"")</f>
        <v>0</v>
      </c>
      <c r="CQ7" s="41">
        <f ca="1">IFERROR(SUMIFS('TRA balance'!AR$5:AR$40,'TRA balance'!$C$5:$C$40,Assumptions!$C7,'TRA balance'!$D$5:$D$40,Assumptions!$B7)*EL7*AU7,"")</f>
        <v>0</v>
      </c>
      <c r="CR7" s="41">
        <f ca="1">IFERROR(SUMIFS('TRA balance'!AS$5:AS$40,'TRA balance'!$C$5:$C$40,Assumptions!$C7,'TRA balance'!$D$5:$D$40,Assumptions!$B7)*EM7*AV7,"")</f>
        <v>0</v>
      </c>
      <c r="CS7" s="41">
        <f ca="1">IFERROR(SUMIFS('TRA balance'!AT$5:AT$40,'TRA balance'!$C$5:$C$40,Assumptions!$C7,'TRA balance'!$D$5:$D$40,Assumptions!$B7)*EN7*AW7,"")</f>
        <v>0</v>
      </c>
      <c r="CT7" s="41">
        <f ca="1">IFERROR(SUMIFS('TRA balance'!AU$5:AU$40,'TRA balance'!$C$5:$C$40,Assumptions!$C7,'TRA balance'!$D$5:$D$40,Assumptions!$B7)*EO7*AX7,"")</f>
        <v>0</v>
      </c>
      <c r="CU7" s="41">
        <f ca="1">IFERROR(SUMIFS('TRA balance'!AV$5:AV$40,'TRA balance'!$C$5:$C$40,Assumptions!$C7,'TRA balance'!$D$5:$D$40,Assumptions!$B7)*EP7*AY7,"")</f>
        <v>0</v>
      </c>
      <c r="CV7" s="41">
        <f ca="1">IFERROR(SUMIFS('TRA balance'!AW$5:AW$40,'TRA balance'!$C$5:$C$40,Assumptions!$C7,'TRA balance'!$D$5:$D$40,Assumptions!$B7)*EQ7*AZ7,"")</f>
        <v>0</v>
      </c>
      <c r="CW7" s="41">
        <f ca="1">IFERROR(SUMIFS('TRA balance'!AX$5:AX$40,'TRA balance'!$C$5:$C$40,Assumptions!$C7,'TRA balance'!$D$5:$D$40,Assumptions!$B7)*ER7*BA7,"")</f>
        <v>0</v>
      </c>
      <c r="CY7" s="40">
        <f ca="1" t="shared" si="2"/>
        <v>0.1</v>
      </c>
      <c r="CZ7" s="40">
        <f ca="1" t="shared" si="3"/>
        <v>0.1</v>
      </c>
      <c r="DA7" s="40">
        <f ca="1" t="shared" si="4"/>
        <v>0.02</v>
      </c>
      <c r="DB7" s="40">
        <f ca="1" t="shared" si="5"/>
        <v>0.2</v>
      </c>
      <c r="DC7" s="40">
        <f ca="1" t="shared" si="6"/>
        <v>0.05</v>
      </c>
      <c r="DD7" s="40">
        <f ca="1" t="shared" si="7"/>
        <v>0.2</v>
      </c>
      <c r="DE7" s="40">
        <f ca="1" t="shared" si="8"/>
        <v>0.07</v>
      </c>
      <c r="DF7" s="40">
        <f ca="1" t="shared" si="9"/>
        <v>0.1</v>
      </c>
      <c r="DG7" s="40">
        <f ca="1" t="shared" si="10"/>
        <v>0.2</v>
      </c>
      <c r="DH7" s="40">
        <f ca="1" t="shared" si="11"/>
        <v>0.2</v>
      </c>
      <c r="DI7" s="40">
        <f ca="1" t="shared" si="12"/>
        <v>0.2</v>
      </c>
      <c r="DJ7" s="40">
        <f ca="1" t="shared" si="13"/>
        <v>0.2</v>
      </c>
      <c r="DK7" s="40">
        <f ca="1" t="shared" si="14"/>
        <v>0.2</v>
      </c>
      <c r="DL7" s="40">
        <f ca="1" t="shared" si="15"/>
        <v>0.2</v>
      </c>
      <c r="DM7" s="40">
        <f ca="1" t="shared" si="16"/>
        <v>0.2</v>
      </c>
      <c r="DN7" s="40">
        <f ca="1" t="shared" si="17"/>
        <v>0.25</v>
      </c>
      <c r="DO7" s="40">
        <f ca="1" t="shared" si="18"/>
        <v>0.2</v>
      </c>
      <c r="DP7" s="40">
        <f ca="1" t="shared" si="19"/>
        <v>0.2</v>
      </c>
      <c r="DQ7" s="40">
        <f ca="1" t="shared" si="20"/>
        <v>0.05</v>
      </c>
      <c r="DR7" s="40">
        <f ca="1" t="shared" si="21"/>
        <v>0.07</v>
      </c>
      <c r="DS7" s="40">
        <f ca="1" t="shared" si="22"/>
        <v>0.1</v>
      </c>
      <c r="DT7" s="40">
        <f ca="1" t="shared" si="23"/>
        <v>0.0244064218226165</v>
      </c>
      <c r="DU7" s="40">
        <f ca="1" t="shared" si="24"/>
        <v>0.2</v>
      </c>
      <c r="DV7" s="40">
        <f ca="1" t="shared" si="25"/>
        <v>0.2</v>
      </c>
      <c r="DW7" s="40">
        <f ca="1" t="shared" si="26"/>
        <v>0.08</v>
      </c>
      <c r="DX7" s="40">
        <f ca="1" t="shared" si="27"/>
        <v>0.05</v>
      </c>
      <c r="DY7" s="40">
        <f ca="1" t="shared" si="28"/>
        <v>0.1</v>
      </c>
      <c r="DZ7" s="40">
        <f ca="1" t="shared" si="29"/>
        <v>0.1</v>
      </c>
      <c r="EA7" s="40">
        <f ca="1" t="shared" si="30"/>
        <v>0.2</v>
      </c>
      <c r="EB7" s="40">
        <f ca="1" t="shared" si="31"/>
        <v>0.2</v>
      </c>
      <c r="EC7" s="40">
        <f ca="1" t="shared" si="32"/>
        <v>0.2</v>
      </c>
      <c r="ED7" s="40">
        <f ca="1" t="shared" si="33"/>
        <v>0.1</v>
      </c>
      <c r="EE7" s="40">
        <f ca="1" t="shared" si="34"/>
        <v>0.2</v>
      </c>
      <c r="EF7" s="40">
        <f ca="1" t="shared" si="35"/>
        <v>0.05</v>
      </c>
      <c r="EG7" s="40">
        <f ca="1" t="shared" si="36"/>
        <v>0.2</v>
      </c>
      <c r="EH7" s="40">
        <f ca="1" t="shared" si="37"/>
        <v>0.0244064218226165</v>
      </c>
      <c r="EI7" s="40">
        <f ca="1" t="shared" si="38"/>
        <v>0.0244064218226165</v>
      </c>
      <c r="EJ7" s="40">
        <f ca="1" t="shared" si="39"/>
        <v>0.0244064218226165</v>
      </c>
      <c r="EK7" s="40">
        <f ca="1" t="shared" si="40"/>
        <v>0.0244064218226165</v>
      </c>
      <c r="EL7" s="40">
        <f ca="1" t="shared" si="41"/>
        <v>0.0244064218226165</v>
      </c>
      <c r="EM7" s="40">
        <f ca="1" t="shared" si="42"/>
        <v>0.0244064218226165</v>
      </c>
      <c r="EN7" s="40">
        <f ca="1" t="shared" si="43"/>
        <v>0.0244064218226165</v>
      </c>
      <c r="EO7" s="40">
        <f ca="1" t="shared" si="44"/>
        <v>0.0244064218226165</v>
      </c>
      <c r="EP7" s="40">
        <f ca="1" t="shared" si="45"/>
        <v>0.0244064218226165</v>
      </c>
      <c r="EQ7" s="40">
        <f ca="1" t="shared" si="46"/>
        <v>0.0244064218226165</v>
      </c>
      <c r="ER7" s="40">
        <f ca="1" t="shared" si="47"/>
        <v>0.0244064218226165</v>
      </c>
      <c r="EU7" t="s">
        <v>205</v>
      </c>
      <c r="EV7">
        <v>12</v>
      </c>
    </row>
    <row r="8" spans="1:152">
      <c r="A8">
        <v>1</v>
      </c>
      <c r="B8" t="str">
        <f>VLOOKUP(F8,'TRA balance'!$BA$5:$BB$14,2,FALSE)</f>
        <v>TRADST</v>
      </c>
      <c r="C8" s="56" t="str">
        <f t="shared" si="48"/>
        <v>TR</v>
      </c>
      <c r="D8" s="57" t="s">
        <v>200</v>
      </c>
      <c r="E8" s="68" t="s">
        <v>204</v>
      </c>
      <c r="F8" s="58" t="str">
        <f t="shared" ref="F8:F13" si="52">F7</f>
        <v>Diesel</v>
      </c>
      <c r="G8" s="56" t="s">
        <v>205</v>
      </c>
      <c r="H8" s="59">
        <f ca="1">OFFSET(TIAM15_assumptions!$G8,0,MATCH(VLOOKUP(Assumptions!H$2,TIAM15_assumptions!$Y$3:$Z$87,2,FALSE),TIAM15_assumptions!$H$2:$V$2,0))</f>
        <v>0.5</v>
      </c>
      <c r="I8" s="59">
        <f ca="1">OFFSET(TIAM15_assumptions!$G8,0,MATCH(VLOOKUP(Assumptions!I$2,TIAM15_assumptions!$Y$3:$Z$87,2,FALSE),TIAM15_assumptions!$H$2:$V$2,0))</f>
        <v>0.5</v>
      </c>
      <c r="J8" s="59">
        <f ca="1">OFFSET(TIAM15_assumptions!$G8,0,MATCH(VLOOKUP(Assumptions!J$2,TIAM15_assumptions!$Y$3:$Z$87,2,FALSE),TIAM15_assumptions!$H$2:$V$2,0))</f>
        <v>0.7</v>
      </c>
      <c r="K8" s="59">
        <f ca="1">OFFSET(TIAM15_assumptions!$G8,0,MATCH(VLOOKUP(Assumptions!K$2,TIAM15_assumptions!$Y$3:$Z$87,2,FALSE),TIAM15_assumptions!$H$2:$V$2,0))</f>
        <v>0.2</v>
      </c>
      <c r="L8" s="59">
        <f ca="1">OFFSET(TIAM15_assumptions!$G8,0,MATCH(VLOOKUP(Assumptions!L$2,TIAM15_assumptions!$Y$3:$Z$87,2,FALSE),TIAM15_assumptions!$H$2:$V$2,0))</f>
        <v>0.49</v>
      </c>
      <c r="M8" s="59">
        <f ca="1">OFFSET(TIAM15_assumptions!$G8,0,MATCH(VLOOKUP(Assumptions!M$2,TIAM15_assumptions!$Y$3:$Z$87,2,FALSE),TIAM15_assumptions!$H$2:$V$2,0))</f>
        <v>0.2</v>
      </c>
      <c r="N8" s="59">
        <f ca="1">OFFSET(TIAM15_assumptions!$G8,0,MATCH(VLOOKUP(Assumptions!N$2,TIAM15_assumptions!$Y$3:$Z$87,2,FALSE),TIAM15_assumptions!$H$2:$V$2,0))</f>
        <v>0.69</v>
      </c>
      <c r="O8" s="59">
        <f ca="1">OFFSET(TIAM15_assumptions!$G8,0,MATCH(VLOOKUP(Assumptions!O$2,TIAM15_assumptions!$Y$3:$Z$87,2,FALSE),TIAM15_assumptions!$H$2:$V$2,0))</f>
        <v>0.2</v>
      </c>
      <c r="P8" s="59">
        <f ca="1">OFFSET(TIAM15_assumptions!$G8,0,MATCH(VLOOKUP(Assumptions!P$2,TIAM15_assumptions!$Y$3:$Z$87,2,FALSE),TIAM15_assumptions!$H$2:$V$2,0))</f>
        <v>0.49</v>
      </c>
      <c r="Q8" s="59">
        <f ca="1">OFFSET(TIAM15_assumptions!$G8,0,MATCH(VLOOKUP(Assumptions!Q$2,TIAM15_assumptions!$Y$3:$Z$87,2,FALSE),TIAM15_assumptions!$H$2:$V$2,0))</f>
        <v>0.49</v>
      </c>
      <c r="R8" s="59">
        <f ca="1">OFFSET(TIAM15_assumptions!$G8,0,MATCH(VLOOKUP(Assumptions!R$2,TIAM15_assumptions!$Y$3:$Z$87,2,FALSE),TIAM15_assumptions!$H$2:$V$2,0))</f>
        <v>0.2</v>
      </c>
      <c r="S8" s="59">
        <f ca="1">OFFSET(TIAM15_assumptions!$G8,0,MATCH(VLOOKUP(Assumptions!S$2,TIAM15_assumptions!$Y$3:$Z$87,2,FALSE),TIAM15_assumptions!$H$2:$V$2,0))</f>
        <v>0.2</v>
      </c>
      <c r="T8" s="59">
        <f ca="1">OFFSET(TIAM15_assumptions!$G8,0,MATCH(VLOOKUP(Assumptions!T$2,TIAM15_assumptions!$Y$3:$Z$87,2,FALSE),TIAM15_assumptions!$H$2:$V$2,0))</f>
        <v>0.2</v>
      </c>
      <c r="U8" s="59">
        <f ca="1">OFFSET(TIAM15_assumptions!$G8,0,MATCH(VLOOKUP(Assumptions!U$2,TIAM15_assumptions!$Y$3:$Z$87,2,FALSE),TIAM15_assumptions!$H$2:$V$2,0))</f>
        <v>0.49</v>
      </c>
      <c r="V8" s="59">
        <f ca="1">OFFSET(TIAM15_assumptions!$G8,0,MATCH(VLOOKUP(Assumptions!V$2,TIAM15_assumptions!$Y$3:$Z$87,2,FALSE),TIAM15_assumptions!$H$2:$V$2,0))</f>
        <v>0.2</v>
      </c>
      <c r="W8" s="59">
        <f ca="1">OFFSET(TIAM15_assumptions!$G8,0,MATCH(VLOOKUP(Assumptions!W$2,TIAM15_assumptions!$Y$3:$Z$87,2,FALSE),TIAM15_assumptions!$H$2:$V$2,0))</f>
        <v>0.35</v>
      </c>
      <c r="X8" s="59">
        <f ca="1">OFFSET(TIAM15_assumptions!$G8,0,MATCH(VLOOKUP(Assumptions!X$2,TIAM15_assumptions!$Y$3:$Z$87,2,FALSE),TIAM15_assumptions!$H$2:$V$2,0))</f>
        <v>0.2</v>
      </c>
      <c r="Y8" s="59">
        <f ca="1">OFFSET(TIAM15_assumptions!$G8,0,MATCH(VLOOKUP(Assumptions!Y$2,TIAM15_assumptions!$Y$3:$Z$87,2,FALSE),TIAM15_assumptions!$H$2:$V$2,0))</f>
        <v>0.2</v>
      </c>
      <c r="Z8" s="59">
        <f ca="1">OFFSET(TIAM15_assumptions!$G8,0,MATCH(VLOOKUP(Assumptions!Z$2,TIAM15_assumptions!$Y$3:$Z$87,2,FALSE),TIAM15_assumptions!$H$2:$V$2,0))</f>
        <v>0.53</v>
      </c>
      <c r="AA8" s="59">
        <f ca="1">OFFSET(TIAM15_assumptions!$G8,0,MATCH(VLOOKUP(Assumptions!AA$2,TIAM15_assumptions!$Y$3:$Z$87,2,FALSE),TIAM15_assumptions!$H$2:$V$2,0))</f>
        <v>0.69</v>
      </c>
      <c r="AB8" s="59">
        <f ca="1">OFFSET(TIAM15_assumptions!$G8,0,MATCH(VLOOKUP(Assumptions!AB$2,TIAM15_assumptions!$Y$3:$Z$87,2,FALSE),TIAM15_assumptions!$H$2:$V$2,0))</f>
        <v>0.8</v>
      </c>
      <c r="AC8" s="59">
        <f ca="1">OFFSET(TIAM15_assumptions!$G8,0,MATCH(VLOOKUP(Assumptions!AC$2,TIAM15_assumptions!$Y$3:$Z$87,2,FALSE),TIAM15_assumptions!$H$2:$V$2,0))</f>
        <v>0.608262897921266</v>
      </c>
      <c r="AD8" s="59">
        <f ca="1">OFFSET(TIAM15_assumptions!$G8,0,MATCH(VLOOKUP(Assumptions!AD$2,TIAM15_assumptions!$Y$3:$Z$87,2,FALSE),TIAM15_assumptions!$H$2:$V$2,0))</f>
        <v>0.2</v>
      </c>
      <c r="AE8" s="59">
        <f ca="1">OFFSET(TIAM15_assumptions!$G8,0,MATCH(VLOOKUP(Assumptions!AE$2,TIAM15_assumptions!$Y$3:$Z$87,2,FALSE),TIAM15_assumptions!$H$2:$V$2,0))</f>
        <v>0.49</v>
      </c>
      <c r="AF8" s="59">
        <f ca="1">OFFSET(TIAM15_assumptions!$G8,0,MATCH(VLOOKUP(Assumptions!AF$2,TIAM15_assumptions!$Y$3:$Z$87,2,FALSE),TIAM15_assumptions!$H$2:$V$2,0))</f>
        <v>0.66</v>
      </c>
      <c r="AG8" s="59">
        <f ca="1">OFFSET(TIAM15_assumptions!$G8,0,MATCH(VLOOKUP(Assumptions!AG$2,TIAM15_assumptions!$Y$3:$Z$87,2,FALSE),TIAM15_assumptions!$H$2:$V$2,0))</f>
        <v>0.49</v>
      </c>
      <c r="AH8" s="59">
        <f ca="1">OFFSET(TIAM15_assumptions!$G8,0,MATCH(VLOOKUP(Assumptions!AH$2,TIAM15_assumptions!$Y$3:$Z$87,2,FALSE),TIAM15_assumptions!$H$2:$V$2,0))</f>
        <v>0.8</v>
      </c>
      <c r="AI8" s="59">
        <f ca="1">OFFSET(TIAM15_assumptions!$G8,0,MATCH(VLOOKUP(Assumptions!AI$2,TIAM15_assumptions!$Y$3:$Z$87,2,FALSE),TIAM15_assumptions!$H$2:$V$2,0))</f>
        <v>0.5</v>
      </c>
      <c r="AJ8" s="59">
        <f ca="1">OFFSET(TIAM15_assumptions!$G8,0,MATCH(VLOOKUP(Assumptions!AJ$2,TIAM15_assumptions!$Y$3:$Z$87,2,FALSE),TIAM15_assumptions!$H$2:$V$2,0))</f>
        <v>0.2</v>
      </c>
      <c r="AK8" s="59">
        <f ca="1">OFFSET(TIAM15_assumptions!$G8,0,MATCH(VLOOKUP(Assumptions!AK$2,TIAM15_assumptions!$Y$3:$Z$87,2,FALSE),TIAM15_assumptions!$H$2:$V$2,0))</f>
        <v>0.2</v>
      </c>
      <c r="AL8" s="59">
        <f ca="1">OFFSET(TIAM15_assumptions!$G8,0,MATCH(VLOOKUP(Assumptions!AL$2,TIAM15_assumptions!$Y$3:$Z$87,2,FALSE),TIAM15_assumptions!$H$2:$V$2,0))</f>
        <v>0.2</v>
      </c>
      <c r="AM8" s="59">
        <f ca="1">OFFSET(TIAM15_assumptions!$G8,0,MATCH(VLOOKUP(Assumptions!AM$2,TIAM15_assumptions!$Y$3:$Z$87,2,FALSE),TIAM15_assumptions!$H$2:$V$2,0))</f>
        <v>0.8</v>
      </c>
      <c r="AN8" s="59">
        <f ca="1">OFFSET(TIAM15_assumptions!$G8,0,MATCH(VLOOKUP(Assumptions!AN$2,TIAM15_assumptions!$Y$3:$Z$87,2,FALSE),TIAM15_assumptions!$H$2:$V$2,0))</f>
        <v>0.2</v>
      </c>
      <c r="AO8" s="59">
        <f ca="1">OFFSET(TIAM15_assumptions!$G8,0,MATCH(VLOOKUP(Assumptions!AO$2,TIAM15_assumptions!$Y$3:$Z$87,2,FALSE),TIAM15_assumptions!$H$2:$V$2,0))</f>
        <v>0.49</v>
      </c>
      <c r="AP8" s="59">
        <f ca="1">OFFSET(TIAM15_assumptions!$G8,0,MATCH(VLOOKUP(Assumptions!AP$2,TIAM15_assumptions!$Y$3:$Z$87,2,FALSE),TIAM15_assumptions!$H$2:$V$2,0))</f>
        <v>0.49</v>
      </c>
      <c r="AQ8" s="59">
        <f ca="1">OFFSET(TIAM15_assumptions!$G8,0,MATCH(VLOOKUP(Assumptions!AQ$2,TIAM15_assumptions!$Y$3:$Z$87,2,FALSE),TIAM15_assumptions!$H$2:$V$2,0))</f>
        <v>0.608262897921266</v>
      </c>
      <c r="AR8" s="59">
        <f ca="1">OFFSET(TIAM15_assumptions!$G8,0,MATCH(VLOOKUP(Assumptions!AR$2,TIAM15_assumptions!$Y$3:$Z$87,2,FALSE),TIAM15_assumptions!$H$2:$V$2,0))</f>
        <v>0.608262897921266</v>
      </c>
      <c r="AS8" s="59">
        <f ca="1">OFFSET(TIAM15_assumptions!$G8,0,MATCH(VLOOKUP(Assumptions!AS$2,TIAM15_assumptions!$Y$3:$Z$87,2,FALSE),TIAM15_assumptions!$H$2:$V$2,0))</f>
        <v>0.608262897921266</v>
      </c>
      <c r="AT8" s="59">
        <f ca="1">OFFSET(TIAM15_assumptions!$G8,0,MATCH(VLOOKUP(Assumptions!AT$2,TIAM15_assumptions!$Y$3:$Z$87,2,FALSE),TIAM15_assumptions!$H$2:$V$2,0))</f>
        <v>0.608262897921266</v>
      </c>
      <c r="AU8" s="59">
        <f ca="1">OFFSET(TIAM15_assumptions!$G8,0,MATCH(VLOOKUP(Assumptions!AU$2,TIAM15_assumptions!$Y$3:$Z$87,2,FALSE),TIAM15_assumptions!$H$2:$V$2,0))</f>
        <v>0.608262897921266</v>
      </c>
      <c r="AV8" s="59">
        <f ca="1">OFFSET(TIAM15_assumptions!$G8,0,MATCH(VLOOKUP(Assumptions!AV$2,TIAM15_assumptions!$Y$3:$Z$87,2,FALSE),TIAM15_assumptions!$H$2:$V$2,0))</f>
        <v>0.608262897921266</v>
      </c>
      <c r="AW8" s="59">
        <f ca="1">OFFSET(TIAM15_assumptions!$G8,0,MATCH(VLOOKUP(Assumptions!AW$2,TIAM15_assumptions!$Y$3:$Z$87,2,FALSE),TIAM15_assumptions!$H$2:$V$2,0))</f>
        <v>0.608262897921266</v>
      </c>
      <c r="AX8" s="59">
        <f ca="1">OFFSET(TIAM15_assumptions!$G8,0,MATCH(VLOOKUP(Assumptions!AX$2,TIAM15_assumptions!$Y$3:$Z$87,2,FALSE),TIAM15_assumptions!$H$2:$V$2,0))</f>
        <v>0.608262897921266</v>
      </c>
      <c r="AY8" s="59">
        <f ca="1">OFFSET(TIAM15_assumptions!$G8,0,MATCH(VLOOKUP(Assumptions!AY$2,TIAM15_assumptions!$Y$3:$Z$87,2,FALSE),TIAM15_assumptions!$H$2:$V$2,0))</f>
        <v>0.608262897921266</v>
      </c>
      <c r="AZ8" s="59">
        <f ca="1">OFFSET(TIAM15_assumptions!$G8,0,MATCH(VLOOKUP(Assumptions!AZ$2,TIAM15_assumptions!$Y$3:$Z$87,2,FALSE),TIAM15_assumptions!$H$2:$V$2,0))</f>
        <v>0.608262897921266</v>
      </c>
      <c r="BA8" s="59">
        <f ca="1">OFFSET(TIAM15_assumptions!$G8,0,MATCH(VLOOKUP(Assumptions!BA$2,TIAM15_assumptions!$Y$3:$Z$87,2,FALSE),TIAM15_assumptions!$H$2:$V$2,0))</f>
        <v>0.608262897921266</v>
      </c>
      <c r="BD8" s="41">
        <f ca="1">IFERROR(SUMIFS('TRA balance'!E$5:E$40,'TRA balance'!$C$5:$C$40,Assumptions!$C8,'TRA balance'!$D$5:$D$40,Assumptions!$B8)*CY8*H8,"")</f>
        <v>55.6010274303</v>
      </c>
      <c r="BE8" s="41">
        <f ca="1">IFERROR(SUMIFS('TRA balance'!F$5:F$40,'TRA balance'!$C$5:$C$40,Assumptions!$C8,'TRA balance'!$D$5:$D$40,Assumptions!$B8)*CZ8*I8,"")</f>
        <v>49.41138100608</v>
      </c>
      <c r="BF8" s="41">
        <f ca="1">IFERROR(SUMIFS('TRA balance'!G$5:G$40,'TRA balance'!$C$5:$C$40,Assumptions!$C8,'TRA balance'!$D$5:$D$40,Assumptions!$B8)*DA8*J8,"")</f>
        <v>8.0589307548456</v>
      </c>
      <c r="BG8" s="41">
        <f ca="1">IFERROR(SUMIFS('TRA balance'!H$5:H$40,'TRA balance'!$C$5:$C$40,Assumptions!$C8,'TRA balance'!$D$5:$D$40,Assumptions!$B8)*DB8*K8,"")</f>
        <v>10.346021744112</v>
      </c>
      <c r="BH8" s="41">
        <f ca="1">IFERROR(SUMIFS('TRA balance'!I$5:I$40,'TRA balance'!$C$5:$C$40,Assumptions!$C8,'TRA balance'!$D$5:$D$40,Assumptions!$B8)*DC8*L8,"")</f>
        <v>2.971116345393</v>
      </c>
      <c r="BI8" s="41">
        <f ca="1">IFERROR(SUMIFS('TRA balance'!J$5:J$40,'TRA balance'!$C$5:$C$40,Assumptions!$C8,'TRA balance'!$D$5:$D$40,Assumptions!$B8)*DD8*M8,"")</f>
        <v>21.929287268304</v>
      </c>
      <c r="BJ8" s="41">
        <f ca="1">IFERROR(SUMIFS('TRA balance'!K$5:K$40,'TRA balance'!$C$5:$C$40,Assumptions!$C8,'TRA balance'!$D$5:$D$40,Assumptions!$B8)*DE8*N8,"")</f>
        <v>69.3583956446875</v>
      </c>
      <c r="BK8" s="41">
        <f ca="1">IFERROR(SUMIFS('TRA balance'!L$5:L$40,'TRA balance'!$C$5:$C$40,Assumptions!$C8,'TRA balance'!$D$5:$D$40,Assumptions!$B8)*DF8*O8,"")</f>
        <v>77.627432255688</v>
      </c>
      <c r="BL8" s="41">
        <f ca="1">IFERROR(SUMIFS('TRA balance'!M$5:M$40,'TRA balance'!$C$5:$C$40,Assumptions!$C8,'TRA balance'!$D$5:$D$40,Assumptions!$B8)*DG8*P8,"")</f>
        <v>11.808415090332</v>
      </c>
      <c r="BM8" s="41">
        <f ca="1">IFERROR(SUMIFS('TRA balance'!N$5:N$40,'TRA balance'!$C$5:$C$40,Assumptions!$C8,'TRA balance'!$D$5:$D$40,Assumptions!$B8)*DH8*Q8,"")</f>
        <v>25.3034627487264</v>
      </c>
      <c r="BN8" s="41">
        <f ca="1">IFERROR(SUMIFS('TRA balance'!O$5:O$40,'TRA balance'!$C$5:$C$40,Assumptions!$C8,'TRA balance'!$D$5:$D$40,Assumptions!$B8)*DI8*R8,"")</f>
        <v>51.456004953552</v>
      </c>
      <c r="BO8" s="41">
        <f ca="1">IFERROR(SUMIFS('TRA balance'!P$5:P$40,'TRA balance'!$C$5:$C$40,Assumptions!$C8,'TRA balance'!$D$5:$D$40,Assumptions!$B8)*DJ8*S8,"")</f>
        <v>55.5708479292</v>
      </c>
      <c r="BP8" s="41">
        <f ca="1">IFERROR(SUMIFS('TRA balance'!Q$5:Q$40,'TRA balance'!$C$5:$C$40,Assumptions!$C8,'TRA balance'!$D$5:$D$40,Assumptions!$B8)*DK8*T8,"")</f>
        <v>4.493910321072</v>
      </c>
      <c r="BQ8" s="41">
        <f ca="1">IFERROR(SUMIFS('TRA balance'!R$5:R$40,'TRA balance'!$C$5:$C$40,Assumptions!$C8,'TRA balance'!$D$5:$D$40,Assumptions!$B8)*DL8*U8,"")</f>
        <v>39.4786605553704</v>
      </c>
      <c r="BR8" s="41">
        <f ca="1">IFERROR(SUMIFS('TRA balance'!S$5:S$40,'TRA balance'!$C$5:$C$40,Assumptions!$C8,'TRA balance'!$D$5:$D$40,Assumptions!$B8)*DM8*V8,"")</f>
        <v>0.308183816592</v>
      </c>
      <c r="BS8" s="41">
        <f ca="1">IFERROR(SUMIFS('TRA balance'!T$5:T$40,'TRA balance'!$C$5:$C$40,Assumptions!$C8,'TRA balance'!$D$5:$D$40,Assumptions!$B8)*DN8*W8,"")</f>
        <v>212.945155561215</v>
      </c>
      <c r="BT8" s="41">
        <f ca="1">IFERROR(SUMIFS('TRA balance'!U$5:U$40,'TRA balance'!$C$5:$C$40,Assumptions!$C8,'TRA balance'!$D$5:$D$40,Assumptions!$B8)*DO8*X8,"")</f>
        <v>4.93378540992</v>
      </c>
      <c r="BU8" s="41">
        <f ca="1">IFERROR(SUMIFS('TRA balance'!V$5:V$40,'TRA balance'!$C$5:$C$40,Assumptions!$C8,'TRA balance'!$D$5:$D$40,Assumptions!$B8)*DP8*Y8,"")</f>
        <v>36.001799325072</v>
      </c>
      <c r="BV8" s="41">
        <f ca="1">IFERROR(SUMIFS('TRA balance'!W$5:W$40,'TRA balance'!$C$5:$C$40,Assumptions!$C8,'TRA balance'!$D$5:$D$40,Assumptions!$B8)*DQ8*Z8,"")</f>
        <v>24.2016810718554</v>
      </c>
      <c r="BW8" s="41">
        <f ca="1">IFERROR(SUMIFS('TRA balance'!X$5:X$40,'TRA balance'!$C$5:$C$40,Assumptions!$C8,'TRA balance'!$D$5:$D$40,Assumptions!$B8)*DR8*AA8,"")</f>
        <v>71.2119713830661</v>
      </c>
      <c r="BX8" s="41">
        <f ca="1">IFERROR(SUMIFS('TRA balance'!Y$5:Y$40,'TRA balance'!$C$5:$C$40,Assumptions!$C8,'TRA balance'!$D$5:$D$40,Assumptions!$B8)*DS8*AB8,"")</f>
        <v>119.821274236224</v>
      </c>
      <c r="BY8" s="41">
        <f ca="1">IFERROR(SUMIFS('TRA balance'!Z$5:Z$40,'TRA balance'!$C$5:$C$40,Assumptions!$C8,'TRA balance'!$D$5:$D$40,Assumptions!$B8)*DT8*AC8,"")</f>
        <v>93.5289506867476</v>
      </c>
      <c r="BZ8" s="41">
        <f ca="1">IFERROR(SUMIFS('TRA balance'!AA$5:AA$40,'TRA balance'!$C$5:$C$40,Assumptions!$C8,'TRA balance'!$D$5:$D$40,Assumptions!$B8)*DU8*AD8,"")</f>
        <v>3.54400645752</v>
      </c>
      <c r="CA8" s="41">
        <f ca="1">IFERROR(SUMIFS('TRA balance'!AB$5:AB$40,'TRA balance'!$C$5:$C$40,Assumptions!$C8,'TRA balance'!$D$5:$D$40,Assumptions!$B8)*DV8*AE8,"")</f>
        <v>58.0942249957944</v>
      </c>
      <c r="CB8" s="41">
        <f ca="1">IFERROR(SUMIFS('TRA balance'!AC$5:AC$40,'TRA balance'!$C$5:$C$40,Assumptions!$C8,'TRA balance'!$D$5:$D$40,Assumptions!$B8)*DW8*AF8,"")</f>
        <v>212.01160874275</v>
      </c>
      <c r="CC8" s="41">
        <f ca="1">IFERROR(SUMIFS('TRA balance'!AD$5:AD$40,'TRA balance'!$C$5:$C$40,Assumptions!$C8,'TRA balance'!$D$5:$D$40,Assumptions!$B8)*DX8*AG8,"")</f>
        <v>17.182573441488</v>
      </c>
      <c r="CD8" s="41">
        <f ca="1">IFERROR(SUMIFS('TRA balance'!AE$5:AE$40,'TRA balance'!$C$5:$C$40,Assumptions!$C8,'TRA balance'!$D$5:$D$40,Assumptions!$B8)*DY8*AH8,"")</f>
        <v>68.14389792672</v>
      </c>
      <c r="CE8" s="41">
        <f ca="1">IFERROR(SUMIFS('TRA balance'!AF$5:AF$40,'TRA balance'!$C$5:$C$40,Assumptions!$C8,'TRA balance'!$D$5:$D$40,Assumptions!$B8)*DZ8*AI8,"")</f>
        <v>17.35640954496</v>
      </c>
      <c r="CF8" s="41">
        <f ca="1">IFERROR(SUMIFS('TRA balance'!AG$5:AG$40,'TRA balance'!$C$5:$C$40,Assumptions!$C8,'TRA balance'!$D$5:$D$40,Assumptions!$B8)*EA8*AJ8,"")</f>
        <v>42.96729206952</v>
      </c>
      <c r="CG8" s="41">
        <f ca="1">IFERROR(SUMIFS('TRA balance'!AH$5:AH$40,'TRA balance'!$C$5:$C$40,Assumptions!$C8,'TRA balance'!$D$5:$D$40,Assumptions!$B8)*EB8*AK8,"")</f>
        <v>12.898516589568</v>
      </c>
      <c r="CH8" s="41">
        <f ca="1">IFERROR(SUMIFS('TRA balance'!AI$5:AI$40,'TRA balance'!$C$5:$C$40,Assumptions!$C8,'TRA balance'!$D$5:$D$40,Assumptions!$B8)*EC8*AL8,"")</f>
        <v>4.55260741488</v>
      </c>
      <c r="CI8" s="41">
        <f ca="1">IFERROR(SUMIFS('TRA balance'!AJ$5:AJ$40,'TRA balance'!$C$5:$C$40,Assumptions!$C8,'TRA balance'!$D$5:$D$40,Assumptions!$B8)*ED8*AM8,"")</f>
        <v>65.788032123936</v>
      </c>
      <c r="CJ8" s="41">
        <f ca="1">IFERROR(SUMIFS('TRA balance'!AK$5:AK$40,'TRA balance'!$C$5:$C$40,Assumptions!$C8,'TRA balance'!$D$5:$D$40,Assumptions!$B8)*EE8*AN8,"")</f>
        <v>40.565577289824</v>
      </c>
      <c r="CK8" s="41">
        <f ca="1">IFERROR(SUMIFS('TRA balance'!AL$5:AL$40,'TRA balance'!$C$5:$C$40,Assumptions!$C8,'TRA balance'!$D$5:$D$40,Assumptions!$B8)*EF8*AO8,"")</f>
        <v>4.4539628543802</v>
      </c>
      <c r="CL8" s="41">
        <f ca="1">IFERROR(SUMIFS('TRA balance'!AM$5:AM$40,'TRA balance'!$C$5:$C$40,Assumptions!$C8,'TRA balance'!$D$5:$D$40,Assumptions!$B8)*EG8*AP8,"")</f>
        <v>18.396618790788</v>
      </c>
      <c r="CM8" s="41">
        <f ca="1">IFERROR(SUMIFS('TRA balance'!AN$5:AN$40,'TRA balance'!$C$5:$C$40,Assumptions!$C8,'TRA balance'!$D$5:$D$40,Assumptions!$B8)*EH8*AQ8,"")</f>
        <v>0</v>
      </c>
      <c r="CN8" s="41">
        <f ca="1">IFERROR(SUMIFS('TRA balance'!AO$5:AO$40,'TRA balance'!$C$5:$C$40,Assumptions!$C8,'TRA balance'!$D$5:$D$40,Assumptions!$B8)*EI8*AR8,"")</f>
        <v>0</v>
      </c>
      <c r="CO8" s="41">
        <f ca="1">IFERROR(SUMIFS('TRA balance'!AP$5:AP$40,'TRA balance'!$C$5:$C$40,Assumptions!$C8,'TRA balance'!$D$5:$D$40,Assumptions!$B8)*EJ8*AS8,"")</f>
        <v>0</v>
      </c>
      <c r="CP8" s="41">
        <f ca="1">IFERROR(SUMIFS('TRA balance'!AQ$5:AQ$40,'TRA balance'!$C$5:$C$40,Assumptions!$C8,'TRA balance'!$D$5:$D$40,Assumptions!$B8)*EK8*AT8,"")</f>
        <v>0</v>
      </c>
      <c r="CQ8" s="41">
        <f ca="1">IFERROR(SUMIFS('TRA balance'!AR$5:AR$40,'TRA balance'!$C$5:$C$40,Assumptions!$C8,'TRA balance'!$D$5:$D$40,Assumptions!$B8)*EL8*AU8,"")</f>
        <v>0</v>
      </c>
      <c r="CR8" s="41">
        <f ca="1">IFERROR(SUMIFS('TRA balance'!AS$5:AS$40,'TRA balance'!$C$5:$C$40,Assumptions!$C8,'TRA balance'!$D$5:$D$40,Assumptions!$B8)*EM8*AV8,"")</f>
        <v>0</v>
      </c>
      <c r="CS8" s="41">
        <f ca="1">IFERROR(SUMIFS('TRA balance'!AT$5:AT$40,'TRA balance'!$C$5:$C$40,Assumptions!$C8,'TRA balance'!$D$5:$D$40,Assumptions!$B8)*EN8*AW8,"")</f>
        <v>0</v>
      </c>
      <c r="CT8" s="41">
        <f ca="1">IFERROR(SUMIFS('TRA balance'!AU$5:AU$40,'TRA balance'!$C$5:$C$40,Assumptions!$C8,'TRA balance'!$D$5:$D$40,Assumptions!$B8)*EO8*AX8,"")</f>
        <v>0</v>
      </c>
      <c r="CU8" s="41">
        <f ca="1">IFERROR(SUMIFS('TRA balance'!AV$5:AV$40,'TRA balance'!$C$5:$C$40,Assumptions!$C8,'TRA balance'!$D$5:$D$40,Assumptions!$B8)*EP8*AY8,"")</f>
        <v>0</v>
      </c>
      <c r="CV8" s="41">
        <f ca="1">IFERROR(SUMIFS('TRA balance'!AW$5:AW$40,'TRA balance'!$C$5:$C$40,Assumptions!$C8,'TRA balance'!$D$5:$D$40,Assumptions!$B8)*EQ8*AZ8,"")</f>
        <v>0</v>
      </c>
      <c r="CW8" s="41">
        <f ca="1">IFERROR(SUMIFS('TRA balance'!AX$5:AX$40,'TRA balance'!$C$5:$C$40,Assumptions!$C8,'TRA balance'!$D$5:$D$40,Assumptions!$B8)*ER8*BA8,"")</f>
        <v>0</v>
      </c>
      <c r="CY8" s="40">
        <f ca="1" t="shared" si="2"/>
        <v>0.1</v>
      </c>
      <c r="CZ8" s="40">
        <f ca="1" t="shared" si="3"/>
        <v>0.1</v>
      </c>
      <c r="DA8" s="40">
        <f ca="1" t="shared" si="4"/>
        <v>0.02</v>
      </c>
      <c r="DB8" s="40">
        <f ca="1" t="shared" si="5"/>
        <v>0.2</v>
      </c>
      <c r="DC8" s="40">
        <f ca="1" t="shared" si="6"/>
        <v>0.05</v>
      </c>
      <c r="DD8" s="40">
        <f ca="1" t="shared" si="7"/>
        <v>0.2</v>
      </c>
      <c r="DE8" s="40">
        <f ca="1" t="shared" si="8"/>
        <v>0.07</v>
      </c>
      <c r="DF8" s="40">
        <f ca="1" t="shared" si="9"/>
        <v>0.1</v>
      </c>
      <c r="DG8" s="40">
        <f ca="1" t="shared" si="10"/>
        <v>0.2</v>
      </c>
      <c r="DH8" s="40">
        <f ca="1" t="shared" si="11"/>
        <v>0.2</v>
      </c>
      <c r="DI8" s="40">
        <f ca="1" t="shared" si="12"/>
        <v>0.2</v>
      </c>
      <c r="DJ8" s="40">
        <f ca="1" t="shared" si="13"/>
        <v>0.2</v>
      </c>
      <c r="DK8" s="40">
        <f ca="1" t="shared" si="14"/>
        <v>0.2</v>
      </c>
      <c r="DL8" s="40">
        <f ca="1" t="shared" si="15"/>
        <v>0.2</v>
      </c>
      <c r="DM8" s="40">
        <f ca="1" t="shared" si="16"/>
        <v>0.2</v>
      </c>
      <c r="DN8" s="40">
        <f ca="1" t="shared" si="17"/>
        <v>0.25</v>
      </c>
      <c r="DO8" s="40">
        <f ca="1" t="shared" si="18"/>
        <v>0.2</v>
      </c>
      <c r="DP8" s="40">
        <f ca="1" t="shared" si="19"/>
        <v>0.2</v>
      </c>
      <c r="DQ8" s="40">
        <f ca="1" t="shared" si="20"/>
        <v>0.05</v>
      </c>
      <c r="DR8" s="40">
        <f ca="1" t="shared" si="21"/>
        <v>0.07</v>
      </c>
      <c r="DS8" s="40">
        <f ca="1" t="shared" si="22"/>
        <v>0.1</v>
      </c>
      <c r="DT8" s="40">
        <f ca="1" t="shared" si="23"/>
        <v>0.0244064218226165</v>
      </c>
      <c r="DU8" s="40">
        <f ca="1" t="shared" si="24"/>
        <v>0.2</v>
      </c>
      <c r="DV8" s="40">
        <f ca="1" t="shared" si="25"/>
        <v>0.2</v>
      </c>
      <c r="DW8" s="40">
        <f ca="1" t="shared" si="26"/>
        <v>0.08</v>
      </c>
      <c r="DX8" s="40">
        <f ca="1" t="shared" si="27"/>
        <v>0.05</v>
      </c>
      <c r="DY8" s="40">
        <f ca="1" t="shared" si="28"/>
        <v>0.1</v>
      </c>
      <c r="DZ8" s="40">
        <f ca="1" t="shared" si="29"/>
        <v>0.1</v>
      </c>
      <c r="EA8" s="40">
        <f ca="1" t="shared" si="30"/>
        <v>0.2</v>
      </c>
      <c r="EB8" s="40">
        <f ca="1" t="shared" si="31"/>
        <v>0.2</v>
      </c>
      <c r="EC8" s="40">
        <f ca="1" t="shared" si="32"/>
        <v>0.2</v>
      </c>
      <c r="ED8" s="40">
        <f ca="1" t="shared" si="33"/>
        <v>0.1</v>
      </c>
      <c r="EE8" s="40">
        <f ca="1" t="shared" si="34"/>
        <v>0.2</v>
      </c>
      <c r="EF8" s="40">
        <f ca="1" t="shared" si="35"/>
        <v>0.05</v>
      </c>
      <c r="EG8" s="40">
        <f ca="1" t="shared" si="36"/>
        <v>0.2</v>
      </c>
      <c r="EH8" s="40">
        <f ca="1" t="shared" si="37"/>
        <v>0.0244064218226165</v>
      </c>
      <c r="EI8" s="40">
        <f ca="1" t="shared" si="38"/>
        <v>0.0244064218226165</v>
      </c>
      <c r="EJ8" s="40">
        <f ca="1" t="shared" si="39"/>
        <v>0.0244064218226165</v>
      </c>
      <c r="EK8" s="40">
        <f ca="1" t="shared" si="40"/>
        <v>0.0244064218226165</v>
      </c>
      <c r="EL8" s="40">
        <f ca="1" t="shared" si="41"/>
        <v>0.0244064218226165</v>
      </c>
      <c r="EM8" s="40">
        <f ca="1" t="shared" si="42"/>
        <v>0.0244064218226165</v>
      </c>
      <c r="EN8" s="40">
        <f ca="1" t="shared" si="43"/>
        <v>0.0244064218226165</v>
      </c>
      <c r="EO8" s="40">
        <f ca="1" t="shared" si="44"/>
        <v>0.0244064218226165</v>
      </c>
      <c r="EP8" s="40">
        <f ca="1" t="shared" si="45"/>
        <v>0.0244064218226165</v>
      </c>
      <c r="EQ8" s="40">
        <f ca="1" t="shared" si="46"/>
        <v>0.0244064218226165</v>
      </c>
      <c r="ER8" s="40">
        <f ca="1" t="shared" si="47"/>
        <v>0.0244064218226165</v>
      </c>
      <c r="EU8" t="s">
        <v>217</v>
      </c>
      <c r="EV8">
        <v>15</v>
      </c>
    </row>
    <row r="9" spans="1:152">
      <c r="A9">
        <v>1</v>
      </c>
      <c r="B9" t="str">
        <f>VLOOKUP(F9,'TRA balance'!$BA$5:$BB$14,2,FALSE)</f>
        <v>TRADST</v>
      </c>
      <c r="C9" s="56" t="str">
        <f t="shared" si="48"/>
        <v>TR</v>
      </c>
      <c r="D9" s="57" t="s">
        <v>200</v>
      </c>
      <c r="E9" s="68" t="s">
        <v>206</v>
      </c>
      <c r="F9" s="58" t="str">
        <f t="shared" si="52"/>
        <v>Diesel</v>
      </c>
      <c r="G9" s="56" t="s">
        <v>207</v>
      </c>
      <c r="H9" s="59">
        <f ca="1">OFFSET(TIAM15_assumptions!$G9,0,MATCH(VLOOKUP(Assumptions!H$2,TIAM15_assumptions!$Y$3:$Z$87,2,FALSE),TIAM15_assumptions!$H$2:$V$2,0))</f>
        <v>0</v>
      </c>
      <c r="I9" s="59">
        <f ca="1">OFFSET(TIAM15_assumptions!$G9,0,MATCH(VLOOKUP(Assumptions!I$2,TIAM15_assumptions!$Y$3:$Z$87,2,FALSE),TIAM15_assumptions!$H$2:$V$2,0))</f>
        <v>0</v>
      </c>
      <c r="J9" s="59">
        <f ca="1">OFFSET(TIAM15_assumptions!$G9,0,MATCH(VLOOKUP(Assumptions!J$2,TIAM15_assumptions!$Y$3:$Z$87,2,FALSE),TIAM15_assumptions!$H$2:$V$2,0))</f>
        <v>0</v>
      </c>
      <c r="K9" s="59">
        <f ca="1">OFFSET(TIAM15_assumptions!$G9,0,MATCH(VLOOKUP(Assumptions!K$2,TIAM15_assumptions!$Y$3:$Z$87,2,FALSE),TIAM15_assumptions!$H$2:$V$2,0))</f>
        <v>0</v>
      </c>
      <c r="L9" s="59">
        <f ca="1">OFFSET(TIAM15_assumptions!$G9,0,MATCH(VLOOKUP(Assumptions!L$2,TIAM15_assumptions!$Y$3:$Z$87,2,FALSE),TIAM15_assumptions!$H$2:$V$2,0))</f>
        <v>0</v>
      </c>
      <c r="M9" s="59">
        <f ca="1">OFFSET(TIAM15_assumptions!$G9,0,MATCH(VLOOKUP(Assumptions!M$2,TIAM15_assumptions!$Y$3:$Z$87,2,FALSE),TIAM15_assumptions!$H$2:$V$2,0))</f>
        <v>0</v>
      </c>
      <c r="N9" s="59">
        <f ca="1">OFFSET(TIAM15_assumptions!$G9,0,MATCH(VLOOKUP(Assumptions!N$2,TIAM15_assumptions!$Y$3:$Z$87,2,FALSE),TIAM15_assumptions!$H$2:$V$2,0))</f>
        <v>0.01</v>
      </c>
      <c r="O9" s="59">
        <f ca="1">OFFSET(TIAM15_assumptions!$G9,0,MATCH(VLOOKUP(Assumptions!O$2,TIAM15_assumptions!$Y$3:$Z$87,2,FALSE),TIAM15_assumptions!$H$2:$V$2,0))</f>
        <v>0.6</v>
      </c>
      <c r="P9" s="59">
        <f ca="1">OFFSET(TIAM15_assumptions!$G9,0,MATCH(VLOOKUP(Assumptions!P$2,TIAM15_assumptions!$Y$3:$Z$87,2,FALSE),TIAM15_assumptions!$H$2:$V$2,0))</f>
        <v>0</v>
      </c>
      <c r="Q9" s="59">
        <f ca="1">OFFSET(TIAM15_assumptions!$G9,0,MATCH(VLOOKUP(Assumptions!Q$2,TIAM15_assumptions!$Y$3:$Z$87,2,FALSE),TIAM15_assumptions!$H$2:$V$2,0))</f>
        <v>0</v>
      </c>
      <c r="R9" s="59">
        <f ca="1">OFFSET(TIAM15_assumptions!$G9,0,MATCH(VLOOKUP(Assumptions!R$2,TIAM15_assumptions!$Y$3:$Z$87,2,FALSE),TIAM15_assumptions!$H$2:$V$2,0))</f>
        <v>0</v>
      </c>
      <c r="S9" s="59">
        <f ca="1">OFFSET(TIAM15_assumptions!$G9,0,MATCH(VLOOKUP(Assumptions!S$2,TIAM15_assumptions!$Y$3:$Z$87,2,FALSE),TIAM15_assumptions!$H$2:$V$2,0))</f>
        <v>0</v>
      </c>
      <c r="T9" s="59">
        <f ca="1">OFFSET(TIAM15_assumptions!$G9,0,MATCH(VLOOKUP(Assumptions!T$2,TIAM15_assumptions!$Y$3:$Z$87,2,FALSE),TIAM15_assumptions!$H$2:$V$2,0))</f>
        <v>0</v>
      </c>
      <c r="U9" s="59">
        <f ca="1">OFFSET(TIAM15_assumptions!$G9,0,MATCH(VLOOKUP(Assumptions!U$2,TIAM15_assumptions!$Y$3:$Z$87,2,FALSE),TIAM15_assumptions!$H$2:$V$2,0))</f>
        <v>0</v>
      </c>
      <c r="V9" s="59">
        <f ca="1">OFFSET(TIAM15_assumptions!$G9,0,MATCH(VLOOKUP(Assumptions!V$2,TIAM15_assumptions!$Y$3:$Z$87,2,FALSE),TIAM15_assumptions!$H$2:$V$2,0))</f>
        <v>0</v>
      </c>
      <c r="W9" s="59">
        <f ca="1">OFFSET(TIAM15_assumptions!$G9,0,MATCH(VLOOKUP(Assumptions!W$2,TIAM15_assumptions!$Y$3:$Z$87,2,FALSE),TIAM15_assumptions!$H$2:$V$2,0))</f>
        <v>0.25</v>
      </c>
      <c r="X9" s="59">
        <f ca="1">OFFSET(TIAM15_assumptions!$G9,0,MATCH(VLOOKUP(Assumptions!X$2,TIAM15_assumptions!$Y$3:$Z$87,2,FALSE),TIAM15_assumptions!$H$2:$V$2,0))</f>
        <v>0</v>
      </c>
      <c r="Y9" s="59">
        <f ca="1">OFFSET(TIAM15_assumptions!$G9,0,MATCH(VLOOKUP(Assumptions!Y$2,TIAM15_assumptions!$Y$3:$Z$87,2,FALSE),TIAM15_assumptions!$H$2:$V$2,0))</f>
        <v>0</v>
      </c>
      <c r="Z9" s="59">
        <f ca="1">OFFSET(TIAM15_assumptions!$G9,0,MATCH(VLOOKUP(Assumptions!Z$2,TIAM15_assumptions!$Y$3:$Z$87,2,FALSE),TIAM15_assumptions!$H$2:$V$2,0))</f>
        <v>0.01</v>
      </c>
      <c r="AA9" s="59">
        <f ca="1">OFFSET(TIAM15_assumptions!$G9,0,MATCH(VLOOKUP(Assumptions!AA$2,TIAM15_assumptions!$Y$3:$Z$87,2,FALSE),TIAM15_assumptions!$H$2:$V$2,0))</f>
        <v>0.01</v>
      </c>
      <c r="AB9" s="59">
        <f ca="1">OFFSET(TIAM15_assumptions!$G9,0,MATCH(VLOOKUP(Assumptions!AB$2,TIAM15_assumptions!$Y$3:$Z$87,2,FALSE),TIAM15_assumptions!$H$2:$V$2,0))</f>
        <v>0</v>
      </c>
      <c r="AC9" s="59">
        <f ca="1">OFFSET(TIAM15_assumptions!$G9,0,MATCH(VLOOKUP(Assumptions!AC$2,TIAM15_assumptions!$Y$3:$Z$87,2,FALSE),TIAM15_assumptions!$H$2:$V$2,0))</f>
        <v>0</v>
      </c>
      <c r="AD9" s="59">
        <f ca="1">OFFSET(TIAM15_assumptions!$G9,0,MATCH(VLOOKUP(Assumptions!AD$2,TIAM15_assumptions!$Y$3:$Z$87,2,FALSE),TIAM15_assumptions!$H$2:$V$2,0))</f>
        <v>0</v>
      </c>
      <c r="AE9" s="59">
        <f ca="1">OFFSET(TIAM15_assumptions!$G9,0,MATCH(VLOOKUP(Assumptions!AE$2,TIAM15_assumptions!$Y$3:$Z$87,2,FALSE),TIAM15_assumptions!$H$2:$V$2,0))</f>
        <v>0</v>
      </c>
      <c r="AF9" s="59">
        <f ca="1">OFFSET(TIAM15_assumptions!$G9,0,MATCH(VLOOKUP(Assumptions!AF$2,TIAM15_assumptions!$Y$3:$Z$87,2,FALSE),TIAM15_assumptions!$H$2:$V$2,0))</f>
        <v>0</v>
      </c>
      <c r="AG9" s="59">
        <f ca="1">OFFSET(TIAM15_assumptions!$G9,0,MATCH(VLOOKUP(Assumptions!AG$2,TIAM15_assumptions!$Y$3:$Z$87,2,FALSE),TIAM15_assumptions!$H$2:$V$2,0))</f>
        <v>0</v>
      </c>
      <c r="AH9" s="59">
        <f ca="1">OFFSET(TIAM15_assumptions!$G9,0,MATCH(VLOOKUP(Assumptions!AH$2,TIAM15_assumptions!$Y$3:$Z$87,2,FALSE),TIAM15_assumptions!$H$2:$V$2,0))</f>
        <v>0</v>
      </c>
      <c r="AI9" s="59">
        <f ca="1">OFFSET(TIAM15_assumptions!$G9,0,MATCH(VLOOKUP(Assumptions!AI$2,TIAM15_assumptions!$Y$3:$Z$87,2,FALSE),TIAM15_assumptions!$H$2:$V$2,0))</f>
        <v>0</v>
      </c>
      <c r="AJ9" s="59">
        <f ca="1">OFFSET(TIAM15_assumptions!$G9,0,MATCH(VLOOKUP(Assumptions!AJ$2,TIAM15_assumptions!$Y$3:$Z$87,2,FALSE),TIAM15_assumptions!$H$2:$V$2,0))</f>
        <v>0</v>
      </c>
      <c r="AK9" s="59">
        <f ca="1">OFFSET(TIAM15_assumptions!$G9,0,MATCH(VLOOKUP(Assumptions!AK$2,TIAM15_assumptions!$Y$3:$Z$87,2,FALSE),TIAM15_assumptions!$H$2:$V$2,0))</f>
        <v>0</v>
      </c>
      <c r="AL9" s="59">
        <f ca="1">OFFSET(TIAM15_assumptions!$G9,0,MATCH(VLOOKUP(Assumptions!AL$2,TIAM15_assumptions!$Y$3:$Z$87,2,FALSE),TIAM15_assumptions!$H$2:$V$2,0))</f>
        <v>0</v>
      </c>
      <c r="AM9" s="59">
        <f ca="1">OFFSET(TIAM15_assumptions!$G9,0,MATCH(VLOOKUP(Assumptions!AM$2,TIAM15_assumptions!$Y$3:$Z$87,2,FALSE),TIAM15_assumptions!$H$2:$V$2,0))</f>
        <v>0</v>
      </c>
      <c r="AN9" s="59">
        <f ca="1">OFFSET(TIAM15_assumptions!$G9,0,MATCH(VLOOKUP(Assumptions!AN$2,TIAM15_assumptions!$Y$3:$Z$87,2,FALSE),TIAM15_assumptions!$H$2:$V$2,0))</f>
        <v>0</v>
      </c>
      <c r="AO9" s="59">
        <f ca="1">OFFSET(TIAM15_assumptions!$G9,0,MATCH(VLOOKUP(Assumptions!AO$2,TIAM15_assumptions!$Y$3:$Z$87,2,FALSE),TIAM15_assumptions!$H$2:$V$2,0))</f>
        <v>0</v>
      </c>
      <c r="AP9" s="59">
        <f ca="1">OFFSET(TIAM15_assumptions!$G9,0,MATCH(VLOOKUP(Assumptions!AP$2,TIAM15_assumptions!$Y$3:$Z$87,2,FALSE),TIAM15_assumptions!$H$2:$V$2,0))</f>
        <v>0</v>
      </c>
      <c r="AQ9" s="59">
        <f ca="1">OFFSET(TIAM15_assumptions!$G9,0,MATCH(VLOOKUP(Assumptions!AQ$2,TIAM15_assumptions!$Y$3:$Z$87,2,FALSE),TIAM15_assumptions!$H$2:$V$2,0))</f>
        <v>0</v>
      </c>
      <c r="AR9" s="59">
        <f ca="1">OFFSET(TIAM15_assumptions!$G9,0,MATCH(VLOOKUP(Assumptions!AR$2,TIAM15_assumptions!$Y$3:$Z$87,2,FALSE),TIAM15_assumptions!$H$2:$V$2,0))</f>
        <v>0</v>
      </c>
      <c r="AS9" s="59">
        <f ca="1">OFFSET(TIAM15_assumptions!$G9,0,MATCH(VLOOKUP(Assumptions!AS$2,TIAM15_assumptions!$Y$3:$Z$87,2,FALSE),TIAM15_assumptions!$H$2:$V$2,0))</f>
        <v>0</v>
      </c>
      <c r="AT9" s="59">
        <f ca="1">OFFSET(TIAM15_assumptions!$G9,0,MATCH(VLOOKUP(Assumptions!AT$2,TIAM15_assumptions!$Y$3:$Z$87,2,FALSE),TIAM15_assumptions!$H$2:$V$2,0))</f>
        <v>0</v>
      </c>
      <c r="AU9" s="59">
        <f ca="1">OFFSET(TIAM15_assumptions!$G9,0,MATCH(VLOOKUP(Assumptions!AU$2,TIAM15_assumptions!$Y$3:$Z$87,2,FALSE),TIAM15_assumptions!$H$2:$V$2,0))</f>
        <v>0</v>
      </c>
      <c r="AV9" s="59">
        <f ca="1">OFFSET(TIAM15_assumptions!$G9,0,MATCH(VLOOKUP(Assumptions!AV$2,TIAM15_assumptions!$Y$3:$Z$87,2,FALSE),TIAM15_assumptions!$H$2:$V$2,0))</f>
        <v>0</v>
      </c>
      <c r="AW9" s="59">
        <f ca="1">OFFSET(TIAM15_assumptions!$G9,0,MATCH(VLOOKUP(Assumptions!AW$2,TIAM15_assumptions!$Y$3:$Z$87,2,FALSE),TIAM15_assumptions!$H$2:$V$2,0))</f>
        <v>0</v>
      </c>
      <c r="AX9" s="59">
        <f ca="1">OFFSET(TIAM15_assumptions!$G9,0,MATCH(VLOOKUP(Assumptions!AX$2,TIAM15_assumptions!$Y$3:$Z$87,2,FALSE),TIAM15_assumptions!$H$2:$V$2,0))</f>
        <v>0</v>
      </c>
      <c r="AY9" s="59">
        <f ca="1">OFFSET(TIAM15_assumptions!$G9,0,MATCH(VLOOKUP(Assumptions!AY$2,TIAM15_assumptions!$Y$3:$Z$87,2,FALSE),TIAM15_assumptions!$H$2:$V$2,0))</f>
        <v>0</v>
      </c>
      <c r="AZ9" s="59">
        <f ca="1">OFFSET(TIAM15_assumptions!$G9,0,MATCH(VLOOKUP(Assumptions!AZ$2,TIAM15_assumptions!$Y$3:$Z$87,2,FALSE),TIAM15_assumptions!$H$2:$V$2,0))</f>
        <v>0</v>
      </c>
      <c r="BA9" s="59">
        <f ca="1">OFFSET(TIAM15_assumptions!$G9,0,MATCH(VLOOKUP(Assumptions!BA$2,TIAM15_assumptions!$Y$3:$Z$87,2,FALSE),TIAM15_assumptions!$H$2:$V$2,0))</f>
        <v>0</v>
      </c>
      <c r="BD9" s="41">
        <f ca="1">IFERROR(SUMIFS('TRA balance'!E$5:E$40,'TRA balance'!$C$5:$C$40,Assumptions!$C9,'TRA balance'!$D$5:$D$40,Assumptions!$B9)*CY9*H9,"")</f>
        <v>0</v>
      </c>
      <c r="BE9" s="41">
        <f ca="1">IFERROR(SUMIFS('TRA balance'!F$5:F$40,'TRA balance'!$C$5:$C$40,Assumptions!$C9,'TRA balance'!$D$5:$D$40,Assumptions!$B9)*CZ9*I9,"")</f>
        <v>0</v>
      </c>
      <c r="BF9" s="41">
        <f ca="1">IFERROR(SUMIFS('TRA balance'!G$5:G$40,'TRA balance'!$C$5:$C$40,Assumptions!$C9,'TRA balance'!$D$5:$D$40,Assumptions!$B9)*DA9*J9,"")</f>
        <v>0</v>
      </c>
      <c r="BG9" s="41">
        <f ca="1">IFERROR(SUMIFS('TRA balance'!H$5:H$40,'TRA balance'!$C$5:$C$40,Assumptions!$C9,'TRA balance'!$D$5:$D$40,Assumptions!$B9)*DB9*K9,"")</f>
        <v>0</v>
      </c>
      <c r="BH9" s="41">
        <f ca="1">IFERROR(SUMIFS('TRA balance'!I$5:I$40,'TRA balance'!$C$5:$C$40,Assumptions!$C9,'TRA balance'!$D$5:$D$40,Assumptions!$B9)*DC9*L9,"")</f>
        <v>0</v>
      </c>
      <c r="BI9" s="41">
        <f ca="1">IFERROR(SUMIFS('TRA balance'!J$5:J$40,'TRA balance'!$C$5:$C$40,Assumptions!$C9,'TRA balance'!$D$5:$D$40,Assumptions!$B9)*DD9*M9,"")</f>
        <v>0</v>
      </c>
      <c r="BJ9" s="41">
        <f ca="1">IFERROR(SUMIFS('TRA balance'!K$5:K$40,'TRA balance'!$C$5:$C$40,Assumptions!$C9,'TRA balance'!$D$5:$D$40,Assumptions!$B9)*DE9*N9,"")</f>
        <v>1.00519413977808</v>
      </c>
      <c r="BK9" s="41">
        <f ca="1">IFERROR(SUMIFS('TRA balance'!L$5:L$40,'TRA balance'!$C$5:$C$40,Assumptions!$C9,'TRA balance'!$D$5:$D$40,Assumptions!$B9)*DF9*O9,"")</f>
        <v>232.882296767064</v>
      </c>
      <c r="BL9" s="41">
        <f ca="1">IFERROR(SUMIFS('TRA balance'!M$5:M$40,'TRA balance'!$C$5:$C$40,Assumptions!$C9,'TRA balance'!$D$5:$D$40,Assumptions!$B9)*DG9*P9,"")</f>
        <v>0</v>
      </c>
      <c r="BM9" s="41">
        <f ca="1">IFERROR(SUMIFS('TRA balance'!N$5:N$40,'TRA balance'!$C$5:$C$40,Assumptions!$C9,'TRA balance'!$D$5:$D$40,Assumptions!$B9)*DH9*Q9,"")</f>
        <v>0</v>
      </c>
      <c r="BN9" s="41">
        <f ca="1">IFERROR(SUMIFS('TRA balance'!O$5:O$40,'TRA balance'!$C$5:$C$40,Assumptions!$C9,'TRA balance'!$D$5:$D$40,Assumptions!$B9)*DI9*R9,"")</f>
        <v>0</v>
      </c>
      <c r="BO9" s="41">
        <f ca="1">IFERROR(SUMIFS('TRA balance'!P$5:P$40,'TRA balance'!$C$5:$C$40,Assumptions!$C9,'TRA balance'!$D$5:$D$40,Assumptions!$B9)*DJ9*S9,"")</f>
        <v>0</v>
      </c>
      <c r="BP9" s="41">
        <f ca="1">IFERROR(SUMIFS('TRA balance'!Q$5:Q$40,'TRA balance'!$C$5:$C$40,Assumptions!$C9,'TRA balance'!$D$5:$D$40,Assumptions!$B9)*DK9*T9,"")</f>
        <v>0</v>
      </c>
      <c r="BQ9" s="41">
        <f ca="1">IFERROR(SUMIFS('TRA balance'!R$5:R$40,'TRA balance'!$C$5:$C$40,Assumptions!$C9,'TRA balance'!$D$5:$D$40,Assumptions!$B9)*DL9*U9,"")</f>
        <v>0</v>
      </c>
      <c r="BR9" s="41">
        <f ca="1">IFERROR(SUMIFS('TRA balance'!S$5:S$40,'TRA balance'!$C$5:$C$40,Assumptions!$C9,'TRA balance'!$D$5:$D$40,Assumptions!$B9)*DM9*V9,"")</f>
        <v>0</v>
      </c>
      <c r="BS9" s="41">
        <f ca="1">IFERROR(SUMIFS('TRA balance'!T$5:T$40,'TRA balance'!$C$5:$C$40,Assumptions!$C9,'TRA balance'!$D$5:$D$40,Assumptions!$B9)*DN9*W9,"")</f>
        <v>152.103682543725</v>
      </c>
      <c r="BT9" s="41">
        <f ca="1">IFERROR(SUMIFS('TRA balance'!U$5:U$40,'TRA balance'!$C$5:$C$40,Assumptions!$C9,'TRA balance'!$D$5:$D$40,Assumptions!$B9)*DO9*X9,"")</f>
        <v>0</v>
      </c>
      <c r="BU9" s="41">
        <f ca="1">IFERROR(SUMIFS('TRA balance'!V$5:V$40,'TRA balance'!$C$5:$C$40,Assumptions!$C9,'TRA balance'!$D$5:$D$40,Assumptions!$B9)*DP9*Y9,"")</f>
        <v>0</v>
      </c>
      <c r="BV9" s="41">
        <f ca="1">IFERROR(SUMIFS('TRA balance'!W$5:W$40,'TRA balance'!$C$5:$C$40,Assumptions!$C9,'TRA balance'!$D$5:$D$40,Assumptions!$B9)*DQ9*Z9,"")</f>
        <v>0.4566354919218</v>
      </c>
      <c r="BW9" s="41">
        <f ca="1">IFERROR(SUMIFS('TRA balance'!X$5:X$40,'TRA balance'!$C$5:$C$40,Assumptions!$C9,'TRA balance'!$D$5:$D$40,Assumptions!$B9)*DR9*AA9,"")</f>
        <v>1.03205755627632</v>
      </c>
      <c r="BX9" s="41">
        <f ca="1">IFERROR(SUMIFS('TRA balance'!Y$5:Y$40,'TRA balance'!$C$5:$C$40,Assumptions!$C9,'TRA balance'!$D$5:$D$40,Assumptions!$B9)*DS9*AB9,"")</f>
        <v>0</v>
      </c>
      <c r="BY9" s="41">
        <f ca="1">IFERROR(SUMIFS('TRA balance'!Z$5:Z$40,'TRA balance'!$C$5:$C$40,Assumptions!$C9,'TRA balance'!$D$5:$D$40,Assumptions!$B9)*DT9*AC9,"")</f>
        <v>0</v>
      </c>
      <c r="BZ9" s="41">
        <f ca="1">IFERROR(SUMIFS('TRA balance'!AA$5:AA$40,'TRA balance'!$C$5:$C$40,Assumptions!$C9,'TRA balance'!$D$5:$D$40,Assumptions!$B9)*DU9*AD9,"")</f>
        <v>0</v>
      </c>
      <c r="CA9" s="41">
        <f ca="1">IFERROR(SUMIFS('TRA balance'!AB$5:AB$40,'TRA balance'!$C$5:$C$40,Assumptions!$C9,'TRA balance'!$D$5:$D$40,Assumptions!$B9)*DV9*AE9,"")</f>
        <v>0</v>
      </c>
      <c r="CB9" s="41">
        <f ca="1">IFERROR(SUMIFS('TRA balance'!AC$5:AC$40,'TRA balance'!$C$5:$C$40,Assumptions!$C9,'TRA balance'!$D$5:$D$40,Assumptions!$B9)*DW9*AF9,"")</f>
        <v>0</v>
      </c>
      <c r="CC9" s="41">
        <f ca="1">IFERROR(SUMIFS('TRA balance'!AD$5:AD$40,'TRA balance'!$C$5:$C$40,Assumptions!$C9,'TRA balance'!$D$5:$D$40,Assumptions!$B9)*DX9*AG9,"")</f>
        <v>0</v>
      </c>
      <c r="CD9" s="41">
        <f ca="1">IFERROR(SUMIFS('TRA balance'!AE$5:AE$40,'TRA balance'!$C$5:$C$40,Assumptions!$C9,'TRA balance'!$D$5:$D$40,Assumptions!$B9)*DY9*AH9,"")</f>
        <v>0</v>
      </c>
      <c r="CE9" s="41">
        <f ca="1">IFERROR(SUMIFS('TRA balance'!AF$5:AF$40,'TRA balance'!$C$5:$C$40,Assumptions!$C9,'TRA balance'!$D$5:$D$40,Assumptions!$B9)*DZ9*AI9,"")</f>
        <v>0</v>
      </c>
      <c r="CF9" s="41">
        <f ca="1">IFERROR(SUMIFS('TRA balance'!AG$5:AG$40,'TRA balance'!$C$5:$C$40,Assumptions!$C9,'TRA balance'!$D$5:$D$40,Assumptions!$B9)*EA9*AJ9,"")</f>
        <v>0</v>
      </c>
      <c r="CG9" s="41">
        <f ca="1">IFERROR(SUMIFS('TRA balance'!AH$5:AH$40,'TRA balance'!$C$5:$C$40,Assumptions!$C9,'TRA balance'!$D$5:$D$40,Assumptions!$B9)*EB9*AK9,"")</f>
        <v>0</v>
      </c>
      <c r="CH9" s="41">
        <f ca="1">IFERROR(SUMIFS('TRA balance'!AI$5:AI$40,'TRA balance'!$C$5:$C$40,Assumptions!$C9,'TRA balance'!$D$5:$D$40,Assumptions!$B9)*EC9*AL9,"")</f>
        <v>0</v>
      </c>
      <c r="CI9" s="41">
        <f ca="1">IFERROR(SUMIFS('TRA balance'!AJ$5:AJ$40,'TRA balance'!$C$5:$C$40,Assumptions!$C9,'TRA balance'!$D$5:$D$40,Assumptions!$B9)*ED9*AM9,"")</f>
        <v>0</v>
      </c>
      <c r="CJ9" s="41">
        <f ca="1">IFERROR(SUMIFS('TRA balance'!AK$5:AK$40,'TRA balance'!$C$5:$C$40,Assumptions!$C9,'TRA balance'!$D$5:$D$40,Assumptions!$B9)*EE9*AN9,"")</f>
        <v>0</v>
      </c>
      <c r="CK9" s="41">
        <f ca="1">IFERROR(SUMIFS('TRA balance'!AL$5:AL$40,'TRA balance'!$C$5:$C$40,Assumptions!$C9,'TRA balance'!$D$5:$D$40,Assumptions!$B9)*EF9*AO9,"")</f>
        <v>0</v>
      </c>
      <c r="CL9" s="41">
        <f ca="1">IFERROR(SUMIFS('TRA balance'!AM$5:AM$40,'TRA balance'!$C$5:$C$40,Assumptions!$C9,'TRA balance'!$D$5:$D$40,Assumptions!$B9)*EG9*AP9,"")</f>
        <v>0</v>
      </c>
      <c r="CM9" s="41">
        <f ca="1">IFERROR(SUMIFS('TRA balance'!AN$5:AN$40,'TRA balance'!$C$5:$C$40,Assumptions!$C9,'TRA balance'!$D$5:$D$40,Assumptions!$B9)*EH9*AQ9,"")</f>
        <v>0</v>
      </c>
      <c r="CN9" s="41">
        <f ca="1">IFERROR(SUMIFS('TRA balance'!AO$5:AO$40,'TRA balance'!$C$5:$C$40,Assumptions!$C9,'TRA balance'!$D$5:$D$40,Assumptions!$B9)*EI9*AR9,"")</f>
        <v>0</v>
      </c>
      <c r="CO9" s="41">
        <f ca="1">IFERROR(SUMIFS('TRA balance'!AP$5:AP$40,'TRA balance'!$C$5:$C$40,Assumptions!$C9,'TRA balance'!$D$5:$D$40,Assumptions!$B9)*EJ9*AS9,"")</f>
        <v>0</v>
      </c>
      <c r="CP9" s="41">
        <f ca="1">IFERROR(SUMIFS('TRA balance'!AQ$5:AQ$40,'TRA balance'!$C$5:$C$40,Assumptions!$C9,'TRA balance'!$D$5:$D$40,Assumptions!$B9)*EK9*AT9,"")</f>
        <v>0</v>
      </c>
      <c r="CQ9" s="41">
        <f ca="1">IFERROR(SUMIFS('TRA balance'!AR$5:AR$40,'TRA balance'!$C$5:$C$40,Assumptions!$C9,'TRA balance'!$D$5:$D$40,Assumptions!$B9)*EL9*AU9,"")</f>
        <v>0</v>
      </c>
      <c r="CR9" s="41">
        <f ca="1">IFERROR(SUMIFS('TRA balance'!AS$5:AS$40,'TRA balance'!$C$5:$C$40,Assumptions!$C9,'TRA balance'!$D$5:$D$40,Assumptions!$B9)*EM9*AV9,"")</f>
        <v>0</v>
      </c>
      <c r="CS9" s="41">
        <f ca="1">IFERROR(SUMIFS('TRA balance'!AT$5:AT$40,'TRA balance'!$C$5:$C$40,Assumptions!$C9,'TRA balance'!$D$5:$D$40,Assumptions!$B9)*EN9*AW9,"")</f>
        <v>0</v>
      </c>
      <c r="CT9" s="41">
        <f ca="1">IFERROR(SUMIFS('TRA balance'!AU$5:AU$40,'TRA balance'!$C$5:$C$40,Assumptions!$C9,'TRA balance'!$D$5:$D$40,Assumptions!$B9)*EO9*AX9,"")</f>
        <v>0</v>
      </c>
      <c r="CU9" s="41">
        <f ca="1">IFERROR(SUMIFS('TRA balance'!AV$5:AV$40,'TRA balance'!$C$5:$C$40,Assumptions!$C9,'TRA balance'!$D$5:$D$40,Assumptions!$B9)*EP9*AY9,"")</f>
        <v>0</v>
      </c>
      <c r="CV9" s="41">
        <f ca="1">IFERROR(SUMIFS('TRA balance'!AW$5:AW$40,'TRA balance'!$C$5:$C$40,Assumptions!$C9,'TRA balance'!$D$5:$D$40,Assumptions!$B9)*EQ9*AZ9,"")</f>
        <v>0</v>
      </c>
      <c r="CW9" s="41">
        <f ca="1">IFERROR(SUMIFS('TRA balance'!AX$5:AX$40,'TRA balance'!$C$5:$C$40,Assumptions!$C9,'TRA balance'!$D$5:$D$40,Assumptions!$B9)*ER9*BA9,"")</f>
        <v>0</v>
      </c>
      <c r="CY9" s="40">
        <f ca="1" t="shared" si="2"/>
        <v>0.1</v>
      </c>
      <c r="CZ9" s="40">
        <f ca="1" t="shared" si="3"/>
        <v>0.1</v>
      </c>
      <c r="DA9" s="40">
        <f ca="1" t="shared" si="4"/>
        <v>0.02</v>
      </c>
      <c r="DB9" s="40">
        <f ca="1" t="shared" si="5"/>
        <v>0.2</v>
      </c>
      <c r="DC9" s="40">
        <f ca="1" t="shared" si="6"/>
        <v>0.05</v>
      </c>
      <c r="DD9" s="40">
        <f ca="1" t="shared" si="7"/>
        <v>0.2</v>
      </c>
      <c r="DE9" s="40">
        <f ca="1" t="shared" si="8"/>
        <v>0.07</v>
      </c>
      <c r="DF9" s="40">
        <f ca="1" t="shared" si="9"/>
        <v>0.1</v>
      </c>
      <c r="DG9" s="40">
        <f ca="1" t="shared" si="10"/>
        <v>0.2</v>
      </c>
      <c r="DH9" s="40">
        <f ca="1" t="shared" si="11"/>
        <v>0.2</v>
      </c>
      <c r="DI9" s="40">
        <f ca="1" t="shared" si="12"/>
        <v>0.2</v>
      </c>
      <c r="DJ9" s="40">
        <f ca="1" t="shared" si="13"/>
        <v>0.2</v>
      </c>
      <c r="DK9" s="40">
        <f ca="1" t="shared" si="14"/>
        <v>0.2</v>
      </c>
      <c r="DL9" s="40">
        <f ca="1" t="shared" si="15"/>
        <v>0.2</v>
      </c>
      <c r="DM9" s="40">
        <f ca="1" t="shared" si="16"/>
        <v>0.2</v>
      </c>
      <c r="DN9" s="40">
        <f ca="1" t="shared" si="17"/>
        <v>0.25</v>
      </c>
      <c r="DO9" s="40">
        <f ca="1" t="shared" si="18"/>
        <v>0.2</v>
      </c>
      <c r="DP9" s="40">
        <f ca="1" t="shared" si="19"/>
        <v>0.2</v>
      </c>
      <c r="DQ9" s="40">
        <f ca="1" t="shared" si="20"/>
        <v>0.05</v>
      </c>
      <c r="DR9" s="40">
        <f ca="1" t="shared" si="21"/>
        <v>0.07</v>
      </c>
      <c r="DS9" s="40">
        <f ca="1" t="shared" si="22"/>
        <v>0.1</v>
      </c>
      <c r="DT9" s="40">
        <f ca="1" t="shared" si="23"/>
        <v>0.0244064218226165</v>
      </c>
      <c r="DU9" s="40">
        <f ca="1" t="shared" si="24"/>
        <v>0.2</v>
      </c>
      <c r="DV9" s="40">
        <f ca="1" t="shared" si="25"/>
        <v>0.2</v>
      </c>
      <c r="DW9" s="40">
        <f ca="1" t="shared" si="26"/>
        <v>0.08</v>
      </c>
      <c r="DX9" s="40">
        <f ca="1" t="shared" si="27"/>
        <v>0.05</v>
      </c>
      <c r="DY9" s="40">
        <f ca="1" t="shared" si="28"/>
        <v>0.1</v>
      </c>
      <c r="DZ9" s="40">
        <f ca="1" t="shared" si="29"/>
        <v>0.1</v>
      </c>
      <c r="EA9" s="40">
        <f ca="1" t="shared" si="30"/>
        <v>0.2</v>
      </c>
      <c r="EB9" s="40">
        <f ca="1" t="shared" si="31"/>
        <v>0.2</v>
      </c>
      <c r="EC9" s="40">
        <f ca="1" t="shared" si="32"/>
        <v>0.2</v>
      </c>
      <c r="ED9" s="40">
        <f ca="1" t="shared" si="33"/>
        <v>0.1</v>
      </c>
      <c r="EE9" s="40">
        <f ca="1" t="shared" si="34"/>
        <v>0.2</v>
      </c>
      <c r="EF9" s="40">
        <f ca="1" t="shared" si="35"/>
        <v>0.05</v>
      </c>
      <c r="EG9" s="40">
        <f ca="1" t="shared" si="36"/>
        <v>0.2</v>
      </c>
      <c r="EH9" s="40">
        <f ca="1" t="shared" si="37"/>
        <v>0.0244064218226165</v>
      </c>
      <c r="EI9" s="40">
        <f ca="1" t="shared" si="38"/>
        <v>0.0244064218226165</v>
      </c>
      <c r="EJ9" s="40">
        <f ca="1" t="shared" si="39"/>
        <v>0.0244064218226165</v>
      </c>
      <c r="EK9" s="40">
        <f ca="1" t="shared" si="40"/>
        <v>0.0244064218226165</v>
      </c>
      <c r="EL9" s="40">
        <f ca="1" t="shared" si="41"/>
        <v>0.0244064218226165</v>
      </c>
      <c r="EM9" s="40">
        <f ca="1" t="shared" si="42"/>
        <v>0.0244064218226165</v>
      </c>
      <c r="EN9" s="40">
        <f ca="1" t="shared" si="43"/>
        <v>0.0244064218226165</v>
      </c>
      <c r="EO9" s="40">
        <f ca="1" t="shared" si="44"/>
        <v>0.0244064218226165</v>
      </c>
      <c r="EP9" s="40">
        <f ca="1" t="shared" si="45"/>
        <v>0.0244064218226165</v>
      </c>
      <c r="EQ9" s="40">
        <f ca="1" t="shared" si="46"/>
        <v>0.0244064218226165</v>
      </c>
      <c r="ER9" s="40">
        <f ca="1" t="shared" si="47"/>
        <v>0.0244064218226165</v>
      </c>
      <c r="EU9" t="s">
        <v>203</v>
      </c>
      <c r="EV9">
        <v>12</v>
      </c>
    </row>
    <row r="10" spans="1:152">
      <c r="A10">
        <v>1</v>
      </c>
      <c r="B10" t="str">
        <f>VLOOKUP(F10,'TRA balance'!$BA$5:$BB$14,2,FALSE)</f>
        <v>TRADST</v>
      </c>
      <c r="C10" s="56" t="str">
        <f t="shared" si="48"/>
        <v>TR</v>
      </c>
      <c r="D10" s="57" t="s">
        <v>200</v>
      </c>
      <c r="E10" s="68" t="s">
        <v>208</v>
      </c>
      <c r="F10" s="58" t="str">
        <f t="shared" si="52"/>
        <v>Diesel</v>
      </c>
      <c r="G10" s="56" t="s">
        <v>209</v>
      </c>
      <c r="H10" s="59">
        <f ca="1">OFFSET(TIAM15_assumptions!$G10,0,MATCH(VLOOKUP(Assumptions!H$2,TIAM15_assumptions!$Y$3:$Z$87,2,FALSE),TIAM15_assumptions!$H$2:$V$2,0))</f>
        <v>0</v>
      </c>
      <c r="I10" s="59">
        <f ca="1">OFFSET(TIAM15_assumptions!$G10,0,MATCH(VLOOKUP(Assumptions!I$2,TIAM15_assumptions!$Y$3:$Z$87,2,FALSE),TIAM15_assumptions!$H$2:$V$2,0))</f>
        <v>0</v>
      </c>
      <c r="J10" s="59">
        <f ca="1">OFFSET(TIAM15_assumptions!$G10,0,MATCH(VLOOKUP(Assumptions!J$2,TIAM15_assumptions!$Y$3:$Z$87,2,FALSE),TIAM15_assumptions!$H$2:$V$2,0))</f>
        <v>0</v>
      </c>
      <c r="K10" s="59">
        <f ca="1">OFFSET(TIAM15_assumptions!$G10,0,MATCH(VLOOKUP(Assumptions!K$2,TIAM15_assumptions!$Y$3:$Z$87,2,FALSE),TIAM15_assumptions!$H$2:$V$2,0))</f>
        <v>0</v>
      </c>
      <c r="L10" s="59">
        <f ca="1">OFFSET(TIAM15_assumptions!$G10,0,MATCH(VLOOKUP(Assumptions!L$2,TIAM15_assumptions!$Y$3:$Z$87,2,FALSE),TIAM15_assumptions!$H$2:$V$2,0))</f>
        <v>0</v>
      </c>
      <c r="M10" s="59">
        <f ca="1">OFFSET(TIAM15_assumptions!$G10,0,MATCH(VLOOKUP(Assumptions!M$2,TIAM15_assumptions!$Y$3:$Z$87,2,FALSE),TIAM15_assumptions!$H$2:$V$2,0))</f>
        <v>0</v>
      </c>
      <c r="N10" s="59">
        <f ca="1">OFFSET(TIAM15_assumptions!$G10,0,MATCH(VLOOKUP(Assumptions!N$2,TIAM15_assumptions!$Y$3:$Z$87,2,FALSE),TIAM15_assumptions!$H$2:$V$2,0))</f>
        <v>0</v>
      </c>
      <c r="O10" s="59">
        <f ca="1">OFFSET(TIAM15_assumptions!$G10,0,MATCH(VLOOKUP(Assumptions!O$2,TIAM15_assumptions!$Y$3:$Z$87,2,FALSE),TIAM15_assumptions!$H$2:$V$2,0))</f>
        <v>0</v>
      </c>
      <c r="P10" s="59">
        <f ca="1">OFFSET(TIAM15_assumptions!$G10,0,MATCH(VLOOKUP(Assumptions!P$2,TIAM15_assumptions!$Y$3:$Z$87,2,FALSE),TIAM15_assumptions!$H$2:$V$2,0))</f>
        <v>0</v>
      </c>
      <c r="Q10" s="59">
        <f ca="1">OFFSET(TIAM15_assumptions!$G10,0,MATCH(VLOOKUP(Assumptions!Q$2,TIAM15_assumptions!$Y$3:$Z$87,2,FALSE),TIAM15_assumptions!$H$2:$V$2,0))</f>
        <v>0</v>
      </c>
      <c r="R10" s="59">
        <f ca="1">OFFSET(TIAM15_assumptions!$G10,0,MATCH(VLOOKUP(Assumptions!R$2,TIAM15_assumptions!$Y$3:$Z$87,2,FALSE),TIAM15_assumptions!$H$2:$V$2,0))</f>
        <v>0</v>
      </c>
      <c r="S10" s="59">
        <f ca="1">OFFSET(TIAM15_assumptions!$G10,0,MATCH(VLOOKUP(Assumptions!S$2,TIAM15_assumptions!$Y$3:$Z$87,2,FALSE),TIAM15_assumptions!$H$2:$V$2,0))</f>
        <v>0</v>
      </c>
      <c r="T10" s="59">
        <f ca="1">OFFSET(TIAM15_assumptions!$G10,0,MATCH(VLOOKUP(Assumptions!T$2,TIAM15_assumptions!$Y$3:$Z$87,2,FALSE),TIAM15_assumptions!$H$2:$V$2,0))</f>
        <v>0</v>
      </c>
      <c r="U10" s="59">
        <f ca="1">OFFSET(TIAM15_assumptions!$G10,0,MATCH(VLOOKUP(Assumptions!U$2,TIAM15_assumptions!$Y$3:$Z$87,2,FALSE),TIAM15_assumptions!$H$2:$V$2,0))</f>
        <v>0</v>
      </c>
      <c r="V10" s="59">
        <f ca="1">OFFSET(TIAM15_assumptions!$G10,0,MATCH(VLOOKUP(Assumptions!V$2,TIAM15_assumptions!$Y$3:$Z$87,2,FALSE),TIAM15_assumptions!$H$2:$V$2,0))</f>
        <v>0</v>
      </c>
      <c r="W10" s="59">
        <f ca="1">OFFSET(TIAM15_assumptions!$G10,0,MATCH(VLOOKUP(Assumptions!W$2,TIAM15_assumptions!$Y$3:$Z$87,2,FALSE),TIAM15_assumptions!$H$2:$V$2,0))</f>
        <v>0</v>
      </c>
      <c r="X10" s="59">
        <f ca="1">OFFSET(TIAM15_assumptions!$G10,0,MATCH(VLOOKUP(Assumptions!X$2,TIAM15_assumptions!$Y$3:$Z$87,2,FALSE),TIAM15_assumptions!$H$2:$V$2,0))</f>
        <v>0</v>
      </c>
      <c r="Y10" s="59">
        <f ca="1">OFFSET(TIAM15_assumptions!$G10,0,MATCH(VLOOKUP(Assumptions!Y$2,TIAM15_assumptions!$Y$3:$Z$87,2,FALSE),TIAM15_assumptions!$H$2:$V$2,0))</f>
        <v>0</v>
      </c>
      <c r="Z10" s="59">
        <f ca="1">OFFSET(TIAM15_assumptions!$G10,0,MATCH(VLOOKUP(Assumptions!Z$2,TIAM15_assumptions!$Y$3:$Z$87,2,FALSE),TIAM15_assumptions!$H$2:$V$2,0))</f>
        <v>0</v>
      </c>
      <c r="AA10" s="59">
        <f ca="1">OFFSET(TIAM15_assumptions!$G10,0,MATCH(VLOOKUP(Assumptions!AA$2,TIAM15_assumptions!$Y$3:$Z$87,2,FALSE),TIAM15_assumptions!$H$2:$V$2,0))</f>
        <v>0</v>
      </c>
      <c r="AB10" s="59">
        <f ca="1">OFFSET(TIAM15_assumptions!$G10,0,MATCH(VLOOKUP(Assumptions!AB$2,TIAM15_assumptions!$Y$3:$Z$87,2,FALSE),TIAM15_assumptions!$H$2:$V$2,0))</f>
        <v>0</v>
      </c>
      <c r="AC10" s="59">
        <f ca="1">OFFSET(TIAM15_assumptions!$G10,0,MATCH(VLOOKUP(Assumptions!AC$2,TIAM15_assumptions!$Y$3:$Z$87,2,FALSE),TIAM15_assumptions!$H$2:$V$2,0))</f>
        <v>0</v>
      </c>
      <c r="AD10" s="59">
        <f ca="1">OFFSET(TIAM15_assumptions!$G10,0,MATCH(VLOOKUP(Assumptions!AD$2,TIAM15_assumptions!$Y$3:$Z$87,2,FALSE),TIAM15_assumptions!$H$2:$V$2,0))</f>
        <v>0</v>
      </c>
      <c r="AE10" s="59">
        <f ca="1">OFFSET(TIAM15_assumptions!$G10,0,MATCH(VLOOKUP(Assumptions!AE$2,TIAM15_assumptions!$Y$3:$Z$87,2,FALSE),TIAM15_assumptions!$H$2:$V$2,0))</f>
        <v>0</v>
      </c>
      <c r="AF10" s="59">
        <f ca="1">OFFSET(TIAM15_assumptions!$G10,0,MATCH(VLOOKUP(Assumptions!AF$2,TIAM15_assumptions!$Y$3:$Z$87,2,FALSE),TIAM15_assumptions!$H$2:$V$2,0))</f>
        <v>0</v>
      </c>
      <c r="AG10" s="59">
        <f ca="1">OFFSET(TIAM15_assumptions!$G10,0,MATCH(VLOOKUP(Assumptions!AG$2,TIAM15_assumptions!$Y$3:$Z$87,2,FALSE),TIAM15_assumptions!$H$2:$V$2,0))</f>
        <v>0</v>
      </c>
      <c r="AH10" s="59">
        <f ca="1">OFFSET(TIAM15_assumptions!$G10,0,MATCH(VLOOKUP(Assumptions!AH$2,TIAM15_assumptions!$Y$3:$Z$87,2,FALSE),TIAM15_assumptions!$H$2:$V$2,0))</f>
        <v>0</v>
      </c>
      <c r="AI10" s="59">
        <f ca="1">OFFSET(TIAM15_assumptions!$G10,0,MATCH(VLOOKUP(Assumptions!AI$2,TIAM15_assumptions!$Y$3:$Z$87,2,FALSE),TIAM15_assumptions!$H$2:$V$2,0))</f>
        <v>0</v>
      </c>
      <c r="AJ10" s="59">
        <f ca="1">OFFSET(TIAM15_assumptions!$G10,0,MATCH(VLOOKUP(Assumptions!AJ$2,TIAM15_assumptions!$Y$3:$Z$87,2,FALSE),TIAM15_assumptions!$H$2:$V$2,0))</f>
        <v>0</v>
      </c>
      <c r="AK10" s="59">
        <f ca="1">OFFSET(TIAM15_assumptions!$G10,0,MATCH(VLOOKUP(Assumptions!AK$2,TIAM15_assumptions!$Y$3:$Z$87,2,FALSE),TIAM15_assumptions!$H$2:$V$2,0))</f>
        <v>0</v>
      </c>
      <c r="AL10" s="59">
        <f ca="1">OFFSET(TIAM15_assumptions!$G10,0,MATCH(VLOOKUP(Assumptions!AL$2,TIAM15_assumptions!$Y$3:$Z$87,2,FALSE),TIAM15_assumptions!$H$2:$V$2,0))</f>
        <v>0</v>
      </c>
      <c r="AM10" s="59">
        <f ca="1">OFFSET(TIAM15_assumptions!$G10,0,MATCH(VLOOKUP(Assumptions!AM$2,TIAM15_assumptions!$Y$3:$Z$87,2,FALSE),TIAM15_assumptions!$H$2:$V$2,0))</f>
        <v>0</v>
      </c>
      <c r="AN10" s="59">
        <f ca="1">OFFSET(TIAM15_assumptions!$G10,0,MATCH(VLOOKUP(Assumptions!AN$2,TIAM15_assumptions!$Y$3:$Z$87,2,FALSE),TIAM15_assumptions!$H$2:$V$2,0))</f>
        <v>0</v>
      </c>
      <c r="AO10" s="59">
        <f ca="1">OFFSET(TIAM15_assumptions!$G10,0,MATCH(VLOOKUP(Assumptions!AO$2,TIAM15_assumptions!$Y$3:$Z$87,2,FALSE),TIAM15_assumptions!$H$2:$V$2,0))</f>
        <v>0</v>
      </c>
      <c r="AP10" s="59">
        <f ca="1">OFFSET(TIAM15_assumptions!$G10,0,MATCH(VLOOKUP(Assumptions!AP$2,TIAM15_assumptions!$Y$3:$Z$87,2,FALSE),TIAM15_assumptions!$H$2:$V$2,0))</f>
        <v>0</v>
      </c>
      <c r="AQ10" s="59">
        <f ca="1">OFFSET(TIAM15_assumptions!$G10,0,MATCH(VLOOKUP(Assumptions!AQ$2,TIAM15_assumptions!$Y$3:$Z$87,2,FALSE),TIAM15_assumptions!$H$2:$V$2,0))</f>
        <v>0</v>
      </c>
      <c r="AR10" s="59">
        <f ca="1">OFFSET(TIAM15_assumptions!$G10,0,MATCH(VLOOKUP(Assumptions!AR$2,TIAM15_assumptions!$Y$3:$Z$87,2,FALSE),TIAM15_assumptions!$H$2:$V$2,0))</f>
        <v>0</v>
      </c>
      <c r="AS10" s="59">
        <f ca="1">OFFSET(TIAM15_assumptions!$G10,0,MATCH(VLOOKUP(Assumptions!AS$2,TIAM15_assumptions!$Y$3:$Z$87,2,FALSE),TIAM15_assumptions!$H$2:$V$2,0))</f>
        <v>0</v>
      </c>
      <c r="AT10" s="59">
        <f ca="1">OFFSET(TIAM15_assumptions!$G10,0,MATCH(VLOOKUP(Assumptions!AT$2,TIAM15_assumptions!$Y$3:$Z$87,2,FALSE),TIAM15_assumptions!$H$2:$V$2,0))</f>
        <v>0</v>
      </c>
      <c r="AU10" s="59">
        <f ca="1">OFFSET(TIAM15_assumptions!$G10,0,MATCH(VLOOKUP(Assumptions!AU$2,TIAM15_assumptions!$Y$3:$Z$87,2,FALSE),TIAM15_assumptions!$H$2:$V$2,0))</f>
        <v>0</v>
      </c>
      <c r="AV10" s="59">
        <f ca="1">OFFSET(TIAM15_assumptions!$G10,0,MATCH(VLOOKUP(Assumptions!AV$2,TIAM15_assumptions!$Y$3:$Z$87,2,FALSE),TIAM15_assumptions!$H$2:$V$2,0))</f>
        <v>0</v>
      </c>
      <c r="AW10" s="59">
        <f ca="1">OFFSET(TIAM15_assumptions!$G10,0,MATCH(VLOOKUP(Assumptions!AW$2,TIAM15_assumptions!$Y$3:$Z$87,2,FALSE),TIAM15_assumptions!$H$2:$V$2,0))</f>
        <v>0</v>
      </c>
      <c r="AX10" s="59">
        <f ca="1">OFFSET(TIAM15_assumptions!$G10,0,MATCH(VLOOKUP(Assumptions!AX$2,TIAM15_assumptions!$Y$3:$Z$87,2,FALSE),TIAM15_assumptions!$H$2:$V$2,0))</f>
        <v>0</v>
      </c>
      <c r="AY10" s="59">
        <f ca="1">OFFSET(TIAM15_assumptions!$G10,0,MATCH(VLOOKUP(Assumptions!AY$2,TIAM15_assumptions!$Y$3:$Z$87,2,FALSE),TIAM15_assumptions!$H$2:$V$2,0))</f>
        <v>0</v>
      </c>
      <c r="AZ10" s="59">
        <f ca="1">OFFSET(TIAM15_assumptions!$G10,0,MATCH(VLOOKUP(Assumptions!AZ$2,TIAM15_assumptions!$Y$3:$Z$87,2,FALSE),TIAM15_assumptions!$H$2:$V$2,0))</f>
        <v>0</v>
      </c>
      <c r="BA10" s="59">
        <f ca="1">OFFSET(TIAM15_assumptions!$G10,0,MATCH(VLOOKUP(Assumptions!BA$2,TIAM15_assumptions!$Y$3:$Z$87,2,FALSE),TIAM15_assumptions!$H$2:$V$2,0))</f>
        <v>0</v>
      </c>
      <c r="BD10" s="41">
        <f ca="1">IFERROR(SUMIFS('TRA balance'!E$5:E$40,'TRA balance'!$C$5:$C$40,Assumptions!$C10,'TRA balance'!$D$5:$D$40,Assumptions!$B10)*CY10*H10,"")</f>
        <v>0</v>
      </c>
      <c r="BE10" s="41">
        <f ca="1">IFERROR(SUMIFS('TRA balance'!F$5:F$40,'TRA balance'!$C$5:$C$40,Assumptions!$C10,'TRA balance'!$D$5:$D$40,Assumptions!$B10)*CZ10*I10,"")</f>
        <v>0</v>
      </c>
      <c r="BF10" s="41">
        <f ca="1">IFERROR(SUMIFS('TRA balance'!G$5:G$40,'TRA balance'!$C$5:$C$40,Assumptions!$C10,'TRA balance'!$D$5:$D$40,Assumptions!$B10)*DA10*J10,"")</f>
        <v>0</v>
      </c>
      <c r="BG10" s="41">
        <f ca="1">IFERROR(SUMIFS('TRA balance'!H$5:H$40,'TRA balance'!$C$5:$C$40,Assumptions!$C10,'TRA balance'!$D$5:$D$40,Assumptions!$B10)*DB10*K10,"")</f>
        <v>0</v>
      </c>
      <c r="BH10" s="41">
        <f ca="1">IFERROR(SUMIFS('TRA balance'!I$5:I$40,'TRA balance'!$C$5:$C$40,Assumptions!$C10,'TRA balance'!$D$5:$D$40,Assumptions!$B10)*DC10*L10,"")</f>
        <v>0</v>
      </c>
      <c r="BI10" s="41">
        <f ca="1">IFERROR(SUMIFS('TRA balance'!J$5:J$40,'TRA balance'!$C$5:$C$40,Assumptions!$C10,'TRA balance'!$D$5:$D$40,Assumptions!$B10)*DD10*M10,"")</f>
        <v>0</v>
      </c>
      <c r="BJ10" s="41">
        <f ca="1">IFERROR(SUMIFS('TRA balance'!K$5:K$40,'TRA balance'!$C$5:$C$40,Assumptions!$C10,'TRA balance'!$D$5:$D$40,Assumptions!$B10)*DE10*N10,"")</f>
        <v>0</v>
      </c>
      <c r="BK10" s="41">
        <f ca="1">IFERROR(SUMIFS('TRA balance'!L$5:L$40,'TRA balance'!$C$5:$C$40,Assumptions!$C10,'TRA balance'!$D$5:$D$40,Assumptions!$B10)*DF10*O10,"")</f>
        <v>0</v>
      </c>
      <c r="BL10" s="41">
        <f ca="1">IFERROR(SUMIFS('TRA balance'!M$5:M$40,'TRA balance'!$C$5:$C$40,Assumptions!$C10,'TRA balance'!$D$5:$D$40,Assumptions!$B10)*DG10*P10,"")</f>
        <v>0</v>
      </c>
      <c r="BM10" s="41">
        <f ca="1">IFERROR(SUMIFS('TRA balance'!N$5:N$40,'TRA balance'!$C$5:$C$40,Assumptions!$C10,'TRA balance'!$D$5:$D$40,Assumptions!$B10)*DH10*Q10,"")</f>
        <v>0</v>
      </c>
      <c r="BN10" s="41">
        <f ca="1">IFERROR(SUMIFS('TRA balance'!O$5:O$40,'TRA balance'!$C$5:$C$40,Assumptions!$C10,'TRA balance'!$D$5:$D$40,Assumptions!$B10)*DI10*R10,"")</f>
        <v>0</v>
      </c>
      <c r="BO10" s="41">
        <f ca="1">IFERROR(SUMIFS('TRA balance'!P$5:P$40,'TRA balance'!$C$5:$C$40,Assumptions!$C10,'TRA balance'!$D$5:$D$40,Assumptions!$B10)*DJ10*S10,"")</f>
        <v>0</v>
      </c>
      <c r="BP10" s="41">
        <f ca="1">IFERROR(SUMIFS('TRA balance'!Q$5:Q$40,'TRA balance'!$C$5:$C$40,Assumptions!$C10,'TRA balance'!$D$5:$D$40,Assumptions!$B10)*DK10*T10,"")</f>
        <v>0</v>
      </c>
      <c r="BQ10" s="41">
        <f ca="1">IFERROR(SUMIFS('TRA balance'!R$5:R$40,'TRA balance'!$C$5:$C$40,Assumptions!$C10,'TRA balance'!$D$5:$D$40,Assumptions!$B10)*DL10*U10,"")</f>
        <v>0</v>
      </c>
      <c r="BR10" s="41">
        <f ca="1">IFERROR(SUMIFS('TRA balance'!S$5:S$40,'TRA balance'!$C$5:$C$40,Assumptions!$C10,'TRA balance'!$D$5:$D$40,Assumptions!$B10)*DM10*V10,"")</f>
        <v>0</v>
      </c>
      <c r="BS10" s="41">
        <f ca="1">IFERROR(SUMIFS('TRA balance'!T$5:T$40,'TRA balance'!$C$5:$C$40,Assumptions!$C10,'TRA balance'!$D$5:$D$40,Assumptions!$B10)*DN10*W10,"")</f>
        <v>0</v>
      </c>
      <c r="BT10" s="41">
        <f ca="1">IFERROR(SUMIFS('TRA balance'!U$5:U$40,'TRA balance'!$C$5:$C$40,Assumptions!$C10,'TRA balance'!$D$5:$D$40,Assumptions!$B10)*DO10*X10,"")</f>
        <v>0</v>
      </c>
      <c r="BU10" s="41">
        <f ca="1">IFERROR(SUMIFS('TRA balance'!V$5:V$40,'TRA balance'!$C$5:$C$40,Assumptions!$C10,'TRA balance'!$D$5:$D$40,Assumptions!$B10)*DP10*Y10,"")</f>
        <v>0</v>
      </c>
      <c r="BV10" s="41">
        <f ca="1">IFERROR(SUMIFS('TRA balance'!W$5:W$40,'TRA balance'!$C$5:$C$40,Assumptions!$C10,'TRA balance'!$D$5:$D$40,Assumptions!$B10)*DQ10*Z10,"")</f>
        <v>0</v>
      </c>
      <c r="BW10" s="41">
        <f ca="1">IFERROR(SUMIFS('TRA balance'!X$5:X$40,'TRA balance'!$C$5:$C$40,Assumptions!$C10,'TRA balance'!$D$5:$D$40,Assumptions!$B10)*DR10*AA10,"")</f>
        <v>0</v>
      </c>
      <c r="BX10" s="41">
        <f ca="1">IFERROR(SUMIFS('TRA balance'!Y$5:Y$40,'TRA balance'!$C$5:$C$40,Assumptions!$C10,'TRA balance'!$D$5:$D$40,Assumptions!$B10)*DS10*AB10,"")</f>
        <v>0</v>
      </c>
      <c r="BY10" s="41">
        <f ca="1">IFERROR(SUMIFS('TRA balance'!Z$5:Z$40,'TRA balance'!$C$5:$C$40,Assumptions!$C10,'TRA balance'!$D$5:$D$40,Assumptions!$B10)*DT10*AC10,"")</f>
        <v>0</v>
      </c>
      <c r="BZ10" s="41">
        <f ca="1">IFERROR(SUMIFS('TRA balance'!AA$5:AA$40,'TRA balance'!$C$5:$C$40,Assumptions!$C10,'TRA balance'!$D$5:$D$40,Assumptions!$B10)*DU10*AD10,"")</f>
        <v>0</v>
      </c>
      <c r="CA10" s="41">
        <f ca="1">IFERROR(SUMIFS('TRA balance'!AB$5:AB$40,'TRA balance'!$C$5:$C$40,Assumptions!$C10,'TRA balance'!$D$5:$D$40,Assumptions!$B10)*DV10*AE10,"")</f>
        <v>0</v>
      </c>
      <c r="CB10" s="41">
        <f ca="1">IFERROR(SUMIFS('TRA balance'!AC$5:AC$40,'TRA balance'!$C$5:$C$40,Assumptions!$C10,'TRA balance'!$D$5:$D$40,Assumptions!$B10)*DW10*AF10,"")</f>
        <v>0</v>
      </c>
      <c r="CC10" s="41">
        <f ca="1">IFERROR(SUMIFS('TRA balance'!AD$5:AD$40,'TRA balance'!$C$5:$C$40,Assumptions!$C10,'TRA balance'!$D$5:$D$40,Assumptions!$B10)*DX10*AG10,"")</f>
        <v>0</v>
      </c>
      <c r="CD10" s="41">
        <f ca="1">IFERROR(SUMIFS('TRA balance'!AE$5:AE$40,'TRA balance'!$C$5:$C$40,Assumptions!$C10,'TRA balance'!$D$5:$D$40,Assumptions!$B10)*DY10*AH10,"")</f>
        <v>0</v>
      </c>
      <c r="CE10" s="41">
        <f ca="1">IFERROR(SUMIFS('TRA balance'!AF$5:AF$40,'TRA balance'!$C$5:$C$40,Assumptions!$C10,'TRA balance'!$D$5:$D$40,Assumptions!$B10)*DZ10*AI10,"")</f>
        <v>0</v>
      </c>
      <c r="CF10" s="41">
        <f ca="1">IFERROR(SUMIFS('TRA balance'!AG$5:AG$40,'TRA balance'!$C$5:$C$40,Assumptions!$C10,'TRA balance'!$D$5:$D$40,Assumptions!$B10)*EA10*AJ10,"")</f>
        <v>0</v>
      </c>
      <c r="CG10" s="41">
        <f ca="1">IFERROR(SUMIFS('TRA balance'!AH$5:AH$40,'TRA balance'!$C$5:$C$40,Assumptions!$C10,'TRA balance'!$D$5:$D$40,Assumptions!$B10)*EB10*AK10,"")</f>
        <v>0</v>
      </c>
      <c r="CH10" s="41">
        <f ca="1">IFERROR(SUMIFS('TRA balance'!AI$5:AI$40,'TRA balance'!$C$5:$C$40,Assumptions!$C10,'TRA balance'!$D$5:$D$40,Assumptions!$B10)*EC10*AL10,"")</f>
        <v>0</v>
      </c>
      <c r="CI10" s="41">
        <f ca="1">IFERROR(SUMIFS('TRA balance'!AJ$5:AJ$40,'TRA balance'!$C$5:$C$40,Assumptions!$C10,'TRA balance'!$D$5:$D$40,Assumptions!$B10)*ED10*AM10,"")</f>
        <v>0</v>
      </c>
      <c r="CJ10" s="41">
        <f ca="1">IFERROR(SUMIFS('TRA balance'!AK$5:AK$40,'TRA balance'!$C$5:$C$40,Assumptions!$C10,'TRA balance'!$D$5:$D$40,Assumptions!$B10)*EE10*AN10,"")</f>
        <v>0</v>
      </c>
      <c r="CK10" s="41">
        <f ca="1">IFERROR(SUMIFS('TRA balance'!AL$5:AL$40,'TRA balance'!$C$5:$C$40,Assumptions!$C10,'TRA balance'!$D$5:$D$40,Assumptions!$B10)*EF10*AO10,"")</f>
        <v>0</v>
      </c>
      <c r="CL10" s="41">
        <f ca="1">IFERROR(SUMIFS('TRA balance'!AM$5:AM$40,'TRA balance'!$C$5:$C$40,Assumptions!$C10,'TRA balance'!$D$5:$D$40,Assumptions!$B10)*EG10*AP10,"")</f>
        <v>0</v>
      </c>
      <c r="CM10" s="41">
        <f ca="1">IFERROR(SUMIFS('TRA balance'!AN$5:AN$40,'TRA balance'!$C$5:$C$40,Assumptions!$C10,'TRA balance'!$D$5:$D$40,Assumptions!$B10)*EH10*AQ10,"")</f>
        <v>0</v>
      </c>
      <c r="CN10" s="41">
        <f ca="1">IFERROR(SUMIFS('TRA balance'!AO$5:AO$40,'TRA balance'!$C$5:$C$40,Assumptions!$C10,'TRA balance'!$D$5:$D$40,Assumptions!$B10)*EI10*AR10,"")</f>
        <v>0</v>
      </c>
      <c r="CO10" s="41">
        <f ca="1">IFERROR(SUMIFS('TRA balance'!AP$5:AP$40,'TRA balance'!$C$5:$C$40,Assumptions!$C10,'TRA balance'!$D$5:$D$40,Assumptions!$B10)*EJ10*AS10,"")</f>
        <v>0</v>
      </c>
      <c r="CP10" s="41">
        <f ca="1">IFERROR(SUMIFS('TRA balance'!AQ$5:AQ$40,'TRA balance'!$C$5:$C$40,Assumptions!$C10,'TRA balance'!$D$5:$D$40,Assumptions!$B10)*EK10*AT10,"")</f>
        <v>0</v>
      </c>
      <c r="CQ10" s="41">
        <f ca="1">IFERROR(SUMIFS('TRA balance'!AR$5:AR$40,'TRA balance'!$C$5:$C$40,Assumptions!$C10,'TRA balance'!$D$5:$D$40,Assumptions!$B10)*EL10*AU10,"")</f>
        <v>0</v>
      </c>
      <c r="CR10" s="41">
        <f ca="1">IFERROR(SUMIFS('TRA balance'!AS$5:AS$40,'TRA balance'!$C$5:$C$40,Assumptions!$C10,'TRA balance'!$D$5:$D$40,Assumptions!$B10)*EM10*AV10,"")</f>
        <v>0</v>
      </c>
      <c r="CS10" s="41">
        <f ca="1">IFERROR(SUMIFS('TRA balance'!AT$5:AT$40,'TRA balance'!$C$5:$C$40,Assumptions!$C10,'TRA balance'!$D$5:$D$40,Assumptions!$B10)*EN10*AW10,"")</f>
        <v>0</v>
      </c>
      <c r="CT10" s="41">
        <f ca="1">IFERROR(SUMIFS('TRA balance'!AU$5:AU$40,'TRA balance'!$C$5:$C$40,Assumptions!$C10,'TRA balance'!$D$5:$D$40,Assumptions!$B10)*EO10*AX10,"")</f>
        <v>0</v>
      </c>
      <c r="CU10" s="41">
        <f ca="1">IFERROR(SUMIFS('TRA balance'!AV$5:AV$40,'TRA balance'!$C$5:$C$40,Assumptions!$C10,'TRA balance'!$D$5:$D$40,Assumptions!$B10)*EP10*AY10,"")</f>
        <v>0</v>
      </c>
      <c r="CV10" s="41">
        <f ca="1">IFERROR(SUMIFS('TRA balance'!AW$5:AW$40,'TRA balance'!$C$5:$C$40,Assumptions!$C10,'TRA balance'!$D$5:$D$40,Assumptions!$B10)*EQ10*AZ10,"")</f>
        <v>0</v>
      </c>
      <c r="CW10" s="41">
        <f ca="1">IFERROR(SUMIFS('TRA balance'!AX$5:AX$40,'TRA balance'!$C$5:$C$40,Assumptions!$C10,'TRA balance'!$D$5:$D$40,Assumptions!$B10)*ER10*BA10,"")</f>
        <v>0</v>
      </c>
      <c r="CY10" s="40">
        <f ca="1" t="shared" si="2"/>
        <v>0.1</v>
      </c>
      <c r="CZ10" s="40">
        <f ca="1" t="shared" si="3"/>
        <v>0.1</v>
      </c>
      <c r="DA10" s="40">
        <f ca="1" t="shared" si="4"/>
        <v>0.02</v>
      </c>
      <c r="DB10" s="40">
        <f ca="1" t="shared" si="5"/>
        <v>0.2</v>
      </c>
      <c r="DC10" s="40">
        <f ca="1" t="shared" si="6"/>
        <v>0.05</v>
      </c>
      <c r="DD10" s="40">
        <f ca="1" t="shared" si="7"/>
        <v>0.2</v>
      </c>
      <c r="DE10" s="40">
        <f ca="1" t="shared" si="8"/>
        <v>0.07</v>
      </c>
      <c r="DF10" s="40">
        <f ca="1" t="shared" si="9"/>
        <v>0.1</v>
      </c>
      <c r="DG10" s="40">
        <f ca="1" t="shared" si="10"/>
        <v>0.2</v>
      </c>
      <c r="DH10" s="40">
        <f ca="1" t="shared" si="11"/>
        <v>0.2</v>
      </c>
      <c r="DI10" s="40">
        <f ca="1" t="shared" si="12"/>
        <v>0.2</v>
      </c>
      <c r="DJ10" s="40">
        <f ca="1" t="shared" si="13"/>
        <v>0.2</v>
      </c>
      <c r="DK10" s="40">
        <f ca="1" t="shared" si="14"/>
        <v>0.2</v>
      </c>
      <c r="DL10" s="40">
        <f ca="1" t="shared" si="15"/>
        <v>0.2</v>
      </c>
      <c r="DM10" s="40">
        <f ca="1" t="shared" si="16"/>
        <v>0.2</v>
      </c>
      <c r="DN10" s="40">
        <f ca="1" t="shared" si="17"/>
        <v>0.25</v>
      </c>
      <c r="DO10" s="40">
        <f ca="1" t="shared" si="18"/>
        <v>0.2</v>
      </c>
      <c r="DP10" s="40">
        <f ca="1" t="shared" si="19"/>
        <v>0.2</v>
      </c>
      <c r="DQ10" s="40">
        <f ca="1" t="shared" si="20"/>
        <v>0.05</v>
      </c>
      <c r="DR10" s="40">
        <f ca="1" t="shared" si="21"/>
        <v>0.07</v>
      </c>
      <c r="DS10" s="40">
        <f ca="1" t="shared" si="22"/>
        <v>0.1</v>
      </c>
      <c r="DT10" s="40">
        <f ca="1" t="shared" si="23"/>
        <v>0.0244064218226165</v>
      </c>
      <c r="DU10" s="40">
        <f ca="1" t="shared" si="24"/>
        <v>0.2</v>
      </c>
      <c r="DV10" s="40">
        <f ca="1" t="shared" si="25"/>
        <v>0.2</v>
      </c>
      <c r="DW10" s="40">
        <f ca="1" t="shared" si="26"/>
        <v>0.08</v>
      </c>
      <c r="DX10" s="40">
        <f ca="1" t="shared" si="27"/>
        <v>0.05</v>
      </c>
      <c r="DY10" s="40">
        <f ca="1" t="shared" si="28"/>
        <v>0.1</v>
      </c>
      <c r="DZ10" s="40">
        <f ca="1" t="shared" si="29"/>
        <v>0.1</v>
      </c>
      <c r="EA10" s="40">
        <f ca="1" t="shared" si="30"/>
        <v>0.2</v>
      </c>
      <c r="EB10" s="40">
        <f ca="1" t="shared" si="31"/>
        <v>0.2</v>
      </c>
      <c r="EC10" s="40">
        <f ca="1" t="shared" si="32"/>
        <v>0.2</v>
      </c>
      <c r="ED10" s="40">
        <f ca="1" t="shared" si="33"/>
        <v>0.1</v>
      </c>
      <c r="EE10" s="40">
        <f ca="1" t="shared" si="34"/>
        <v>0.2</v>
      </c>
      <c r="EF10" s="40">
        <f ca="1" t="shared" si="35"/>
        <v>0.05</v>
      </c>
      <c r="EG10" s="40">
        <f ca="1" t="shared" si="36"/>
        <v>0.2</v>
      </c>
      <c r="EH10" s="40">
        <f ca="1" t="shared" si="37"/>
        <v>0.0244064218226165</v>
      </c>
      <c r="EI10" s="40">
        <f ca="1" t="shared" si="38"/>
        <v>0.0244064218226165</v>
      </c>
      <c r="EJ10" s="40">
        <f ca="1" t="shared" si="39"/>
        <v>0.0244064218226165</v>
      </c>
      <c r="EK10" s="40">
        <f ca="1" t="shared" si="40"/>
        <v>0.0244064218226165</v>
      </c>
      <c r="EL10" s="40">
        <f ca="1" t="shared" si="41"/>
        <v>0.0244064218226165</v>
      </c>
      <c r="EM10" s="40">
        <f ca="1" t="shared" si="42"/>
        <v>0.0244064218226165</v>
      </c>
      <c r="EN10" s="40">
        <f ca="1" t="shared" si="43"/>
        <v>0.0244064218226165</v>
      </c>
      <c r="EO10" s="40">
        <f ca="1" t="shared" si="44"/>
        <v>0.0244064218226165</v>
      </c>
      <c r="EP10" s="40">
        <f ca="1" t="shared" si="45"/>
        <v>0.0244064218226165</v>
      </c>
      <c r="EQ10" s="40">
        <f ca="1" t="shared" si="46"/>
        <v>0.0244064218226165</v>
      </c>
      <c r="ER10" s="40">
        <f ca="1" t="shared" si="47"/>
        <v>0.0244064218226165</v>
      </c>
      <c r="EU10" t="s">
        <v>209</v>
      </c>
      <c r="EV10">
        <v>15</v>
      </c>
    </row>
    <row r="11" spans="1:152">
      <c r="A11">
        <v>1</v>
      </c>
      <c r="B11" t="str">
        <f>VLOOKUP(F11,'TRA balance'!$BA$5:$BB$14,2,FALSE)</f>
        <v>TRADST</v>
      </c>
      <c r="C11" s="56" t="str">
        <f t="shared" si="48"/>
        <v/>
      </c>
      <c r="D11" s="57"/>
      <c r="E11" s="69" t="s">
        <v>210</v>
      </c>
      <c r="F11" s="58" t="str">
        <f t="shared" si="52"/>
        <v>Diesel</v>
      </c>
      <c r="G11" s="56"/>
      <c r="H11" s="63" t="str">
        <f ca="1">IF(SUM(H7:H10)=1,"-","&lt;&gt;1!!")</f>
        <v>-</v>
      </c>
      <c r="I11" s="63" t="str">
        <f ca="1" t="shared" ref="I11:BA11" si="53">IF(SUM(I7:I10)=1,"-","&lt;&gt;1!!")</f>
        <v>-</v>
      </c>
      <c r="J11" s="63" t="str">
        <f ca="1" t="shared" si="53"/>
        <v>-</v>
      </c>
      <c r="K11" s="63" t="str">
        <f ca="1" t="shared" si="53"/>
        <v>-</v>
      </c>
      <c r="L11" s="63" t="str">
        <f ca="1" t="shared" si="53"/>
        <v>-</v>
      </c>
      <c r="M11" s="63" t="str">
        <f ca="1" t="shared" si="53"/>
        <v>-</v>
      </c>
      <c r="N11" s="63" t="str">
        <f ca="1" t="shared" si="53"/>
        <v>-</v>
      </c>
      <c r="O11" s="63" t="str">
        <f ca="1" t="shared" si="53"/>
        <v>-</v>
      </c>
      <c r="P11" s="63" t="str">
        <f ca="1" t="shared" si="53"/>
        <v>-</v>
      </c>
      <c r="Q11" s="63" t="str">
        <f ca="1" t="shared" si="53"/>
        <v>-</v>
      </c>
      <c r="R11" s="63" t="str">
        <f ca="1" t="shared" si="53"/>
        <v>-</v>
      </c>
      <c r="S11" s="63" t="str">
        <f ca="1" t="shared" si="53"/>
        <v>-</v>
      </c>
      <c r="T11" s="63" t="str">
        <f ca="1" t="shared" si="53"/>
        <v>-</v>
      </c>
      <c r="U11" s="63" t="str">
        <f ca="1" t="shared" si="53"/>
        <v>-</v>
      </c>
      <c r="V11" s="63" t="str">
        <f ca="1" t="shared" si="53"/>
        <v>-</v>
      </c>
      <c r="W11" s="63" t="str">
        <f ca="1" t="shared" si="53"/>
        <v>-</v>
      </c>
      <c r="X11" s="63" t="str">
        <f ca="1" t="shared" si="53"/>
        <v>-</v>
      </c>
      <c r="Y11" s="63" t="str">
        <f ca="1" t="shared" si="53"/>
        <v>-</v>
      </c>
      <c r="Z11" s="63" t="str">
        <f ca="1" t="shared" si="53"/>
        <v>-</v>
      </c>
      <c r="AA11" s="63" t="str">
        <f ca="1" t="shared" si="53"/>
        <v>-</v>
      </c>
      <c r="AB11" s="63" t="str">
        <f ca="1" t="shared" si="53"/>
        <v>-</v>
      </c>
      <c r="AC11" s="63" t="str">
        <f ca="1" t="shared" si="53"/>
        <v>-</v>
      </c>
      <c r="AD11" s="63" t="str">
        <f ca="1" t="shared" si="53"/>
        <v>-</v>
      </c>
      <c r="AE11" s="63" t="str">
        <f ca="1" t="shared" si="53"/>
        <v>-</v>
      </c>
      <c r="AF11" s="63" t="str">
        <f ca="1" t="shared" si="53"/>
        <v>-</v>
      </c>
      <c r="AG11" s="63" t="str">
        <f ca="1" t="shared" si="53"/>
        <v>-</v>
      </c>
      <c r="AH11" s="63" t="str">
        <f ca="1" t="shared" si="53"/>
        <v>-</v>
      </c>
      <c r="AI11" s="63" t="str">
        <f ca="1" t="shared" si="53"/>
        <v>-</v>
      </c>
      <c r="AJ11" s="63" t="str">
        <f ca="1" t="shared" si="53"/>
        <v>-</v>
      </c>
      <c r="AK11" s="63" t="str">
        <f ca="1" t="shared" si="53"/>
        <v>-</v>
      </c>
      <c r="AL11" s="63" t="str">
        <f ca="1" t="shared" si="53"/>
        <v>-</v>
      </c>
      <c r="AM11" s="63" t="str">
        <f ca="1" t="shared" si="53"/>
        <v>-</v>
      </c>
      <c r="AN11" s="63" t="str">
        <f ca="1" t="shared" si="53"/>
        <v>-</v>
      </c>
      <c r="AO11" s="63" t="str">
        <f ca="1" t="shared" si="53"/>
        <v>-</v>
      </c>
      <c r="AP11" s="63" t="str">
        <f ca="1" t="shared" si="53"/>
        <v>-</v>
      </c>
      <c r="AQ11" s="63" t="str">
        <f ca="1" t="shared" si="53"/>
        <v>-</v>
      </c>
      <c r="AR11" s="63" t="str">
        <f ca="1" t="shared" si="53"/>
        <v>-</v>
      </c>
      <c r="AS11" s="63" t="str">
        <f ca="1" t="shared" si="53"/>
        <v>-</v>
      </c>
      <c r="AT11" s="63" t="str">
        <f ca="1" t="shared" si="53"/>
        <v>-</v>
      </c>
      <c r="AU11" s="63" t="str">
        <f ca="1" t="shared" si="53"/>
        <v>-</v>
      </c>
      <c r="AV11" s="63" t="str">
        <f ca="1" t="shared" si="53"/>
        <v>-</v>
      </c>
      <c r="AW11" s="63" t="str">
        <f ca="1" t="shared" si="53"/>
        <v>-</v>
      </c>
      <c r="AX11" s="63" t="str">
        <f ca="1" t="shared" si="53"/>
        <v>-</v>
      </c>
      <c r="AY11" s="63" t="str">
        <f ca="1" t="shared" si="53"/>
        <v>-</v>
      </c>
      <c r="AZ11" s="63" t="str">
        <f ca="1" t="shared" si="53"/>
        <v>-</v>
      </c>
      <c r="BA11" s="63" t="str">
        <f ca="1" t="shared" si="53"/>
        <v>-</v>
      </c>
      <c r="BD11" s="41" t="str">
        <f ca="1">IFERROR(SUMIFS('TRA balance'!E$5:E$40,'TRA balance'!$C$5:$C$40,Assumptions!$C11,'TRA balance'!$D$5:$D$40,Assumptions!$B11)*CY11*H11,"")</f>
        <v/>
      </c>
      <c r="BE11" s="41" t="str">
        <f ca="1">IFERROR(SUMIFS('TRA balance'!F$5:F$40,'TRA balance'!$C$5:$C$40,Assumptions!$C11,'TRA balance'!$D$5:$D$40,Assumptions!$B11)*CZ11*I11,"")</f>
        <v/>
      </c>
      <c r="BF11" s="41" t="str">
        <f ca="1">IFERROR(SUMIFS('TRA balance'!G$5:G$40,'TRA balance'!$C$5:$C$40,Assumptions!$C11,'TRA balance'!$D$5:$D$40,Assumptions!$B11)*DA11*J11,"")</f>
        <v/>
      </c>
      <c r="BG11" s="41" t="str">
        <f ca="1">IFERROR(SUMIFS('TRA balance'!H$5:H$40,'TRA balance'!$C$5:$C$40,Assumptions!$C11,'TRA balance'!$D$5:$D$40,Assumptions!$B11)*DB11*K11,"")</f>
        <v/>
      </c>
      <c r="BH11" s="41" t="str">
        <f ca="1">IFERROR(SUMIFS('TRA balance'!I$5:I$40,'TRA balance'!$C$5:$C$40,Assumptions!$C11,'TRA balance'!$D$5:$D$40,Assumptions!$B11)*DC11*L11,"")</f>
        <v/>
      </c>
      <c r="BI11" s="41" t="str">
        <f ca="1">IFERROR(SUMIFS('TRA balance'!J$5:J$40,'TRA balance'!$C$5:$C$40,Assumptions!$C11,'TRA balance'!$D$5:$D$40,Assumptions!$B11)*DD11*M11,"")</f>
        <v/>
      </c>
      <c r="BJ11" s="41" t="str">
        <f ca="1">IFERROR(SUMIFS('TRA balance'!K$5:K$40,'TRA balance'!$C$5:$C$40,Assumptions!$C11,'TRA balance'!$D$5:$D$40,Assumptions!$B11)*DE11*N11,"")</f>
        <v/>
      </c>
      <c r="BK11" s="41" t="str">
        <f ca="1">IFERROR(SUMIFS('TRA balance'!L$5:L$40,'TRA balance'!$C$5:$C$40,Assumptions!$C11,'TRA balance'!$D$5:$D$40,Assumptions!$B11)*DF11*O11,"")</f>
        <v/>
      </c>
      <c r="BL11" s="41" t="str">
        <f ca="1">IFERROR(SUMIFS('TRA balance'!M$5:M$40,'TRA balance'!$C$5:$C$40,Assumptions!$C11,'TRA balance'!$D$5:$D$40,Assumptions!$B11)*DG11*P11,"")</f>
        <v/>
      </c>
      <c r="BM11" s="41" t="str">
        <f ca="1">IFERROR(SUMIFS('TRA balance'!N$5:N$40,'TRA balance'!$C$5:$C$40,Assumptions!$C11,'TRA balance'!$D$5:$D$40,Assumptions!$B11)*DH11*Q11,"")</f>
        <v/>
      </c>
      <c r="BN11" s="41" t="str">
        <f ca="1">IFERROR(SUMIFS('TRA balance'!O$5:O$40,'TRA balance'!$C$5:$C$40,Assumptions!$C11,'TRA balance'!$D$5:$D$40,Assumptions!$B11)*DI11*R11,"")</f>
        <v/>
      </c>
      <c r="BO11" s="41" t="str">
        <f ca="1">IFERROR(SUMIFS('TRA balance'!P$5:P$40,'TRA balance'!$C$5:$C$40,Assumptions!$C11,'TRA balance'!$D$5:$D$40,Assumptions!$B11)*DJ11*S11,"")</f>
        <v/>
      </c>
      <c r="BP11" s="41" t="str">
        <f ca="1">IFERROR(SUMIFS('TRA balance'!Q$5:Q$40,'TRA balance'!$C$5:$C$40,Assumptions!$C11,'TRA balance'!$D$5:$D$40,Assumptions!$B11)*DK11*T11,"")</f>
        <v/>
      </c>
      <c r="BQ11" s="41" t="str">
        <f ca="1">IFERROR(SUMIFS('TRA balance'!R$5:R$40,'TRA balance'!$C$5:$C$40,Assumptions!$C11,'TRA balance'!$D$5:$D$40,Assumptions!$B11)*DL11*U11,"")</f>
        <v/>
      </c>
      <c r="BR11" s="41" t="str">
        <f ca="1">IFERROR(SUMIFS('TRA balance'!S$5:S$40,'TRA balance'!$C$5:$C$40,Assumptions!$C11,'TRA balance'!$D$5:$D$40,Assumptions!$B11)*DM11*V11,"")</f>
        <v/>
      </c>
      <c r="BS11" s="41" t="str">
        <f ca="1">IFERROR(SUMIFS('TRA balance'!T$5:T$40,'TRA balance'!$C$5:$C$40,Assumptions!$C11,'TRA balance'!$D$5:$D$40,Assumptions!$B11)*DN11*W11,"")</f>
        <v/>
      </c>
      <c r="BT11" s="41" t="str">
        <f ca="1">IFERROR(SUMIFS('TRA balance'!U$5:U$40,'TRA balance'!$C$5:$C$40,Assumptions!$C11,'TRA balance'!$D$5:$D$40,Assumptions!$B11)*DO11*X11,"")</f>
        <v/>
      </c>
      <c r="BU11" s="41" t="str">
        <f ca="1">IFERROR(SUMIFS('TRA balance'!V$5:V$40,'TRA balance'!$C$5:$C$40,Assumptions!$C11,'TRA balance'!$D$5:$D$40,Assumptions!$B11)*DP11*Y11,"")</f>
        <v/>
      </c>
      <c r="BV11" s="41" t="str">
        <f ca="1">IFERROR(SUMIFS('TRA balance'!W$5:W$40,'TRA balance'!$C$5:$C$40,Assumptions!$C11,'TRA balance'!$D$5:$D$40,Assumptions!$B11)*DQ11*Z11,"")</f>
        <v/>
      </c>
      <c r="BW11" s="41" t="str">
        <f ca="1">IFERROR(SUMIFS('TRA balance'!X$5:X$40,'TRA balance'!$C$5:$C$40,Assumptions!$C11,'TRA balance'!$D$5:$D$40,Assumptions!$B11)*DR11*AA11,"")</f>
        <v/>
      </c>
      <c r="BX11" s="41" t="str">
        <f ca="1">IFERROR(SUMIFS('TRA balance'!Y$5:Y$40,'TRA balance'!$C$5:$C$40,Assumptions!$C11,'TRA balance'!$D$5:$D$40,Assumptions!$B11)*DS11*AB11,"")</f>
        <v/>
      </c>
      <c r="BY11" s="41" t="str">
        <f ca="1">IFERROR(SUMIFS('TRA balance'!Z$5:Z$40,'TRA balance'!$C$5:$C$40,Assumptions!$C11,'TRA balance'!$D$5:$D$40,Assumptions!$B11)*DT11*AC11,"")</f>
        <v/>
      </c>
      <c r="BZ11" s="41" t="str">
        <f ca="1">IFERROR(SUMIFS('TRA balance'!AA$5:AA$40,'TRA balance'!$C$5:$C$40,Assumptions!$C11,'TRA balance'!$D$5:$D$40,Assumptions!$B11)*DU11*AD11,"")</f>
        <v/>
      </c>
      <c r="CA11" s="41" t="str">
        <f ca="1">IFERROR(SUMIFS('TRA balance'!AB$5:AB$40,'TRA balance'!$C$5:$C$40,Assumptions!$C11,'TRA balance'!$D$5:$D$40,Assumptions!$B11)*DV11*AE11,"")</f>
        <v/>
      </c>
      <c r="CB11" s="41" t="str">
        <f ca="1">IFERROR(SUMIFS('TRA balance'!AC$5:AC$40,'TRA balance'!$C$5:$C$40,Assumptions!$C11,'TRA balance'!$D$5:$D$40,Assumptions!$B11)*DW11*AF11,"")</f>
        <v/>
      </c>
      <c r="CC11" s="41" t="str">
        <f ca="1">IFERROR(SUMIFS('TRA balance'!AD$5:AD$40,'TRA balance'!$C$5:$C$40,Assumptions!$C11,'TRA balance'!$D$5:$D$40,Assumptions!$B11)*DX11*AG11,"")</f>
        <v/>
      </c>
      <c r="CD11" s="41" t="str">
        <f ca="1">IFERROR(SUMIFS('TRA balance'!AE$5:AE$40,'TRA balance'!$C$5:$C$40,Assumptions!$C11,'TRA balance'!$D$5:$D$40,Assumptions!$B11)*DY11*AH11,"")</f>
        <v/>
      </c>
      <c r="CE11" s="41" t="str">
        <f ca="1">IFERROR(SUMIFS('TRA balance'!AF$5:AF$40,'TRA balance'!$C$5:$C$40,Assumptions!$C11,'TRA balance'!$D$5:$D$40,Assumptions!$B11)*DZ11*AI11,"")</f>
        <v/>
      </c>
      <c r="CF11" s="41" t="str">
        <f ca="1">IFERROR(SUMIFS('TRA balance'!AG$5:AG$40,'TRA balance'!$C$5:$C$40,Assumptions!$C11,'TRA balance'!$D$5:$D$40,Assumptions!$B11)*EA11*AJ11,"")</f>
        <v/>
      </c>
      <c r="CG11" s="41" t="str">
        <f ca="1">IFERROR(SUMIFS('TRA balance'!AH$5:AH$40,'TRA balance'!$C$5:$C$40,Assumptions!$C11,'TRA balance'!$D$5:$D$40,Assumptions!$B11)*EB11*AK11,"")</f>
        <v/>
      </c>
      <c r="CH11" s="41" t="str">
        <f ca="1">IFERROR(SUMIFS('TRA balance'!AI$5:AI$40,'TRA balance'!$C$5:$C$40,Assumptions!$C11,'TRA balance'!$D$5:$D$40,Assumptions!$B11)*EC11*AL11,"")</f>
        <v/>
      </c>
      <c r="CI11" s="41" t="str">
        <f ca="1">IFERROR(SUMIFS('TRA balance'!AJ$5:AJ$40,'TRA balance'!$C$5:$C$40,Assumptions!$C11,'TRA balance'!$D$5:$D$40,Assumptions!$B11)*ED11*AM11,"")</f>
        <v/>
      </c>
      <c r="CJ11" s="41" t="str">
        <f ca="1">IFERROR(SUMIFS('TRA balance'!AK$5:AK$40,'TRA balance'!$C$5:$C$40,Assumptions!$C11,'TRA balance'!$D$5:$D$40,Assumptions!$B11)*EE11*AN11,"")</f>
        <v/>
      </c>
      <c r="CK11" s="41" t="str">
        <f ca="1">IFERROR(SUMIFS('TRA balance'!AL$5:AL$40,'TRA balance'!$C$5:$C$40,Assumptions!$C11,'TRA balance'!$D$5:$D$40,Assumptions!$B11)*EF11*AO11,"")</f>
        <v/>
      </c>
      <c r="CL11" s="41" t="str">
        <f ca="1">IFERROR(SUMIFS('TRA balance'!AM$5:AM$40,'TRA balance'!$C$5:$C$40,Assumptions!$C11,'TRA balance'!$D$5:$D$40,Assumptions!$B11)*EG11*AP11,"")</f>
        <v/>
      </c>
      <c r="CM11" s="41" t="str">
        <f ca="1">IFERROR(SUMIFS('TRA balance'!AN$5:AN$40,'TRA balance'!$C$5:$C$40,Assumptions!$C11,'TRA balance'!$D$5:$D$40,Assumptions!$B11)*EH11*AQ11,"")</f>
        <v/>
      </c>
      <c r="CN11" s="41" t="str">
        <f ca="1">IFERROR(SUMIFS('TRA balance'!AO$5:AO$40,'TRA balance'!$C$5:$C$40,Assumptions!$C11,'TRA balance'!$D$5:$D$40,Assumptions!$B11)*EI11*AR11,"")</f>
        <v/>
      </c>
      <c r="CO11" s="41" t="str">
        <f ca="1">IFERROR(SUMIFS('TRA balance'!AP$5:AP$40,'TRA balance'!$C$5:$C$40,Assumptions!$C11,'TRA balance'!$D$5:$D$40,Assumptions!$B11)*EJ11*AS11,"")</f>
        <v/>
      </c>
      <c r="CP11" s="41" t="str">
        <f ca="1">IFERROR(SUMIFS('TRA balance'!AQ$5:AQ$40,'TRA balance'!$C$5:$C$40,Assumptions!$C11,'TRA balance'!$D$5:$D$40,Assumptions!$B11)*EK11*AT11,"")</f>
        <v/>
      </c>
      <c r="CQ11" s="41" t="str">
        <f ca="1">IFERROR(SUMIFS('TRA balance'!AR$5:AR$40,'TRA balance'!$C$5:$C$40,Assumptions!$C11,'TRA balance'!$D$5:$D$40,Assumptions!$B11)*EL11*AU11,"")</f>
        <v/>
      </c>
      <c r="CR11" s="41" t="str">
        <f ca="1">IFERROR(SUMIFS('TRA balance'!AS$5:AS$40,'TRA balance'!$C$5:$C$40,Assumptions!$C11,'TRA balance'!$D$5:$D$40,Assumptions!$B11)*EM11*AV11,"")</f>
        <v/>
      </c>
      <c r="CS11" s="41" t="str">
        <f ca="1">IFERROR(SUMIFS('TRA balance'!AT$5:AT$40,'TRA balance'!$C$5:$C$40,Assumptions!$C11,'TRA balance'!$D$5:$D$40,Assumptions!$B11)*EN11*AW11,"")</f>
        <v/>
      </c>
      <c r="CT11" s="41" t="str">
        <f ca="1">IFERROR(SUMIFS('TRA balance'!AU$5:AU$40,'TRA balance'!$C$5:$C$40,Assumptions!$C11,'TRA balance'!$D$5:$D$40,Assumptions!$B11)*EO11*AX11,"")</f>
        <v/>
      </c>
      <c r="CU11" s="41" t="str">
        <f ca="1">IFERROR(SUMIFS('TRA balance'!AV$5:AV$40,'TRA balance'!$C$5:$C$40,Assumptions!$C11,'TRA balance'!$D$5:$D$40,Assumptions!$B11)*EP11*AY11,"")</f>
        <v/>
      </c>
      <c r="CV11" s="41" t="str">
        <f ca="1">IFERROR(SUMIFS('TRA balance'!AW$5:AW$40,'TRA balance'!$C$5:$C$40,Assumptions!$C11,'TRA balance'!$D$5:$D$40,Assumptions!$B11)*EQ11*AZ11,"")</f>
        <v/>
      </c>
      <c r="CW11" s="41" t="str">
        <f ca="1">IFERROR(SUMIFS('TRA balance'!AX$5:AX$40,'TRA balance'!$C$5:$C$40,Assumptions!$C11,'TRA balance'!$D$5:$D$40,Assumptions!$B11)*ER11*BA11,"")</f>
        <v/>
      </c>
      <c r="CY11" s="40">
        <f ca="1" t="shared" si="2"/>
        <v>1</v>
      </c>
      <c r="CZ11" s="40">
        <f ca="1" t="shared" si="3"/>
        <v>1</v>
      </c>
      <c r="DA11" s="40">
        <f ca="1" t="shared" si="4"/>
        <v>1</v>
      </c>
      <c r="DB11" s="40">
        <f ca="1" t="shared" si="5"/>
        <v>1</v>
      </c>
      <c r="DC11" s="40">
        <f ca="1" t="shared" si="6"/>
        <v>1</v>
      </c>
      <c r="DD11" s="40">
        <f ca="1" t="shared" si="7"/>
        <v>1</v>
      </c>
      <c r="DE11" s="40">
        <f ca="1" t="shared" si="8"/>
        <v>1</v>
      </c>
      <c r="DF11" s="40">
        <f ca="1" t="shared" si="9"/>
        <v>1</v>
      </c>
      <c r="DG11" s="40">
        <f ca="1" t="shared" si="10"/>
        <v>1</v>
      </c>
      <c r="DH11" s="40">
        <f ca="1" t="shared" si="11"/>
        <v>1</v>
      </c>
      <c r="DI11" s="40">
        <f ca="1" t="shared" si="12"/>
        <v>1</v>
      </c>
      <c r="DJ11" s="40">
        <f ca="1" t="shared" si="13"/>
        <v>1</v>
      </c>
      <c r="DK11" s="40">
        <f ca="1" t="shared" si="14"/>
        <v>1</v>
      </c>
      <c r="DL11" s="40">
        <f ca="1" t="shared" si="15"/>
        <v>1</v>
      </c>
      <c r="DM11" s="40">
        <f ca="1" t="shared" si="16"/>
        <v>1</v>
      </c>
      <c r="DN11" s="40">
        <f ca="1" t="shared" si="17"/>
        <v>1</v>
      </c>
      <c r="DO11" s="40">
        <f ca="1" t="shared" si="18"/>
        <v>1</v>
      </c>
      <c r="DP11" s="40">
        <f ca="1" t="shared" si="19"/>
        <v>1</v>
      </c>
      <c r="DQ11" s="40">
        <f ca="1" t="shared" si="20"/>
        <v>1</v>
      </c>
      <c r="DR11" s="40">
        <f ca="1" t="shared" si="21"/>
        <v>1</v>
      </c>
      <c r="DS11" s="40">
        <f ca="1" t="shared" si="22"/>
        <v>1</v>
      </c>
      <c r="DT11" s="40">
        <f ca="1" t="shared" si="23"/>
        <v>1</v>
      </c>
      <c r="DU11" s="40">
        <f ca="1" t="shared" si="24"/>
        <v>1</v>
      </c>
      <c r="DV11" s="40">
        <f ca="1" t="shared" si="25"/>
        <v>1</v>
      </c>
      <c r="DW11" s="40">
        <f ca="1" t="shared" si="26"/>
        <v>1</v>
      </c>
      <c r="DX11" s="40">
        <f ca="1" t="shared" si="27"/>
        <v>1</v>
      </c>
      <c r="DY11" s="40">
        <f ca="1" t="shared" si="28"/>
        <v>1</v>
      </c>
      <c r="DZ11" s="40">
        <f ca="1" t="shared" si="29"/>
        <v>1</v>
      </c>
      <c r="EA11" s="40">
        <f ca="1" t="shared" si="30"/>
        <v>1</v>
      </c>
      <c r="EB11" s="40">
        <f ca="1" t="shared" si="31"/>
        <v>1</v>
      </c>
      <c r="EC11" s="40">
        <f ca="1" t="shared" si="32"/>
        <v>1</v>
      </c>
      <c r="ED11" s="40">
        <f ca="1" t="shared" si="33"/>
        <v>1</v>
      </c>
      <c r="EE11" s="40">
        <f ca="1" t="shared" si="34"/>
        <v>1</v>
      </c>
      <c r="EF11" s="40">
        <f ca="1" t="shared" si="35"/>
        <v>1</v>
      </c>
      <c r="EG11" s="40">
        <f ca="1" t="shared" si="36"/>
        <v>1</v>
      </c>
      <c r="EH11" s="40">
        <f ca="1" t="shared" si="37"/>
        <v>1</v>
      </c>
      <c r="EI11" s="40">
        <f ca="1" t="shared" si="38"/>
        <v>1</v>
      </c>
      <c r="EJ11" s="40">
        <f ca="1" t="shared" si="39"/>
        <v>1</v>
      </c>
      <c r="EK11" s="40">
        <f ca="1" t="shared" si="40"/>
        <v>1</v>
      </c>
      <c r="EL11" s="40">
        <f ca="1" t="shared" si="41"/>
        <v>1</v>
      </c>
      <c r="EM11" s="40">
        <f ca="1" t="shared" si="42"/>
        <v>1</v>
      </c>
      <c r="EN11" s="40">
        <f ca="1" t="shared" si="43"/>
        <v>1</v>
      </c>
      <c r="EO11" s="40">
        <f ca="1" t="shared" si="44"/>
        <v>1</v>
      </c>
      <c r="EP11" s="40">
        <f ca="1" t="shared" si="45"/>
        <v>1</v>
      </c>
      <c r="EQ11" s="40">
        <f ca="1" t="shared" si="46"/>
        <v>1</v>
      </c>
      <c r="ER11" s="40">
        <f ca="1" t="shared" si="47"/>
        <v>1</v>
      </c>
    </row>
    <row r="12" spans="1:152">
      <c r="A12">
        <v>1</v>
      </c>
      <c r="B12" t="str">
        <f>VLOOKUP(F12,'TRA balance'!$BA$5:$BB$14,2,FALSE)</f>
        <v>TRADST</v>
      </c>
      <c r="C12" s="64">
        <v>2</v>
      </c>
      <c r="D12" s="65" t="s">
        <v>200</v>
      </c>
      <c r="E12" s="65" t="s">
        <v>211</v>
      </c>
      <c r="F12" s="66" t="str">
        <f t="shared" si="52"/>
        <v>Diesel</v>
      </c>
      <c r="G12" s="64"/>
      <c r="H12" s="70">
        <f ca="1">1-H6</f>
        <v>0.9</v>
      </c>
      <c r="I12" s="70">
        <f ca="1" t="shared" ref="I12:BA12" si="54">1-I6</f>
        <v>0.9</v>
      </c>
      <c r="J12" s="70">
        <f ca="1" t="shared" si="54"/>
        <v>0.98</v>
      </c>
      <c r="K12" s="70">
        <f ca="1" t="shared" si="54"/>
        <v>0.8</v>
      </c>
      <c r="L12" s="70">
        <f ca="1" t="shared" si="54"/>
        <v>0.95</v>
      </c>
      <c r="M12" s="70">
        <f ca="1" t="shared" si="54"/>
        <v>0.8</v>
      </c>
      <c r="N12" s="70">
        <f ca="1" t="shared" si="54"/>
        <v>0.93</v>
      </c>
      <c r="O12" s="70">
        <f ca="1" t="shared" si="54"/>
        <v>0.9</v>
      </c>
      <c r="P12" s="70">
        <f ca="1" t="shared" si="54"/>
        <v>0.8</v>
      </c>
      <c r="Q12" s="70">
        <f ca="1" t="shared" si="54"/>
        <v>0.8</v>
      </c>
      <c r="R12" s="70">
        <f ca="1" t="shared" si="54"/>
        <v>0.8</v>
      </c>
      <c r="S12" s="70">
        <f ca="1" t="shared" si="54"/>
        <v>0.8</v>
      </c>
      <c r="T12" s="70">
        <f ca="1" t="shared" si="54"/>
        <v>0.8</v>
      </c>
      <c r="U12" s="70">
        <f ca="1" t="shared" si="54"/>
        <v>0.8</v>
      </c>
      <c r="V12" s="70">
        <f ca="1" t="shared" si="54"/>
        <v>0.8</v>
      </c>
      <c r="W12" s="70">
        <f ca="1" t="shared" si="54"/>
        <v>0.75</v>
      </c>
      <c r="X12" s="70">
        <f ca="1" t="shared" si="54"/>
        <v>0.8</v>
      </c>
      <c r="Y12" s="70">
        <f ca="1" t="shared" si="54"/>
        <v>0.8</v>
      </c>
      <c r="Z12" s="70">
        <f ca="1" t="shared" si="54"/>
        <v>0.95</v>
      </c>
      <c r="AA12" s="70">
        <f ca="1" t="shared" si="54"/>
        <v>0.93</v>
      </c>
      <c r="AB12" s="70">
        <f ca="1" t="shared" si="54"/>
        <v>0.9</v>
      </c>
      <c r="AC12" s="70">
        <f ca="1" t="shared" si="54"/>
        <v>0.975593578177383</v>
      </c>
      <c r="AD12" s="70">
        <f ca="1" t="shared" si="54"/>
        <v>0.8</v>
      </c>
      <c r="AE12" s="70">
        <f ca="1" t="shared" si="54"/>
        <v>0.8</v>
      </c>
      <c r="AF12" s="70">
        <f ca="1" t="shared" si="54"/>
        <v>0.92</v>
      </c>
      <c r="AG12" s="70">
        <f ca="1" t="shared" si="54"/>
        <v>0.95</v>
      </c>
      <c r="AH12" s="70">
        <f ca="1" t="shared" si="54"/>
        <v>0.9</v>
      </c>
      <c r="AI12" s="70">
        <f ca="1" t="shared" si="54"/>
        <v>0.9</v>
      </c>
      <c r="AJ12" s="70">
        <f ca="1" t="shared" si="54"/>
        <v>0.8</v>
      </c>
      <c r="AK12" s="70">
        <f ca="1" t="shared" si="54"/>
        <v>0.8</v>
      </c>
      <c r="AL12" s="70">
        <f ca="1" t="shared" si="54"/>
        <v>0.8</v>
      </c>
      <c r="AM12" s="70">
        <f ca="1" t="shared" si="54"/>
        <v>0.9</v>
      </c>
      <c r="AN12" s="70">
        <f ca="1" t="shared" si="54"/>
        <v>0.8</v>
      </c>
      <c r="AO12" s="70">
        <f ca="1" t="shared" si="54"/>
        <v>0.95</v>
      </c>
      <c r="AP12" s="70">
        <f ca="1" t="shared" si="54"/>
        <v>0.8</v>
      </c>
      <c r="AQ12" s="70">
        <f ca="1" t="shared" si="54"/>
        <v>0.975593578177383</v>
      </c>
      <c r="AR12" s="70">
        <f ca="1" t="shared" si="54"/>
        <v>0.975593578177383</v>
      </c>
      <c r="AS12" s="70">
        <f ca="1" t="shared" si="54"/>
        <v>0.975593578177383</v>
      </c>
      <c r="AT12" s="70">
        <f ca="1" t="shared" si="54"/>
        <v>0.975593578177383</v>
      </c>
      <c r="AU12" s="70">
        <f ca="1" t="shared" si="54"/>
        <v>0.975593578177383</v>
      </c>
      <c r="AV12" s="70">
        <f ca="1" t="shared" si="54"/>
        <v>0.975593578177383</v>
      </c>
      <c r="AW12" s="70">
        <f ca="1" t="shared" si="54"/>
        <v>0.975593578177383</v>
      </c>
      <c r="AX12" s="70">
        <f ca="1" t="shared" si="54"/>
        <v>0.975593578177383</v>
      </c>
      <c r="AY12" s="70">
        <f ca="1" t="shared" si="54"/>
        <v>0.975593578177383</v>
      </c>
      <c r="AZ12" s="70">
        <f ca="1" t="shared" si="54"/>
        <v>0.975593578177383</v>
      </c>
      <c r="BA12" s="70">
        <f ca="1" t="shared" si="54"/>
        <v>0.975593578177383</v>
      </c>
      <c r="BD12" s="41">
        <f ca="1">IFERROR(SUMIFS('TRA balance'!E$5:E$40,'TRA balance'!$C$5:$C$40,Assumptions!$C12,'TRA balance'!$D$5:$D$40,Assumptions!$B12)*CY12*H12,"")</f>
        <v>0</v>
      </c>
      <c r="BE12" s="41">
        <f ca="1">IFERROR(SUMIFS('TRA balance'!F$5:F$40,'TRA balance'!$C$5:$C$40,Assumptions!$C12,'TRA balance'!$D$5:$D$40,Assumptions!$B12)*CZ12*I12,"")</f>
        <v>0</v>
      </c>
      <c r="BF12" s="41">
        <f ca="1">IFERROR(SUMIFS('TRA balance'!G$5:G$40,'TRA balance'!$C$5:$C$40,Assumptions!$C12,'TRA balance'!$D$5:$D$40,Assumptions!$B12)*DA12*J12,"")</f>
        <v>0</v>
      </c>
      <c r="BG12" s="41">
        <f ca="1">IFERROR(SUMIFS('TRA balance'!H$5:H$40,'TRA balance'!$C$5:$C$40,Assumptions!$C12,'TRA balance'!$D$5:$D$40,Assumptions!$B12)*DB12*K12,"")</f>
        <v>0</v>
      </c>
      <c r="BH12" s="41">
        <f ca="1">IFERROR(SUMIFS('TRA balance'!I$5:I$40,'TRA balance'!$C$5:$C$40,Assumptions!$C12,'TRA balance'!$D$5:$D$40,Assumptions!$B12)*DC12*L12,"")</f>
        <v>0</v>
      </c>
      <c r="BI12" s="41">
        <f ca="1">IFERROR(SUMIFS('TRA balance'!J$5:J$40,'TRA balance'!$C$5:$C$40,Assumptions!$C12,'TRA balance'!$D$5:$D$40,Assumptions!$B12)*DD12*M12,"")</f>
        <v>0</v>
      </c>
      <c r="BJ12" s="41">
        <f ca="1">IFERROR(SUMIFS('TRA balance'!K$5:K$40,'TRA balance'!$C$5:$C$40,Assumptions!$C12,'TRA balance'!$D$5:$D$40,Assumptions!$B12)*DE12*N12,"")</f>
        <v>0</v>
      </c>
      <c r="BK12" s="41">
        <f ca="1">IFERROR(SUMIFS('TRA balance'!L$5:L$40,'TRA balance'!$C$5:$C$40,Assumptions!$C12,'TRA balance'!$D$5:$D$40,Assumptions!$B12)*DF12*O12,"")</f>
        <v>0</v>
      </c>
      <c r="BL12" s="41">
        <f ca="1">IFERROR(SUMIFS('TRA balance'!M$5:M$40,'TRA balance'!$C$5:$C$40,Assumptions!$C12,'TRA balance'!$D$5:$D$40,Assumptions!$B12)*DG12*P12,"")</f>
        <v>0</v>
      </c>
      <c r="BM12" s="41">
        <f ca="1">IFERROR(SUMIFS('TRA balance'!N$5:N$40,'TRA balance'!$C$5:$C$40,Assumptions!$C12,'TRA balance'!$D$5:$D$40,Assumptions!$B12)*DH12*Q12,"")</f>
        <v>0</v>
      </c>
      <c r="BN12" s="41">
        <f ca="1">IFERROR(SUMIFS('TRA balance'!O$5:O$40,'TRA balance'!$C$5:$C$40,Assumptions!$C12,'TRA balance'!$D$5:$D$40,Assumptions!$B12)*DI12*R12,"")</f>
        <v>0</v>
      </c>
      <c r="BO12" s="41">
        <f ca="1">IFERROR(SUMIFS('TRA balance'!P$5:P$40,'TRA balance'!$C$5:$C$40,Assumptions!$C12,'TRA balance'!$D$5:$D$40,Assumptions!$B12)*DJ12*S12,"")</f>
        <v>0</v>
      </c>
      <c r="BP12" s="41">
        <f ca="1">IFERROR(SUMIFS('TRA balance'!Q$5:Q$40,'TRA balance'!$C$5:$C$40,Assumptions!$C12,'TRA balance'!$D$5:$D$40,Assumptions!$B12)*DK12*T12,"")</f>
        <v>0</v>
      </c>
      <c r="BQ12" s="41">
        <f ca="1">IFERROR(SUMIFS('TRA balance'!R$5:R$40,'TRA balance'!$C$5:$C$40,Assumptions!$C12,'TRA balance'!$D$5:$D$40,Assumptions!$B12)*DL12*U12,"")</f>
        <v>0</v>
      </c>
      <c r="BR12" s="41">
        <f ca="1">IFERROR(SUMIFS('TRA balance'!S$5:S$40,'TRA balance'!$C$5:$C$40,Assumptions!$C12,'TRA balance'!$D$5:$D$40,Assumptions!$B12)*DM12*V12,"")</f>
        <v>0</v>
      </c>
      <c r="BS12" s="41">
        <f ca="1">IFERROR(SUMIFS('TRA balance'!T$5:T$40,'TRA balance'!$C$5:$C$40,Assumptions!$C12,'TRA balance'!$D$5:$D$40,Assumptions!$B12)*DN12*W12,"")</f>
        <v>0</v>
      </c>
      <c r="BT12" s="41">
        <f ca="1">IFERROR(SUMIFS('TRA balance'!U$5:U$40,'TRA balance'!$C$5:$C$40,Assumptions!$C12,'TRA balance'!$D$5:$D$40,Assumptions!$B12)*DO12*X12,"")</f>
        <v>0</v>
      </c>
      <c r="BU12" s="41">
        <f ca="1">IFERROR(SUMIFS('TRA balance'!V$5:V$40,'TRA balance'!$C$5:$C$40,Assumptions!$C12,'TRA balance'!$D$5:$D$40,Assumptions!$B12)*DP12*Y12,"")</f>
        <v>0</v>
      </c>
      <c r="BV12" s="41">
        <f ca="1">IFERROR(SUMIFS('TRA balance'!W$5:W$40,'TRA balance'!$C$5:$C$40,Assumptions!$C12,'TRA balance'!$D$5:$D$40,Assumptions!$B12)*DQ12*Z12,"")</f>
        <v>0</v>
      </c>
      <c r="BW12" s="41">
        <f ca="1">IFERROR(SUMIFS('TRA balance'!X$5:X$40,'TRA balance'!$C$5:$C$40,Assumptions!$C12,'TRA balance'!$D$5:$D$40,Assumptions!$B12)*DR12*AA12,"")</f>
        <v>0</v>
      </c>
      <c r="BX12" s="41">
        <f ca="1">IFERROR(SUMIFS('TRA balance'!Y$5:Y$40,'TRA balance'!$C$5:$C$40,Assumptions!$C12,'TRA balance'!$D$5:$D$40,Assumptions!$B12)*DS12*AB12,"")</f>
        <v>0</v>
      </c>
      <c r="BY12" s="41">
        <f ca="1">IFERROR(SUMIFS('TRA balance'!Z$5:Z$40,'TRA balance'!$C$5:$C$40,Assumptions!$C12,'TRA balance'!$D$5:$D$40,Assumptions!$B12)*DT12*AC12,"")</f>
        <v>0</v>
      </c>
      <c r="BZ12" s="41">
        <f ca="1">IFERROR(SUMIFS('TRA balance'!AA$5:AA$40,'TRA balance'!$C$5:$C$40,Assumptions!$C12,'TRA balance'!$D$5:$D$40,Assumptions!$B12)*DU12*AD12,"")</f>
        <v>0</v>
      </c>
      <c r="CA12" s="41">
        <f ca="1">IFERROR(SUMIFS('TRA balance'!AB$5:AB$40,'TRA balance'!$C$5:$C$40,Assumptions!$C12,'TRA balance'!$D$5:$D$40,Assumptions!$B12)*DV12*AE12,"")</f>
        <v>0</v>
      </c>
      <c r="CB12" s="41">
        <f ca="1">IFERROR(SUMIFS('TRA balance'!AC$5:AC$40,'TRA balance'!$C$5:$C$40,Assumptions!$C12,'TRA balance'!$D$5:$D$40,Assumptions!$B12)*DW12*AF12,"")</f>
        <v>0</v>
      </c>
      <c r="CC12" s="41">
        <f ca="1">IFERROR(SUMIFS('TRA balance'!AD$5:AD$40,'TRA balance'!$C$5:$C$40,Assumptions!$C12,'TRA balance'!$D$5:$D$40,Assumptions!$B12)*DX12*AG12,"")</f>
        <v>0</v>
      </c>
      <c r="CD12" s="41">
        <f ca="1">IFERROR(SUMIFS('TRA balance'!AE$5:AE$40,'TRA balance'!$C$5:$C$40,Assumptions!$C12,'TRA balance'!$D$5:$D$40,Assumptions!$B12)*DY12*AH12,"")</f>
        <v>0</v>
      </c>
      <c r="CE12" s="41">
        <f ca="1">IFERROR(SUMIFS('TRA balance'!AF$5:AF$40,'TRA balance'!$C$5:$C$40,Assumptions!$C12,'TRA balance'!$D$5:$D$40,Assumptions!$B12)*DZ12*AI12,"")</f>
        <v>0</v>
      </c>
      <c r="CF12" s="41">
        <f ca="1">IFERROR(SUMIFS('TRA balance'!AG$5:AG$40,'TRA balance'!$C$5:$C$40,Assumptions!$C12,'TRA balance'!$D$5:$D$40,Assumptions!$B12)*EA12*AJ12,"")</f>
        <v>0</v>
      </c>
      <c r="CG12" s="41">
        <f ca="1">IFERROR(SUMIFS('TRA balance'!AH$5:AH$40,'TRA balance'!$C$5:$C$40,Assumptions!$C12,'TRA balance'!$D$5:$D$40,Assumptions!$B12)*EB12*AK12,"")</f>
        <v>0</v>
      </c>
      <c r="CH12" s="41">
        <f ca="1">IFERROR(SUMIFS('TRA balance'!AI$5:AI$40,'TRA balance'!$C$5:$C$40,Assumptions!$C12,'TRA balance'!$D$5:$D$40,Assumptions!$B12)*EC12*AL12,"")</f>
        <v>0</v>
      </c>
      <c r="CI12" s="41">
        <f ca="1">IFERROR(SUMIFS('TRA balance'!AJ$5:AJ$40,'TRA balance'!$C$5:$C$40,Assumptions!$C12,'TRA balance'!$D$5:$D$40,Assumptions!$B12)*ED12*AM12,"")</f>
        <v>0</v>
      </c>
      <c r="CJ12" s="41">
        <f ca="1">IFERROR(SUMIFS('TRA balance'!AK$5:AK$40,'TRA balance'!$C$5:$C$40,Assumptions!$C12,'TRA balance'!$D$5:$D$40,Assumptions!$B12)*EE12*AN12,"")</f>
        <v>0</v>
      </c>
      <c r="CK12" s="41">
        <f ca="1">IFERROR(SUMIFS('TRA balance'!AL$5:AL$40,'TRA balance'!$C$5:$C$40,Assumptions!$C12,'TRA balance'!$D$5:$D$40,Assumptions!$B12)*EF12*AO12,"")</f>
        <v>0</v>
      </c>
      <c r="CL12" s="41">
        <f ca="1">IFERROR(SUMIFS('TRA balance'!AM$5:AM$40,'TRA balance'!$C$5:$C$40,Assumptions!$C12,'TRA balance'!$D$5:$D$40,Assumptions!$B12)*EG12*AP12,"")</f>
        <v>0</v>
      </c>
      <c r="CM12" s="41">
        <f ca="1">IFERROR(SUMIFS('TRA balance'!AN$5:AN$40,'TRA balance'!$C$5:$C$40,Assumptions!$C12,'TRA balance'!$D$5:$D$40,Assumptions!$B12)*EH12*AQ12,"")</f>
        <v>0</v>
      </c>
      <c r="CN12" s="41">
        <f ca="1">IFERROR(SUMIFS('TRA balance'!AO$5:AO$40,'TRA balance'!$C$5:$C$40,Assumptions!$C12,'TRA balance'!$D$5:$D$40,Assumptions!$B12)*EI12*AR12,"")</f>
        <v>0</v>
      </c>
      <c r="CO12" s="41">
        <f ca="1">IFERROR(SUMIFS('TRA balance'!AP$5:AP$40,'TRA balance'!$C$5:$C$40,Assumptions!$C12,'TRA balance'!$D$5:$D$40,Assumptions!$B12)*EJ12*AS12,"")</f>
        <v>0</v>
      </c>
      <c r="CP12" s="41">
        <f ca="1">IFERROR(SUMIFS('TRA balance'!AQ$5:AQ$40,'TRA balance'!$C$5:$C$40,Assumptions!$C12,'TRA balance'!$D$5:$D$40,Assumptions!$B12)*EK12*AT12,"")</f>
        <v>0</v>
      </c>
      <c r="CQ12" s="41">
        <f ca="1">IFERROR(SUMIFS('TRA balance'!AR$5:AR$40,'TRA balance'!$C$5:$C$40,Assumptions!$C12,'TRA balance'!$D$5:$D$40,Assumptions!$B12)*EL12*AU12,"")</f>
        <v>0</v>
      </c>
      <c r="CR12" s="41">
        <f ca="1">IFERROR(SUMIFS('TRA balance'!AS$5:AS$40,'TRA balance'!$C$5:$C$40,Assumptions!$C12,'TRA balance'!$D$5:$D$40,Assumptions!$B12)*EM12*AV12,"")</f>
        <v>0</v>
      </c>
      <c r="CS12" s="41">
        <f ca="1">IFERROR(SUMIFS('TRA balance'!AT$5:AT$40,'TRA balance'!$C$5:$C$40,Assumptions!$C12,'TRA balance'!$D$5:$D$40,Assumptions!$B12)*EN12*AW12,"")</f>
        <v>0</v>
      </c>
      <c r="CT12" s="41">
        <f ca="1">IFERROR(SUMIFS('TRA balance'!AU$5:AU$40,'TRA balance'!$C$5:$C$40,Assumptions!$C12,'TRA balance'!$D$5:$D$40,Assumptions!$B12)*EO12*AX12,"")</f>
        <v>0</v>
      </c>
      <c r="CU12" s="41">
        <f ca="1">IFERROR(SUMIFS('TRA balance'!AV$5:AV$40,'TRA balance'!$C$5:$C$40,Assumptions!$C12,'TRA balance'!$D$5:$D$40,Assumptions!$B12)*EP12*AY12,"")</f>
        <v>0</v>
      </c>
      <c r="CV12" s="41">
        <f ca="1">IFERROR(SUMIFS('TRA balance'!AW$5:AW$40,'TRA balance'!$C$5:$C$40,Assumptions!$C12,'TRA balance'!$D$5:$D$40,Assumptions!$B12)*EQ12*AZ12,"")</f>
        <v>0</v>
      </c>
      <c r="CW12" s="41">
        <f ca="1">IFERROR(SUMIFS('TRA balance'!AX$5:AX$40,'TRA balance'!$C$5:$C$40,Assumptions!$C12,'TRA balance'!$D$5:$D$40,Assumptions!$B12)*ER12*BA12,"")</f>
        <v>0</v>
      </c>
      <c r="CY12" s="40">
        <f ca="1" t="shared" si="2"/>
        <v>1</v>
      </c>
      <c r="CZ12" s="40">
        <f ca="1" t="shared" si="3"/>
        <v>1</v>
      </c>
      <c r="DA12" s="40">
        <f ca="1" t="shared" si="4"/>
        <v>1</v>
      </c>
      <c r="DB12" s="40">
        <f ca="1" t="shared" si="5"/>
        <v>1</v>
      </c>
      <c r="DC12" s="40">
        <f ca="1" t="shared" si="6"/>
        <v>1</v>
      </c>
      <c r="DD12" s="40">
        <f ca="1" t="shared" si="7"/>
        <v>1</v>
      </c>
      <c r="DE12" s="40">
        <f ca="1" t="shared" si="8"/>
        <v>1</v>
      </c>
      <c r="DF12" s="40">
        <f ca="1" t="shared" si="9"/>
        <v>1</v>
      </c>
      <c r="DG12" s="40">
        <f ca="1" t="shared" si="10"/>
        <v>1</v>
      </c>
      <c r="DH12" s="40">
        <f ca="1" t="shared" si="11"/>
        <v>1</v>
      </c>
      <c r="DI12" s="40">
        <f ca="1" t="shared" si="12"/>
        <v>1</v>
      </c>
      <c r="DJ12" s="40">
        <f ca="1" t="shared" si="13"/>
        <v>1</v>
      </c>
      <c r="DK12" s="40">
        <f ca="1" t="shared" si="14"/>
        <v>1</v>
      </c>
      <c r="DL12" s="40">
        <f ca="1" t="shared" si="15"/>
        <v>1</v>
      </c>
      <c r="DM12" s="40">
        <f ca="1" t="shared" si="16"/>
        <v>1</v>
      </c>
      <c r="DN12" s="40">
        <f ca="1" t="shared" si="17"/>
        <v>1</v>
      </c>
      <c r="DO12" s="40">
        <f ca="1" t="shared" si="18"/>
        <v>1</v>
      </c>
      <c r="DP12" s="40">
        <f ca="1" t="shared" si="19"/>
        <v>1</v>
      </c>
      <c r="DQ12" s="40">
        <f ca="1" t="shared" si="20"/>
        <v>1</v>
      </c>
      <c r="DR12" s="40">
        <f ca="1" t="shared" si="21"/>
        <v>1</v>
      </c>
      <c r="DS12" s="40">
        <f ca="1" t="shared" si="22"/>
        <v>1</v>
      </c>
      <c r="DT12" s="40">
        <f ca="1" t="shared" si="23"/>
        <v>1</v>
      </c>
      <c r="DU12" s="40">
        <f ca="1" t="shared" si="24"/>
        <v>1</v>
      </c>
      <c r="DV12" s="40">
        <f ca="1" t="shared" si="25"/>
        <v>1</v>
      </c>
      <c r="DW12" s="40">
        <f ca="1" t="shared" si="26"/>
        <v>1</v>
      </c>
      <c r="DX12" s="40">
        <f ca="1" t="shared" si="27"/>
        <v>1</v>
      </c>
      <c r="DY12" s="40">
        <f ca="1" t="shared" si="28"/>
        <v>1</v>
      </c>
      <c r="DZ12" s="40">
        <f ca="1" t="shared" si="29"/>
        <v>1</v>
      </c>
      <c r="EA12" s="40">
        <f ca="1" t="shared" si="30"/>
        <v>1</v>
      </c>
      <c r="EB12" s="40">
        <f ca="1" t="shared" si="31"/>
        <v>1</v>
      </c>
      <c r="EC12" s="40">
        <f ca="1" t="shared" si="32"/>
        <v>1</v>
      </c>
      <c r="ED12" s="40">
        <f ca="1" t="shared" si="33"/>
        <v>1</v>
      </c>
      <c r="EE12" s="40">
        <f ca="1" t="shared" si="34"/>
        <v>1</v>
      </c>
      <c r="EF12" s="40">
        <f ca="1" t="shared" si="35"/>
        <v>1</v>
      </c>
      <c r="EG12" s="40">
        <f ca="1" t="shared" si="36"/>
        <v>1</v>
      </c>
      <c r="EH12" s="40">
        <f ca="1" t="shared" si="37"/>
        <v>1</v>
      </c>
      <c r="EI12" s="40">
        <f ca="1" t="shared" si="38"/>
        <v>1</v>
      </c>
      <c r="EJ12" s="40">
        <f ca="1" t="shared" si="39"/>
        <v>1</v>
      </c>
      <c r="EK12" s="40">
        <f ca="1" t="shared" si="40"/>
        <v>1</v>
      </c>
      <c r="EL12" s="40">
        <f ca="1" t="shared" si="41"/>
        <v>1</v>
      </c>
      <c r="EM12" s="40">
        <f ca="1" t="shared" si="42"/>
        <v>1</v>
      </c>
      <c r="EN12" s="40">
        <f ca="1" t="shared" si="43"/>
        <v>1</v>
      </c>
      <c r="EO12" s="40">
        <f ca="1" t="shared" si="44"/>
        <v>1</v>
      </c>
      <c r="EP12" s="40">
        <f ca="1" t="shared" si="45"/>
        <v>1</v>
      </c>
      <c r="EQ12" s="40">
        <f ca="1" t="shared" si="46"/>
        <v>1</v>
      </c>
      <c r="ER12" s="40">
        <f ca="1" t="shared" si="47"/>
        <v>1</v>
      </c>
    </row>
    <row r="13" spans="1:152">
      <c r="A13">
        <v>2</v>
      </c>
      <c r="B13" t="str">
        <f>VLOOKUP(F13,'TRA balance'!$BA$5:$BB$14,2,FALSE)</f>
        <v>TRADST</v>
      </c>
      <c r="C13" s="56" t="str">
        <f t="shared" si="48"/>
        <v>TR</v>
      </c>
      <c r="D13" s="57" t="s">
        <v>200</v>
      </c>
      <c r="E13" s="68" t="s">
        <v>212</v>
      </c>
      <c r="F13" s="58" t="str">
        <f t="shared" si="52"/>
        <v>Diesel</v>
      </c>
      <c r="G13" s="56" t="s">
        <v>213</v>
      </c>
      <c r="H13" s="59">
        <f ca="1">OFFSET(TIAM15_assumptions!$G13,0,MATCH(VLOOKUP(Assumptions!H$2,TIAM15_assumptions!$Y$3:$Z$87,2,FALSE),TIAM15_assumptions!$H$2:$V$2,0))</f>
        <v>0.35</v>
      </c>
      <c r="I13" s="59">
        <f ca="1">OFFSET(TIAM15_assumptions!$G13,0,MATCH(VLOOKUP(Assumptions!I$2,TIAM15_assumptions!$Y$3:$Z$87,2,FALSE),TIAM15_assumptions!$H$2:$V$2,0))</f>
        <v>0.35</v>
      </c>
      <c r="J13" s="59">
        <f ca="1">OFFSET(TIAM15_assumptions!$G13,0,MATCH(VLOOKUP(Assumptions!J$2,TIAM15_assumptions!$Y$3:$Z$87,2,FALSE),TIAM15_assumptions!$H$2:$V$2,0))</f>
        <v>0.15</v>
      </c>
      <c r="K13" s="59">
        <f ca="1">OFFSET(TIAM15_assumptions!$G13,0,MATCH(VLOOKUP(Assumptions!K$2,TIAM15_assumptions!$Y$3:$Z$87,2,FALSE),TIAM15_assumptions!$H$2:$V$2,0))</f>
        <v>0.05</v>
      </c>
      <c r="L13" s="59">
        <f ca="1">OFFSET(TIAM15_assumptions!$G13,0,MATCH(VLOOKUP(Assumptions!L$2,TIAM15_assumptions!$Y$3:$Z$87,2,FALSE),TIAM15_assumptions!$H$2:$V$2,0))</f>
        <v>0.1</v>
      </c>
      <c r="M13" s="59">
        <f ca="1">OFFSET(TIAM15_assumptions!$G13,0,MATCH(VLOOKUP(Assumptions!M$2,TIAM15_assumptions!$Y$3:$Z$87,2,FALSE),TIAM15_assumptions!$H$2:$V$2,0))</f>
        <v>0.05</v>
      </c>
      <c r="N13" s="59">
        <f ca="1">OFFSET(TIAM15_assumptions!$G13,0,MATCH(VLOOKUP(Assumptions!N$2,TIAM15_assumptions!$Y$3:$Z$87,2,FALSE),TIAM15_assumptions!$H$2:$V$2,0))</f>
        <v>0.1</v>
      </c>
      <c r="O13" s="59">
        <f ca="1">OFFSET(TIAM15_assumptions!$G13,0,MATCH(VLOOKUP(Assumptions!O$2,TIAM15_assumptions!$Y$3:$Z$87,2,FALSE),TIAM15_assumptions!$H$2:$V$2,0))</f>
        <v>0.35</v>
      </c>
      <c r="P13" s="59">
        <f ca="1">OFFSET(TIAM15_assumptions!$G13,0,MATCH(VLOOKUP(Assumptions!P$2,TIAM15_assumptions!$Y$3:$Z$87,2,FALSE),TIAM15_assumptions!$H$2:$V$2,0))</f>
        <v>0.1</v>
      </c>
      <c r="Q13" s="59">
        <f ca="1">OFFSET(TIAM15_assumptions!$G13,0,MATCH(VLOOKUP(Assumptions!Q$2,TIAM15_assumptions!$Y$3:$Z$87,2,FALSE),TIAM15_assumptions!$H$2:$V$2,0))</f>
        <v>0.1</v>
      </c>
      <c r="R13" s="59">
        <f ca="1">OFFSET(TIAM15_assumptions!$G13,0,MATCH(VLOOKUP(Assumptions!R$2,TIAM15_assumptions!$Y$3:$Z$87,2,FALSE),TIAM15_assumptions!$H$2:$V$2,0))</f>
        <v>0.05</v>
      </c>
      <c r="S13" s="59">
        <f ca="1">OFFSET(TIAM15_assumptions!$G13,0,MATCH(VLOOKUP(Assumptions!S$2,TIAM15_assumptions!$Y$3:$Z$87,2,FALSE),TIAM15_assumptions!$H$2:$V$2,0))</f>
        <v>0.05</v>
      </c>
      <c r="T13" s="59">
        <f ca="1">OFFSET(TIAM15_assumptions!$G13,0,MATCH(VLOOKUP(Assumptions!T$2,TIAM15_assumptions!$Y$3:$Z$87,2,FALSE),TIAM15_assumptions!$H$2:$V$2,0))</f>
        <v>0.05</v>
      </c>
      <c r="U13" s="59">
        <f ca="1">OFFSET(TIAM15_assumptions!$G13,0,MATCH(VLOOKUP(Assumptions!U$2,TIAM15_assumptions!$Y$3:$Z$87,2,FALSE),TIAM15_assumptions!$H$2:$V$2,0))</f>
        <v>0.1</v>
      </c>
      <c r="V13" s="59">
        <f ca="1">OFFSET(TIAM15_assumptions!$G13,0,MATCH(VLOOKUP(Assumptions!V$2,TIAM15_assumptions!$Y$3:$Z$87,2,FALSE),TIAM15_assumptions!$H$2:$V$2,0))</f>
        <v>0.05</v>
      </c>
      <c r="W13" s="59">
        <f ca="1">OFFSET(TIAM15_assumptions!$G13,0,MATCH(VLOOKUP(Assumptions!W$2,TIAM15_assumptions!$Y$3:$Z$87,2,FALSE),TIAM15_assumptions!$H$2:$V$2,0))</f>
        <v>0.25</v>
      </c>
      <c r="X13" s="59">
        <f ca="1">OFFSET(TIAM15_assumptions!$G13,0,MATCH(VLOOKUP(Assumptions!X$2,TIAM15_assumptions!$Y$3:$Z$87,2,FALSE),TIAM15_assumptions!$H$2:$V$2,0))</f>
        <v>0.05</v>
      </c>
      <c r="Y13" s="59">
        <f ca="1">OFFSET(TIAM15_assumptions!$G13,0,MATCH(VLOOKUP(Assumptions!Y$2,TIAM15_assumptions!$Y$3:$Z$87,2,FALSE),TIAM15_assumptions!$H$2:$V$2,0))</f>
        <v>0.05</v>
      </c>
      <c r="Z13" s="59">
        <f ca="1">OFFSET(TIAM15_assumptions!$G13,0,MATCH(VLOOKUP(Assumptions!Z$2,TIAM15_assumptions!$Y$3:$Z$87,2,FALSE),TIAM15_assumptions!$H$2:$V$2,0))</f>
        <v>0.05</v>
      </c>
      <c r="AA13" s="59">
        <f ca="1">OFFSET(TIAM15_assumptions!$G13,0,MATCH(VLOOKUP(Assumptions!AA$2,TIAM15_assumptions!$Y$3:$Z$87,2,FALSE),TIAM15_assumptions!$H$2:$V$2,0))</f>
        <v>0.1</v>
      </c>
      <c r="AB13" s="59">
        <f ca="1">OFFSET(TIAM15_assumptions!$G13,0,MATCH(VLOOKUP(Assumptions!AB$2,TIAM15_assumptions!$Y$3:$Z$87,2,FALSE),TIAM15_assumptions!$H$2:$V$2,0))</f>
        <v>0.1</v>
      </c>
      <c r="AC13" s="59">
        <f ca="1">OFFSET(TIAM15_assumptions!$G13,0,MATCH(VLOOKUP(Assumptions!AC$2,TIAM15_assumptions!$Y$3:$Z$87,2,FALSE),TIAM15_assumptions!$H$2:$V$2,0))</f>
        <v>0.04</v>
      </c>
      <c r="AD13" s="59">
        <f ca="1">OFFSET(TIAM15_assumptions!$G13,0,MATCH(VLOOKUP(Assumptions!AD$2,TIAM15_assumptions!$Y$3:$Z$87,2,FALSE),TIAM15_assumptions!$H$2:$V$2,0))</f>
        <v>0.05</v>
      </c>
      <c r="AE13" s="59">
        <f ca="1">OFFSET(TIAM15_assumptions!$G13,0,MATCH(VLOOKUP(Assumptions!AE$2,TIAM15_assumptions!$Y$3:$Z$87,2,FALSE),TIAM15_assumptions!$H$2:$V$2,0))</f>
        <v>0.1</v>
      </c>
      <c r="AF13" s="59">
        <f ca="1">OFFSET(TIAM15_assumptions!$G13,0,MATCH(VLOOKUP(Assumptions!AF$2,TIAM15_assumptions!$Y$3:$Z$87,2,FALSE),TIAM15_assumptions!$H$2:$V$2,0))</f>
        <v>0.15</v>
      </c>
      <c r="AG13" s="59">
        <f ca="1">OFFSET(TIAM15_assumptions!$G13,0,MATCH(VLOOKUP(Assumptions!AG$2,TIAM15_assumptions!$Y$3:$Z$87,2,FALSE),TIAM15_assumptions!$H$2:$V$2,0))</f>
        <v>0.1</v>
      </c>
      <c r="AH13" s="59">
        <f ca="1">OFFSET(TIAM15_assumptions!$G13,0,MATCH(VLOOKUP(Assumptions!AH$2,TIAM15_assumptions!$Y$3:$Z$87,2,FALSE),TIAM15_assumptions!$H$2:$V$2,0))</f>
        <v>0.1</v>
      </c>
      <c r="AI13" s="59">
        <f ca="1">OFFSET(TIAM15_assumptions!$G13,0,MATCH(VLOOKUP(Assumptions!AI$2,TIAM15_assumptions!$Y$3:$Z$87,2,FALSE),TIAM15_assumptions!$H$2:$V$2,0))</f>
        <v>0.35</v>
      </c>
      <c r="AJ13" s="59">
        <f ca="1">OFFSET(TIAM15_assumptions!$G13,0,MATCH(VLOOKUP(Assumptions!AJ$2,TIAM15_assumptions!$Y$3:$Z$87,2,FALSE),TIAM15_assumptions!$H$2:$V$2,0))</f>
        <v>0.05</v>
      </c>
      <c r="AK13" s="59">
        <f ca="1">OFFSET(TIAM15_assumptions!$G13,0,MATCH(VLOOKUP(Assumptions!AK$2,TIAM15_assumptions!$Y$3:$Z$87,2,FALSE),TIAM15_assumptions!$H$2:$V$2,0))</f>
        <v>0.05</v>
      </c>
      <c r="AL13" s="59">
        <f ca="1">OFFSET(TIAM15_assumptions!$G13,0,MATCH(VLOOKUP(Assumptions!AL$2,TIAM15_assumptions!$Y$3:$Z$87,2,FALSE),TIAM15_assumptions!$H$2:$V$2,0))</f>
        <v>0.05</v>
      </c>
      <c r="AM13" s="59">
        <f ca="1">OFFSET(TIAM15_assumptions!$G13,0,MATCH(VLOOKUP(Assumptions!AM$2,TIAM15_assumptions!$Y$3:$Z$87,2,FALSE),TIAM15_assumptions!$H$2:$V$2,0))</f>
        <v>0.1</v>
      </c>
      <c r="AN13" s="59">
        <f ca="1">OFFSET(TIAM15_assumptions!$G13,0,MATCH(VLOOKUP(Assumptions!AN$2,TIAM15_assumptions!$Y$3:$Z$87,2,FALSE),TIAM15_assumptions!$H$2:$V$2,0))</f>
        <v>0.05</v>
      </c>
      <c r="AO13" s="59">
        <f ca="1">OFFSET(TIAM15_assumptions!$G13,0,MATCH(VLOOKUP(Assumptions!AO$2,TIAM15_assumptions!$Y$3:$Z$87,2,FALSE),TIAM15_assumptions!$H$2:$V$2,0))</f>
        <v>0.1</v>
      </c>
      <c r="AP13" s="59">
        <f ca="1">OFFSET(TIAM15_assumptions!$G13,0,MATCH(VLOOKUP(Assumptions!AP$2,TIAM15_assumptions!$Y$3:$Z$87,2,FALSE),TIAM15_assumptions!$H$2:$V$2,0))</f>
        <v>0.1</v>
      </c>
      <c r="AQ13" s="59">
        <f ca="1">OFFSET(TIAM15_assumptions!$G13,0,MATCH(VLOOKUP(Assumptions!AQ$2,TIAM15_assumptions!$Y$3:$Z$87,2,FALSE),TIAM15_assumptions!$H$2:$V$2,0))</f>
        <v>0.04</v>
      </c>
      <c r="AR13" s="59">
        <f ca="1">OFFSET(TIAM15_assumptions!$G13,0,MATCH(VLOOKUP(Assumptions!AR$2,TIAM15_assumptions!$Y$3:$Z$87,2,FALSE),TIAM15_assumptions!$H$2:$V$2,0))</f>
        <v>0.04</v>
      </c>
      <c r="AS13" s="59">
        <f ca="1">OFFSET(TIAM15_assumptions!$G13,0,MATCH(VLOOKUP(Assumptions!AS$2,TIAM15_assumptions!$Y$3:$Z$87,2,FALSE),TIAM15_assumptions!$H$2:$V$2,0))</f>
        <v>0.04</v>
      </c>
      <c r="AT13" s="59">
        <f ca="1">OFFSET(TIAM15_assumptions!$G13,0,MATCH(VLOOKUP(Assumptions!AT$2,TIAM15_assumptions!$Y$3:$Z$87,2,FALSE),TIAM15_assumptions!$H$2:$V$2,0))</f>
        <v>0.04</v>
      </c>
      <c r="AU13" s="59">
        <f ca="1">OFFSET(TIAM15_assumptions!$G13,0,MATCH(VLOOKUP(Assumptions!AU$2,TIAM15_assumptions!$Y$3:$Z$87,2,FALSE),TIAM15_assumptions!$H$2:$V$2,0))</f>
        <v>0.04</v>
      </c>
      <c r="AV13" s="59">
        <f ca="1">OFFSET(TIAM15_assumptions!$G13,0,MATCH(VLOOKUP(Assumptions!AV$2,TIAM15_assumptions!$Y$3:$Z$87,2,FALSE),TIAM15_assumptions!$H$2:$V$2,0))</f>
        <v>0.04</v>
      </c>
      <c r="AW13" s="59">
        <f ca="1">OFFSET(TIAM15_assumptions!$G13,0,MATCH(VLOOKUP(Assumptions!AW$2,TIAM15_assumptions!$Y$3:$Z$87,2,FALSE),TIAM15_assumptions!$H$2:$V$2,0))</f>
        <v>0.04</v>
      </c>
      <c r="AX13" s="59">
        <f ca="1">OFFSET(TIAM15_assumptions!$G13,0,MATCH(VLOOKUP(Assumptions!AX$2,TIAM15_assumptions!$Y$3:$Z$87,2,FALSE),TIAM15_assumptions!$H$2:$V$2,0))</f>
        <v>0.04</v>
      </c>
      <c r="AY13" s="59">
        <f ca="1">OFFSET(TIAM15_assumptions!$G13,0,MATCH(VLOOKUP(Assumptions!AY$2,TIAM15_assumptions!$Y$3:$Z$87,2,FALSE),TIAM15_assumptions!$H$2:$V$2,0))</f>
        <v>0.04</v>
      </c>
      <c r="AZ13" s="59">
        <f ca="1">OFFSET(TIAM15_assumptions!$G13,0,MATCH(VLOOKUP(Assumptions!AZ$2,TIAM15_assumptions!$Y$3:$Z$87,2,FALSE),TIAM15_assumptions!$H$2:$V$2,0))</f>
        <v>0.04</v>
      </c>
      <c r="BA13" s="59">
        <f ca="1">OFFSET(TIAM15_assumptions!$G13,0,MATCH(VLOOKUP(Assumptions!BA$2,TIAM15_assumptions!$Y$3:$Z$87,2,FALSE),TIAM15_assumptions!$H$2:$V$2,0))</f>
        <v>0.04</v>
      </c>
      <c r="BD13" s="41">
        <f ca="1">IFERROR(SUMIFS('TRA balance'!E$5:E$40,'TRA balance'!$C$5:$C$40,Assumptions!$C13,'TRA balance'!$D$5:$D$40,Assumptions!$B13)*CY13*H13,"")</f>
        <v>350.28647281089</v>
      </c>
      <c r="BE13" s="41">
        <f ca="1">IFERROR(SUMIFS('TRA balance'!F$5:F$40,'TRA balance'!$C$5:$C$40,Assumptions!$C13,'TRA balance'!$D$5:$D$40,Assumptions!$B13)*CZ13*I13,"")</f>
        <v>311.291700338304</v>
      </c>
      <c r="BF13" s="41">
        <f ca="1">IFERROR(SUMIFS('TRA balance'!G$5:G$40,'TRA balance'!$C$5:$C$40,Assumptions!$C13,'TRA balance'!$D$5:$D$40,Assumptions!$B13)*DA13*J13,"")</f>
        <v>84.6187729258788</v>
      </c>
      <c r="BG13" s="41">
        <f ca="1">IFERROR(SUMIFS('TRA balance'!H$5:H$40,'TRA balance'!$C$5:$C$40,Assumptions!$C13,'TRA balance'!$D$5:$D$40,Assumptions!$B13)*DB13*K13,"")</f>
        <v>10.346021744112</v>
      </c>
      <c r="BH13" s="41">
        <f ca="1">IFERROR(SUMIFS('TRA balance'!I$5:I$40,'TRA balance'!$C$5:$C$40,Assumptions!$C13,'TRA balance'!$D$5:$D$40,Assumptions!$B13)*DC13*L13,"")</f>
        <v>11.52065521683</v>
      </c>
      <c r="BI13" s="41">
        <f ca="1">IFERROR(SUMIFS('TRA balance'!J$5:J$40,'TRA balance'!$C$5:$C$40,Assumptions!$C13,'TRA balance'!$D$5:$D$40,Assumptions!$B13)*DD13*M13,"")</f>
        <v>21.929287268304</v>
      </c>
      <c r="BJ13" s="41">
        <f ca="1">IFERROR(SUMIFS('TRA balance'!K$5:K$40,'TRA balance'!$C$5:$C$40,Assumptions!$C13,'TRA balance'!$D$5:$D$40,Assumptions!$B13)*DE13*N13,"")</f>
        <v>133.547221427659</v>
      </c>
      <c r="BK13" s="41">
        <f ca="1">IFERROR(SUMIFS('TRA balance'!L$5:L$40,'TRA balance'!$C$5:$C$40,Assumptions!$C13,'TRA balance'!$D$5:$D$40,Assumptions!$B13)*DF13*O13,"")</f>
        <v>1222.63205802709</v>
      </c>
      <c r="BL13" s="41">
        <f ca="1">IFERROR(SUMIFS('TRA balance'!M$5:M$40,'TRA balance'!$C$5:$C$40,Assumptions!$C13,'TRA balance'!$D$5:$D$40,Assumptions!$B13)*DG13*P13,"")</f>
        <v>9.63952252272</v>
      </c>
      <c r="BM13" s="41">
        <f ca="1">IFERROR(SUMIFS('TRA balance'!N$5:N$40,'TRA balance'!$C$5:$C$40,Assumptions!$C13,'TRA balance'!$D$5:$D$40,Assumptions!$B13)*DH13*Q13,"")</f>
        <v>20.655887958144</v>
      </c>
      <c r="BN13" s="41">
        <f ca="1">IFERROR(SUMIFS('TRA balance'!O$5:O$40,'TRA balance'!$C$5:$C$40,Assumptions!$C13,'TRA balance'!$D$5:$D$40,Assumptions!$B13)*DI13*R13,"")</f>
        <v>51.456004953552</v>
      </c>
      <c r="BO13" s="41">
        <f ca="1">IFERROR(SUMIFS('TRA balance'!P$5:P$40,'TRA balance'!$C$5:$C$40,Assumptions!$C13,'TRA balance'!$D$5:$D$40,Assumptions!$B13)*DJ13*S13,"")</f>
        <v>55.5708479292</v>
      </c>
      <c r="BP13" s="41">
        <f ca="1">IFERROR(SUMIFS('TRA balance'!Q$5:Q$40,'TRA balance'!$C$5:$C$40,Assumptions!$C13,'TRA balance'!$D$5:$D$40,Assumptions!$B13)*DK13*T13,"")</f>
        <v>4.493910321072</v>
      </c>
      <c r="BQ13" s="41">
        <f ca="1">IFERROR(SUMIFS('TRA balance'!R$5:R$40,'TRA balance'!$C$5:$C$40,Assumptions!$C13,'TRA balance'!$D$5:$D$40,Assumptions!$B13)*DL13*U13,"")</f>
        <v>32.227478004384</v>
      </c>
      <c r="BR13" s="41">
        <f ca="1">IFERROR(SUMIFS('TRA balance'!S$5:S$40,'TRA balance'!$C$5:$C$40,Assumptions!$C13,'TRA balance'!$D$5:$D$40,Assumptions!$B13)*DM13*V13,"")</f>
        <v>0.308183816592</v>
      </c>
      <c r="BS13" s="41">
        <f ca="1">IFERROR(SUMIFS('TRA balance'!T$5:T$40,'TRA balance'!$C$5:$C$40,Assumptions!$C13,'TRA balance'!$D$5:$D$40,Assumptions!$B13)*DN13*W13,"")</f>
        <v>456.311047631175</v>
      </c>
      <c r="BT13" s="41">
        <f ca="1">IFERROR(SUMIFS('TRA balance'!U$5:U$40,'TRA balance'!$C$5:$C$40,Assumptions!$C13,'TRA balance'!$D$5:$D$40,Assumptions!$B13)*DO13*X13,"")</f>
        <v>4.93378540992</v>
      </c>
      <c r="BU13" s="41">
        <f ca="1">IFERROR(SUMIFS('TRA balance'!V$5:V$40,'TRA balance'!$C$5:$C$40,Assumptions!$C13,'TRA balance'!$D$5:$D$40,Assumptions!$B13)*DP13*Y13,"")</f>
        <v>36.001799325072</v>
      </c>
      <c r="BV13" s="41">
        <f ca="1">IFERROR(SUMIFS('TRA balance'!W$5:W$40,'TRA balance'!$C$5:$C$40,Assumptions!$C13,'TRA balance'!$D$5:$D$40,Assumptions!$B13)*DQ13*Z13,"")</f>
        <v>43.380371732571</v>
      </c>
      <c r="BW13" s="41">
        <f ca="1">IFERROR(SUMIFS('TRA balance'!X$5:X$40,'TRA balance'!$C$5:$C$40,Assumptions!$C13,'TRA balance'!$D$5:$D$40,Assumptions!$B13)*DR13*AA13,"")</f>
        <v>137.116218190997</v>
      </c>
      <c r="BX13" s="41">
        <f ca="1">IFERROR(SUMIFS('TRA balance'!Y$5:Y$40,'TRA balance'!$C$5:$C$40,Assumptions!$C13,'TRA balance'!$D$5:$D$40,Assumptions!$B13)*DS13*AB13,"")</f>
        <v>134.798933515752</v>
      </c>
      <c r="BY13" s="41">
        <f ca="1">IFERROR(SUMIFS('TRA balance'!Z$5:Z$40,'TRA balance'!$C$5:$C$40,Assumptions!$C13,'TRA balance'!$D$5:$D$40,Assumptions!$B13)*DT13*AC13,"")</f>
        <v>245.85528386383</v>
      </c>
      <c r="BZ13" s="41">
        <f ca="1">IFERROR(SUMIFS('TRA balance'!AA$5:AA$40,'TRA balance'!$C$5:$C$40,Assumptions!$C13,'TRA balance'!$D$5:$D$40,Assumptions!$B13)*DU13*AD13,"")</f>
        <v>3.54400645752</v>
      </c>
      <c r="CA13" s="41">
        <f ca="1">IFERROR(SUMIFS('TRA balance'!AB$5:AB$40,'TRA balance'!$C$5:$C$40,Assumptions!$C13,'TRA balance'!$D$5:$D$40,Assumptions!$B13)*DV13*AE13,"")</f>
        <v>47.423857139424</v>
      </c>
      <c r="CB13" s="41">
        <f ca="1">IFERROR(SUMIFS('TRA balance'!AC$5:AC$40,'TRA balance'!$C$5:$C$40,Assumptions!$C13,'TRA balance'!$D$5:$D$40,Assumptions!$B13)*DW13*AF13,"")</f>
        <v>554.121250123097</v>
      </c>
      <c r="CC13" s="41">
        <f ca="1">IFERROR(SUMIFS('TRA balance'!AD$5:AD$40,'TRA balance'!$C$5:$C$40,Assumptions!$C13,'TRA balance'!$D$5:$D$40,Assumptions!$B13)*DX13*AG13,"")</f>
        <v>66.62630518128</v>
      </c>
      <c r="CD13" s="41">
        <f ca="1">IFERROR(SUMIFS('TRA balance'!AE$5:AE$40,'TRA balance'!$C$5:$C$40,Assumptions!$C13,'TRA balance'!$D$5:$D$40,Assumptions!$B13)*DY13*AH13,"")</f>
        <v>76.66188516756</v>
      </c>
      <c r="CE13" s="41">
        <f ca="1">IFERROR(SUMIFS('TRA balance'!AF$5:AF$40,'TRA balance'!$C$5:$C$40,Assumptions!$C13,'TRA balance'!$D$5:$D$40,Assumptions!$B13)*DZ13*AI13,"")</f>
        <v>109.345380133248</v>
      </c>
      <c r="CF13" s="41">
        <f ca="1">IFERROR(SUMIFS('TRA balance'!AG$5:AG$40,'TRA balance'!$C$5:$C$40,Assumptions!$C13,'TRA balance'!$D$5:$D$40,Assumptions!$B13)*EA13*AJ13,"")</f>
        <v>42.96729206952</v>
      </c>
      <c r="CG13" s="41">
        <f ca="1">IFERROR(SUMIFS('TRA balance'!AH$5:AH$40,'TRA balance'!$C$5:$C$40,Assumptions!$C13,'TRA balance'!$D$5:$D$40,Assumptions!$B13)*EB13*AK13,"")</f>
        <v>12.898516589568</v>
      </c>
      <c r="CH13" s="41">
        <f ca="1">IFERROR(SUMIFS('TRA balance'!AI$5:AI$40,'TRA balance'!$C$5:$C$40,Assumptions!$C13,'TRA balance'!$D$5:$D$40,Assumptions!$B13)*EC13*AL13,"")</f>
        <v>4.55260741488</v>
      </c>
      <c r="CI13" s="41">
        <f ca="1">IFERROR(SUMIFS('TRA balance'!AJ$5:AJ$40,'TRA balance'!$C$5:$C$40,Assumptions!$C13,'TRA balance'!$D$5:$D$40,Assumptions!$B13)*ED13*AM13,"")</f>
        <v>74.011536139428</v>
      </c>
      <c r="CJ13" s="41">
        <f ca="1">IFERROR(SUMIFS('TRA balance'!AK$5:AK$40,'TRA balance'!$C$5:$C$40,Assumptions!$C13,'TRA balance'!$D$5:$D$40,Assumptions!$B13)*EE13*AN13,"")</f>
        <v>40.565577289824</v>
      </c>
      <c r="CK13" s="41">
        <f ca="1">IFERROR(SUMIFS('TRA balance'!AL$5:AL$40,'TRA balance'!$C$5:$C$40,Assumptions!$C13,'TRA balance'!$D$5:$D$40,Assumptions!$B13)*EF13*AO13,"")</f>
        <v>17.270468210862</v>
      </c>
      <c r="CL13" s="41">
        <f ca="1">IFERROR(SUMIFS('TRA balance'!AM$5:AM$40,'TRA balance'!$C$5:$C$40,Assumptions!$C13,'TRA balance'!$D$5:$D$40,Assumptions!$B13)*EG13*AP13,"")</f>
        <v>15.01764799248</v>
      </c>
      <c r="CM13" s="41">
        <f ca="1">IFERROR(SUMIFS('TRA balance'!AN$5:AN$40,'TRA balance'!$C$5:$C$40,Assumptions!$C13,'TRA balance'!$D$5:$D$40,Assumptions!$B13)*EH13*AQ13,"")</f>
        <v>0</v>
      </c>
      <c r="CN13" s="41">
        <f ca="1">IFERROR(SUMIFS('TRA balance'!AO$5:AO$40,'TRA balance'!$C$5:$C$40,Assumptions!$C13,'TRA balance'!$D$5:$D$40,Assumptions!$B13)*EI13*AR13,"")</f>
        <v>0</v>
      </c>
      <c r="CO13" s="41">
        <f ca="1">IFERROR(SUMIFS('TRA balance'!AP$5:AP$40,'TRA balance'!$C$5:$C$40,Assumptions!$C13,'TRA balance'!$D$5:$D$40,Assumptions!$B13)*EJ13*AS13,"")</f>
        <v>0</v>
      </c>
      <c r="CP13" s="41">
        <f ca="1">IFERROR(SUMIFS('TRA balance'!AQ$5:AQ$40,'TRA balance'!$C$5:$C$40,Assumptions!$C13,'TRA balance'!$D$5:$D$40,Assumptions!$B13)*EK13*AT13,"")</f>
        <v>0</v>
      </c>
      <c r="CQ13" s="41">
        <f ca="1">IFERROR(SUMIFS('TRA balance'!AR$5:AR$40,'TRA balance'!$C$5:$C$40,Assumptions!$C13,'TRA balance'!$D$5:$D$40,Assumptions!$B13)*EL13*AU13,"")</f>
        <v>0</v>
      </c>
      <c r="CR13" s="41">
        <f ca="1">IFERROR(SUMIFS('TRA balance'!AS$5:AS$40,'TRA balance'!$C$5:$C$40,Assumptions!$C13,'TRA balance'!$D$5:$D$40,Assumptions!$B13)*EM13*AV13,"")</f>
        <v>0</v>
      </c>
      <c r="CS13" s="41">
        <f ca="1">IFERROR(SUMIFS('TRA balance'!AT$5:AT$40,'TRA balance'!$C$5:$C$40,Assumptions!$C13,'TRA balance'!$D$5:$D$40,Assumptions!$B13)*EN13*AW13,"")</f>
        <v>0</v>
      </c>
      <c r="CT13" s="41">
        <f ca="1">IFERROR(SUMIFS('TRA balance'!AU$5:AU$40,'TRA balance'!$C$5:$C$40,Assumptions!$C13,'TRA balance'!$D$5:$D$40,Assumptions!$B13)*EO13*AX13,"")</f>
        <v>0</v>
      </c>
      <c r="CU13" s="41">
        <f ca="1">IFERROR(SUMIFS('TRA balance'!AV$5:AV$40,'TRA balance'!$C$5:$C$40,Assumptions!$C13,'TRA balance'!$D$5:$D$40,Assumptions!$B13)*EP13*AY13,"")</f>
        <v>0</v>
      </c>
      <c r="CV13" s="41">
        <f ca="1">IFERROR(SUMIFS('TRA balance'!AW$5:AW$40,'TRA balance'!$C$5:$C$40,Assumptions!$C13,'TRA balance'!$D$5:$D$40,Assumptions!$B13)*EQ13*AZ13,"")</f>
        <v>0</v>
      </c>
      <c r="CW13" s="41">
        <f ca="1">IFERROR(SUMIFS('TRA balance'!AX$5:AX$40,'TRA balance'!$C$5:$C$40,Assumptions!$C13,'TRA balance'!$D$5:$D$40,Assumptions!$B13)*ER13*BA13,"")</f>
        <v>0</v>
      </c>
      <c r="CY13" s="40">
        <f ca="1" t="shared" si="2"/>
        <v>0.9</v>
      </c>
      <c r="CZ13" s="40">
        <f ca="1" t="shared" si="3"/>
        <v>0.9</v>
      </c>
      <c r="DA13" s="40">
        <f ca="1" t="shared" si="4"/>
        <v>0.98</v>
      </c>
      <c r="DB13" s="40">
        <f ca="1" t="shared" si="5"/>
        <v>0.8</v>
      </c>
      <c r="DC13" s="40">
        <f ca="1" t="shared" si="6"/>
        <v>0.95</v>
      </c>
      <c r="DD13" s="40">
        <f ca="1" t="shared" si="7"/>
        <v>0.8</v>
      </c>
      <c r="DE13" s="40">
        <f ca="1" t="shared" si="8"/>
        <v>0.93</v>
      </c>
      <c r="DF13" s="40">
        <f ca="1" t="shared" si="9"/>
        <v>0.9</v>
      </c>
      <c r="DG13" s="40">
        <f ca="1" t="shared" si="10"/>
        <v>0.8</v>
      </c>
      <c r="DH13" s="40">
        <f ca="1" t="shared" si="11"/>
        <v>0.8</v>
      </c>
      <c r="DI13" s="40">
        <f ca="1" t="shared" si="12"/>
        <v>0.8</v>
      </c>
      <c r="DJ13" s="40">
        <f ca="1" t="shared" si="13"/>
        <v>0.8</v>
      </c>
      <c r="DK13" s="40">
        <f ca="1" t="shared" si="14"/>
        <v>0.8</v>
      </c>
      <c r="DL13" s="40">
        <f ca="1" t="shared" si="15"/>
        <v>0.8</v>
      </c>
      <c r="DM13" s="40">
        <f ca="1" t="shared" si="16"/>
        <v>0.8</v>
      </c>
      <c r="DN13" s="40">
        <f ca="1" t="shared" si="17"/>
        <v>0.75</v>
      </c>
      <c r="DO13" s="40">
        <f ca="1" t="shared" si="18"/>
        <v>0.8</v>
      </c>
      <c r="DP13" s="40">
        <f ca="1" t="shared" si="19"/>
        <v>0.8</v>
      </c>
      <c r="DQ13" s="40">
        <f ca="1" t="shared" si="20"/>
        <v>0.95</v>
      </c>
      <c r="DR13" s="40">
        <f ca="1" t="shared" si="21"/>
        <v>0.93</v>
      </c>
      <c r="DS13" s="40">
        <f ca="1" t="shared" si="22"/>
        <v>0.9</v>
      </c>
      <c r="DT13" s="40">
        <f ca="1" t="shared" si="23"/>
        <v>0.975593578177383</v>
      </c>
      <c r="DU13" s="40">
        <f ca="1" t="shared" si="24"/>
        <v>0.8</v>
      </c>
      <c r="DV13" s="40">
        <f ca="1" t="shared" si="25"/>
        <v>0.8</v>
      </c>
      <c r="DW13" s="40">
        <f ca="1" t="shared" si="26"/>
        <v>0.92</v>
      </c>
      <c r="DX13" s="40">
        <f ca="1" t="shared" si="27"/>
        <v>0.95</v>
      </c>
      <c r="DY13" s="40">
        <f ca="1" t="shared" si="28"/>
        <v>0.9</v>
      </c>
      <c r="DZ13" s="40">
        <f ca="1" t="shared" si="29"/>
        <v>0.9</v>
      </c>
      <c r="EA13" s="40">
        <f ca="1" t="shared" si="30"/>
        <v>0.8</v>
      </c>
      <c r="EB13" s="40">
        <f ca="1" t="shared" si="31"/>
        <v>0.8</v>
      </c>
      <c r="EC13" s="40">
        <f ca="1" t="shared" si="32"/>
        <v>0.8</v>
      </c>
      <c r="ED13" s="40">
        <f ca="1" t="shared" si="33"/>
        <v>0.9</v>
      </c>
      <c r="EE13" s="40">
        <f ca="1" t="shared" si="34"/>
        <v>0.8</v>
      </c>
      <c r="EF13" s="40">
        <f ca="1" t="shared" si="35"/>
        <v>0.95</v>
      </c>
      <c r="EG13" s="40">
        <f ca="1" t="shared" si="36"/>
        <v>0.8</v>
      </c>
      <c r="EH13" s="40">
        <f ca="1" t="shared" si="37"/>
        <v>0.975593578177383</v>
      </c>
      <c r="EI13" s="40">
        <f ca="1" t="shared" si="38"/>
        <v>0.975593578177383</v>
      </c>
      <c r="EJ13" s="40">
        <f ca="1" t="shared" si="39"/>
        <v>0.975593578177383</v>
      </c>
      <c r="EK13" s="40">
        <f ca="1" t="shared" si="40"/>
        <v>0.975593578177383</v>
      </c>
      <c r="EL13" s="40">
        <f ca="1" t="shared" si="41"/>
        <v>0.975593578177383</v>
      </c>
      <c r="EM13" s="40">
        <f ca="1" t="shared" si="42"/>
        <v>0.975593578177383</v>
      </c>
      <c r="EN13" s="40">
        <f ca="1" t="shared" si="43"/>
        <v>0.975593578177383</v>
      </c>
      <c r="EO13" s="40">
        <f ca="1" t="shared" si="44"/>
        <v>0.975593578177383</v>
      </c>
      <c r="EP13" s="40">
        <f ca="1" t="shared" si="45"/>
        <v>0.975593578177383</v>
      </c>
      <c r="EQ13" s="40">
        <f ca="1" t="shared" si="46"/>
        <v>0.975593578177383</v>
      </c>
      <c r="ER13" s="40">
        <f ca="1" t="shared" si="47"/>
        <v>0.975593578177383</v>
      </c>
    </row>
    <row r="14" spans="1:152">
      <c r="A14">
        <v>2</v>
      </c>
      <c r="B14" t="str">
        <f>VLOOKUP(F14,'TRA balance'!$BA$5:$BB$14,2,FALSE)</f>
        <v>TRADST</v>
      </c>
      <c r="C14" s="56" t="str">
        <f t="shared" si="48"/>
        <v>TR</v>
      </c>
      <c r="D14" s="57" t="s">
        <v>200</v>
      </c>
      <c r="E14" s="68" t="s">
        <v>214</v>
      </c>
      <c r="F14" s="58" t="str">
        <f t="shared" ref="F14:F20" si="55">F13</f>
        <v>Diesel</v>
      </c>
      <c r="G14" s="56" t="s">
        <v>215</v>
      </c>
      <c r="H14" s="59">
        <f ca="1">OFFSET(TIAM15_assumptions!$G14,0,MATCH(VLOOKUP(Assumptions!H$2,TIAM15_assumptions!$Y$3:$Z$87,2,FALSE),TIAM15_assumptions!$H$2:$V$2,0))</f>
        <v>0.35</v>
      </c>
      <c r="I14" s="59">
        <f ca="1">OFFSET(TIAM15_assumptions!$G14,0,MATCH(VLOOKUP(Assumptions!I$2,TIAM15_assumptions!$Y$3:$Z$87,2,FALSE),TIAM15_assumptions!$H$2:$V$2,0))</f>
        <v>0.35</v>
      </c>
      <c r="J14" s="59">
        <f ca="1">OFFSET(TIAM15_assumptions!$G14,0,MATCH(VLOOKUP(Assumptions!J$2,TIAM15_assumptions!$Y$3:$Z$87,2,FALSE),TIAM15_assumptions!$H$2:$V$2,0))</f>
        <v>0.35</v>
      </c>
      <c r="K14" s="59">
        <f ca="1">OFFSET(TIAM15_assumptions!$G14,0,MATCH(VLOOKUP(Assumptions!K$2,TIAM15_assumptions!$Y$3:$Z$87,2,FALSE),TIAM15_assumptions!$H$2:$V$2,0))</f>
        <v>0.5</v>
      </c>
      <c r="L14" s="59">
        <f ca="1">OFFSET(TIAM15_assumptions!$G14,0,MATCH(VLOOKUP(Assumptions!L$2,TIAM15_assumptions!$Y$3:$Z$87,2,FALSE),TIAM15_assumptions!$H$2:$V$2,0))</f>
        <v>0.6</v>
      </c>
      <c r="M14" s="59">
        <f ca="1">OFFSET(TIAM15_assumptions!$G14,0,MATCH(VLOOKUP(Assumptions!M$2,TIAM15_assumptions!$Y$3:$Z$87,2,FALSE),TIAM15_assumptions!$H$2:$V$2,0))</f>
        <v>0.5</v>
      </c>
      <c r="N14" s="59">
        <f ca="1">OFFSET(TIAM15_assumptions!$G14,0,MATCH(VLOOKUP(Assumptions!N$2,TIAM15_assumptions!$Y$3:$Z$87,2,FALSE),TIAM15_assumptions!$H$2:$V$2,0))</f>
        <v>0.5</v>
      </c>
      <c r="O14" s="59">
        <f ca="1">OFFSET(TIAM15_assumptions!$G14,0,MATCH(VLOOKUP(Assumptions!O$2,TIAM15_assumptions!$Y$3:$Z$87,2,FALSE),TIAM15_assumptions!$H$2:$V$2,0))</f>
        <v>0.35</v>
      </c>
      <c r="P14" s="59">
        <f ca="1">OFFSET(TIAM15_assumptions!$G14,0,MATCH(VLOOKUP(Assumptions!P$2,TIAM15_assumptions!$Y$3:$Z$87,2,FALSE),TIAM15_assumptions!$H$2:$V$2,0))</f>
        <v>0.5</v>
      </c>
      <c r="Q14" s="59">
        <f ca="1">OFFSET(TIAM15_assumptions!$G14,0,MATCH(VLOOKUP(Assumptions!Q$2,TIAM15_assumptions!$Y$3:$Z$87,2,FALSE),TIAM15_assumptions!$H$2:$V$2,0))</f>
        <v>0.5</v>
      </c>
      <c r="R14" s="59">
        <f ca="1">OFFSET(TIAM15_assumptions!$G14,0,MATCH(VLOOKUP(Assumptions!R$2,TIAM15_assumptions!$Y$3:$Z$87,2,FALSE),TIAM15_assumptions!$H$2:$V$2,0))</f>
        <v>0.5</v>
      </c>
      <c r="S14" s="59">
        <f ca="1">OFFSET(TIAM15_assumptions!$G14,0,MATCH(VLOOKUP(Assumptions!S$2,TIAM15_assumptions!$Y$3:$Z$87,2,FALSE),TIAM15_assumptions!$H$2:$V$2,0))</f>
        <v>0.5</v>
      </c>
      <c r="T14" s="59">
        <f ca="1">OFFSET(TIAM15_assumptions!$G14,0,MATCH(VLOOKUP(Assumptions!T$2,TIAM15_assumptions!$Y$3:$Z$87,2,FALSE),TIAM15_assumptions!$H$2:$V$2,0))</f>
        <v>0.5</v>
      </c>
      <c r="U14" s="59">
        <f ca="1">OFFSET(TIAM15_assumptions!$G14,0,MATCH(VLOOKUP(Assumptions!U$2,TIAM15_assumptions!$Y$3:$Z$87,2,FALSE),TIAM15_assumptions!$H$2:$V$2,0))</f>
        <v>0.5</v>
      </c>
      <c r="V14" s="59">
        <f ca="1">OFFSET(TIAM15_assumptions!$G14,0,MATCH(VLOOKUP(Assumptions!V$2,TIAM15_assumptions!$Y$3:$Z$87,2,FALSE),TIAM15_assumptions!$H$2:$V$2,0))</f>
        <v>0.5</v>
      </c>
      <c r="W14" s="59">
        <f ca="1">OFFSET(TIAM15_assumptions!$G14,0,MATCH(VLOOKUP(Assumptions!W$2,TIAM15_assumptions!$Y$3:$Z$87,2,FALSE),TIAM15_assumptions!$H$2:$V$2,0))</f>
        <v>0.3</v>
      </c>
      <c r="X14" s="59">
        <f ca="1">OFFSET(TIAM15_assumptions!$G14,0,MATCH(VLOOKUP(Assumptions!X$2,TIAM15_assumptions!$Y$3:$Z$87,2,FALSE),TIAM15_assumptions!$H$2:$V$2,0))</f>
        <v>0.5</v>
      </c>
      <c r="Y14" s="59">
        <f ca="1">OFFSET(TIAM15_assumptions!$G14,0,MATCH(VLOOKUP(Assumptions!Y$2,TIAM15_assumptions!$Y$3:$Z$87,2,FALSE),TIAM15_assumptions!$H$2:$V$2,0))</f>
        <v>0.5</v>
      </c>
      <c r="Z14" s="59">
        <f ca="1">OFFSET(TIAM15_assumptions!$G14,0,MATCH(VLOOKUP(Assumptions!Z$2,TIAM15_assumptions!$Y$3:$Z$87,2,FALSE),TIAM15_assumptions!$H$2:$V$2,0))</f>
        <v>0.5</v>
      </c>
      <c r="AA14" s="59">
        <f ca="1">OFFSET(TIAM15_assumptions!$G14,0,MATCH(VLOOKUP(Assumptions!AA$2,TIAM15_assumptions!$Y$3:$Z$87,2,FALSE),TIAM15_assumptions!$H$2:$V$2,0))</f>
        <v>0.5</v>
      </c>
      <c r="AB14" s="59">
        <f ca="1">OFFSET(TIAM15_assumptions!$G14,0,MATCH(VLOOKUP(Assumptions!AB$2,TIAM15_assumptions!$Y$3:$Z$87,2,FALSE),TIAM15_assumptions!$H$2:$V$2,0))</f>
        <v>0.5</v>
      </c>
      <c r="AC14" s="59">
        <f ca="1">OFFSET(TIAM15_assumptions!$G14,0,MATCH(VLOOKUP(Assumptions!AC$2,TIAM15_assumptions!$Y$3:$Z$87,2,FALSE),TIAM15_assumptions!$H$2:$V$2,0))</f>
        <v>0.8</v>
      </c>
      <c r="AD14" s="59">
        <f ca="1">OFFSET(TIAM15_assumptions!$G14,0,MATCH(VLOOKUP(Assumptions!AD$2,TIAM15_assumptions!$Y$3:$Z$87,2,FALSE),TIAM15_assumptions!$H$2:$V$2,0))</f>
        <v>0.5</v>
      </c>
      <c r="AE14" s="59">
        <f ca="1">OFFSET(TIAM15_assumptions!$G14,0,MATCH(VLOOKUP(Assumptions!AE$2,TIAM15_assumptions!$Y$3:$Z$87,2,FALSE),TIAM15_assumptions!$H$2:$V$2,0))</f>
        <v>0.5</v>
      </c>
      <c r="AF14" s="59">
        <f ca="1">OFFSET(TIAM15_assumptions!$G14,0,MATCH(VLOOKUP(Assumptions!AF$2,TIAM15_assumptions!$Y$3:$Z$87,2,FALSE),TIAM15_assumptions!$H$2:$V$2,0))</f>
        <v>0.5</v>
      </c>
      <c r="AG14" s="59">
        <f ca="1">OFFSET(TIAM15_assumptions!$G14,0,MATCH(VLOOKUP(Assumptions!AG$2,TIAM15_assumptions!$Y$3:$Z$87,2,FALSE),TIAM15_assumptions!$H$2:$V$2,0))</f>
        <v>0.6</v>
      </c>
      <c r="AH14" s="59">
        <f ca="1">OFFSET(TIAM15_assumptions!$G14,0,MATCH(VLOOKUP(Assumptions!AH$2,TIAM15_assumptions!$Y$3:$Z$87,2,FALSE),TIAM15_assumptions!$H$2:$V$2,0))</f>
        <v>0.5</v>
      </c>
      <c r="AI14" s="59">
        <f ca="1">OFFSET(TIAM15_assumptions!$G14,0,MATCH(VLOOKUP(Assumptions!AI$2,TIAM15_assumptions!$Y$3:$Z$87,2,FALSE),TIAM15_assumptions!$H$2:$V$2,0))</f>
        <v>0.35</v>
      </c>
      <c r="AJ14" s="59">
        <f ca="1">OFFSET(TIAM15_assumptions!$G14,0,MATCH(VLOOKUP(Assumptions!AJ$2,TIAM15_assumptions!$Y$3:$Z$87,2,FALSE),TIAM15_assumptions!$H$2:$V$2,0))</f>
        <v>0.5</v>
      </c>
      <c r="AK14" s="59">
        <f ca="1">OFFSET(TIAM15_assumptions!$G14,0,MATCH(VLOOKUP(Assumptions!AK$2,TIAM15_assumptions!$Y$3:$Z$87,2,FALSE),TIAM15_assumptions!$H$2:$V$2,0))</f>
        <v>0.5</v>
      </c>
      <c r="AL14" s="59">
        <f ca="1">OFFSET(TIAM15_assumptions!$G14,0,MATCH(VLOOKUP(Assumptions!AL$2,TIAM15_assumptions!$Y$3:$Z$87,2,FALSE),TIAM15_assumptions!$H$2:$V$2,0))</f>
        <v>0.5</v>
      </c>
      <c r="AM14" s="59">
        <f ca="1">OFFSET(TIAM15_assumptions!$G14,0,MATCH(VLOOKUP(Assumptions!AM$2,TIAM15_assumptions!$Y$3:$Z$87,2,FALSE),TIAM15_assumptions!$H$2:$V$2,0))</f>
        <v>0.5</v>
      </c>
      <c r="AN14" s="59">
        <f ca="1">OFFSET(TIAM15_assumptions!$G14,0,MATCH(VLOOKUP(Assumptions!AN$2,TIAM15_assumptions!$Y$3:$Z$87,2,FALSE),TIAM15_assumptions!$H$2:$V$2,0))</f>
        <v>0.5</v>
      </c>
      <c r="AO14" s="59">
        <f ca="1">OFFSET(TIAM15_assumptions!$G14,0,MATCH(VLOOKUP(Assumptions!AO$2,TIAM15_assumptions!$Y$3:$Z$87,2,FALSE),TIAM15_assumptions!$H$2:$V$2,0))</f>
        <v>0.6</v>
      </c>
      <c r="AP14" s="59">
        <f ca="1">OFFSET(TIAM15_assumptions!$G14,0,MATCH(VLOOKUP(Assumptions!AP$2,TIAM15_assumptions!$Y$3:$Z$87,2,FALSE),TIAM15_assumptions!$H$2:$V$2,0))</f>
        <v>0.5</v>
      </c>
      <c r="AQ14" s="59">
        <f ca="1">OFFSET(TIAM15_assumptions!$G14,0,MATCH(VLOOKUP(Assumptions!AQ$2,TIAM15_assumptions!$Y$3:$Z$87,2,FALSE),TIAM15_assumptions!$H$2:$V$2,0))</f>
        <v>0.8</v>
      </c>
      <c r="AR14" s="59">
        <f ca="1">OFFSET(TIAM15_assumptions!$G14,0,MATCH(VLOOKUP(Assumptions!AR$2,TIAM15_assumptions!$Y$3:$Z$87,2,FALSE),TIAM15_assumptions!$H$2:$V$2,0))</f>
        <v>0.8</v>
      </c>
      <c r="AS14" s="59">
        <f ca="1">OFFSET(TIAM15_assumptions!$G14,0,MATCH(VLOOKUP(Assumptions!AS$2,TIAM15_assumptions!$Y$3:$Z$87,2,FALSE),TIAM15_assumptions!$H$2:$V$2,0))</f>
        <v>0.8</v>
      </c>
      <c r="AT14" s="59">
        <f ca="1">OFFSET(TIAM15_assumptions!$G14,0,MATCH(VLOOKUP(Assumptions!AT$2,TIAM15_assumptions!$Y$3:$Z$87,2,FALSE),TIAM15_assumptions!$H$2:$V$2,0))</f>
        <v>0.8</v>
      </c>
      <c r="AU14" s="59">
        <f ca="1">OFFSET(TIAM15_assumptions!$G14,0,MATCH(VLOOKUP(Assumptions!AU$2,TIAM15_assumptions!$Y$3:$Z$87,2,FALSE),TIAM15_assumptions!$H$2:$V$2,0))</f>
        <v>0.8</v>
      </c>
      <c r="AV14" s="59">
        <f ca="1">OFFSET(TIAM15_assumptions!$G14,0,MATCH(VLOOKUP(Assumptions!AV$2,TIAM15_assumptions!$Y$3:$Z$87,2,FALSE),TIAM15_assumptions!$H$2:$V$2,0))</f>
        <v>0.8</v>
      </c>
      <c r="AW14" s="59">
        <f ca="1">OFFSET(TIAM15_assumptions!$G14,0,MATCH(VLOOKUP(Assumptions!AW$2,TIAM15_assumptions!$Y$3:$Z$87,2,FALSE),TIAM15_assumptions!$H$2:$V$2,0))</f>
        <v>0.8</v>
      </c>
      <c r="AX14" s="59">
        <f ca="1">OFFSET(TIAM15_assumptions!$G14,0,MATCH(VLOOKUP(Assumptions!AX$2,TIAM15_assumptions!$Y$3:$Z$87,2,FALSE),TIAM15_assumptions!$H$2:$V$2,0))</f>
        <v>0.8</v>
      </c>
      <c r="AY14" s="59">
        <f ca="1">OFFSET(TIAM15_assumptions!$G14,0,MATCH(VLOOKUP(Assumptions!AY$2,TIAM15_assumptions!$Y$3:$Z$87,2,FALSE),TIAM15_assumptions!$H$2:$V$2,0))</f>
        <v>0.8</v>
      </c>
      <c r="AZ14" s="59">
        <f ca="1">OFFSET(TIAM15_assumptions!$G14,0,MATCH(VLOOKUP(Assumptions!AZ$2,TIAM15_assumptions!$Y$3:$Z$87,2,FALSE),TIAM15_assumptions!$H$2:$V$2,0))</f>
        <v>0.8</v>
      </c>
      <c r="BA14" s="59">
        <f ca="1">OFFSET(TIAM15_assumptions!$G14,0,MATCH(VLOOKUP(Assumptions!BA$2,TIAM15_assumptions!$Y$3:$Z$87,2,FALSE),TIAM15_assumptions!$H$2:$V$2,0))</f>
        <v>0.8</v>
      </c>
      <c r="BD14" s="41">
        <f ca="1">IFERROR(SUMIFS('TRA balance'!E$5:E$40,'TRA balance'!$C$5:$C$40,Assumptions!$C14,'TRA balance'!$D$5:$D$40,Assumptions!$B14)*CY14*H14,"")</f>
        <v>350.28647281089</v>
      </c>
      <c r="BE14" s="41">
        <f ca="1">IFERROR(SUMIFS('TRA balance'!F$5:F$40,'TRA balance'!$C$5:$C$40,Assumptions!$C14,'TRA balance'!$D$5:$D$40,Assumptions!$B14)*CZ14*I14,"")</f>
        <v>311.291700338304</v>
      </c>
      <c r="BF14" s="41">
        <f ca="1">IFERROR(SUMIFS('TRA balance'!G$5:G$40,'TRA balance'!$C$5:$C$40,Assumptions!$C14,'TRA balance'!$D$5:$D$40,Assumptions!$B14)*DA14*J14,"")</f>
        <v>197.443803493717</v>
      </c>
      <c r="BG14" s="41">
        <f ca="1">IFERROR(SUMIFS('TRA balance'!H$5:H$40,'TRA balance'!$C$5:$C$40,Assumptions!$C14,'TRA balance'!$D$5:$D$40,Assumptions!$B14)*DB14*K14,"")</f>
        <v>103.46021744112</v>
      </c>
      <c r="BH14" s="41">
        <f ca="1">IFERROR(SUMIFS('TRA balance'!I$5:I$40,'TRA balance'!$C$5:$C$40,Assumptions!$C14,'TRA balance'!$D$5:$D$40,Assumptions!$B14)*DC14*L14,"")</f>
        <v>69.12393130098</v>
      </c>
      <c r="BI14" s="41">
        <f ca="1">IFERROR(SUMIFS('TRA balance'!J$5:J$40,'TRA balance'!$C$5:$C$40,Assumptions!$C14,'TRA balance'!$D$5:$D$40,Assumptions!$B14)*DD14*M14,"")</f>
        <v>219.29287268304</v>
      </c>
      <c r="BJ14" s="41">
        <f ca="1">IFERROR(SUMIFS('TRA balance'!K$5:K$40,'TRA balance'!$C$5:$C$40,Assumptions!$C14,'TRA balance'!$D$5:$D$40,Assumptions!$B14)*DE14*N14,"")</f>
        <v>667.736107138296</v>
      </c>
      <c r="BK14" s="41">
        <f ca="1">IFERROR(SUMIFS('TRA balance'!L$5:L$40,'TRA balance'!$C$5:$C$40,Assumptions!$C14,'TRA balance'!$D$5:$D$40,Assumptions!$B14)*DF14*O14,"")</f>
        <v>1222.63205802709</v>
      </c>
      <c r="BL14" s="41">
        <f ca="1">IFERROR(SUMIFS('TRA balance'!M$5:M$40,'TRA balance'!$C$5:$C$40,Assumptions!$C14,'TRA balance'!$D$5:$D$40,Assumptions!$B14)*DG14*P14,"")</f>
        <v>48.1976126136</v>
      </c>
      <c r="BM14" s="41">
        <f ca="1">IFERROR(SUMIFS('TRA balance'!N$5:N$40,'TRA balance'!$C$5:$C$40,Assumptions!$C14,'TRA balance'!$D$5:$D$40,Assumptions!$B14)*DH14*Q14,"")</f>
        <v>103.27943979072</v>
      </c>
      <c r="BN14" s="41">
        <f ca="1">IFERROR(SUMIFS('TRA balance'!O$5:O$40,'TRA balance'!$C$5:$C$40,Assumptions!$C14,'TRA balance'!$D$5:$D$40,Assumptions!$B14)*DI14*R14,"")</f>
        <v>514.56004953552</v>
      </c>
      <c r="BO14" s="41">
        <f ca="1">IFERROR(SUMIFS('TRA balance'!P$5:P$40,'TRA balance'!$C$5:$C$40,Assumptions!$C14,'TRA balance'!$D$5:$D$40,Assumptions!$B14)*DJ14*S14,"")</f>
        <v>555.708479292</v>
      </c>
      <c r="BP14" s="41">
        <f ca="1">IFERROR(SUMIFS('TRA balance'!Q$5:Q$40,'TRA balance'!$C$5:$C$40,Assumptions!$C14,'TRA balance'!$D$5:$D$40,Assumptions!$B14)*DK14*T14,"")</f>
        <v>44.93910321072</v>
      </c>
      <c r="BQ14" s="41">
        <f ca="1">IFERROR(SUMIFS('TRA balance'!R$5:R$40,'TRA balance'!$C$5:$C$40,Assumptions!$C14,'TRA balance'!$D$5:$D$40,Assumptions!$B14)*DL14*U14,"")</f>
        <v>161.13739002192</v>
      </c>
      <c r="BR14" s="41">
        <f ca="1">IFERROR(SUMIFS('TRA balance'!S$5:S$40,'TRA balance'!$C$5:$C$40,Assumptions!$C14,'TRA balance'!$D$5:$D$40,Assumptions!$B14)*DM14*V14,"")</f>
        <v>3.08183816592</v>
      </c>
      <c r="BS14" s="41">
        <f ca="1">IFERROR(SUMIFS('TRA balance'!T$5:T$40,'TRA balance'!$C$5:$C$40,Assumptions!$C14,'TRA balance'!$D$5:$D$40,Assumptions!$B14)*DN14*W14,"")</f>
        <v>547.57325715741</v>
      </c>
      <c r="BT14" s="41">
        <f ca="1">IFERROR(SUMIFS('TRA balance'!U$5:U$40,'TRA balance'!$C$5:$C$40,Assumptions!$C14,'TRA balance'!$D$5:$D$40,Assumptions!$B14)*DO14*X14,"")</f>
        <v>49.3378540992</v>
      </c>
      <c r="BU14" s="41">
        <f ca="1">IFERROR(SUMIFS('TRA balance'!V$5:V$40,'TRA balance'!$C$5:$C$40,Assumptions!$C14,'TRA balance'!$D$5:$D$40,Assumptions!$B14)*DP14*Y14,"")</f>
        <v>360.01799325072</v>
      </c>
      <c r="BV14" s="41">
        <f ca="1">IFERROR(SUMIFS('TRA balance'!W$5:W$40,'TRA balance'!$C$5:$C$40,Assumptions!$C14,'TRA balance'!$D$5:$D$40,Assumptions!$B14)*DQ14*Z14,"")</f>
        <v>433.80371732571</v>
      </c>
      <c r="BW14" s="41">
        <f ca="1">IFERROR(SUMIFS('TRA balance'!X$5:X$40,'TRA balance'!$C$5:$C$40,Assumptions!$C14,'TRA balance'!$D$5:$D$40,Assumptions!$B14)*DR14*AA14,"")</f>
        <v>685.581090954984</v>
      </c>
      <c r="BX14" s="41">
        <f ca="1">IFERROR(SUMIFS('TRA balance'!Y$5:Y$40,'TRA balance'!$C$5:$C$40,Assumptions!$C14,'TRA balance'!$D$5:$D$40,Assumptions!$B14)*DS14*AB14,"")</f>
        <v>673.99466757876</v>
      </c>
      <c r="BY14" s="41">
        <f ca="1">IFERROR(SUMIFS('TRA balance'!Z$5:Z$40,'TRA balance'!$C$5:$C$40,Assumptions!$C14,'TRA balance'!$D$5:$D$40,Assumptions!$B14)*DT14*AC14,"")</f>
        <v>4917.10567727659</v>
      </c>
      <c r="BZ14" s="41">
        <f ca="1">IFERROR(SUMIFS('TRA balance'!AA$5:AA$40,'TRA balance'!$C$5:$C$40,Assumptions!$C14,'TRA balance'!$D$5:$D$40,Assumptions!$B14)*DU14*AD14,"")</f>
        <v>35.4400645752</v>
      </c>
      <c r="CA14" s="41">
        <f ca="1">IFERROR(SUMIFS('TRA balance'!AB$5:AB$40,'TRA balance'!$C$5:$C$40,Assumptions!$C14,'TRA balance'!$D$5:$D$40,Assumptions!$B14)*DV14*AE14,"")</f>
        <v>237.11928569712</v>
      </c>
      <c r="CB14" s="41">
        <f ca="1">IFERROR(SUMIFS('TRA balance'!AC$5:AC$40,'TRA balance'!$C$5:$C$40,Assumptions!$C14,'TRA balance'!$D$5:$D$40,Assumptions!$B14)*DW14*AF14,"")</f>
        <v>1847.07083374366</v>
      </c>
      <c r="CC14" s="41">
        <f ca="1">IFERROR(SUMIFS('TRA balance'!AD$5:AD$40,'TRA balance'!$C$5:$C$40,Assumptions!$C14,'TRA balance'!$D$5:$D$40,Assumptions!$B14)*DX14*AG14,"")</f>
        <v>399.75783108768</v>
      </c>
      <c r="CD14" s="41">
        <f ca="1">IFERROR(SUMIFS('TRA balance'!AE$5:AE$40,'TRA balance'!$C$5:$C$40,Assumptions!$C14,'TRA balance'!$D$5:$D$40,Assumptions!$B14)*DY14*AH14,"")</f>
        <v>383.3094258378</v>
      </c>
      <c r="CE14" s="41">
        <f ca="1">IFERROR(SUMIFS('TRA balance'!AF$5:AF$40,'TRA balance'!$C$5:$C$40,Assumptions!$C14,'TRA balance'!$D$5:$D$40,Assumptions!$B14)*DZ14*AI14,"")</f>
        <v>109.345380133248</v>
      </c>
      <c r="CF14" s="41">
        <f ca="1">IFERROR(SUMIFS('TRA balance'!AG$5:AG$40,'TRA balance'!$C$5:$C$40,Assumptions!$C14,'TRA balance'!$D$5:$D$40,Assumptions!$B14)*EA14*AJ14,"")</f>
        <v>429.6729206952</v>
      </c>
      <c r="CG14" s="41">
        <f ca="1">IFERROR(SUMIFS('TRA balance'!AH$5:AH$40,'TRA balance'!$C$5:$C$40,Assumptions!$C14,'TRA balance'!$D$5:$D$40,Assumptions!$B14)*EB14*AK14,"")</f>
        <v>128.98516589568</v>
      </c>
      <c r="CH14" s="41">
        <f ca="1">IFERROR(SUMIFS('TRA balance'!AI$5:AI$40,'TRA balance'!$C$5:$C$40,Assumptions!$C14,'TRA balance'!$D$5:$D$40,Assumptions!$B14)*EC14*AL14,"")</f>
        <v>45.5260741488</v>
      </c>
      <c r="CI14" s="41">
        <f ca="1">IFERROR(SUMIFS('TRA balance'!AJ$5:AJ$40,'TRA balance'!$C$5:$C$40,Assumptions!$C14,'TRA balance'!$D$5:$D$40,Assumptions!$B14)*ED14*AM14,"")</f>
        <v>370.05768069714</v>
      </c>
      <c r="CJ14" s="41">
        <f ca="1">IFERROR(SUMIFS('TRA balance'!AK$5:AK$40,'TRA balance'!$C$5:$C$40,Assumptions!$C14,'TRA balance'!$D$5:$D$40,Assumptions!$B14)*EE14*AN14,"")</f>
        <v>405.65577289824</v>
      </c>
      <c r="CK14" s="41">
        <f ca="1">IFERROR(SUMIFS('TRA balance'!AL$5:AL$40,'TRA balance'!$C$5:$C$40,Assumptions!$C14,'TRA balance'!$D$5:$D$40,Assumptions!$B14)*EF14*AO14,"")</f>
        <v>103.622809265172</v>
      </c>
      <c r="CL14" s="41">
        <f ca="1">IFERROR(SUMIFS('TRA balance'!AM$5:AM$40,'TRA balance'!$C$5:$C$40,Assumptions!$C14,'TRA balance'!$D$5:$D$40,Assumptions!$B14)*EG14*AP14,"")</f>
        <v>75.0882399624</v>
      </c>
      <c r="CM14" s="41">
        <f ca="1">IFERROR(SUMIFS('TRA balance'!AN$5:AN$40,'TRA balance'!$C$5:$C$40,Assumptions!$C14,'TRA balance'!$D$5:$D$40,Assumptions!$B14)*EH14*AQ14,"")</f>
        <v>0</v>
      </c>
      <c r="CN14" s="41">
        <f ca="1">IFERROR(SUMIFS('TRA balance'!AO$5:AO$40,'TRA balance'!$C$5:$C$40,Assumptions!$C14,'TRA balance'!$D$5:$D$40,Assumptions!$B14)*EI14*AR14,"")</f>
        <v>0</v>
      </c>
      <c r="CO14" s="41">
        <f ca="1">IFERROR(SUMIFS('TRA balance'!AP$5:AP$40,'TRA balance'!$C$5:$C$40,Assumptions!$C14,'TRA balance'!$D$5:$D$40,Assumptions!$B14)*EJ14*AS14,"")</f>
        <v>0</v>
      </c>
      <c r="CP14" s="41">
        <f ca="1">IFERROR(SUMIFS('TRA balance'!AQ$5:AQ$40,'TRA balance'!$C$5:$C$40,Assumptions!$C14,'TRA balance'!$D$5:$D$40,Assumptions!$B14)*EK14*AT14,"")</f>
        <v>0</v>
      </c>
      <c r="CQ14" s="41">
        <f ca="1">IFERROR(SUMIFS('TRA balance'!AR$5:AR$40,'TRA balance'!$C$5:$C$40,Assumptions!$C14,'TRA balance'!$D$5:$D$40,Assumptions!$B14)*EL14*AU14,"")</f>
        <v>0</v>
      </c>
      <c r="CR14" s="41">
        <f ca="1">IFERROR(SUMIFS('TRA balance'!AS$5:AS$40,'TRA balance'!$C$5:$C$40,Assumptions!$C14,'TRA balance'!$D$5:$D$40,Assumptions!$B14)*EM14*AV14,"")</f>
        <v>0</v>
      </c>
      <c r="CS14" s="41">
        <f ca="1">IFERROR(SUMIFS('TRA balance'!AT$5:AT$40,'TRA balance'!$C$5:$C$40,Assumptions!$C14,'TRA balance'!$D$5:$D$40,Assumptions!$B14)*EN14*AW14,"")</f>
        <v>0</v>
      </c>
      <c r="CT14" s="41">
        <f ca="1">IFERROR(SUMIFS('TRA balance'!AU$5:AU$40,'TRA balance'!$C$5:$C$40,Assumptions!$C14,'TRA balance'!$D$5:$D$40,Assumptions!$B14)*EO14*AX14,"")</f>
        <v>0</v>
      </c>
      <c r="CU14" s="41">
        <f ca="1">IFERROR(SUMIFS('TRA balance'!AV$5:AV$40,'TRA balance'!$C$5:$C$40,Assumptions!$C14,'TRA balance'!$D$5:$D$40,Assumptions!$B14)*EP14*AY14,"")</f>
        <v>0</v>
      </c>
      <c r="CV14" s="41">
        <f ca="1">IFERROR(SUMIFS('TRA balance'!AW$5:AW$40,'TRA balance'!$C$5:$C$40,Assumptions!$C14,'TRA balance'!$D$5:$D$40,Assumptions!$B14)*EQ14*AZ14,"")</f>
        <v>0</v>
      </c>
      <c r="CW14" s="41">
        <f ca="1">IFERROR(SUMIFS('TRA balance'!AX$5:AX$40,'TRA balance'!$C$5:$C$40,Assumptions!$C14,'TRA balance'!$D$5:$D$40,Assumptions!$B14)*ER14*BA14,"")</f>
        <v>0</v>
      </c>
      <c r="CY14" s="40">
        <f ca="1" t="shared" si="2"/>
        <v>0.9</v>
      </c>
      <c r="CZ14" s="40">
        <f ca="1" t="shared" si="3"/>
        <v>0.9</v>
      </c>
      <c r="DA14" s="40">
        <f ca="1" t="shared" si="4"/>
        <v>0.98</v>
      </c>
      <c r="DB14" s="40">
        <f ca="1" t="shared" si="5"/>
        <v>0.8</v>
      </c>
      <c r="DC14" s="40">
        <f ca="1" t="shared" si="6"/>
        <v>0.95</v>
      </c>
      <c r="DD14" s="40">
        <f ca="1" t="shared" si="7"/>
        <v>0.8</v>
      </c>
      <c r="DE14" s="40">
        <f ca="1" t="shared" si="8"/>
        <v>0.93</v>
      </c>
      <c r="DF14" s="40">
        <f ca="1" t="shared" si="9"/>
        <v>0.9</v>
      </c>
      <c r="DG14" s="40">
        <f ca="1" t="shared" si="10"/>
        <v>0.8</v>
      </c>
      <c r="DH14" s="40">
        <f ca="1" t="shared" si="11"/>
        <v>0.8</v>
      </c>
      <c r="DI14" s="40">
        <f ca="1" t="shared" si="12"/>
        <v>0.8</v>
      </c>
      <c r="DJ14" s="40">
        <f ca="1" t="shared" si="13"/>
        <v>0.8</v>
      </c>
      <c r="DK14" s="40">
        <f ca="1" t="shared" si="14"/>
        <v>0.8</v>
      </c>
      <c r="DL14" s="40">
        <f ca="1" t="shared" si="15"/>
        <v>0.8</v>
      </c>
      <c r="DM14" s="40">
        <f ca="1" t="shared" si="16"/>
        <v>0.8</v>
      </c>
      <c r="DN14" s="40">
        <f ca="1" t="shared" si="17"/>
        <v>0.75</v>
      </c>
      <c r="DO14" s="40">
        <f ca="1" t="shared" si="18"/>
        <v>0.8</v>
      </c>
      <c r="DP14" s="40">
        <f ca="1" t="shared" si="19"/>
        <v>0.8</v>
      </c>
      <c r="DQ14" s="40">
        <f ca="1" t="shared" si="20"/>
        <v>0.95</v>
      </c>
      <c r="DR14" s="40">
        <f ca="1" t="shared" si="21"/>
        <v>0.93</v>
      </c>
      <c r="DS14" s="40">
        <f ca="1" t="shared" si="22"/>
        <v>0.9</v>
      </c>
      <c r="DT14" s="40">
        <f ca="1" t="shared" si="23"/>
        <v>0.975593578177383</v>
      </c>
      <c r="DU14" s="40">
        <f ca="1" t="shared" si="24"/>
        <v>0.8</v>
      </c>
      <c r="DV14" s="40">
        <f ca="1" t="shared" si="25"/>
        <v>0.8</v>
      </c>
      <c r="DW14" s="40">
        <f ca="1" t="shared" si="26"/>
        <v>0.92</v>
      </c>
      <c r="DX14" s="40">
        <f ca="1" t="shared" si="27"/>
        <v>0.95</v>
      </c>
      <c r="DY14" s="40">
        <f ca="1" t="shared" si="28"/>
        <v>0.9</v>
      </c>
      <c r="DZ14" s="40">
        <f ca="1" t="shared" si="29"/>
        <v>0.9</v>
      </c>
      <c r="EA14" s="40">
        <f ca="1" t="shared" si="30"/>
        <v>0.8</v>
      </c>
      <c r="EB14" s="40">
        <f ca="1" t="shared" si="31"/>
        <v>0.8</v>
      </c>
      <c r="EC14" s="40">
        <f ca="1" t="shared" si="32"/>
        <v>0.8</v>
      </c>
      <c r="ED14" s="40">
        <f ca="1" t="shared" si="33"/>
        <v>0.9</v>
      </c>
      <c r="EE14" s="40">
        <f ca="1" t="shared" si="34"/>
        <v>0.8</v>
      </c>
      <c r="EF14" s="40">
        <f ca="1" t="shared" si="35"/>
        <v>0.95</v>
      </c>
      <c r="EG14" s="40">
        <f ca="1" t="shared" si="36"/>
        <v>0.8</v>
      </c>
      <c r="EH14" s="40">
        <f ca="1" t="shared" si="37"/>
        <v>0.975593578177383</v>
      </c>
      <c r="EI14" s="40">
        <f ca="1" t="shared" si="38"/>
        <v>0.975593578177383</v>
      </c>
      <c r="EJ14" s="40">
        <f ca="1" t="shared" si="39"/>
        <v>0.975593578177383</v>
      </c>
      <c r="EK14" s="40">
        <f ca="1" t="shared" si="40"/>
        <v>0.975593578177383</v>
      </c>
      <c r="EL14" s="40">
        <f ca="1" t="shared" si="41"/>
        <v>0.975593578177383</v>
      </c>
      <c r="EM14" s="40">
        <f ca="1" t="shared" si="42"/>
        <v>0.975593578177383</v>
      </c>
      <c r="EN14" s="40">
        <f ca="1" t="shared" si="43"/>
        <v>0.975593578177383</v>
      </c>
      <c r="EO14" s="40">
        <f ca="1" t="shared" si="44"/>
        <v>0.975593578177383</v>
      </c>
      <c r="EP14" s="40">
        <f ca="1" t="shared" si="45"/>
        <v>0.975593578177383</v>
      </c>
      <c r="EQ14" s="40">
        <f ca="1" t="shared" si="46"/>
        <v>0.975593578177383</v>
      </c>
      <c r="ER14" s="40">
        <f ca="1" t="shared" si="47"/>
        <v>0.975593578177383</v>
      </c>
    </row>
    <row r="15" spans="1:152">
      <c r="A15">
        <v>2</v>
      </c>
      <c r="B15" t="str">
        <f>VLOOKUP(F15,'TRA balance'!$BA$5:$BB$14,2,FALSE)</f>
        <v>TRADST</v>
      </c>
      <c r="C15" s="56" t="str">
        <f t="shared" si="48"/>
        <v>TR</v>
      </c>
      <c r="D15" s="57" t="s">
        <v>200</v>
      </c>
      <c r="E15" s="68" t="s">
        <v>216</v>
      </c>
      <c r="F15" s="58" t="str">
        <f t="shared" si="55"/>
        <v>Diesel</v>
      </c>
      <c r="G15" s="56" t="s">
        <v>217</v>
      </c>
      <c r="H15" s="59">
        <f ca="1">OFFSET(TIAM15_assumptions!$G15,0,MATCH(VLOOKUP(Assumptions!H$2,TIAM15_assumptions!$Y$3:$Z$87,2,FALSE),TIAM15_assumptions!$H$2:$V$2,0))</f>
        <v>0.1</v>
      </c>
      <c r="I15" s="59">
        <f ca="1">OFFSET(TIAM15_assumptions!$G15,0,MATCH(VLOOKUP(Assumptions!I$2,TIAM15_assumptions!$Y$3:$Z$87,2,FALSE),TIAM15_assumptions!$H$2:$V$2,0))</f>
        <v>0.1</v>
      </c>
      <c r="J15" s="59">
        <f ca="1">OFFSET(TIAM15_assumptions!$G15,0,MATCH(VLOOKUP(Assumptions!J$2,TIAM15_assumptions!$Y$3:$Z$87,2,FALSE),TIAM15_assumptions!$H$2:$V$2,0))</f>
        <v>0.3</v>
      </c>
      <c r="K15" s="59">
        <f ca="1">OFFSET(TIAM15_assumptions!$G15,0,MATCH(VLOOKUP(Assumptions!K$2,TIAM15_assumptions!$Y$3:$Z$87,2,FALSE),TIAM15_assumptions!$H$2:$V$2,0))</f>
        <v>0.3</v>
      </c>
      <c r="L15" s="59">
        <f ca="1">OFFSET(TIAM15_assumptions!$G15,0,MATCH(VLOOKUP(Assumptions!L$2,TIAM15_assumptions!$Y$3:$Z$87,2,FALSE),TIAM15_assumptions!$H$2:$V$2,0))</f>
        <v>0.2</v>
      </c>
      <c r="M15" s="59">
        <f ca="1">OFFSET(TIAM15_assumptions!$G15,0,MATCH(VLOOKUP(Assumptions!M$2,TIAM15_assumptions!$Y$3:$Z$87,2,FALSE),TIAM15_assumptions!$H$2:$V$2,0))</f>
        <v>0.3</v>
      </c>
      <c r="N15" s="59">
        <f ca="1">OFFSET(TIAM15_assumptions!$G15,0,MATCH(VLOOKUP(Assumptions!N$2,TIAM15_assumptions!$Y$3:$Z$87,2,FALSE),TIAM15_assumptions!$H$2:$V$2,0))</f>
        <v>0.3</v>
      </c>
      <c r="O15" s="59">
        <f ca="1">OFFSET(TIAM15_assumptions!$G15,0,MATCH(VLOOKUP(Assumptions!O$2,TIAM15_assumptions!$Y$3:$Z$87,2,FALSE),TIAM15_assumptions!$H$2:$V$2,0))</f>
        <v>0.2</v>
      </c>
      <c r="P15" s="59">
        <f ca="1">OFFSET(TIAM15_assumptions!$G15,0,MATCH(VLOOKUP(Assumptions!P$2,TIAM15_assumptions!$Y$3:$Z$87,2,FALSE),TIAM15_assumptions!$H$2:$V$2,0))</f>
        <v>0.25</v>
      </c>
      <c r="Q15" s="59">
        <f ca="1">OFFSET(TIAM15_assumptions!$G15,0,MATCH(VLOOKUP(Assumptions!Q$2,TIAM15_assumptions!$Y$3:$Z$87,2,FALSE),TIAM15_assumptions!$H$2:$V$2,0))</f>
        <v>0.25</v>
      </c>
      <c r="R15" s="59">
        <f ca="1">OFFSET(TIAM15_assumptions!$G15,0,MATCH(VLOOKUP(Assumptions!R$2,TIAM15_assumptions!$Y$3:$Z$87,2,FALSE),TIAM15_assumptions!$H$2:$V$2,0))</f>
        <v>0.3</v>
      </c>
      <c r="S15" s="59">
        <f ca="1">OFFSET(TIAM15_assumptions!$G15,0,MATCH(VLOOKUP(Assumptions!S$2,TIAM15_assumptions!$Y$3:$Z$87,2,FALSE),TIAM15_assumptions!$H$2:$V$2,0))</f>
        <v>0.3</v>
      </c>
      <c r="T15" s="59">
        <f ca="1">OFFSET(TIAM15_assumptions!$G15,0,MATCH(VLOOKUP(Assumptions!T$2,TIAM15_assumptions!$Y$3:$Z$87,2,FALSE),TIAM15_assumptions!$H$2:$V$2,0))</f>
        <v>0.3</v>
      </c>
      <c r="U15" s="59">
        <f ca="1">OFFSET(TIAM15_assumptions!$G15,0,MATCH(VLOOKUP(Assumptions!U$2,TIAM15_assumptions!$Y$3:$Z$87,2,FALSE),TIAM15_assumptions!$H$2:$V$2,0))</f>
        <v>0.25</v>
      </c>
      <c r="V15" s="59">
        <f ca="1">OFFSET(TIAM15_assumptions!$G15,0,MATCH(VLOOKUP(Assumptions!V$2,TIAM15_assumptions!$Y$3:$Z$87,2,FALSE),TIAM15_assumptions!$H$2:$V$2,0))</f>
        <v>0.3</v>
      </c>
      <c r="W15" s="59">
        <f ca="1">OFFSET(TIAM15_assumptions!$G15,0,MATCH(VLOOKUP(Assumptions!W$2,TIAM15_assumptions!$Y$3:$Z$87,2,FALSE),TIAM15_assumptions!$H$2:$V$2,0))</f>
        <v>0.2</v>
      </c>
      <c r="X15" s="59">
        <f ca="1">OFFSET(TIAM15_assumptions!$G15,0,MATCH(VLOOKUP(Assumptions!X$2,TIAM15_assumptions!$Y$3:$Z$87,2,FALSE),TIAM15_assumptions!$H$2:$V$2,0))</f>
        <v>0.3</v>
      </c>
      <c r="Y15" s="59">
        <f ca="1">OFFSET(TIAM15_assumptions!$G15,0,MATCH(VLOOKUP(Assumptions!Y$2,TIAM15_assumptions!$Y$3:$Z$87,2,FALSE),TIAM15_assumptions!$H$2:$V$2,0))</f>
        <v>0.3</v>
      </c>
      <c r="Z15" s="59">
        <f ca="1">OFFSET(TIAM15_assumptions!$G15,0,MATCH(VLOOKUP(Assumptions!Z$2,TIAM15_assumptions!$Y$3:$Z$87,2,FALSE),TIAM15_assumptions!$H$2:$V$2,0))</f>
        <v>0.3</v>
      </c>
      <c r="AA15" s="59">
        <f ca="1">OFFSET(TIAM15_assumptions!$G15,0,MATCH(VLOOKUP(Assumptions!AA$2,TIAM15_assumptions!$Y$3:$Z$87,2,FALSE),TIAM15_assumptions!$H$2:$V$2,0))</f>
        <v>0.3</v>
      </c>
      <c r="AB15" s="59">
        <f ca="1">OFFSET(TIAM15_assumptions!$G15,0,MATCH(VLOOKUP(Assumptions!AB$2,TIAM15_assumptions!$Y$3:$Z$87,2,FALSE),TIAM15_assumptions!$H$2:$V$2,0))</f>
        <v>0.25</v>
      </c>
      <c r="AC15" s="59">
        <f ca="1">OFFSET(TIAM15_assumptions!$G15,0,MATCH(VLOOKUP(Assumptions!AC$2,TIAM15_assumptions!$Y$3:$Z$87,2,FALSE),TIAM15_assumptions!$H$2:$V$2,0))</f>
        <v>0.11</v>
      </c>
      <c r="AD15" s="59">
        <f ca="1">OFFSET(TIAM15_assumptions!$G15,0,MATCH(VLOOKUP(Assumptions!AD$2,TIAM15_assumptions!$Y$3:$Z$87,2,FALSE),TIAM15_assumptions!$H$2:$V$2,0))</f>
        <v>0.3</v>
      </c>
      <c r="AE15" s="59">
        <f ca="1">OFFSET(TIAM15_assumptions!$G15,0,MATCH(VLOOKUP(Assumptions!AE$2,TIAM15_assumptions!$Y$3:$Z$87,2,FALSE),TIAM15_assumptions!$H$2:$V$2,0))</f>
        <v>0.25</v>
      </c>
      <c r="AF15" s="59">
        <f ca="1">OFFSET(TIAM15_assumptions!$G15,0,MATCH(VLOOKUP(Assumptions!AF$2,TIAM15_assumptions!$Y$3:$Z$87,2,FALSE),TIAM15_assumptions!$H$2:$V$2,0))</f>
        <v>0.25</v>
      </c>
      <c r="AG15" s="59">
        <f ca="1">OFFSET(TIAM15_assumptions!$G15,0,MATCH(VLOOKUP(Assumptions!AG$2,TIAM15_assumptions!$Y$3:$Z$87,2,FALSE),TIAM15_assumptions!$H$2:$V$2,0))</f>
        <v>0.2</v>
      </c>
      <c r="AH15" s="59">
        <f ca="1">OFFSET(TIAM15_assumptions!$G15,0,MATCH(VLOOKUP(Assumptions!AH$2,TIAM15_assumptions!$Y$3:$Z$87,2,FALSE),TIAM15_assumptions!$H$2:$V$2,0))</f>
        <v>0.25</v>
      </c>
      <c r="AI15" s="59">
        <f ca="1">OFFSET(TIAM15_assumptions!$G15,0,MATCH(VLOOKUP(Assumptions!AI$2,TIAM15_assumptions!$Y$3:$Z$87,2,FALSE),TIAM15_assumptions!$H$2:$V$2,0))</f>
        <v>0.1</v>
      </c>
      <c r="AJ15" s="59">
        <f ca="1">OFFSET(TIAM15_assumptions!$G15,0,MATCH(VLOOKUP(Assumptions!AJ$2,TIAM15_assumptions!$Y$3:$Z$87,2,FALSE),TIAM15_assumptions!$H$2:$V$2,0))</f>
        <v>0.3</v>
      </c>
      <c r="AK15" s="59">
        <f ca="1">OFFSET(TIAM15_assumptions!$G15,0,MATCH(VLOOKUP(Assumptions!AK$2,TIAM15_assumptions!$Y$3:$Z$87,2,FALSE),TIAM15_assumptions!$H$2:$V$2,0))</f>
        <v>0.3</v>
      </c>
      <c r="AL15" s="59">
        <f ca="1">OFFSET(TIAM15_assumptions!$G15,0,MATCH(VLOOKUP(Assumptions!AL$2,TIAM15_assumptions!$Y$3:$Z$87,2,FALSE),TIAM15_assumptions!$H$2:$V$2,0))</f>
        <v>0.3</v>
      </c>
      <c r="AM15" s="59">
        <f ca="1">OFFSET(TIAM15_assumptions!$G15,0,MATCH(VLOOKUP(Assumptions!AM$2,TIAM15_assumptions!$Y$3:$Z$87,2,FALSE),TIAM15_assumptions!$H$2:$V$2,0))</f>
        <v>0.25</v>
      </c>
      <c r="AN15" s="59">
        <f ca="1">OFFSET(TIAM15_assumptions!$G15,0,MATCH(VLOOKUP(Assumptions!AN$2,TIAM15_assumptions!$Y$3:$Z$87,2,FALSE),TIAM15_assumptions!$H$2:$V$2,0))</f>
        <v>0.3</v>
      </c>
      <c r="AO15" s="59">
        <f ca="1">OFFSET(TIAM15_assumptions!$G15,0,MATCH(VLOOKUP(Assumptions!AO$2,TIAM15_assumptions!$Y$3:$Z$87,2,FALSE),TIAM15_assumptions!$H$2:$V$2,0))</f>
        <v>0.2</v>
      </c>
      <c r="AP15" s="59">
        <f ca="1">OFFSET(TIAM15_assumptions!$G15,0,MATCH(VLOOKUP(Assumptions!AP$2,TIAM15_assumptions!$Y$3:$Z$87,2,FALSE),TIAM15_assumptions!$H$2:$V$2,0))</f>
        <v>0.25</v>
      </c>
      <c r="AQ15" s="59">
        <f ca="1">OFFSET(TIAM15_assumptions!$G15,0,MATCH(VLOOKUP(Assumptions!AQ$2,TIAM15_assumptions!$Y$3:$Z$87,2,FALSE),TIAM15_assumptions!$H$2:$V$2,0))</f>
        <v>0.11</v>
      </c>
      <c r="AR15" s="59">
        <f ca="1">OFFSET(TIAM15_assumptions!$G15,0,MATCH(VLOOKUP(Assumptions!AR$2,TIAM15_assumptions!$Y$3:$Z$87,2,FALSE),TIAM15_assumptions!$H$2:$V$2,0))</f>
        <v>0.11</v>
      </c>
      <c r="AS15" s="59">
        <f ca="1">OFFSET(TIAM15_assumptions!$G15,0,MATCH(VLOOKUP(Assumptions!AS$2,TIAM15_assumptions!$Y$3:$Z$87,2,FALSE),TIAM15_assumptions!$H$2:$V$2,0))</f>
        <v>0.11</v>
      </c>
      <c r="AT15" s="59">
        <f ca="1">OFFSET(TIAM15_assumptions!$G15,0,MATCH(VLOOKUP(Assumptions!AT$2,TIAM15_assumptions!$Y$3:$Z$87,2,FALSE),TIAM15_assumptions!$H$2:$V$2,0))</f>
        <v>0.11</v>
      </c>
      <c r="AU15" s="59">
        <f ca="1">OFFSET(TIAM15_assumptions!$G15,0,MATCH(VLOOKUP(Assumptions!AU$2,TIAM15_assumptions!$Y$3:$Z$87,2,FALSE),TIAM15_assumptions!$H$2:$V$2,0))</f>
        <v>0.11</v>
      </c>
      <c r="AV15" s="59">
        <f ca="1">OFFSET(TIAM15_assumptions!$G15,0,MATCH(VLOOKUP(Assumptions!AV$2,TIAM15_assumptions!$Y$3:$Z$87,2,FALSE),TIAM15_assumptions!$H$2:$V$2,0))</f>
        <v>0.11</v>
      </c>
      <c r="AW15" s="59">
        <f ca="1">OFFSET(TIAM15_assumptions!$G15,0,MATCH(VLOOKUP(Assumptions!AW$2,TIAM15_assumptions!$Y$3:$Z$87,2,FALSE),TIAM15_assumptions!$H$2:$V$2,0))</f>
        <v>0.11</v>
      </c>
      <c r="AX15" s="59">
        <f ca="1">OFFSET(TIAM15_assumptions!$G15,0,MATCH(VLOOKUP(Assumptions!AX$2,TIAM15_assumptions!$Y$3:$Z$87,2,FALSE),TIAM15_assumptions!$H$2:$V$2,0))</f>
        <v>0.11</v>
      </c>
      <c r="AY15" s="59">
        <f ca="1">OFFSET(TIAM15_assumptions!$G15,0,MATCH(VLOOKUP(Assumptions!AY$2,TIAM15_assumptions!$Y$3:$Z$87,2,FALSE),TIAM15_assumptions!$H$2:$V$2,0))</f>
        <v>0.11</v>
      </c>
      <c r="AZ15" s="59">
        <f ca="1">OFFSET(TIAM15_assumptions!$G15,0,MATCH(VLOOKUP(Assumptions!AZ$2,TIAM15_assumptions!$Y$3:$Z$87,2,FALSE),TIAM15_assumptions!$H$2:$V$2,0))</f>
        <v>0.11</v>
      </c>
      <c r="BA15" s="59">
        <f ca="1">OFFSET(TIAM15_assumptions!$G15,0,MATCH(VLOOKUP(Assumptions!BA$2,TIAM15_assumptions!$Y$3:$Z$87,2,FALSE),TIAM15_assumptions!$H$2:$V$2,0))</f>
        <v>0.11</v>
      </c>
      <c r="BD15" s="41">
        <f ca="1">IFERROR(SUMIFS('TRA balance'!E$5:E$40,'TRA balance'!$C$5:$C$40,Assumptions!$C15,'TRA balance'!$D$5:$D$40,Assumptions!$B15)*CY15*H15,"")</f>
        <v>100.08184937454</v>
      </c>
      <c r="BE15" s="41">
        <f ca="1">IFERROR(SUMIFS('TRA balance'!F$5:F$40,'TRA balance'!$C$5:$C$40,Assumptions!$C15,'TRA balance'!$D$5:$D$40,Assumptions!$B15)*CZ15*I15,"")</f>
        <v>88.940485810944</v>
      </c>
      <c r="BF15" s="41">
        <f ca="1">IFERROR(SUMIFS('TRA balance'!G$5:G$40,'TRA balance'!$C$5:$C$40,Assumptions!$C15,'TRA balance'!$D$5:$D$40,Assumptions!$B15)*DA15*J15,"")</f>
        <v>169.237545851758</v>
      </c>
      <c r="BG15" s="41">
        <f ca="1">IFERROR(SUMIFS('TRA balance'!H$5:H$40,'TRA balance'!$C$5:$C$40,Assumptions!$C15,'TRA balance'!$D$5:$D$40,Assumptions!$B15)*DB15*K15,"")</f>
        <v>62.076130464672</v>
      </c>
      <c r="BH15" s="41">
        <f ca="1">IFERROR(SUMIFS('TRA balance'!I$5:I$40,'TRA balance'!$C$5:$C$40,Assumptions!$C15,'TRA balance'!$D$5:$D$40,Assumptions!$B15)*DC15*L15,"")</f>
        <v>23.04131043366</v>
      </c>
      <c r="BI15" s="41">
        <f ca="1">IFERROR(SUMIFS('TRA balance'!J$5:J$40,'TRA balance'!$C$5:$C$40,Assumptions!$C15,'TRA balance'!$D$5:$D$40,Assumptions!$B15)*DD15*M15,"")</f>
        <v>131.575723609824</v>
      </c>
      <c r="BJ15" s="41">
        <f ca="1">IFERROR(SUMIFS('TRA balance'!K$5:K$40,'TRA balance'!$C$5:$C$40,Assumptions!$C15,'TRA balance'!$D$5:$D$40,Assumptions!$B15)*DE15*N15,"")</f>
        <v>400.641664282978</v>
      </c>
      <c r="BK15" s="41">
        <f ca="1">IFERROR(SUMIFS('TRA balance'!L$5:L$40,'TRA balance'!$C$5:$C$40,Assumptions!$C15,'TRA balance'!$D$5:$D$40,Assumptions!$B15)*DF15*O15,"")</f>
        <v>698.646890301192</v>
      </c>
      <c r="BL15" s="41">
        <f ca="1">IFERROR(SUMIFS('TRA balance'!M$5:M$40,'TRA balance'!$C$5:$C$40,Assumptions!$C15,'TRA balance'!$D$5:$D$40,Assumptions!$B15)*DG15*P15,"")</f>
        <v>24.0988063068</v>
      </c>
      <c r="BM15" s="41">
        <f ca="1">IFERROR(SUMIFS('TRA balance'!N$5:N$40,'TRA balance'!$C$5:$C$40,Assumptions!$C15,'TRA balance'!$D$5:$D$40,Assumptions!$B15)*DH15*Q15,"")</f>
        <v>51.63971989536</v>
      </c>
      <c r="BN15" s="41">
        <f ca="1">IFERROR(SUMIFS('TRA balance'!O$5:O$40,'TRA balance'!$C$5:$C$40,Assumptions!$C15,'TRA balance'!$D$5:$D$40,Assumptions!$B15)*DI15*R15,"")</f>
        <v>308.736029721312</v>
      </c>
      <c r="BO15" s="41">
        <f ca="1">IFERROR(SUMIFS('TRA balance'!P$5:P$40,'TRA balance'!$C$5:$C$40,Assumptions!$C15,'TRA balance'!$D$5:$D$40,Assumptions!$B15)*DJ15*S15,"")</f>
        <v>333.4250875752</v>
      </c>
      <c r="BP15" s="41">
        <f ca="1">IFERROR(SUMIFS('TRA balance'!Q$5:Q$40,'TRA balance'!$C$5:$C$40,Assumptions!$C15,'TRA balance'!$D$5:$D$40,Assumptions!$B15)*DK15*T15,"")</f>
        <v>26.963461926432</v>
      </c>
      <c r="BQ15" s="41">
        <f ca="1">IFERROR(SUMIFS('TRA balance'!R$5:R$40,'TRA balance'!$C$5:$C$40,Assumptions!$C15,'TRA balance'!$D$5:$D$40,Assumptions!$B15)*DL15*U15,"")</f>
        <v>80.56869501096</v>
      </c>
      <c r="BR15" s="41">
        <f ca="1">IFERROR(SUMIFS('TRA balance'!S$5:S$40,'TRA balance'!$C$5:$C$40,Assumptions!$C15,'TRA balance'!$D$5:$D$40,Assumptions!$B15)*DM15*V15,"")</f>
        <v>1.849102899552</v>
      </c>
      <c r="BS15" s="41">
        <f ca="1">IFERROR(SUMIFS('TRA balance'!T$5:T$40,'TRA balance'!$C$5:$C$40,Assumptions!$C15,'TRA balance'!$D$5:$D$40,Assumptions!$B15)*DN15*W15,"")</f>
        <v>365.04883810494</v>
      </c>
      <c r="BT15" s="41">
        <f ca="1">IFERROR(SUMIFS('TRA balance'!U$5:U$40,'TRA balance'!$C$5:$C$40,Assumptions!$C15,'TRA balance'!$D$5:$D$40,Assumptions!$B15)*DO15*X15,"")</f>
        <v>29.60271245952</v>
      </c>
      <c r="BU15" s="41">
        <f ca="1">IFERROR(SUMIFS('TRA balance'!V$5:V$40,'TRA balance'!$C$5:$C$40,Assumptions!$C15,'TRA balance'!$D$5:$D$40,Assumptions!$B15)*DP15*Y15,"")</f>
        <v>216.010795950432</v>
      </c>
      <c r="BV15" s="41">
        <f ca="1">IFERROR(SUMIFS('TRA balance'!W$5:W$40,'TRA balance'!$C$5:$C$40,Assumptions!$C15,'TRA balance'!$D$5:$D$40,Assumptions!$B15)*DQ15*Z15,"")</f>
        <v>260.282230395426</v>
      </c>
      <c r="BW15" s="41">
        <f ca="1">IFERROR(SUMIFS('TRA balance'!X$5:X$40,'TRA balance'!$C$5:$C$40,Assumptions!$C15,'TRA balance'!$D$5:$D$40,Assumptions!$B15)*DR15*AA15,"")</f>
        <v>411.34865457299</v>
      </c>
      <c r="BX15" s="41">
        <f ca="1">IFERROR(SUMIFS('TRA balance'!Y$5:Y$40,'TRA balance'!$C$5:$C$40,Assumptions!$C15,'TRA balance'!$D$5:$D$40,Assumptions!$B15)*DS15*AB15,"")</f>
        <v>336.99733378938</v>
      </c>
      <c r="BY15" s="41">
        <f ca="1">IFERROR(SUMIFS('TRA balance'!Z$5:Z$40,'TRA balance'!$C$5:$C$40,Assumptions!$C15,'TRA balance'!$D$5:$D$40,Assumptions!$B15)*DT15*AC15,"")</f>
        <v>676.102030625531</v>
      </c>
      <c r="BZ15" s="41">
        <f ca="1">IFERROR(SUMIFS('TRA balance'!AA$5:AA$40,'TRA balance'!$C$5:$C$40,Assumptions!$C15,'TRA balance'!$D$5:$D$40,Assumptions!$B15)*DU15*AD15,"")</f>
        <v>21.26403874512</v>
      </c>
      <c r="CA15" s="41">
        <f ca="1">IFERROR(SUMIFS('TRA balance'!AB$5:AB$40,'TRA balance'!$C$5:$C$40,Assumptions!$C15,'TRA balance'!$D$5:$D$40,Assumptions!$B15)*DV15*AE15,"")</f>
        <v>118.55964284856</v>
      </c>
      <c r="CB15" s="41">
        <f ca="1">IFERROR(SUMIFS('TRA balance'!AC$5:AC$40,'TRA balance'!$C$5:$C$40,Assumptions!$C15,'TRA balance'!$D$5:$D$40,Assumptions!$B15)*DW15*AF15,"")</f>
        <v>923.535416871828</v>
      </c>
      <c r="CC15" s="41">
        <f ca="1">IFERROR(SUMIFS('TRA balance'!AD$5:AD$40,'TRA balance'!$C$5:$C$40,Assumptions!$C15,'TRA balance'!$D$5:$D$40,Assumptions!$B15)*DX15*AG15,"")</f>
        <v>133.25261036256</v>
      </c>
      <c r="CD15" s="41">
        <f ca="1">IFERROR(SUMIFS('TRA balance'!AE$5:AE$40,'TRA balance'!$C$5:$C$40,Assumptions!$C15,'TRA balance'!$D$5:$D$40,Assumptions!$B15)*DY15*AH15,"")</f>
        <v>191.6547129189</v>
      </c>
      <c r="CE15" s="41">
        <f ca="1">IFERROR(SUMIFS('TRA balance'!AF$5:AF$40,'TRA balance'!$C$5:$C$40,Assumptions!$C15,'TRA balance'!$D$5:$D$40,Assumptions!$B15)*DZ15*AI15,"")</f>
        <v>31.241537180928</v>
      </c>
      <c r="CF15" s="41">
        <f ca="1">IFERROR(SUMIFS('TRA balance'!AG$5:AG$40,'TRA balance'!$C$5:$C$40,Assumptions!$C15,'TRA balance'!$D$5:$D$40,Assumptions!$B15)*EA15*AJ15,"")</f>
        <v>257.80375241712</v>
      </c>
      <c r="CG15" s="41">
        <f ca="1">IFERROR(SUMIFS('TRA balance'!AH$5:AH$40,'TRA balance'!$C$5:$C$40,Assumptions!$C15,'TRA balance'!$D$5:$D$40,Assumptions!$B15)*EB15*AK15,"")</f>
        <v>77.391099537408</v>
      </c>
      <c r="CH15" s="41">
        <f ca="1">IFERROR(SUMIFS('TRA balance'!AI$5:AI$40,'TRA balance'!$C$5:$C$40,Assumptions!$C15,'TRA balance'!$D$5:$D$40,Assumptions!$B15)*EC15*AL15,"")</f>
        <v>27.31564448928</v>
      </c>
      <c r="CI15" s="41">
        <f ca="1">IFERROR(SUMIFS('TRA balance'!AJ$5:AJ$40,'TRA balance'!$C$5:$C$40,Assumptions!$C15,'TRA balance'!$D$5:$D$40,Assumptions!$B15)*ED15*AM15,"")</f>
        <v>185.02884034857</v>
      </c>
      <c r="CJ15" s="41">
        <f ca="1">IFERROR(SUMIFS('TRA balance'!AK$5:AK$40,'TRA balance'!$C$5:$C$40,Assumptions!$C15,'TRA balance'!$D$5:$D$40,Assumptions!$B15)*EE15*AN15,"")</f>
        <v>243.393463738944</v>
      </c>
      <c r="CK15" s="41">
        <f ca="1">IFERROR(SUMIFS('TRA balance'!AL$5:AL$40,'TRA balance'!$C$5:$C$40,Assumptions!$C15,'TRA balance'!$D$5:$D$40,Assumptions!$B15)*EF15*AO15,"")</f>
        <v>34.540936421724</v>
      </c>
      <c r="CL15" s="41">
        <f ca="1">IFERROR(SUMIFS('TRA balance'!AM$5:AM$40,'TRA balance'!$C$5:$C$40,Assumptions!$C15,'TRA balance'!$D$5:$D$40,Assumptions!$B15)*EG15*AP15,"")</f>
        <v>37.5441199812</v>
      </c>
      <c r="CM15" s="41">
        <f ca="1">IFERROR(SUMIFS('TRA balance'!AN$5:AN$40,'TRA balance'!$C$5:$C$40,Assumptions!$C15,'TRA balance'!$D$5:$D$40,Assumptions!$B15)*EH15*AQ15,"")</f>
        <v>0</v>
      </c>
      <c r="CN15" s="41">
        <f ca="1">IFERROR(SUMIFS('TRA balance'!AO$5:AO$40,'TRA balance'!$C$5:$C$40,Assumptions!$C15,'TRA balance'!$D$5:$D$40,Assumptions!$B15)*EI15*AR15,"")</f>
        <v>0</v>
      </c>
      <c r="CO15" s="41">
        <f ca="1">IFERROR(SUMIFS('TRA balance'!AP$5:AP$40,'TRA balance'!$C$5:$C$40,Assumptions!$C15,'TRA balance'!$D$5:$D$40,Assumptions!$B15)*EJ15*AS15,"")</f>
        <v>0</v>
      </c>
      <c r="CP15" s="41">
        <f ca="1">IFERROR(SUMIFS('TRA balance'!AQ$5:AQ$40,'TRA balance'!$C$5:$C$40,Assumptions!$C15,'TRA balance'!$D$5:$D$40,Assumptions!$B15)*EK15*AT15,"")</f>
        <v>0</v>
      </c>
      <c r="CQ15" s="41">
        <f ca="1">IFERROR(SUMIFS('TRA balance'!AR$5:AR$40,'TRA balance'!$C$5:$C$40,Assumptions!$C15,'TRA balance'!$D$5:$D$40,Assumptions!$B15)*EL15*AU15,"")</f>
        <v>0</v>
      </c>
      <c r="CR15" s="41">
        <f ca="1">IFERROR(SUMIFS('TRA balance'!AS$5:AS$40,'TRA balance'!$C$5:$C$40,Assumptions!$C15,'TRA balance'!$D$5:$D$40,Assumptions!$B15)*EM15*AV15,"")</f>
        <v>0</v>
      </c>
      <c r="CS15" s="41">
        <f ca="1">IFERROR(SUMIFS('TRA balance'!AT$5:AT$40,'TRA balance'!$C$5:$C$40,Assumptions!$C15,'TRA balance'!$D$5:$D$40,Assumptions!$B15)*EN15*AW15,"")</f>
        <v>0</v>
      </c>
      <c r="CT15" s="41">
        <f ca="1">IFERROR(SUMIFS('TRA balance'!AU$5:AU$40,'TRA balance'!$C$5:$C$40,Assumptions!$C15,'TRA balance'!$D$5:$D$40,Assumptions!$B15)*EO15*AX15,"")</f>
        <v>0</v>
      </c>
      <c r="CU15" s="41">
        <f ca="1">IFERROR(SUMIFS('TRA balance'!AV$5:AV$40,'TRA balance'!$C$5:$C$40,Assumptions!$C15,'TRA balance'!$D$5:$D$40,Assumptions!$B15)*EP15*AY15,"")</f>
        <v>0</v>
      </c>
      <c r="CV15" s="41">
        <f ca="1">IFERROR(SUMIFS('TRA balance'!AW$5:AW$40,'TRA balance'!$C$5:$C$40,Assumptions!$C15,'TRA balance'!$D$5:$D$40,Assumptions!$B15)*EQ15*AZ15,"")</f>
        <v>0</v>
      </c>
      <c r="CW15" s="41">
        <f ca="1">IFERROR(SUMIFS('TRA balance'!AX$5:AX$40,'TRA balance'!$C$5:$C$40,Assumptions!$C15,'TRA balance'!$D$5:$D$40,Assumptions!$B15)*ER15*BA15,"")</f>
        <v>0</v>
      </c>
      <c r="CY15" s="40">
        <f ca="1" t="shared" si="2"/>
        <v>0.9</v>
      </c>
      <c r="CZ15" s="40">
        <f ca="1" t="shared" si="3"/>
        <v>0.9</v>
      </c>
      <c r="DA15" s="40">
        <f ca="1" t="shared" si="4"/>
        <v>0.98</v>
      </c>
      <c r="DB15" s="40">
        <f ca="1" t="shared" si="5"/>
        <v>0.8</v>
      </c>
      <c r="DC15" s="40">
        <f ca="1" t="shared" si="6"/>
        <v>0.95</v>
      </c>
      <c r="DD15" s="40">
        <f ca="1" t="shared" si="7"/>
        <v>0.8</v>
      </c>
      <c r="DE15" s="40">
        <f ca="1" t="shared" si="8"/>
        <v>0.93</v>
      </c>
      <c r="DF15" s="40">
        <f ca="1" t="shared" si="9"/>
        <v>0.9</v>
      </c>
      <c r="DG15" s="40">
        <f ca="1" t="shared" si="10"/>
        <v>0.8</v>
      </c>
      <c r="DH15" s="40">
        <f ca="1" t="shared" si="11"/>
        <v>0.8</v>
      </c>
      <c r="DI15" s="40">
        <f ca="1" t="shared" si="12"/>
        <v>0.8</v>
      </c>
      <c r="DJ15" s="40">
        <f ca="1" t="shared" si="13"/>
        <v>0.8</v>
      </c>
      <c r="DK15" s="40">
        <f ca="1" t="shared" si="14"/>
        <v>0.8</v>
      </c>
      <c r="DL15" s="40">
        <f ca="1" t="shared" si="15"/>
        <v>0.8</v>
      </c>
      <c r="DM15" s="40">
        <f ca="1" t="shared" si="16"/>
        <v>0.8</v>
      </c>
      <c r="DN15" s="40">
        <f ca="1" t="shared" si="17"/>
        <v>0.75</v>
      </c>
      <c r="DO15" s="40">
        <f ca="1" t="shared" si="18"/>
        <v>0.8</v>
      </c>
      <c r="DP15" s="40">
        <f ca="1" t="shared" si="19"/>
        <v>0.8</v>
      </c>
      <c r="DQ15" s="40">
        <f ca="1" t="shared" si="20"/>
        <v>0.95</v>
      </c>
      <c r="DR15" s="40">
        <f ca="1" t="shared" si="21"/>
        <v>0.93</v>
      </c>
      <c r="DS15" s="40">
        <f ca="1" t="shared" si="22"/>
        <v>0.9</v>
      </c>
      <c r="DT15" s="40">
        <f ca="1" t="shared" si="23"/>
        <v>0.975593578177383</v>
      </c>
      <c r="DU15" s="40">
        <f ca="1" t="shared" si="24"/>
        <v>0.8</v>
      </c>
      <c r="DV15" s="40">
        <f ca="1" t="shared" si="25"/>
        <v>0.8</v>
      </c>
      <c r="DW15" s="40">
        <f ca="1" t="shared" si="26"/>
        <v>0.92</v>
      </c>
      <c r="DX15" s="40">
        <f ca="1" t="shared" si="27"/>
        <v>0.95</v>
      </c>
      <c r="DY15" s="40">
        <f ca="1" t="shared" si="28"/>
        <v>0.9</v>
      </c>
      <c r="DZ15" s="40">
        <f ca="1" t="shared" si="29"/>
        <v>0.9</v>
      </c>
      <c r="EA15" s="40">
        <f ca="1" t="shared" si="30"/>
        <v>0.8</v>
      </c>
      <c r="EB15" s="40">
        <f ca="1" t="shared" si="31"/>
        <v>0.8</v>
      </c>
      <c r="EC15" s="40">
        <f ca="1" t="shared" si="32"/>
        <v>0.8</v>
      </c>
      <c r="ED15" s="40">
        <f ca="1" t="shared" si="33"/>
        <v>0.9</v>
      </c>
      <c r="EE15" s="40">
        <f ca="1" t="shared" si="34"/>
        <v>0.8</v>
      </c>
      <c r="EF15" s="40">
        <f ca="1" t="shared" si="35"/>
        <v>0.95</v>
      </c>
      <c r="EG15" s="40">
        <f ca="1" t="shared" si="36"/>
        <v>0.8</v>
      </c>
      <c r="EH15" s="40">
        <f ca="1" t="shared" si="37"/>
        <v>0.975593578177383</v>
      </c>
      <c r="EI15" s="40">
        <f ca="1" t="shared" si="38"/>
        <v>0.975593578177383</v>
      </c>
      <c r="EJ15" s="40">
        <f ca="1" t="shared" si="39"/>
        <v>0.975593578177383</v>
      </c>
      <c r="EK15" s="40">
        <f ca="1" t="shared" si="40"/>
        <v>0.975593578177383</v>
      </c>
      <c r="EL15" s="40">
        <f ca="1" t="shared" si="41"/>
        <v>0.975593578177383</v>
      </c>
      <c r="EM15" s="40">
        <f ca="1" t="shared" si="42"/>
        <v>0.975593578177383</v>
      </c>
      <c r="EN15" s="40">
        <f ca="1" t="shared" si="43"/>
        <v>0.975593578177383</v>
      </c>
      <c r="EO15" s="40">
        <f ca="1" t="shared" si="44"/>
        <v>0.975593578177383</v>
      </c>
      <c r="EP15" s="40">
        <f ca="1" t="shared" si="45"/>
        <v>0.975593578177383</v>
      </c>
      <c r="EQ15" s="40">
        <f ca="1" t="shared" si="46"/>
        <v>0.975593578177383</v>
      </c>
      <c r="ER15" s="40">
        <f ca="1" t="shared" si="47"/>
        <v>0.975593578177383</v>
      </c>
    </row>
    <row r="16" spans="1:152">
      <c r="A16">
        <v>2</v>
      </c>
      <c r="B16" t="str">
        <f>VLOOKUP(F16,'TRA balance'!$BA$5:$BB$14,2,FALSE)</f>
        <v>TRADST</v>
      </c>
      <c r="C16" s="56" t="str">
        <f t="shared" si="48"/>
        <v>TR</v>
      </c>
      <c r="D16" s="57" t="s">
        <v>200</v>
      </c>
      <c r="E16" s="68" t="s">
        <v>218</v>
      </c>
      <c r="F16" s="58" t="str">
        <f t="shared" si="55"/>
        <v>Diesel</v>
      </c>
      <c r="G16" s="56" t="s">
        <v>219</v>
      </c>
      <c r="H16" s="59">
        <f ca="1">OFFSET(TIAM15_assumptions!$G16,0,MATCH(VLOOKUP(Assumptions!H$2,TIAM15_assumptions!$Y$3:$Z$87,2,FALSE),TIAM15_assumptions!$H$2:$V$2,0))</f>
        <v>0.2</v>
      </c>
      <c r="I16" s="59">
        <f ca="1">OFFSET(TIAM15_assumptions!$G16,0,MATCH(VLOOKUP(Assumptions!I$2,TIAM15_assumptions!$Y$3:$Z$87,2,FALSE),TIAM15_assumptions!$H$2:$V$2,0))</f>
        <v>0.2</v>
      </c>
      <c r="J16" s="59">
        <f ca="1">OFFSET(TIAM15_assumptions!$G16,0,MATCH(VLOOKUP(Assumptions!J$2,TIAM15_assumptions!$Y$3:$Z$87,2,FALSE),TIAM15_assumptions!$H$2:$V$2,0))</f>
        <v>0.2</v>
      </c>
      <c r="K16" s="59">
        <f ca="1">OFFSET(TIAM15_assumptions!$G16,0,MATCH(VLOOKUP(Assumptions!K$2,TIAM15_assumptions!$Y$3:$Z$87,2,FALSE),TIAM15_assumptions!$H$2:$V$2,0))</f>
        <v>0.15</v>
      </c>
      <c r="L16" s="59">
        <f ca="1">OFFSET(TIAM15_assumptions!$G16,0,MATCH(VLOOKUP(Assumptions!L$2,TIAM15_assumptions!$Y$3:$Z$87,2,FALSE),TIAM15_assumptions!$H$2:$V$2,0))</f>
        <v>0.1</v>
      </c>
      <c r="M16" s="59">
        <f ca="1">OFFSET(TIAM15_assumptions!$G16,0,MATCH(VLOOKUP(Assumptions!M$2,TIAM15_assumptions!$Y$3:$Z$87,2,FALSE),TIAM15_assumptions!$H$2:$V$2,0))</f>
        <v>0.15</v>
      </c>
      <c r="N16" s="59">
        <f ca="1">OFFSET(TIAM15_assumptions!$G16,0,MATCH(VLOOKUP(Assumptions!N$2,TIAM15_assumptions!$Y$3:$Z$87,2,FALSE),TIAM15_assumptions!$H$2:$V$2,0))</f>
        <v>0.1</v>
      </c>
      <c r="O16" s="59">
        <f ca="1">OFFSET(TIAM15_assumptions!$G16,0,MATCH(VLOOKUP(Assumptions!O$2,TIAM15_assumptions!$Y$3:$Z$87,2,FALSE),TIAM15_assumptions!$H$2:$V$2,0))</f>
        <v>0.1</v>
      </c>
      <c r="P16" s="59">
        <f ca="1">OFFSET(TIAM15_assumptions!$G16,0,MATCH(VLOOKUP(Assumptions!P$2,TIAM15_assumptions!$Y$3:$Z$87,2,FALSE),TIAM15_assumptions!$H$2:$V$2,0))</f>
        <v>0.15</v>
      </c>
      <c r="Q16" s="59">
        <f ca="1">OFFSET(TIAM15_assumptions!$G16,0,MATCH(VLOOKUP(Assumptions!Q$2,TIAM15_assumptions!$Y$3:$Z$87,2,FALSE),TIAM15_assumptions!$H$2:$V$2,0))</f>
        <v>0.15</v>
      </c>
      <c r="R16" s="59">
        <f ca="1">OFFSET(TIAM15_assumptions!$G16,0,MATCH(VLOOKUP(Assumptions!R$2,TIAM15_assumptions!$Y$3:$Z$87,2,FALSE),TIAM15_assumptions!$H$2:$V$2,0))</f>
        <v>0.15</v>
      </c>
      <c r="S16" s="59">
        <f ca="1">OFFSET(TIAM15_assumptions!$G16,0,MATCH(VLOOKUP(Assumptions!S$2,TIAM15_assumptions!$Y$3:$Z$87,2,FALSE),TIAM15_assumptions!$H$2:$V$2,0))</f>
        <v>0.15</v>
      </c>
      <c r="T16" s="59">
        <f ca="1">OFFSET(TIAM15_assumptions!$G16,0,MATCH(VLOOKUP(Assumptions!T$2,TIAM15_assumptions!$Y$3:$Z$87,2,FALSE),TIAM15_assumptions!$H$2:$V$2,0))</f>
        <v>0.15</v>
      </c>
      <c r="U16" s="59">
        <f ca="1">OFFSET(TIAM15_assumptions!$G16,0,MATCH(VLOOKUP(Assumptions!U$2,TIAM15_assumptions!$Y$3:$Z$87,2,FALSE),TIAM15_assumptions!$H$2:$V$2,0))</f>
        <v>0.15</v>
      </c>
      <c r="V16" s="59">
        <f ca="1">OFFSET(TIAM15_assumptions!$G16,0,MATCH(VLOOKUP(Assumptions!V$2,TIAM15_assumptions!$Y$3:$Z$87,2,FALSE),TIAM15_assumptions!$H$2:$V$2,0))</f>
        <v>0.15</v>
      </c>
      <c r="W16" s="59">
        <f ca="1">OFFSET(TIAM15_assumptions!$G16,0,MATCH(VLOOKUP(Assumptions!W$2,TIAM15_assumptions!$Y$3:$Z$87,2,FALSE),TIAM15_assumptions!$H$2:$V$2,0))</f>
        <v>0.25</v>
      </c>
      <c r="X16" s="59">
        <f ca="1">OFFSET(TIAM15_assumptions!$G16,0,MATCH(VLOOKUP(Assumptions!X$2,TIAM15_assumptions!$Y$3:$Z$87,2,FALSE),TIAM15_assumptions!$H$2:$V$2,0))</f>
        <v>0.15</v>
      </c>
      <c r="Y16" s="59">
        <f ca="1">OFFSET(TIAM15_assumptions!$G16,0,MATCH(VLOOKUP(Assumptions!Y$2,TIAM15_assumptions!$Y$3:$Z$87,2,FALSE),TIAM15_assumptions!$H$2:$V$2,0))</f>
        <v>0.15</v>
      </c>
      <c r="Z16" s="59">
        <f ca="1">OFFSET(TIAM15_assumptions!$G16,0,MATCH(VLOOKUP(Assumptions!Z$2,TIAM15_assumptions!$Y$3:$Z$87,2,FALSE),TIAM15_assumptions!$H$2:$V$2,0))</f>
        <v>0.15</v>
      </c>
      <c r="AA16" s="59">
        <f ca="1">OFFSET(TIAM15_assumptions!$G16,0,MATCH(VLOOKUP(Assumptions!AA$2,TIAM15_assumptions!$Y$3:$Z$87,2,FALSE),TIAM15_assumptions!$H$2:$V$2,0))</f>
        <v>0.1</v>
      </c>
      <c r="AB16" s="59">
        <f ca="1">OFFSET(TIAM15_assumptions!$G16,0,MATCH(VLOOKUP(Assumptions!AB$2,TIAM15_assumptions!$Y$3:$Z$87,2,FALSE),TIAM15_assumptions!$H$2:$V$2,0))</f>
        <v>0.15</v>
      </c>
      <c r="AC16" s="59">
        <f ca="1">OFFSET(TIAM15_assumptions!$G16,0,MATCH(VLOOKUP(Assumptions!AC$2,TIAM15_assumptions!$Y$3:$Z$87,2,FALSE),TIAM15_assumptions!$H$2:$V$2,0))</f>
        <v>0.05</v>
      </c>
      <c r="AD16" s="59">
        <f ca="1">OFFSET(TIAM15_assumptions!$G16,0,MATCH(VLOOKUP(Assumptions!AD$2,TIAM15_assumptions!$Y$3:$Z$87,2,FALSE),TIAM15_assumptions!$H$2:$V$2,0))</f>
        <v>0.15</v>
      </c>
      <c r="AE16" s="59">
        <f ca="1">OFFSET(TIAM15_assumptions!$G16,0,MATCH(VLOOKUP(Assumptions!AE$2,TIAM15_assumptions!$Y$3:$Z$87,2,FALSE),TIAM15_assumptions!$H$2:$V$2,0))</f>
        <v>0.15</v>
      </c>
      <c r="AF16" s="59">
        <f ca="1">OFFSET(TIAM15_assumptions!$G16,0,MATCH(VLOOKUP(Assumptions!AF$2,TIAM15_assumptions!$Y$3:$Z$87,2,FALSE),TIAM15_assumptions!$H$2:$V$2,0))</f>
        <v>0.1</v>
      </c>
      <c r="AG16" s="59">
        <f ca="1">OFFSET(TIAM15_assumptions!$G16,0,MATCH(VLOOKUP(Assumptions!AG$2,TIAM15_assumptions!$Y$3:$Z$87,2,FALSE),TIAM15_assumptions!$H$2:$V$2,0))</f>
        <v>0.1</v>
      </c>
      <c r="AH16" s="59">
        <f ca="1">OFFSET(TIAM15_assumptions!$G16,0,MATCH(VLOOKUP(Assumptions!AH$2,TIAM15_assumptions!$Y$3:$Z$87,2,FALSE),TIAM15_assumptions!$H$2:$V$2,0))</f>
        <v>0.15</v>
      </c>
      <c r="AI16" s="59">
        <f ca="1">OFFSET(TIAM15_assumptions!$G16,0,MATCH(VLOOKUP(Assumptions!AI$2,TIAM15_assumptions!$Y$3:$Z$87,2,FALSE),TIAM15_assumptions!$H$2:$V$2,0))</f>
        <v>0.2</v>
      </c>
      <c r="AJ16" s="59">
        <f ca="1">OFFSET(TIAM15_assumptions!$G16,0,MATCH(VLOOKUP(Assumptions!AJ$2,TIAM15_assumptions!$Y$3:$Z$87,2,FALSE),TIAM15_assumptions!$H$2:$V$2,0))</f>
        <v>0.15</v>
      </c>
      <c r="AK16" s="59">
        <f ca="1">OFFSET(TIAM15_assumptions!$G16,0,MATCH(VLOOKUP(Assumptions!AK$2,TIAM15_assumptions!$Y$3:$Z$87,2,FALSE),TIAM15_assumptions!$H$2:$V$2,0))</f>
        <v>0.15</v>
      </c>
      <c r="AL16" s="59">
        <f ca="1">OFFSET(TIAM15_assumptions!$G16,0,MATCH(VLOOKUP(Assumptions!AL$2,TIAM15_assumptions!$Y$3:$Z$87,2,FALSE),TIAM15_assumptions!$H$2:$V$2,0))</f>
        <v>0.15</v>
      </c>
      <c r="AM16" s="59">
        <f ca="1">OFFSET(TIAM15_assumptions!$G16,0,MATCH(VLOOKUP(Assumptions!AM$2,TIAM15_assumptions!$Y$3:$Z$87,2,FALSE),TIAM15_assumptions!$H$2:$V$2,0))</f>
        <v>0.15</v>
      </c>
      <c r="AN16" s="59">
        <f ca="1">OFFSET(TIAM15_assumptions!$G16,0,MATCH(VLOOKUP(Assumptions!AN$2,TIAM15_assumptions!$Y$3:$Z$87,2,FALSE),TIAM15_assumptions!$H$2:$V$2,0))</f>
        <v>0.15</v>
      </c>
      <c r="AO16" s="59">
        <f ca="1">OFFSET(TIAM15_assumptions!$G16,0,MATCH(VLOOKUP(Assumptions!AO$2,TIAM15_assumptions!$Y$3:$Z$87,2,FALSE),TIAM15_assumptions!$H$2:$V$2,0))</f>
        <v>0.1</v>
      </c>
      <c r="AP16" s="59">
        <f ca="1">OFFSET(TIAM15_assumptions!$G16,0,MATCH(VLOOKUP(Assumptions!AP$2,TIAM15_assumptions!$Y$3:$Z$87,2,FALSE),TIAM15_assumptions!$H$2:$V$2,0))</f>
        <v>0.15</v>
      </c>
      <c r="AQ16" s="59">
        <f ca="1">OFFSET(TIAM15_assumptions!$G16,0,MATCH(VLOOKUP(Assumptions!AQ$2,TIAM15_assumptions!$Y$3:$Z$87,2,FALSE),TIAM15_assumptions!$H$2:$V$2,0))</f>
        <v>0.05</v>
      </c>
      <c r="AR16" s="59">
        <f ca="1">OFFSET(TIAM15_assumptions!$G16,0,MATCH(VLOOKUP(Assumptions!AR$2,TIAM15_assumptions!$Y$3:$Z$87,2,FALSE),TIAM15_assumptions!$H$2:$V$2,0))</f>
        <v>0.05</v>
      </c>
      <c r="AS16" s="59">
        <f ca="1">OFFSET(TIAM15_assumptions!$G16,0,MATCH(VLOOKUP(Assumptions!AS$2,TIAM15_assumptions!$Y$3:$Z$87,2,FALSE),TIAM15_assumptions!$H$2:$V$2,0))</f>
        <v>0.05</v>
      </c>
      <c r="AT16" s="59">
        <f ca="1">OFFSET(TIAM15_assumptions!$G16,0,MATCH(VLOOKUP(Assumptions!AT$2,TIAM15_assumptions!$Y$3:$Z$87,2,FALSE),TIAM15_assumptions!$H$2:$V$2,0))</f>
        <v>0.05</v>
      </c>
      <c r="AU16" s="59">
        <f ca="1">OFFSET(TIAM15_assumptions!$G16,0,MATCH(VLOOKUP(Assumptions!AU$2,TIAM15_assumptions!$Y$3:$Z$87,2,FALSE),TIAM15_assumptions!$H$2:$V$2,0))</f>
        <v>0.05</v>
      </c>
      <c r="AV16" s="59">
        <f ca="1">OFFSET(TIAM15_assumptions!$G16,0,MATCH(VLOOKUP(Assumptions!AV$2,TIAM15_assumptions!$Y$3:$Z$87,2,FALSE),TIAM15_assumptions!$H$2:$V$2,0))</f>
        <v>0.05</v>
      </c>
      <c r="AW16" s="59">
        <f ca="1">OFFSET(TIAM15_assumptions!$G16,0,MATCH(VLOOKUP(Assumptions!AW$2,TIAM15_assumptions!$Y$3:$Z$87,2,FALSE),TIAM15_assumptions!$H$2:$V$2,0))</f>
        <v>0.05</v>
      </c>
      <c r="AX16" s="59">
        <f ca="1">OFFSET(TIAM15_assumptions!$G16,0,MATCH(VLOOKUP(Assumptions!AX$2,TIAM15_assumptions!$Y$3:$Z$87,2,FALSE),TIAM15_assumptions!$H$2:$V$2,0))</f>
        <v>0.05</v>
      </c>
      <c r="AY16" s="59">
        <f ca="1">OFFSET(TIAM15_assumptions!$G16,0,MATCH(VLOOKUP(Assumptions!AY$2,TIAM15_assumptions!$Y$3:$Z$87,2,FALSE),TIAM15_assumptions!$H$2:$V$2,0))</f>
        <v>0.05</v>
      </c>
      <c r="AZ16" s="59">
        <f ca="1">OFFSET(TIAM15_assumptions!$G16,0,MATCH(VLOOKUP(Assumptions!AZ$2,TIAM15_assumptions!$Y$3:$Z$87,2,FALSE),TIAM15_assumptions!$H$2:$V$2,0))</f>
        <v>0.05</v>
      </c>
      <c r="BA16" s="59">
        <f ca="1">OFFSET(TIAM15_assumptions!$G16,0,MATCH(VLOOKUP(Assumptions!BA$2,TIAM15_assumptions!$Y$3:$Z$87,2,FALSE),TIAM15_assumptions!$H$2:$V$2,0))</f>
        <v>0.05</v>
      </c>
      <c r="BD16" s="41">
        <f ca="1">IFERROR(SUMIFS('TRA balance'!E$5:E$40,'TRA balance'!$C$5:$C$40,Assumptions!$C16,'TRA balance'!$D$5:$D$40,Assumptions!$B16)*CY16*H16,"")</f>
        <v>200.16369874908</v>
      </c>
      <c r="BE16" s="41">
        <f ca="1">IFERROR(SUMIFS('TRA balance'!F$5:F$40,'TRA balance'!$C$5:$C$40,Assumptions!$C16,'TRA balance'!$D$5:$D$40,Assumptions!$B16)*CZ16*I16,"")</f>
        <v>177.880971621888</v>
      </c>
      <c r="BF16" s="41">
        <f ca="1">IFERROR(SUMIFS('TRA balance'!G$5:G$40,'TRA balance'!$C$5:$C$40,Assumptions!$C16,'TRA balance'!$D$5:$D$40,Assumptions!$B16)*DA16*J16,"")</f>
        <v>112.825030567838</v>
      </c>
      <c r="BG16" s="41">
        <f ca="1">IFERROR(SUMIFS('TRA balance'!H$5:H$40,'TRA balance'!$C$5:$C$40,Assumptions!$C16,'TRA balance'!$D$5:$D$40,Assumptions!$B16)*DB16*K16,"")</f>
        <v>31.038065232336</v>
      </c>
      <c r="BH16" s="41">
        <f ca="1">IFERROR(SUMIFS('TRA balance'!I$5:I$40,'TRA balance'!$C$5:$C$40,Assumptions!$C16,'TRA balance'!$D$5:$D$40,Assumptions!$B16)*DC16*L16,"")</f>
        <v>11.52065521683</v>
      </c>
      <c r="BI16" s="41">
        <f ca="1">IFERROR(SUMIFS('TRA balance'!J$5:J$40,'TRA balance'!$C$5:$C$40,Assumptions!$C16,'TRA balance'!$D$5:$D$40,Assumptions!$B16)*DD16*M16,"")</f>
        <v>65.787861804912</v>
      </c>
      <c r="BJ16" s="41">
        <f ca="1">IFERROR(SUMIFS('TRA balance'!K$5:K$40,'TRA balance'!$C$5:$C$40,Assumptions!$C16,'TRA balance'!$D$5:$D$40,Assumptions!$B16)*DE16*N16,"")</f>
        <v>133.547221427659</v>
      </c>
      <c r="BK16" s="41">
        <f ca="1">IFERROR(SUMIFS('TRA balance'!L$5:L$40,'TRA balance'!$C$5:$C$40,Assumptions!$C16,'TRA balance'!$D$5:$D$40,Assumptions!$B16)*DF16*O16,"")</f>
        <v>349.323445150596</v>
      </c>
      <c r="BL16" s="41">
        <f ca="1">IFERROR(SUMIFS('TRA balance'!M$5:M$40,'TRA balance'!$C$5:$C$40,Assumptions!$C16,'TRA balance'!$D$5:$D$40,Assumptions!$B16)*DG16*P16,"")</f>
        <v>14.45928378408</v>
      </c>
      <c r="BM16" s="41">
        <f ca="1">IFERROR(SUMIFS('TRA balance'!N$5:N$40,'TRA balance'!$C$5:$C$40,Assumptions!$C16,'TRA balance'!$D$5:$D$40,Assumptions!$B16)*DH16*Q16,"")</f>
        <v>30.983831937216</v>
      </c>
      <c r="BN16" s="41">
        <f ca="1">IFERROR(SUMIFS('TRA balance'!O$5:O$40,'TRA balance'!$C$5:$C$40,Assumptions!$C16,'TRA balance'!$D$5:$D$40,Assumptions!$B16)*DI16*R16,"")</f>
        <v>154.368014860656</v>
      </c>
      <c r="BO16" s="41">
        <f ca="1">IFERROR(SUMIFS('TRA balance'!P$5:P$40,'TRA balance'!$C$5:$C$40,Assumptions!$C16,'TRA balance'!$D$5:$D$40,Assumptions!$B16)*DJ16*S16,"")</f>
        <v>166.7125437876</v>
      </c>
      <c r="BP16" s="41">
        <f ca="1">IFERROR(SUMIFS('TRA balance'!Q$5:Q$40,'TRA balance'!$C$5:$C$40,Assumptions!$C16,'TRA balance'!$D$5:$D$40,Assumptions!$B16)*DK16*T16,"")</f>
        <v>13.481730963216</v>
      </c>
      <c r="BQ16" s="41">
        <f ca="1">IFERROR(SUMIFS('TRA balance'!R$5:R$40,'TRA balance'!$C$5:$C$40,Assumptions!$C16,'TRA balance'!$D$5:$D$40,Assumptions!$B16)*DL16*U16,"")</f>
        <v>48.341217006576</v>
      </c>
      <c r="BR16" s="41">
        <f ca="1">IFERROR(SUMIFS('TRA balance'!S$5:S$40,'TRA balance'!$C$5:$C$40,Assumptions!$C16,'TRA balance'!$D$5:$D$40,Assumptions!$B16)*DM16*V16,"")</f>
        <v>0.924551449776</v>
      </c>
      <c r="BS16" s="41">
        <f ca="1">IFERROR(SUMIFS('TRA balance'!T$5:T$40,'TRA balance'!$C$5:$C$40,Assumptions!$C16,'TRA balance'!$D$5:$D$40,Assumptions!$B16)*DN16*W16,"")</f>
        <v>456.311047631175</v>
      </c>
      <c r="BT16" s="41">
        <f ca="1">IFERROR(SUMIFS('TRA balance'!U$5:U$40,'TRA balance'!$C$5:$C$40,Assumptions!$C16,'TRA balance'!$D$5:$D$40,Assumptions!$B16)*DO16*X16,"")</f>
        <v>14.80135622976</v>
      </c>
      <c r="BU16" s="41">
        <f ca="1">IFERROR(SUMIFS('TRA balance'!V$5:V$40,'TRA balance'!$C$5:$C$40,Assumptions!$C16,'TRA balance'!$D$5:$D$40,Assumptions!$B16)*DP16*Y16,"")</f>
        <v>108.005397975216</v>
      </c>
      <c r="BV16" s="41">
        <f ca="1">IFERROR(SUMIFS('TRA balance'!W$5:W$40,'TRA balance'!$C$5:$C$40,Assumptions!$C16,'TRA balance'!$D$5:$D$40,Assumptions!$B16)*DQ16*Z16,"")</f>
        <v>130.141115197713</v>
      </c>
      <c r="BW16" s="41">
        <f ca="1">IFERROR(SUMIFS('TRA balance'!X$5:X$40,'TRA balance'!$C$5:$C$40,Assumptions!$C16,'TRA balance'!$D$5:$D$40,Assumptions!$B16)*DR16*AA16,"")</f>
        <v>137.116218190997</v>
      </c>
      <c r="BX16" s="41">
        <f ca="1">IFERROR(SUMIFS('TRA balance'!Y$5:Y$40,'TRA balance'!$C$5:$C$40,Assumptions!$C16,'TRA balance'!$D$5:$D$40,Assumptions!$B16)*DS16*AB16,"")</f>
        <v>202.198400273628</v>
      </c>
      <c r="BY16" s="41">
        <f ca="1">IFERROR(SUMIFS('TRA balance'!Z$5:Z$40,'TRA balance'!$C$5:$C$40,Assumptions!$C16,'TRA balance'!$D$5:$D$40,Assumptions!$B16)*DT16*AC16,"")</f>
        <v>307.319104829787</v>
      </c>
      <c r="BZ16" s="41">
        <f ca="1">IFERROR(SUMIFS('TRA balance'!AA$5:AA$40,'TRA balance'!$C$5:$C$40,Assumptions!$C16,'TRA balance'!$D$5:$D$40,Assumptions!$B16)*DU16*AD16,"")</f>
        <v>10.63201937256</v>
      </c>
      <c r="CA16" s="41">
        <f ca="1">IFERROR(SUMIFS('TRA balance'!AB$5:AB$40,'TRA balance'!$C$5:$C$40,Assumptions!$C16,'TRA balance'!$D$5:$D$40,Assumptions!$B16)*DV16*AE16,"")</f>
        <v>71.135785709136</v>
      </c>
      <c r="CB16" s="41">
        <f ca="1">IFERROR(SUMIFS('TRA balance'!AC$5:AC$40,'TRA balance'!$C$5:$C$40,Assumptions!$C16,'TRA balance'!$D$5:$D$40,Assumptions!$B16)*DW16*AF16,"")</f>
        <v>369.414166748731</v>
      </c>
      <c r="CC16" s="41">
        <f ca="1">IFERROR(SUMIFS('TRA balance'!AD$5:AD$40,'TRA balance'!$C$5:$C$40,Assumptions!$C16,'TRA balance'!$D$5:$D$40,Assumptions!$B16)*DX16*AG16,"")</f>
        <v>66.62630518128</v>
      </c>
      <c r="CD16" s="41">
        <f ca="1">IFERROR(SUMIFS('TRA balance'!AE$5:AE$40,'TRA balance'!$C$5:$C$40,Assumptions!$C16,'TRA balance'!$D$5:$D$40,Assumptions!$B16)*DY16*AH16,"")</f>
        <v>114.99282775134</v>
      </c>
      <c r="CE16" s="41">
        <f ca="1">IFERROR(SUMIFS('TRA balance'!AF$5:AF$40,'TRA balance'!$C$5:$C$40,Assumptions!$C16,'TRA balance'!$D$5:$D$40,Assumptions!$B16)*DZ16*AI16,"")</f>
        <v>62.483074361856</v>
      </c>
      <c r="CF16" s="41">
        <f ca="1">IFERROR(SUMIFS('TRA balance'!AG$5:AG$40,'TRA balance'!$C$5:$C$40,Assumptions!$C16,'TRA balance'!$D$5:$D$40,Assumptions!$B16)*EA16*AJ16,"")</f>
        <v>128.90187620856</v>
      </c>
      <c r="CG16" s="41">
        <f ca="1">IFERROR(SUMIFS('TRA balance'!AH$5:AH$40,'TRA balance'!$C$5:$C$40,Assumptions!$C16,'TRA balance'!$D$5:$D$40,Assumptions!$B16)*EB16*AK16,"")</f>
        <v>38.695549768704</v>
      </c>
      <c r="CH16" s="41">
        <f ca="1">IFERROR(SUMIFS('TRA balance'!AI$5:AI$40,'TRA balance'!$C$5:$C$40,Assumptions!$C16,'TRA balance'!$D$5:$D$40,Assumptions!$B16)*EC16*AL16,"")</f>
        <v>13.65782224464</v>
      </c>
      <c r="CI16" s="41">
        <f ca="1">IFERROR(SUMIFS('TRA balance'!AJ$5:AJ$40,'TRA balance'!$C$5:$C$40,Assumptions!$C16,'TRA balance'!$D$5:$D$40,Assumptions!$B16)*ED16*AM16,"")</f>
        <v>111.017304209142</v>
      </c>
      <c r="CJ16" s="41">
        <f ca="1">IFERROR(SUMIFS('TRA balance'!AK$5:AK$40,'TRA balance'!$C$5:$C$40,Assumptions!$C16,'TRA balance'!$D$5:$D$40,Assumptions!$B16)*EE16*AN16,"")</f>
        <v>121.696731869472</v>
      </c>
      <c r="CK16" s="41">
        <f ca="1">IFERROR(SUMIFS('TRA balance'!AL$5:AL$40,'TRA balance'!$C$5:$C$40,Assumptions!$C16,'TRA balance'!$D$5:$D$40,Assumptions!$B16)*EF16*AO16,"")</f>
        <v>17.270468210862</v>
      </c>
      <c r="CL16" s="41">
        <f ca="1">IFERROR(SUMIFS('TRA balance'!AM$5:AM$40,'TRA balance'!$C$5:$C$40,Assumptions!$C16,'TRA balance'!$D$5:$D$40,Assumptions!$B16)*EG16*AP16,"")</f>
        <v>22.52647198872</v>
      </c>
      <c r="CM16" s="41">
        <f ca="1">IFERROR(SUMIFS('TRA balance'!AN$5:AN$40,'TRA balance'!$C$5:$C$40,Assumptions!$C16,'TRA balance'!$D$5:$D$40,Assumptions!$B16)*EH16*AQ16,"")</f>
        <v>0</v>
      </c>
      <c r="CN16" s="41">
        <f ca="1">IFERROR(SUMIFS('TRA balance'!AO$5:AO$40,'TRA balance'!$C$5:$C$40,Assumptions!$C16,'TRA balance'!$D$5:$D$40,Assumptions!$B16)*EI16*AR16,"")</f>
        <v>0</v>
      </c>
      <c r="CO16" s="41">
        <f ca="1">IFERROR(SUMIFS('TRA balance'!AP$5:AP$40,'TRA balance'!$C$5:$C$40,Assumptions!$C16,'TRA balance'!$D$5:$D$40,Assumptions!$B16)*EJ16*AS16,"")</f>
        <v>0</v>
      </c>
      <c r="CP16" s="41">
        <f ca="1">IFERROR(SUMIFS('TRA balance'!AQ$5:AQ$40,'TRA balance'!$C$5:$C$40,Assumptions!$C16,'TRA balance'!$D$5:$D$40,Assumptions!$B16)*EK16*AT16,"")</f>
        <v>0</v>
      </c>
      <c r="CQ16" s="41">
        <f ca="1">IFERROR(SUMIFS('TRA balance'!AR$5:AR$40,'TRA balance'!$C$5:$C$40,Assumptions!$C16,'TRA balance'!$D$5:$D$40,Assumptions!$B16)*EL16*AU16,"")</f>
        <v>0</v>
      </c>
      <c r="CR16" s="41">
        <f ca="1">IFERROR(SUMIFS('TRA balance'!AS$5:AS$40,'TRA balance'!$C$5:$C$40,Assumptions!$C16,'TRA balance'!$D$5:$D$40,Assumptions!$B16)*EM16*AV16,"")</f>
        <v>0</v>
      </c>
      <c r="CS16" s="41">
        <f ca="1">IFERROR(SUMIFS('TRA balance'!AT$5:AT$40,'TRA balance'!$C$5:$C$40,Assumptions!$C16,'TRA balance'!$D$5:$D$40,Assumptions!$B16)*EN16*AW16,"")</f>
        <v>0</v>
      </c>
      <c r="CT16" s="41">
        <f ca="1">IFERROR(SUMIFS('TRA balance'!AU$5:AU$40,'TRA balance'!$C$5:$C$40,Assumptions!$C16,'TRA balance'!$D$5:$D$40,Assumptions!$B16)*EO16*AX16,"")</f>
        <v>0</v>
      </c>
      <c r="CU16" s="41">
        <f ca="1">IFERROR(SUMIFS('TRA balance'!AV$5:AV$40,'TRA balance'!$C$5:$C$40,Assumptions!$C16,'TRA balance'!$D$5:$D$40,Assumptions!$B16)*EP16*AY16,"")</f>
        <v>0</v>
      </c>
      <c r="CV16" s="41">
        <f ca="1">IFERROR(SUMIFS('TRA balance'!AW$5:AW$40,'TRA balance'!$C$5:$C$40,Assumptions!$C16,'TRA balance'!$D$5:$D$40,Assumptions!$B16)*EQ16*AZ16,"")</f>
        <v>0</v>
      </c>
      <c r="CW16" s="41">
        <f ca="1">IFERROR(SUMIFS('TRA balance'!AX$5:AX$40,'TRA balance'!$C$5:$C$40,Assumptions!$C16,'TRA balance'!$D$5:$D$40,Assumptions!$B16)*ER16*BA16,"")</f>
        <v>0</v>
      </c>
      <c r="CY16" s="40">
        <f ca="1" t="shared" si="2"/>
        <v>0.9</v>
      </c>
      <c r="CZ16" s="40">
        <f ca="1" t="shared" si="3"/>
        <v>0.9</v>
      </c>
      <c r="DA16" s="40">
        <f ca="1" t="shared" si="4"/>
        <v>0.98</v>
      </c>
      <c r="DB16" s="40">
        <f ca="1" t="shared" si="5"/>
        <v>0.8</v>
      </c>
      <c r="DC16" s="40">
        <f ca="1" t="shared" si="6"/>
        <v>0.95</v>
      </c>
      <c r="DD16" s="40">
        <f ca="1" t="shared" si="7"/>
        <v>0.8</v>
      </c>
      <c r="DE16" s="40">
        <f ca="1" t="shared" si="8"/>
        <v>0.93</v>
      </c>
      <c r="DF16" s="40">
        <f ca="1" t="shared" si="9"/>
        <v>0.9</v>
      </c>
      <c r="DG16" s="40">
        <f ca="1" t="shared" si="10"/>
        <v>0.8</v>
      </c>
      <c r="DH16" s="40">
        <f ca="1" t="shared" si="11"/>
        <v>0.8</v>
      </c>
      <c r="DI16" s="40">
        <f ca="1" t="shared" si="12"/>
        <v>0.8</v>
      </c>
      <c r="DJ16" s="40">
        <f ca="1" t="shared" si="13"/>
        <v>0.8</v>
      </c>
      <c r="DK16" s="40">
        <f ca="1" t="shared" si="14"/>
        <v>0.8</v>
      </c>
      <c r="DL16" s="40">
        <f ca="1" t="shared" si="15"/>
        <v>0.8</v>
      </c>
      <c r="DM16" s="40">
        <f ca="1" t="shared" si="16"/>
        <v>0.8</v>
      </c>
      <c r="DN16" s="40">
        <f ca="1" t="shared" si="17"/>
        <v>0.75</v>
      </c>
      <c r="DO16" s="40">
        <f ca="1" t="shared" si="18"/>
        <v>0.8</v>
      </c>
      <c r="DP16" s="40">
        <f ca="1" t="shared" si="19"/>
        <v>0.8</v>
      </c>
      <c r="DQ16" s="40">
        <f ca="1" t="shared" si="20"/>
        <v>0.95</v>
      </c>
      <c r="DR16" s="40">
        <f ca="1" t="shared" si="21"/>
        <v>0.93</v>
      </c>
      <c r="DS16" s="40">
        <f ca="1" t="shared" si="22"/>
        <v>0.9</v>
      </c>
      <c r="DT16" s="40">
        <f ca="1" t="shared" si="23"/>
        <v>0.975593578177383</v>
      </c>
      <c r="DU16" s="40">
        <f ca="1" t="shared" si="24"/>
        <v>0.8</v>
      </c>
      <c r="DV16" s="40">
        <f ca="1" t="shared" si="25"/>
        <v>0.8</v>
      </c>
      <c r="DW16" s="40">
        <f ca="1" t="shared" si="26"/>
        <v>0.92</v>
      </c>
      <c r="DX16" s="40">
        <f ca="1" t="shared" si="27"/>
        <v>0.95</v>
      </c>
      <c r="DY16" s="40">
        <f ca="1" t="shared" si="28"/>
        <v>0.9</v>
      </c>
      <c r="DZ16" s="40">
        <f ca="1" t="shared" si="29"/>
        <v>0.9</v>
      </c>
      <c r="EA16" s="40">
        <f ca="1" t="shared" si="30"/>
        <v>0.8</v>
      </c>
      <c r="EB16" s="40">
        <f ca="1" t="shared" si="31"/>
        <v>0.8</v>
      </c>
      <c r="EC16" s="40">
        <f ca="1" t="shared" si="32"/>
        <v>0.8</v>
      </c>
      <c r="ED16" s="40">
        <f ca="1" t="shared" si="33"/>
        <v>0.9</v>
      </c>
      <c r="EE16" s="40">
        <f ca="1" t="shared" si="34"/>
        <v>0.8</v>
      </c>
      <c r="EF16" s="40">
        <f ca="1" t="shared" si="35"/>
        <v>0.95</v>
      </c>
      <c r="EG16" s="40">
        <f ca="1" t="shared" si="36"/>
        <v>0.8</v>
      </c>
      <c r="EH16" s="40">
        <f ca="1" t="shared" si="37"/>
        <v>0.975593578177383</v>
      </c>
      <c r="EI16" s="40">
        <f ca="1" t="shared" si="38"/>
        <v>0.975593578177383</v>
      </c>
      <c r="EJ16" s="40">
        <f ca="1" t="shared" si="39"/>
        <v>0.975593578177383</v>
      </c>
      <c r="EK16" s="40">
        <f ca="1" t="shared" si="40"/>
        <v>0.975593578177383</v>
      </c>
      <c r="EL16" s="40">
        <f ca="1" t="shared" si="41"/>
        <v>0.975593578177383</v>
      </c>
      <c r="EM16" s="40">
        <f ca="1" t="shared" si="42"/>
        <v>0.975593578177383</v>
      </c>
      <c r="EN16" s="40">
        <f ca="1" t="shared" si="43"/>
        <v>0.975593578177383</v>
      </c>
      <c r="EO16" s="40">
        <f ca="1" t="shared" si="44"/>
        <v>0.975593578177383</v>
      </c>
      <c r="EP16" s="40">
        <f ca="1" t="shared" si="45"/>
        <v>0.975593578177383</v>
      </c>
      <c r="EQ16" s="40">
        <f ca="1" t="shared" si="46"/>
        <v>0.975593578177383</v>
      </c>
      <c r="ER16" s="40">
        <f ca="1" t="shared" si="47"/>
        <v>0.975593578177383</v>
      </c>
    </row>
    <row r="17" spans="1:148">
      <c r="A17">
        <v>1</v>
      </c>
      <c r="B17" t="str">
        <f>VLOOKUP(F17,'TRA balance'!$BA$5:$BB$14,2,FALSE)</f>
        <v>TRADST</v>
      </c>
      <c r="C17" s="56" t="str">
        <f t="shared" si="48"/>
        <v/>
      </c>
      <c r="D17" s="57"/>
      <c r="E17" s="69" t="s">
        <v>220</v>
      </c>
      <c r="F17" s="58" t="str">
        <f t="shared" si="55"/>
        <v>Diesel</v>
      </c>
      <c r="G17" s="56"/>
      <c r="H17" s="63" t="str">
        <f ca="1">IF(SUM(H13:H16)=1,"-","&lt;&gt;1!!")</f>
        <v>-</v>
      </c>
      <c r="I17" s="63" t="str">
        <f ca="1" t="shared" ref="I17:BA17" si="56">IF(SUM(I13:I16)=1,"-","&lt;&gt;1!!")</f>
        <v>-</v>
      </c>
      <c r="J17" s="63" t="str">
        <f ca="1" t="shared" si="56"/>
        <v>-</v>
      </c>
      <c r="K17" s="63" t="str">
        <f ca="1" t="shared" si="56"/>
        <v>-</v>
      </c>
      <c r="L17" s="63" t="str">
        <f ca="1" t="shared" si="56"/>
        <v>-</v>
      </c>
      <c r="M17" s="63" t="str">
        <f ca="1" t="shared" si="56"/>
        <v>-</v>
      </c>
      <c r="N17" s="63" t="str">
        <f ca="1" t="shared" si="56"/>
        <v>-</v>
      </c>
      <c r="O17" s="63" t="str">
        <f ca="1" t="shared" si="56"/>
        <v>-</v>
      </c>
      <c r="P17" s="63" t="str">
        <f ca="1" t="shared" si="56"/>
        <v>-</v>
      </c>
      <c r="Q17" s="63" t="str">
        <f ca="1" t="shared" si="56"/>
        <v>-</v>
      </c>
      <c r="R17" s="63" t="str">
        <f ca="1" t="shared" si="56"/>
        <v>-</v>
      </c>
      <c r="S17" s="63" t="str">
        <f ca="1" t="shared" si="56"/>
        <v>-</v>
      </c>
      <c r="T17" s="63" t="str">
        <f ca="1" t="shared" si="56"/>
        <v>-</v>
      </c>
      <c r="U17" s="63" t="str">
        <f ca="1" t="shared" si="56"/>
        <v>-</v>
      </c>
      <c r="V17" s="63" t="str">
        <f ca="1" t="shared" si="56"/>
        <v>-</v>
      </c>
      <c r="W17" s="63" t="str">
        <f ca="1" t="shared" si="56"/>
        <v>-</v>
      </c>
      <c r="X17" s="63" t="str">
        <f ca="1" t="shared" si="56"/>
        <v>-</v>
      </c>
      <c r="Y17" s="63" t="str">
        <f ca="1" t="shared" si="56"/>
        <v>-</v>
      </c>
      <c r="Z17" s="63" t="str">
        <f ca="1" t="shared" si="56"/>
        <v>-</v>
      </c>
      <c r="AA17" s="63" t="str">
        <f ca="1" t="shared" si="56"/>
        <v>-</v>
      </c>
      <c r="AB17" s="63" t="str">
        <f ca="1" t="shared" si="56"/>
        <v>-</v>
      </c>
      <c r="AC17" s="63" t="str">
        <f ca="1" t="shared" si="56"/>
        <v>-</v>
      </c>
      <c r="AD17" s="63" t="str">
        <f ca="1" t="shared" si="56"/>
        <v>-</v>
      </c>
      <c r="AE17" s="63" t="str">
        <f ca="1" t="shared" si="56"/>
        <v>-</v>
      </c>
      <c r="AF17" s="63" t="str">
        <f ca="1" t="shared" si="56"/>
        <v>-</v>
      </c>
      <c r="AG17" s="63" t="str">
        <f ca="1" t="shared" si="56"/>
        <v>-</v>
      </c>
      <c r="AH17" s="63" t="str">
        <f ca="1" t="shared" si="56"/>
        <v>-</v>
      </c>
      <c r="AI17" s="63" t="str">
        <f ca="1" t="shared" si="56"/>
        <v>-</v>
      </c>
      <c r="AJ17" s="63" t="str">
        <f ca="1" t="shared" si="56"/>
        <v>-</v>
      </c>
      <c r="AK17" s="63" t="str">
        <f ca="1" t="shared" si="56"/>
        <v>-</v>
      </c>
      <c r="AL17" s="63" t="str">
        <f ca="1" t="shared" si="56"/>
        <v>-</v>
      </c>
      <c r="AM17" s="63" t="str">
        <f ca="1" t="shared" si="56"/>
        <v>-</v>
      </c>
      <c r="AN17" s="63" t="str">
        <f ca="1" t="shared" si="56"/>
        <v>-</v>
      </c>
      <c r="AO17" s="63" t="str">
        <f ca="1" t="shared" si="56"/>
        <v>-</v>
      </c>
      <c r="AP17" s="63" t="str">
        <f ca="1" t="shared" si="56"/>
        <v>-</v>
      </c>
      <c r="AQ17" s="63" t="str">
        <f ca="1" t="shared" si="56"/>
        <v>-</v>
      </c>
      <c r="AR17" s="63" t="str">
        <f ca="1" t="shared" si="56"/>
        <v>-</v>
      </c>
      <c r="AS17" s="63" t="str">
        <f ca="1" t="shared" si="56"/>
        <v>-</v>
      </c>
      <c r="AT17" s="63" t="str">
        <f ca="1" t="shared" si="56"/>
        <v>-</v>
      </c>
      <c r="AU17" s="63" t="str">
        <f ca="1" t="shared" si="56"/>
        <v>-</v>
      </c>
      <c r="AV17" s="63" t="str">
        <f ca="1" t="shared" si="56"/>
        <v>-</v>
      </c>
      <c r="AW17" s="63" t="str">
        <f ca="1" t="shared" si="56"/>
        <v>-</v>
      </c>
      <c r="AX17" s="63" t="str">
        <f ca="1" t="shared" si="56"/>
        <v>-</v>
      </c>
      <c r="AY17" s="63" t="str">
        <f ca="1" t="shared" si="56"/>
        <v>-</v>
      </c>
      <c r="AZ17" s="63" t="str">
        <f ca="1" t="shared" si="56"/>
        <v>-</v>
      </c>
      <c r="BA17" s="63" t="str">
        <f ca="1" t="shared" si="56"/>
        <v>-</v>
      </c>
      <c r="BD17" s="41" t="str">
        <f ca="1">IFERROR(SUMIFS('TRA balance'!E$5:E$40,'TRA balance'!$C$5:$C$40,Assumptions!$C17,'TRA balance'!$D$5:$D$40,Assumptions!$B17)*CY17*H17,"")</f>
        <v/>
      </c>
      <c r="BE17" s="41" t="str">
        <f ca="1">IFERROR(SUMIFS('TRA balance'!F$5:F$40,'TRA balance'!$C$5:$C$40,Assumptions!$C17,'TRA balance'!$D$5:$D$40,Assumptions!$B17)*CZ17*I17,"")</f>
        <v/>
      </c>
      <c r="BF17" s="41" t="str">
        <f ca="1">IFERROR(SUMIFS('TRA balance'!G$5:G$40,'TRA balance'!$C$5:$C$40,Assumptions!$C17,'TRA balance'!$D$5:$D$40,Assumptions!$B17)*DA17*J17,"")</f>
        <v/>
      </c>
      <c r="BG17" s="41" t="str">
        <f ca="1">IFERROR(SUMIFS('TRA balance'!H$5:H$40,'TRA balance'!$C$5:$C$40,Assumptions!$C17,'TRA balance'!$D$5:$D$40,Assumptions!$B17)*DB17*K17,"")</f>
        <v/>
      </c>
      <c r="BH17" s="41" t="str">
        <f ca="1">IFERROR(SUMIFS('TRA balance'!I$5:I$40,'TRA balance'!$C$5:$C$40,Assumptions!$C17,'TRA balance'!$D$5:$D$40,Assumptions!$B17)*DC17*L17,"")</f>
        <v/>
      </c>
      <c r="BI17" s="41" t="str">
        <f ca="1">IFERROR(SUMIFS('TRA balance'!J$5:J$40,'TRA balance'!$C$5:$C$40,Assumptions!$C17,'TRA balance'!$D$5:$D$40,Assumptions!$B17)*DD17*M17,"")</f>
        <v/>
      </c>
      <c r="BJ17" s="41" t="str">
        <f ca="1">IFERROR(SUMIFS('TRA balance'!K$5:K$40,'TRA balance'!$C$5:$C$40,Assumptions!$C17,'TRA balance'!$D$5:$D$40,Assumptions!$B17)*DE17*N17,"")</f>
        <v/>
      </c>
      <c r="BK17" s="41" t="str">
        <f ca="1">IFERROR(SUMIFS('TRA balance'!L$5:L$40,'TRA balance'!$C$5:$C$40,Assumptions!$C17,'TRA balance'!$D$5:$D$40,Assumptions!$B17)*DF17*O17,"")</f>
        <v/>
      </c>
      <c r="BL17" s="41" t="str">
        <f ca="1">IFERROR(SUMIFS('TRA balance'!M$5:M$40,'TRA balance'!$C$5:$C$40,Assumptions!$C17,'TRA balance'!$D$5:$D$40,Assumptions!$B17)*DG17*P17,"")</f>
        <v/>
      </c>
      <c r="BM17" s="41" t="str">
        <f ca="1">IFERROR(SUMIFS('TRA balance'!N$5:N$40,'TRA balance'!$C$5:$C$40,Assumptions!$C17,'TRA balance'!$D$5:$D$40,Assumptions!$B17)*DH17*Q17,"")</f>
        <v/>
      </c>
      <c r="BN17" s="41" t="str">
        <f ca="1">IFERROR(SUMIFS('TRA balance'!O$5:O$40,'TRA balance'!$C$5:$C$40,Assumptions!$C17,'TRA balance'!$D$5:$D$40,Assumptions!$B17)*DI17*R17,"")</f>
        <v/>
      </c>
      <c r="BO17" s="41" t="str">
        <f ca="1">IFERROR(SUMIFS('TRA balance'!P$5:P$40,'TRA balance'!$C$5:$C$40,Assumptions!$C17,'TRA balance'!$D$5:$D$40,Assumptions!$B17)*DJ17*S17,"")</f>
        <v/>
      </c>
      <c r="BP17" s="41" t="str">
        <f ca="1">IFERROR(SUMIFS('TRA balance'!Q$5:Q$40,'TRA balance'!$C$5:$C$40,Assumptions!$C17,'TRA balance'!$D$5:$D$40,Assumptions!$B17)*DK17*T17,"")</f>
        <v/>
      </c>
      <c r="BQ17" s="41" t="str">
        <f ca="1">IFERROR(SUMIFS('TRA balance'!R$5:R$40,'TRA balance'!$C$5:$C$40,Assumptions!$C17,'TRA balance'!$D$5:$D$40,Assumptions!$B17)*DL17*U17,"")</f>
        <v/>
      </c>
      <c r="BR17" s="41" t="str">
        <f ca="1">IFERROR(SUMIFS('TRA balance'!S$5:S$40,'TRA balance'!$C$5:$C$40,Assumptions!$C17,'TRA balance'!$D$5:$D$40,Assumptions!$B17)*DM17*V17,"")</f>
        <v/>
      </c>
      <c r="BS17" s="41" t="str">
        <f ca="1">IFERROR(SUMIFS('TRA balance'!T$5:T$40,'TRA balance'!$C$5:$C$40,Assumptions!$C17,'TRA balance'!$D$5:$D$40,Assumptions!$B17)*DN17*W17,"")</f>
        <v/>
      </c>
      <c r="BT17" s="41" t="str">
        <f ca="1">IFERROR(SUMIFS('TRA balance'!U$5:U$40,'TRA balance'!$C$5:$C$40,Assumptions!$C17,'TRA balance'!$D$5:$D$40,Assumptions!$B17)*DO17*X17,"")</f>
        <v/>
      </c>
      <c r="BU17" s="41" t="str">
        <f ca="1">IFERROR(SUMIFS('TRA balance'!V$5:V$40,'TRA balance'!$C$5:$C$40,Assumptions!$C17,'TRA balance'!$D$5:$D$40,Assumptions!$B17)*DP17*Y17,"")</f>
        <v/>
      </c>
      <c r="BV17" s="41" t="str">
        <f ca="1">IFERROR(SUMIFS('TRA balance'!W$5:W$40,'TRA balance'!$C$5:$C$40,Assumptions!$C17,'TRA balance'!$D$5:$D$40,Assumptions!$B17)*DQ17*Z17,"")</f>
        <v/>
      </c>
      <c r="BW17" s="41" t="str">
        <f ca="1">IFERROR(SUMIFS('TRA balance'!X$5:X$40,'TRA balance'!$C$5:$C$40,Assumptions!$C17,'TRA balance'!$D$5:$D$40,Assumptions!$B17)*DR17*AA17,"")</f>
        <v/>
      </c>
      <c r="BX17" s="41" t="str">
        <f ca="1">IFERROR(SUMIFS('TRA balance'!Y$5:Y$40,'TRA balance'!$C$5:$C$40,Assumptions!$C17,'TRA balance'!$D$5:$D$40,Assumptions!$B17)*DS17*AB17,"")</f>
        <v/>
      </c>
      <c r="BY17" s="41" t="str">
        <f ca="1">IFERROR(SUMIFS('TRA balance'!Z$5:Z$40,'TRA balance'!$C$5:$C$40,Assumptions!$C17,'TRA balance'!$D$5:$D$40,Assumptions!$B17)*DT17*AC17,"")</f>
        <v/>
      </c>
      <c r="BZ17" s="41" t="str">
        <f ca="1">IFERROR(SUMIFS('TRA balance'!AA$5:AA$40,'TRA balance'!$C$5:$C$40,Assumptions!$C17,'TRA balance'!$D$5:$D$40,Assumptions!$B17)*DU17*AD17,"")</f>
        <v/>
      </c>
      <c r="CA17" s="41" t="str">
        <f ca="1">IFERROR(SUMIFS('TRA balance'!AB$5:AB$40,'TRA balance'!$C$5:$C$40,Assumptions!$C17,'TRA balance'!$D$5:$D$40,Assumptions!$B17)*DV17*AE17,"")</f>
        <v/>
      </c>
      <c r="CB17" s="41" t="str">
        <f ca="1">IFERROR(SUMIFS('TRA balance'!AC$5:AC$40,'TRA balance'!$C$5:$C$40,Assumptions!$C17,'TRA balance'!$D$5:$D$40,Assumptions!$B17)*DW17*AF17,"")</f>
        <v/>
      </c>
      <c r="CC17" s="41" t="str">
        <f ca="1">IFERROR(SUMIFS('TRA balance'!AD$5:AD$40,'TRA balance'!$C$5:$C$40,Assumptions!$C17,'TRA balance'!$D$5:$D$40,Assumptions!$B17)*DX17*AG17,"")</f>
        <v/>
      </c>
      <c r="CD17" s="41" t="str">
        <f ca="1">IFERROR(SUMIFS('TRA balance'!AE$5:AE$40,'TRA balance'!$C$5:$C$40,Assumptions!$C17,'TRA balance'!$D$5:$D$40,Assumptions!$B17)*DY17*AH17,"")</f>
        <v/>
      </c>
      <c r="CE17" s="41" t="str">
        <f ca="1">IFERROR(SUMIFS('TRA balance'!AF$5:AF$40,'TRA balance'!$C$5:$C$40,Assumptions!$C17,'TRA balance'!$D$5:$D$40,Assumptions!$B17)*DZ17*AI17,"")</f>
        <v/>
      </c>
      <c r="CF17" s="41" t="str">
        <f ca="1">IFERROR(SUMIFS('TRA balance'!AG$5:AG$40,'TRA balance'!$C$5:$C$40,Assumptions!$C17,'TRA balance'!$D$5:$D$40,Assumptions!$B17)*EA17*AJ17,"")</f>
        <v/>
      </c>
      <c r="CG17" s="41" t="str">
        <f ca="1">IFERROR(SUMIFS('TRA balance'!AH$5:AH$40,'TRA balance'!$C$5:$C$40,Assumptions!$C17,'TRA balance'!$D$5:$D$40,Assumptions!$B17)*EB17*AK17,"")</f>
        <v/>
      </c>
      <c r="CH17" s="41" t="str">
        <f ca="1">IFERROR(SUMIFS('TRA balance'!AI$5:AI$40,'TRA balance'!$C$5:$C$40,Assumptions!$C17,'TRA balance'!$D$5:$D$40,Assumptions!$B17)*EC17*AL17,"")</f>
        <v/>
      </c>
      <c r="CI17" s="41" t="str">
        <f ca="1">IFERROR(SUMIFS('TRA balance'!AJ$5:AJ$40,'TRA balance'!$C$5:$C$40,Assumptions!$C17,'TRA balance'!$D$5:$D$40,Assumptions!$B17)*ED17*AM17,"")</f>
        <v/>
      </c>
      <c r="CJ17" s="41" t="str">
        <f ca="1">IFERROR(SUMIFS('TRA balance'!AK$5:AK$40,'TRA balance'!$C$5:$C$40,Assumptions!$C17,'TRA balance'!$D$5:$D$40,Assumptions!$B17)*EE17*AN17,"")</f>
        <v/>
      </c>
      <c r="CK17" s="41" t="str">
        <f ca="1">IFERROR(SUMIFS('TRA balance'!AL$5:AL$40,'TRA balance'!$C$5:$C$40,Assumptions!$C17,'TRA balance'!$D$5:$D$40,Assumptions!$B17)*EF17*AO17,"")</f>
        <v/>
      </c>
      <c r="CL17" s="41" t="str">
        <f ca="1">IFERROR(SUMIFS('TRA balance'!AM$5:AM$40,'TRA balance'!$C$5:$C$40,Assumptions!$C17,'TRA balance'!$D$5:$D$40,Assumptions!$B17)*EG17*AP17,"")</f>
        <v/>
      </c>
      <c r="CM17" s="41" t="str">
        <f ca="1">IFERROR(SUMIFS('TRA balance'!AN$5:AN$40,'TRA balance'!$C$5:$C$40,Assumptions!$C17,'TRA balance'!$D$5:$D$40,Assumptions!$B17)*EH17*AQ17,"")</f>
        <v/>
      </c>
      <c r="CN17" s="41" t="str">
        <f ca="1">IFERROR(SUMIFS('TRA balance'!AO$5:AO$40,'TRA balance'!$C$5:$C$40,Assumptions!$C17,'TRA balance'!$D$5:$D$40,Assumptions!$B17)*EI17*AR17,"")</f>
        <v/>
      </c>
      <c r="CO17" s="41" t="str">
        <f ca="1">IFERROR(SUMIFS('TRA balance'!AP$5:AP$40,'TRA balance'!$C$5:$C$40,Assumptions!$C17,'TRA balance'!$D$5:$D$40,Assumptions!$B17)*EJ17*AS17,"")</f>
        <v/>
      </c>
      <c r="CP17" s="41" t="str">
        <f ca="1">IFERROR(SUMIFS('TRA balance'!AQ$5:AQ$40,'TRA balance'!$C$5:$C$40,Assumptions!$C17,'TRA balance'!$D$5:$D$40,Assumptions!$B17)*EK17*AT17,"")</f>
        <v/>
      </c>
      <c r="CQ17" s="41" t="str">
        <f ca="1">IFERROR(SUMIFS('TRA balance'!AR$5:AR$40,'TRA balance'!$C$5:$C$40,Assumptions!$C17,'TRA balance'!$D$5:$D$40,Assumptions!$B17)*EL17*AU17,"")</f>
        <v/>
      </c>
      <c r="CR17" s="41" t="str">
        <f ca="1">IFERROR(SUMIFS('TRA balance'!AS$5:AS$40,'TRA balance'!$C$5:$C$40,Assumptions!$C17,'TRA balance'!$D$5:$D$40,Assumptions!$B17)*EM17*AV17,"")</f>
        <v/>
      </c>
      <c r="CS17" s="41" t="str">
        <f ca="1">IFERROR(SUMIFS('TRA balance'!AT$5:AT$40,'TRA balance'!$C$5:$C$40,Assumptions!$C17,'TRA balance'!$D$5:$D$40,Assumptions!$B17)*EN17*AW17,"")</f>
        <v/>
      </c>
      <c r="CT17" s="41" t="str">
        <f ca="1">IFERROR(SUMIFS('TRA balance'!AU$5:AU$40,'TRA balance'!$C$5:$C$40,Assumptions!$C17,'TRA balance'!$D$5:$D$40,Assumptions!$B17)*EO17*AX17,"")</f>
        <v/>
      </c>
      <c r="CU17" s="41" t="str">
        <f ca="1">IFERROR(SUMIFS('TRA balance'!AV$5:AV$40,'TRA balance'!$C$5:$C$40,Assumptions!$C17,'TRA balance'!$D$5:$D$40,Assumptions!$B17)*EP17*AY17,"")</f>
        <v/>
      </c>
      <c r="CV17" s="41" t="str">
        <f ca="1">IFERROR(SUMIFS('TRA balance'!AW$5:AW$40,'TRA balance'!$C$5:$C$40,Assumptions!$C17,'TRA balance'!$D$5:$D$40,Assumptions!$B17)*EQ17*AZ17,"")</f>
        <v/>
      </c>
      <c r="CW17" s="41" t="str">
        <f ca="1">IFERROR(SUMIFS('TRA balance'!AX$5:AX$40,'TRA balance'!$C$5:$C$40,Assumptions!$C17,'TRA balance'!$D$5:$D$40,Assumptions!$B17)*ER17*BA17,"")</f>
        <v/>
      </c>
      <c r="CY17" s="40">
        <f ca="1" t="shared" si="2"/>
        <v>1</v>
      </c>
      <c r="CZ17" s="40">
        <f ca="1" t="shared" si="3"/>
        <v>1</v>
      </c>
      <c r="DA17" s="40">
        <f ca="1" t="shared" si="4"/>
        <v>1</v>
      </c>
      <c r="DB17" s="40">
        <f ca="1" t="shared" si="5"/>
        <v>1</v>
      </c>
      <c r="DC17" s="40">
        <f ca="1" t="shared" si="6"/>
        <v>1</v>
      </c>
      <c r="DD17" s="40">
        <f ca="1" t="shared" si="7"/>
        <v>1</v>
      </c>
      <c r="DE17" s="40">
        <f ca="1" t="shared" si="8"/>
        <v>1</v>
      </c>
      <c r="DF17" s="40">
        <f ca="1" t="shared" si="9"/>
        <v>1</v>
      </c>
      <c r="DG17" s="40">
        <f ca="1" t="shared" si="10"/>
        <v>1</v>
      </c>
      <c r="DH17" s="40">
        <f ca="1" t="shared" si="11"/>
        <v>1</v>
      </c>
      <c r="DI17" s="40">
        <f ca="1" t="shared" si="12"/>
        <v>1</v>
      </c>
      <c r="DJ17" s="40">
        <f ca="1" t="shared" si="13"/>
        <v>1</v>
      </c>
      <c r="DK17" s="40">
        <f ca="1" t="shared" si="14"/>
        <v>1</v>
      </c>
      <c r="DL17" s="40">
        <f ca="1" t="shared" si="15"/>
        <v>1</v>
      </c>
      <c r="DM17" s="40">
        <f ca="1" t="shared" si="16"/>
        <v>1</v>
      </c>
      <c r="DN17" s="40">
        <f ca="1" t="shared" si="17"/>
        <v>1</v>
      </c>
      <c r="DO17" s="40">
        <f ca="1" t="shared" si="18"/>
        <v>1</v>
      </c>
      <c r="DP17" s="40">
        <f ca="1" t="shared" si="19"/>
        <v>1</v>
      </c>
      <c r="DQ17" s="40">
        <f ca="1" t="shared" si="20"/>
        <v>1</v>
      </c>
      <c r="DR17" s="40">
        <f ca="1" t="shared" si="21"/>
        <v>1</v>
      </c>
      <c r="DS17" s="40">
        <f ca="1" t="shared" si="22"/>
        <v>1</v>
      </c>
      <c r="DT17" s="40">
        <f ca="1" t="shared" si="23"/>
        <v>1</v>
      </c>
      <c r="DU17" s="40">
        <f ca="1" t="shared" si="24"/>
        <v>1</v>
      </c>
      <c r="DV17" s="40">
        <f ca="1" t="shared" si="25"/>
        <v>1</v>
      </c>
      <c r="DW17" s="40">
        <f ca="1" t="shared" si="26"/>
        <v>1</v>
      </c>
      <c r="DX17" s="40">
        <f ca="1" t="shared" si="27"/>
        <v>1</v>
      </c>
      <c r="DY17" s="40">
        <f ca="1" t="shared" si="28"/>
        <v>1</v>
      </c>
      <c r="DZ17" s="40">
        <f ca="1" t="shared" si="29"/>
        <v>1</v>
      </c>
      <c r="EA17" s="40">
        <f ca="1" t="shared" si="30"/>
        <v>1</v>
      </c>
      <c r="EB17" s="40">
        <f ca="1" t="shared" si="31"/>
        <v>1</v>
      </c>
      <c r="EC17" s="40">
        <f ca="1" t="shared" si="32"/>
        <v>1</v>
      </c>
      <c r="ED17" s="40">
        <f ca="1" t="shared" si="33"/>
        <v>1</v>
      </c>
      <c r="EE17" s="40">
        <f ca="1" t="shared" si="34"/>
        <v>1</v>
      </c>
      <c r="EF17" s="40">
        <f ca="1" t="shared" si="35"/>
        <v>1</v>
      </c>
      <c r="EG17" s="40">
        <f ca="1" t="shared" si="36"/>
        <v>1</v>
      </c>
      <c r="EH17" s="40">
        <f ca="1" t="shared" si="37"/>
        <v>1</v>
      </c>
      <c r="EI17" s="40">
        <f ca="1" t="shared" si="38"/>
        <v>1</v>
      </c>
      <c r="EJ17" s="40">
        <f ca="1" t="shared" si="39"/>
        <v>1</v>
      </c>
      <c r="EK17" s="40">
        <f ca="1" t="shared" si="40"/>
        <v>1</v>
      </c>
      <c r="EL17" s="40">
        <f ca="1" t="shared" si="41"/>
        <v>1</v>
      </c>
      <c r="EM17" s="40">
        <f ca="1" t="shared" si="42"/>
        <v>1</v>
      </c>
      <c r="EN17" s="40">
        <f ca="1" t="shared" si="43"/>
        <v>1</v>
      </c>
      <c r="EO17" s="40">
        <f ca="1" t="shared" si="44"/>
        <v>1</v>
      </c>
      <c r="EP17" s="40">
        <f ca="1" t="shared" si="45"/>
        <v>1</v>
      </c>
      <c r="EQ17" s="40">
        <f ca="1" t="shared" si="46"/>
        <v>1</v>
      </c>
      <c r="ER17" s="40">
        <f ca="1" t="shared" si="47"/>
        <v>1</v>
      </c>
    </row>
    <row r="18" spans="1:148">
      <c r="A18">
        <v>1</v>
      </c>
      <c r="B18" t="str">
        <f>VLOOKUP(F18,'TRA balance'!$BA$5:$BB$14,2,FALSE)</f>
        <v>TRADST</v>
      </c>
      <c r="C18" s="56" t="str">
        <f t="shared" si="48"/>
        <v>TT</v>
      </c>
      <c r="D18" s="57" t="s">
        <v>192</v>
      </c>
      <c r="E18" s="57" t="s">
        <v>193</v>
      </c>
      <c r="F18" s="58" t="str">
        <f t="shared" si="55"/>
        <v>Diesel</v>
      </c>
      <c r="G18" s="56" t="s">
        <v>194</v>
      </c>
      <c r="H18" s="59">
        <f ca="1">OFFSET(TIAM15_assumptions!$G18,0,MATCH(VLOOKUP(Assumptions!H$2,TIAM15_assumptions!$Y$3:$Z$87,2,FALSE),TIAM15_assumptions!$H$2:$V$2,0))</f>
        <v>0.7</v>
      </c>
      <c r="I18" s="59">
        <f ca="1">OFFSET(TIAM15_assumptions!$G18,0,MATCH(VLOOKUP(Assumptions!I$2,TIAM15_assumptions!$Y$3:$Z$87,2,FALSE),TIAM15_assumptions!$H$2:$V$2,0))</f>
        <v>0.7</v>
      </c>
      <c r="J18" s="59">
        <f ca="1">OFFSET(TIAM15_assumptions!$G18,0,MATCH(VLOOKUP(Assumptions!J$2,TIAM15_assumptions!$Y$3:$Z$87,2,FALSE),TIAM15_assumptions!$H$2:$V$2,0))</f>
        <v>0.7</v>
      </c>
      <c r="K18" s="59">
        <f ca="1">OFFSET(TIAM15_assumptions!$G18,0,MATCH(VLOOKUP(Assumptions!K$2,TIAM15_assumptions!$Y$3:$Z$87,2,FALSE),TIAM15_assumptions!$H$2:$V$2,0))</f>
        <v>0.9</v>
      </c>
      <c r="L18" s="59">
        <f ca="1">OFFSET(TIAM15_assumptions!$G18,0,MATCH(VLOOKUP(Assumptions!L$2,TIAM15_assumptions!$Y$3:$Z$87,2,FALSE),TIAM15_assumptions!$H$2:$V$2,0))</f>
        <v>0.9</v>
      </c>
      <c r="M18" s="59">
        <f ca="1">OFFSET(TIAM15_assumptions!$G18,0,MATCH(VLOOKUP(Assumptions!M$2,TIAM15_assumptions!$Y$3:$Z$87,2,FALSE),TIAM15_assumptions!$H$2:$V$2,0))</f>
        <v>0.9</v>
      </c>
      <c r="N18" s="59">
        <f ca="1">OFFSET(TIAM15_assumptions!$G18,0,MATCH(VLOOKUP(Assumptions!N$2,TIAM15_assumptions!$Y$3:$Z$87,2,FALSE),TIAM15_assumptions!$H$2:$V$2,0))</f>
        <v>0.8</v>
      </c>
      <c r="O18" s="59">
        <f ca="1">OFFSET(TIAM15_assumptions!$G18,0,MATCH(VLOOKUP(Assumptions!O$2,TIAM15_assumptions!$Y$3:$Z$87,2,FALSE),TIAM15_assumptions!$H$2:$V$2,0))</f>
        <v>0.6</v>
      </c>
      <c r="P18" s="59">
        <f ca="1">OFFSET(TIAM15_assumptions!$G18,0,MATCH(VLOOKUP(Assumptions!P$2,TIAM15_assumptions!$Y$3:$Z$87,2,FALSE),TIAM15_assumptions!$H$2:$V$2,0))</f>
        <v>0.9</v>
      </c>
      <c r="Q18" s="59">
        <f ca="1">OFFSET(TIAM15_assumptions!$G18,0,MATCH(VLOOKUP(Assumptions!Q$2,TIAM15_assumptions!$Y$3:$Z$87,2,FALSE),TIAM15_assumptions!$H$2:$V$2,0))</f>
        <v>0.9</v>
      </c>
      <c r="R18" s="59">
        <f ca="1">OFFSET(TIAM15_assumptions!$G18,0,MATCH(VLOOKUP(Assumptions!R$2,TIAM15_assumptions!$Y$3:$Z$87,2,FALSE),TIAM15_assumptions!$H$2:$V$2,0))</f>
        <v>0.9</v>
      </c>
      <c r="S18" s="59">
        <f ca="1">OFFSET(TIAM15_assumptions!$G18,0,MATCH(VLOOKUP(Assumptions!S$2,TIAM15_assumptions!$Y$3:$Z$87,2,FALSE),TIAM15_assumptions!$H$2:$V$2,0))</f>
        <v>0.9</v>
      </c>
      <c r="T18" s="59">
        <f ca="1">OFFSET(TIAM15_assumptions!$G18,0,MATCH(VLOOKUP(Assumptions!T$2,TIAM15_assumptions!$Y$3:$Z$87,2,FALSE),TIAM15_assumptions!$H$2:$V$2,0))</f>
        <v>0.9</v>
      </c>
      <c r="U18" s="59">
        <f ca="1">OFFSET(TIAM15_assumptions!$G18,0,MATCH(VLOOKUP(Assumptions!U$2,TIAM15_assumptions!$Y$3:$Z$87,2,FALSE),TIAM15_assumptions!$H$2:$V$2,0))</f>
        <v>0.9</v>
      </c>
      <c r="V18" s="59">
        <f ca="1">OFFSET(TIAM15_assumptions!$G18,0,MATCH(VLOOKUP(Assumptions!V$2,TIAM15_assumptions!$Y$3:$Z$87,2,FALSE),TIAM15_assumptions!$H$2:$V$2,0))</f>
        <v>0.9</v>
      </c>
      <c r="W18" s="59">
        <f ca="1">OFFSET(TIAM15_assumptions!$G18,0,MATCH(VLOOKUP(Assumptions!W$2,TIAM15_assumptions!$Y$3:$Z$87,2,FALSE),TIAM15_assumptions!$H$2:$V$2,0))</f>
        <v>0.5</v>
      </c>
      <c r="X18" s="59">
        <f ca="1">OFFSET(TIAM15_assumptions!$G18,0,MATCH(VLOOKUP(Assumptions!X$2,TIAM15_assumptions!$Y$3:$Z$87,2,FALSE),TIAM15_assumptions!$H$2:$V$2,0))</f>
        <v>0.9</v>
      </c>
      <c r="Y18" s="59">
        <f ca="1">OFFSET(TIAM15_assumptions!$G18,0,MATCH(VLOOKUP(Assumptions!Y$2,TIAM15_assumptions!$Y$3:$Z$87,2,FALSE),TIAM15_assumptions!$H$2:$V$2,0))</f>
        <v>0.9</v>
      </c>
      <c r="Z18" s="59">
        <f ca="1">OFFSET(TIAM15_assumptions!$G18,0,MATCH(VLOOKUP(Assumptions!Z$2,TIAM15_assumptions!$Y$3:$Z$87,2,FALSE),TIAM15_assumptions!$H$2:$V$2,0))</f>
        <v>0.3</v>
      </c>
      <c r="AA18" s="59">
        <f ca="1">OFFSET(TIAM15_assumptions!$G18,0,MATCH(VLOOKUP(Assumptions!AA$2,TIAM15_assumptions!$Y$3:$Z$87,2,FALSE),TIAM15_assumptions!$H$2:$V$2,0))</f>
        <v>0.8</v>
      </c>
      <c r="AB18" s="59">
        <f ca="1">OFFSET(TIAM15_assumptions!$G18,0,MATCH(VLOOKUP(Assumptions!AB$2,TIAM15_assumptions!$Y$3:$Z$87,2,FALSE),TIAM15_assumptions!$H$2:$V$2,0))</f>
        <v>0.7</v>
      </c>
      <c r="AC18" s="59">
        <f ca="1">OFFSET(TIAM15_assumptions!$G18,0,MATCH(VLOOKUP(Assumptions!AC$2,TIAM15_assumptions!$Y$3:$Z$87,2,FALSE),TIAM15_assumptions!$H$2:$V$2,0))</f>
        <v>0.960321230917373</v>
      </c>
      <c r="AD18" s="59">
        <f ca="1">OFFSET(TIAM15_assumptions!$G18,0,MATCH(VLOOKUP(Assumptions!AD$2,TIAM15_assumptions!$Y$3:$Z$87,2,FALSE),TIAM15_assumptions!$H$2:$V$2,0))</f>
        <v>0.9</v>
      </c>
      <c r="AE18" s="59">
        <f ca="1">OFFSET(TIAM15_assumptions!$G18,0,MATCH(VLOOKUP(Assumptions!AE$2,TIAM15_assumptions!$Y$3:$Z$87,2,FALSE),TIAM15_assumptions!$H$2:$V$2,0))</f>
        <v>0.9</v>
      </c>
      <c r="AF18" s="59">
        <f ca="1">OFFSET(TIAM15_assumptions!$G18,0,MATCH(VLOOKUP(Assumptions!AF$2,TIAM15_assumptions!$Y$3:$Z$87,2,FALSE),TIAM15_assumptions!$H$2:$V$2,0))</f>
        <v>0.8</v>
      </c>
      <c r="AG18" s="59">
        <f ca="1">OFFSET(TIAM15_assumptions!$G18,0,MATCH(VLOOKUP(Assumptions!AG$2,TIAM15_assumptions!$Y$3:$Z$87,2,FALSE),TIAM15_assumptions!$H$2:$V$2,0))</f>
        <v>0.9</v>
      </c>
      <c r="AH18" s="59">
        <f ca="1">OFFSET(TIAM15_assumptions!$G18,0,MATCH(VLOOKUP(Assumptions!AH$2,TIAM15_assumptions!$Y$3:$Z$87,2,FALSE),TIAM15_assumptions!$H$2:$V$2,0))</f>
        <v>0.7</v>
      </c>
      <c r="AI18" s="59">
        <f ca="1">OFFSET(TIAM15_assumptions!$G18,0,MATCH(VLOOKUP(Assumptions!AI$2,TIAM15_assumptions!$Y$3:$Z$87,2,FALSE),TIAM15_assumptions!$H$2:$V$2,0))</f>
        <v>0.7</v>
      </c>
      <c r="AJ18" s="59">
        <f ca="1">OFFSET(TIAM15_assumptions!$G18,0,MATCH(VLOOKUP(Assumptions!AJ$2,TIAM15_assumptions!$Y$3:$Z$87,2,FALSE),TIAM15_assumptions!$H$2:$V$2,0))</f>
        <v>0.9</v>
      </c>
      <c r="AK18" s="59">
        <f ca="1">OFFSET(TIAM15_assumptions!$G18,0,MATCH(VLOOKUP(Assumptions!AK$2,TIAM15_assumptions!$Y$3:$Z$87,2,FALSE),TIAM15_assumptions!$H$2:$V$2,0))</f>
        <v>0.9</v>
      </c>
      <c r="AL18" s="59">
        <f ca="1">OFFSET(TIAM15_assumptions!$G18,0,MATCH(VLOOKUP(Assumptions!AL$2,TIAM15_assumptions!$Y$3:$Z$87,2,FALSE),TIAM15_assumptions!$H$2:$V$2,0))</f>
        <v>0.9</v>
      </c>
      <c r="AM18" s="59">
        <f ca="1">OFFSET(TIAM15_assumptions!$G18,0,MATCH(VLOOKUP(Assumptions!AM$2,TIAM15_assumptions!$Y$3:$Z$87,2,FALSE),TIAM15_assumptions!$H$2:$V$2,0))</f>
        <v>0.7</v>
      </c>
      <c r="AN18" s="59">
        <f ca="1">OFFSET(TIAM15_assumptions!$G18,0,MATCH(VLOOKUP(Assumptions!AN$2,TIAM15_assumptions!$Y$3:$Z$87,2,FALSE),TIAM15_assumptions!$H$2:$V$2,0))</f>
        <v>0.9</v>
      </c>
      <c r="AO18" s="59">
        <f ca="1">OFFSET(TIAM15_assumptions!$G18,0,MATCH(VLOOKUP(Assumptions!AO$2,TIAM15_assumptions!$Y$3:$Z$87,2,FALSE),TIAM15_assumptions!$H$2:$V$2,0))</f>
        <v>0.9</v>
      </c>
      <c r="AP18" s="59">
        <f ca="1">OFFSET(TIAM15_assumptions!$G18,0,MATCH(VLOOKUP(Assumptions!AP$2,TIAM15_assumptions!$Y$3:$Z$87,2,FALSE),TIAM15_assumptions!$H$2:$V$2,0))</f>
        <v>0.9</v>
      </c>
      <c r="AQ18" s="59">
        <f ca="1">OFFSET(TIAM15_assumptions!$G18,0,MATCH(VLOOKUP(Assumptions!AQ$2,TIAM15_assumptions!$Y$3:$Z$87,2,FALSE),TIAM15_assumptions!$H$2:$V$2,0))</f>
        <v>0.960321230917373</v>
      </c>
      <c r="AR18" s="59">
        <f ca="1">OFFSET(TIAM15_assumptions!$G18,0,MATCH(VLOOKUP(Assumptions!AR$2,TIAM15_assumptions!$Y$3:$Z$87,2,FALSE),TIAM15_assumptions!$H$2:$V$2,0))</f>
        <v>0.960321230917373</v>
      </c>
      <c r="AS18" s="59">
        <f ca="1">OFFSET(TIAM15_assumptions!$G18,0,MATCH(VLOOKUP(Assumptions!AS$2,TIAM15_assumptions!$Y$3:$Z$87,2,FALSE),TIAM15_assumptions!$H$2:$V$2,0))</f>
        <v>0.960321230917373</v>
      </c>
      <c r="AT18" s="59">
        <f ca="1">OFFSET(TIAM15_assumptions!$G18,0,MATCH(VLOOKUP(Assumptions!AT$2,TIAM15_assumptions!$Y$3:$Z$87,2,FALSE),TIAM15_assumptions!$H$2:$V$2,0))</f>
        <v>0.960321230917373</v>
      </c>
      <c r="AU18" s="59">
        <f ca="1">OFFSET(TIAM15_assumptions!$G18,0,MATCH(VLOOKUP(Assumptions!AU$2,TIAM15_assumptions!$Y$3:$Z$87,2,FALSE),TIAM15_assumptions!$H$2:$V$2,0))</f>
        <v>0.960321230917373</v>
      </c>
      <c r="AV18" s="59">
        <f ca="1">OFFSET(TIAM15_assumptions!$G18,0,MATCH(VLOOKUP(Assumptions!AV$2,TIAM15_assumptions!$Y$3:$Z$87,2,FALSE),TIAM15_assumptions!$H$2:$V$2,0))</f>
        <v>0.960321230917373</v>
      </c>
      <c r="AW18" s="59">
        <f ca="1">OFFSET(TIAM15_assumptions!$G18,0,MATCH(VLOOKUP(Assumptions!AW$2,TIAM15_assumptions!$Y$3:$Z$87,2,FALSE),TIAM15_assumptions!$H$2:$V$2,0))</f>
        <v>0.960321230917373</v>
      </c>
      <c r="AX18" s="59">
        <f ca="1">OFFSET(TIAM15_assumptions!$G18,0,MATCH(VLOOKUP(Assumptions!AX$2,TIAM15_assumptions!$Y$3:$Z$87,2,FALSE),TIAM15_assumptions!$H$2:$V$2,0))</f>
        <v>0.960321230917373</v>
      </c>
      <c r="AY18" s="59">
        <f ca="1">OFFSET(TIAM15_assumptions!$G18,0,MATCH(VLOOKUP(Assumptions!AY$2,TIAM15_assumptions!$Y$3:$Z$87,2,FALSE),TIAM15_assumptions!$H$2:$V$2,0))</f>
        <v>0.960321230917373</v>
      </c>
      <c r="AZ18" s="59">
        <f ca="1">OFFSET(TIAM15_assumptions!$G18,0,MATCH(VLOOKUP(Assumptions!AZ$2,TIAM15_assumptions!$Y$3:$Z$87,2,FALSE),TIAM15_assumptions!$H$2:$V$2,0))</f>
        <v>0.960321230917373</v>
      </c>
      <c r="BA18" s="59">
        <f ca="1">OFFSET(TIAM15_assumptions!$G18,0,MATCH(VLOOKUP(Assumptions!BA$2,TIAM15_assumptions!$Y$3:$Z$87,2,FALSE),TIAM15_assumptions!$H$2:$V$2,0))</f>
        <v>0.960321230917373</v>
      </c>
      <c r="BD18" s="41">
        <f ca="1">IFERROR(SUMIFS('TRA balance'!E$5:E$40,'TRA balance'!$C$5:$C$40,Assumptions!$C18,'TRA balance'!$D$5:$D$40,Assumptions!$B18)*CY18*H18,"")</f>
        <v>1.86747441048</v>
      </c>
      <c r="BE18" s="41">
        <f ca="1">IFERROR(SUMIFS('TRA balance'!F$5:F$40,'TRA balance'!$C$5:$C$40,Assumptions!$C18,'TRA balance'!$D$5:$D$40,Assumptions!$B18)*CZ18*I18,"")</f>
        <v>10.55918831184</v>
      </c>
      <c r="BF18" s="41">
        <f ca="1">IFERROR(SUMIFS('TRA balance'!G$5:G$40,'TRA balance'!$C$5:$C$40,Assumptions!$C18,'TRA balance'!$D$5:$D$40,Assumptions!$B18)*DA18*J18,"")</f>
        <v>33.36780456576</v>
      </c>
      <c r="BG18" s="41">
        <f ca="1">IFERROR(SUMIFS('TRA balance'!H$5:H$40,'TRA balance'!$C$5:$C$40,Assumptions!$C18,'TRA balance'!$D$5:$D$40,Assumptions!$B18)*DB18*K18,"")</f>
        <v>1.19425288032</v>
      </c>
      <c r="BH18" s="41">
        <f ca="1">IFERROR(SUMIFS('TRA balance'!I$5:I$40,'TRA balance'!$C$5:$C$40,Assumptions!$C18,'TRA balance'!$D$5:$D$40,Assumptions!$B18)*DC18*L18,"")</f>
        <v>4.14957809196</v>
      </c>
      <c r="BI18" s="41">
        <f ca="1">IFERROR(SUMIFS('TRA balance'!J$5:J$40,'TRA balance'!$C$5:$C$40,Assumptions!$C18,'TRA balance'!$D$5:$D$40,Assumptions!$B18)*DD18*M18,"")</f>
        <v>1.70708647608</v>
      </c>
      <c r="BJ18" s="41">
        <f ca="1">IFERROR(SUMIFS('TRA balance'!K$5:K$40,'TRA balance'!$C$5:$C$40,Assumptions!$C18,'TRA balance'!$D$5:$D$40,Assumptions!$B18)*DE18*N18,"")</f>
        <v>32.62861665216</v>
      </c>
      <c r="BK18" s="41">
        <f ca="1">IFERROR(SUMIFS('TRA balance'!L$5:L$40,'TRA balance'!$C$5:$C$40,Assumptions!$C18,'TRA balance'!$D$5:$D$40,Assumptions!$B18)*DF18*O18,"")</f>
        <v>68.47090794072</v>
      </c>
      <c r="BL18" s="41">
        <f ca="1">IFERROR(SUMIFS('TRA balance'!M$5:M$40,'TRA balance'!$C$5:$C$40,Assumptions!$C18,'TRA balance'!$D$5:$D$40,Assumptions!$B18)*DG18*P18,"")</f>
        <v>0.82871509536</v>
      </c>
      <c r="BM18" s="41">
        <f ca="1">IFERROR(SUMIFS('TRA balance'!N$5:N$40,'TRA balance'!$C$5:$C$40,Assumptions!$C18,'TRA balance'!$D$5:$D$40,Assumptions!$B18)*DH18*Q18,"")</f>
        <v>2.95217883144</v>
      </c>
      <c r="BN18" s="41">
        <f ca="1">IFERROR(SUMIFS('TRA balance'!O$5:O$40,'TRA balance'!$C$5:$C$40,Assumptions!$C18,'TRA balance'!$D$5:$D$40,Assumptions!$B18)*DI18*R18,"")</f>
        <v>4.42171548648</v>
      </c>
      <c r="BO18" s="41">
        <f ca="1">IFERROR(SUMIFS('TRA balance'!P$5:P$40,'TRA balance'!$C$5:$C$40,Assumptions!$C18,'TRA balance'!$D$5:$D$40,Assumptions!$B18)*DJ18*S18,"")</f>
        <v>9.66167823096</v>
      </c>
      <c r="BP18" s="41">
        <f ca="1">IFERROR(SUMIFS('TRA balance'!Q$5:Q$40,'TRA balance'!$C$5:$C$40,Assumptions!$C18,'TRA balance'!$D$5:$D$40,Assumptions!$B18)*DK18*T18,"")</f>
        <v>0.39973347396</v>
      </c>
      <c r="BQ18" s="41">
        <f ca="1">IFERROR(SUMIFS('TRA balance'!R$5:R$40,'TRA balance'!$C$5:$C$40,Assumptions!$C18,'TRA balance'!$D$5:$D$40,Assumptions!$B18)*DL18*U18,"")</f>
        <v>6.70884374664</v>
      </c>
      <c r="BR18" s="41">
        <f ca="1">IFERROR(SUMIFS('TRA balance'!S$5:S$40,'TRA balance'!$C$5:$C$40,Assumptions!$C18,'TRA balance'!$D$5:$D$40,Assumptions!$B18)*DM18*V18,"")</f>
        <v>0</v>
      </c>
      <c r="BS18" s="41">
        <f ca="1">IFERROR(SUMIFS('TRA balance'!T$5:T$40,'TRA balance'!$C$5:$C$40,Assumptions!$C18,'TRA balance'!$D$5:$D$40,Assumptions!$B18)*DN18*W18,"")</f>
        <v>54.9780096096</v>
      </c>
      <c r="BT18" s="41">
        <f ca="1">IFERROR(SUMIFS('TRA balance'!U$5:U$40,'TRA balance'!$C$5:$C$40,Assumptions!$C18,'TRA balance'!$D$5:$D$40,Assumptions!$B18)*DO18*X18,"")</f>
        <v>1.47555434268</v>
      </c>
      <c r="BU18" s="41">
        <f ca="1">IFERROR(SUMIFS('TRA balance'!V$5:V$40,'TRA balance'!$C$5:$C$40,Assumptions!$C18,'TRA balance'!$D$5:$D$40,Assumptions!$B18)*DP18*Y18,"")</f>
        <v>1.64862032616</v>
      </c>
      <c r="BV18" s="41">
        <f ca="1">IFERROR(SUMIFS('TRA balance'!W$5:W$40,'TRA balance'!$C$5:$C$40,Assumptions!$C18,'TRA balance'!$D$5:$D$40,Assumptions!$B18)*DQ18*Z18,"")</f>
        <v>2.00706022908</v>
      </c>
      <c r="BW18" s="41">
        <f ca="1">IFERROR(SUMIFS('TRA balance'!X$5:X$40,'TRA balance'!$C$5:$C$40,Assumptions!$C18,'TRA balance'!$D$5:$D$40,Assumptions!$B18)*DR18*AA18,"")</f>
        <v>1.56257070048</v>
      </c>
      <c r="BX18" s="41">
        <f ca="1">IFERROR(SUMIFS('TRA balance'!Y$5:Y$40,'TRA balance'!$C$5:$C$40,Assumptions!$C18,'TRA balance'!$D$5:$D$40,Assumptions!$B18)*DS18*AB18,"")</f>
        <v>2.40085514592</v>
      </c>
      <c r="BY18" s="41">
        <f ca="1">IFERROR(SUMIFS('TRA balance'!Z$5:Z$40,'TRA balance'!$C$5:$C$40,Assumptions!$C18,'TRA balance'!$D$5:$D$40,Assumptions!$B18)*DT18*AC18,"")</f>
        <v>656.751677245628</v>
      </c>
      <c r="BZ18" s="41">
        <f ca="1">IFERROR(SUMIFS('TRA balance'!AA$5:AA$40,'TRA balance'!$C$5:$C$40,Assumptions!$C18,'TRA balance'!$D$5:$D$40,Assumptions!$B18)*DU18*AD18,"")</f>
        <v>0.51252837804</v>
      </c>
      <c r="CA18" s="41">
        <f ca="1">IFERROR(SUMIFS('TRA balance'!AB$5:AB$40,'TRA balance'!$C$5:$C$40,Assumptions!$C18,'TRA balance'!$D$5:$D$40,Assumptions!$B18)*DV18*AE18,"")</f>
        <v>3.22397332704</v>
      </c>
      <c r="CB18" s="41">
        <f ca="1">IFERROR(SUMIFS('TRA balance'!AC$5:AC$40,'TRA balance'!$C$5:$C$40,Assumptions!$C18,'TRA balance'!$D$5:$D$40,Assumptions!$B18)*DW18*AF18,"")</f>
        <v>62.2472322528</v>
      </c>
      <c r="CC18" s="41">
        <f ca="1">IFERROR(SUMIFS('TRA balance'!AD$5:AD$40,'TRA balance'!$C$5:$C$40,Assumptions!$C18,'TRA balance'!$D$5:$D$40,Assumptions!$B18)*DX18*AG18,"")</f>
        <v>154.81258092396</v>
      </c>
      <c r="CD18" s="41">
        <f ca="1">IFERROR(SUMIFS('TRA balance'!AE$5:AE$40,'TRA balance'!$C$5:$C$40,Assumptions!$C18,'TRA balance'!$D$5:$D$40,Assumptions!$B18)*DY18*AH18,"")</f>
        <v>0</v>
      </c>
      <c r="CE18" s="41">
        <f ca="1">IFERROR(SUMIFS('TRA balance'!AF$5:AF$40,'TRA balance'!$C$5:$C$40,Assumptions!$C18,'TRA balance'!$D$5:$D$40,Assumptions!$B18)*DZ18*AI18,"")</f>
        <v>3.53363491656</v>
      </c>
      <c r="CF18" s="41">
        <f ca="1">IFERROR(SUMIFS('TRA balance'!AG$5:AG$40,'TRA balance'!$C$5:$C$40,Assumptions!$C18,'TRA balance'!$D$5:$D$40,Assumptions!$B18)*EA18*AJ18,"")</f>
        <v>3.47931621072</v>
      </c>
      <c r="CG18" s="41">
        <f ca="1">IFERROR(SUMIFS('TRA balance'!AH$5:AH$40,'TRA balance'!$C$5:$C$40,Assumptions!$C18,'TRA balance'!$D$5:$D$40,Assumptions!$B18)*EB18*AK18,"")</f>
        <v>4.09793223924</v>
      </c>
      <c r="CH18" s="41">
        <f ca="1">IFERROR(SUMIFS('TRA balance'!AI$5:AI$40,'TRA balance'!$C$5:$C$40,Assumptions!$C18,'TRA balance'!$D$5:$D$40,Assumptions!$B18)*EC18*AL18,"")</f>
        <v>0.34149341124</v>
      </c>
      <c r="CI18" s="41">
        <f ca="1">IFERROR(SUMIFS('TRA balance'!AJ$5:AJ$40,'TRA balance'!$C$5:$C$40,Assumptions!$C18,'TRA balance'!$D$5:$D$40,Assumptions!$B18)*ED18*AM18,"")</f>
        <v>3.39947937756</v>
      </c>
      <c r="CJ18" s="41">
        <f ca="1">IFERROR(SUMIFS('TRA balance'!AK$5:AK$40,'TRA balance'!$C$5:$C$40,Assumptions!$C18,'TRA balance'!$D$5:$D$40,Assumptions!$B18)*EE18*AN18,"")</f>
        <v>24.32787953256</v>
      </c>
      <c r="CK18" s="41">
        <f ca="1">IFERROR(SUMIFS('TRA balance'!AL$5:AL$40,'TRA balance'!$C$5:$C$40,Assumptions!$C18,'TRA balance'!$D$5:$D$40,Assumptions!$B18)*EF18*AO18,"")</f>
        <v>1.27820659392</v>
      </c>
      <c r="CL18" s="41">
        <f ca="1">IFERROR(SUMIFS('TRA balance'!AM$5:AM$40,'TRA balance'!$C$5:$C$40,Assumptions!$C18,'TRA balance'!$D$5:$D$40,Assumptions!$B18)*EG18*AP18,"")</f>
        <v>0.70488713592</v>
      </c>
      <c r="CM18" s="41">
        <f ca="1">IFERROR(SUMIFS('TRA balance'!AN$5:AN$40,'TRA balance'!$C$5:$C$40,Assumptions!$C18,'TRA balance'!$D$5:$D$40,Assumptions!$B18)*EH18*AQ18,"")</f>
        <v>0</v>
      </c>
      <c r="CN18" s="41">
        <f ca="1">IFERROR(SUMIFS('TRA balance'!AO$5:AO$40,'TRA balance'!$C$5:$C$40,Assumptions!$C18,'TRA balance'!$D$5:$D$40,Assumptions!$B18)*EI18*AR18,"")</f>
        <v>0</v>
      </c>
      <c r="CO18" s="41">
        <f ca="1">IFERROR(SUMIFS('TRA balance'!AP$5:AP$40,'TRA balance'!$C$5:$C$40,Assumptions!$C18,'TRA balance'!$D$5:$D$40,Assumptions!$B18)*EJ18*AS18,"")</f>
        <v>0</v>
      </c>
      <c r="CP18" s="41">
        <f ca="1">IFERROR(SUMIFS('TRA balance'!AQ$5:AQ$40,'TRA balance'!$C$5:$C$40,Assumptions!$C18,'TRA balance'!$D$5:$D$40,Assumptions!$B18)*EK18*AT18,"")</f>
        <v>0</v>
      </c>
      <c r="CQ18" s="41">
        <f ca="1">IFERROR(SUMIFS('TRA balance'!AR$5:AR$40,'TRA balance'!$C$5:$C$40,Assumptions!$C18,'TRA balance'!$D$5:$D$40,Assumptions!$B18)*EL18*AU18,"")</f>
        <v>0</v>
      </c>
      <c r="CR18" s="41">
        <f ca="1">IFERROR(SUMIFS('TRA balance'!AS$5:AS$40,'TRA balance'!$C$5:$C$40,Assumptions!$C18,'TRA balance'!$D$5:$D$40,Assumptions!$B18)*EM18*AV18,"")</f>
        <v>0</v>
      </c>
      <c r="CS18" s="41">
        <f ca="1">IFERROR(SUMIFS('TRA balance'!AT$5:AT$40,'TRA balance'!$C$5:$C$40,Assumptions!$C18,'TRA balance'!$D$5:$D$40,Assumptions!$B18)*EN18*AW18,"")</f>
        <v>0</v>
      </c>
      <c r="CT18" s="41">
        <f ca="1">IFERROR(SUMIFS('TRA balance'!AU$5:AU$40,'TRA balance'!$C$5:$C$40,Assumptions!$C18,'TRA balance'!$D$5:$D$40,Assumptions!$B18)*EO18*AX18,"")</f>
        <v>0</v>
      </c>
      <c r="CU18" s="41">
        <f ca="1">IFERROR(SUMIFS('TRA balance'!AV$5:AV$40,'TRA balance'!$C$5:$C$40,Assumptions!$C18,'TRA balance'!$D$5:$D$40,Assumptions!$B18)*EP18*AY18,"")</f>
        <v>0</v>
      </c>
      <c r="CV18" s="41">
        <f ca="1">IFERROR(SUMIFS('TRA balance'!AW$5:AW$40,'TRA balance'!$C$5:$C$40,Assumptions!$C18,'TRA balance'!$D$5:$D$40,Assumptions!$B18)*EQ18*AZ18,"")</f>
        <v>0</v>
      </c>
      <c r="CW18" s="41">
        <f ca="1">IFERROR(SUMIFS('TRA balance'!AX$5:AX$40,'TRA balance'!$C$5:$C$40,Assumptions!$C18,'TRA balance'!$D$5:$D$40,Assumptions!$B18)*ER18*BA18,"")</f>
        <v>0</v>
      </c>
      <c r="CY18" s="40">
        <f ca="1" t="shared" si="2"/>
        <v>1</v>
      </c>
      <c r="CZ18" s="40">
        <f ca="1" t="shared" si="3"/>
        <v>1</v>
      </c>
      <c r="DA18" s="40">
        <f ca="1" t="shared" si="4"/>
        <v>1</v>
      </c>
      <c r="DB18" s="40">
        <f ca="1" t="shared" si="5"/>
        <v>1</v>
      </c>
      <c r="DC18" s="40">
        <f ca="1" t="shared" si="6"/>
        <v>1</v>
      </c>
      <c r="DD18" s="40">
        <f ca="1" t="shared" si="7"/>
        <v>1</v>
      </c>
      <c r="DE18" s="40">
        <f ca="1" t="shared" si="8"/>
        <v>1</v>
      </c>
      <c r="DF18" s="40">
        <f ca="1" t="shared" si="9"/>
        <v>1</v>
      </c>
      <c r="DG18" s="40">
        <f ca="1" t="shared" si="10"/>
        <v>1</v>
      </c>
      <c r="DH18" s="40">
        <f ca="1" t="shared" si="11"/>
        <v>1</v>
      </c>
      <c r="DI18" s="40">
        <f ca="1" t="shared" si="12"/>
        <v>1</v>
      </c>
      <c r="DJ18" s="40">
        <f ca="1" t="shared" si="13"/>
        <v>1</v>
      </c>
      <c r="DK18" s="40">
        <f ca="1" t="shared" si="14"/>
        <v>1</v>
      </c>
      <c r="DL18" s="40">
        <f ca="1" t="shared" si="15"/>
        <v>1</v>
      </c>
      <c r="DM18" s="40">
        <f ca="1" t="shared" si="16"/>
        <v>1</v>
      </c>
      <c r="DN18" s="40">
        <f ca="1" t="shared" si="17"/>
        <v>1</v>
      </c>
      <c r="DO18" s="40">
        <f ca="1" t="shared" si="18"/>
        <v>1</v>
      </c>
      <c r="DP18" s="40">
        <f ca="1" t="shared" si="19"/>
        <v>1</v>
      </c>
      <c r="DQ18" s="40">
        <f ca="1" t="shared" si="20"/>
        <v>1</v>
      </c>
      <c r="DR18" s="40">
        <f ca="1" t="shared" si="21"/>
        <v>1</v>
      </c>
      <c r="DS18" s="40">
        <f ca="1" t="shared" si="22"/>
        <v>1</v>
      </c>
      <c r="DT18" s="40">
        <f ca="1" t="shared" si="23"/>
        <v>1</v>
      </c>
      <c r="DU18" s="40">
        <f ca="1" t="shared" si="24"/>
        <v>1</v>
      </c>
      <c r="DV18" s="40">
        <f ca="1" t="shared" si="25"/>
        <v>1</v>
      </c>
      <c r="DW18" s="40">
        <f ca="1" t="shared" si="26"/>
        <v>1</v>
      </c>
      <c r="DX18" s="40">
        <f ca="1" t="shared" si="27"/>
        <v>1</v>
      </c>
      <c r="DY18" s="40">
        <f ca="1" t="shared" si="28"/>
        <v>1</v>
      </c>
      <c r="DZ18" s="40">
        <f ca="1" t="shared" si="29"/>
        <v>1</v>
      </c>
      <c r="EA18" s="40">
        <f ca="1" t="shared" si="30"/>
        <v>1</v>
      </c>
      <c r="EB18" s="40">
        <f ca="1" t="shared" si="31"/>
        <v>1</v>
      </c>
      <c r="EC18" s="40">
        <f ca="1" t="shared" si="32"/>
        <v>1</v>
      </c>
      <c r="ED18" s="40">
        <f ca="1" t="shared" si="33"/>
        <v>1</v>
      </c>
      <c r="EE18" s="40">
        <f ca="1" t="shared" si="34"/>
        <v>1</v>
      </c>
      <c r="EF18" s="40">
        <f ca="1" t="shared" si="35"/>
        <v>1</v>
      </c>
      <c r="EG18" s="40">
        <f ca="1" t="shared" si="36"/>
        <v>1</v>
      </c>
      <c r="EH18" s="40">
        <f ca="1" t="shared" si="37"/>
        <v>1</v>
      </c>
      <c r="EI18" s="40">
        <f ca="1" t="shared" si="38"/>
        <v>1</v>
      </c>
      <c r="EJ18" s="40">
        <f ca="1" t="shared" si="39"/>
        <v>1</v>
      </c>
      <c r="EK18" s="40">
        <f ca="1" t="shared" si="40"/>
        <v>1</v>
      </c>
      <c r="EL18" s="40">
        <f ca="1" t="shared" si="41"/>
        <v>1</v>
      </c>
      <c r="EM18" s="40">
        <f ca="1" t="shared" si="42"/>
        <v>1</v>
      </c>
      <c r="EN18" s="40">
        <f ca="1" t="shared" si="43"/>
        <v>1</v>
      </c>
      <c r="EO18" s="40">
        <f ca="1" t="shared" si="44"/>
        <v>1</v>
      </c>
      <c r="EP18" s="40">
        <f ca="1" t="shared" si="45"/>
        <v>1</v>
      </c>
      <c r="EQ18" s="40">
        <f ca="1" t="shared" si="46"/>
        <v>1</v>
      </c>
      <c r="ER18" s="40">
        <f ca="1" t="shared" si="47"/>
        <v>1</v>
      </c>
    </row>
    <row r="19" spans="1:148">
      <c r="A19">
        <v>1</v>
      </c>
      <c r="B19" t="str">
        <f>VLOOKUP(F19,'TRA balance'!$BA$5:$BB$14,2,FALSE)</f>
        <v>TRADST</v>
      </c>
      <c r="C19" s="56" t="str">
        <f t="shared" si="48"/>
        <v>TT</v>
      </c>
      <c r="D19" s="57" t="s">
        <v>192</v>
      </c>
      <c r="E19" s="57" t="s">
        <v>197</v>
      </c>
      <c r="F19" s="58" t="str">
        <f t="shared" si="55"/>
        <v>Diesel</v>
      </c>
      <c r="G19" s="56" t="s">
        <v>198</v>
      </c>
      <c r="H19" s="59">
        <f ca="1">OFFSET(TIAM15_assumptions!$G19,0,MATCH(VLOOKUP(Assumptions!H$2,TIAM15_assumptions!$Y$3:$Z$87,2,FALSE),TIAM15_assumptions!$H$2:$V$2,0))</f>
        <v>0.3</v>
      </c>
      <c r="I19" s="59">
        <f ca="1">OFFSET(TIAM15_assumptions!$G19,0,MATCH(VLOOKUP(Assumptions!I$2,TIAM15_assumptions!$Y$3:$Z$87,2,FALSE),TIAM15_assumptions!$H$2:$V$2,0))</f>
        <v>0.3</v>
      </c>
      <c r="J19" s="59">
        <f ca="1">OFFSET(TIAM15_assumptions!$G19,0,MATCH(VLOOKUP(Assumptions!J$2,TIAM15_assumptions!$Y$3:$Z$87,2,FALSE),TIAM15_assumptions!$H$2:$V$2,0))</f>
        <v>0.3</v>
      </c>
      <c r="K19" s="59">
        <f ca="1">OFFSET(TIAM15_assumptions!$G19,0,MATCH(VLOOKUP(Assumptions!K$2,TIAM15_assumptions!$Y$3:$Z$87,2,FALSE),TIAM15_assumptions!$H$2:$V$2,0))</f>
        <v>0.1</v>
      </c>
      <c r="L19" s="59">
        <f ca="1">OFFSET(TIAM15_assumptions!$G19,0,MATCH(VLOOKUP(Assumptions!L$2,TIAM15_assumptions!$Y$3:$Z$87,2,FALSE),TIAM15_assumptions!$H$2:$V$2,0))</f>
        <v>0.1</v>
      </c>
      <c r="M19" s="59">
        <f ca="1">OFFSET(TIAM15_assumptions!$G19,0,MATCH(VLOOKUP(Assumptions!M$2,TIAM15_assumptions!$Y$3:$Z$87,2,FALSE),TIAM15_assumptions!$H$2:$V$2,0))</f>
        <v>0.1</v>
      </c>
      <c r="N19" s="59">
        <f ca="1">OFFSET(TIAM15_assumptions!$G19,0,MATCH(VLOOKUP(Assumptions!N$2,TIAM15_assumptions!$Y$3:$Z$87,2,FALSE),TIAM15_assumptions!$H$2:$V$2,0))</f>
        <v>0.2</v>
      </c>
      <c r="O19" s="59">
        <f ca="1">OFFSET(TIAM15_assumptions!$G19,0,MATCH(VLOOKUP(Assumptions!O$2,TIAM15_assumptions!$Y$3:$Z$87,2,FALSE),TIAM15_assumptions!$H$2:$V$2,0))</f>
        <v>0.4</v>
      </c>
      <c r="P19" s="59">
        <f ca="1">OFFSET(TIAM15_assumptions!$G19,0,MATCH(VLOOKUP(Assumptions!P$2,TIAM15_assumptions!$Y$3:$Z$87,2,FALSE),TIAM15_assumptions!$H$2:$V$2,0))</f>
        <v>0.1</v>
      </c>
      <c r="Q19" s="59">
        <f ca="1">OFFSET(TIAM15_assumptions!$G19,0,MATCH(VLOOKUP(Assumptions!Q$2,TIAM15_assumptions!$Y$3:$Z$87,2,FALSE),TIAM15_assumptions!$H$2:$V$2,0))</f>
        <v>0.1</v>
      </c>
      <c r="R19" s="59">
        <f ca="1">OFFSET(TIAM15_assumptions!$G19,0,MATCH(VLOOKUP(Assumptions!R$2,TIAM15_assumptions!$Y$3:$Z$87,2,FALSE),TIAM15_assumptions!$H$2:$V$2,0))</f>
        <v>0.1</v>
      </c>
      <c r="S19" s="59">
        <f ca="1">OFFSET(TIAM15_assumptions!$G19,0,MATCH(VLOOKUP(Assumptions!S$2,TIAM15_assumptions!$Y$3:$Z$87,2,FALSE),TIAM15_assumptions!$H$2:$V$2,0))</f>
        <v>0.1</v>
      </c>
      <c r="T19" s="59">
        <f ca="1">OFFSET(TIAM15_assumptions!$G19,0,MATCH(VLOOKUP(Assumptions!T$2,TIAM15_assumptions!$Y$3:$Z$87,2,FALSE),TIAM15_assumptions!$H$2:$V$2,0))</f>
        <v>0.1</v>
      </c>
      <c r="U19" s="59">
        <f ca="1">OFFSET(TIAM15_assumptions!$G19,0,MATCH(VLOOKUP(Assumptions!U$2,TIAM15_assumptions!$Y$3:$Z$87,2,FALSE),TIAM15_assumptions!$H$2:$V$2,0))</f>
        <v>0.1</v>
      </c>
      <c r="V19" s="59">
        <f ca="1">OFFSET(TIAM15_assumptions!$G19,0,MATCH(VLOOKUP(Assumptions!V$2,TIAM15_assumptions!$Y$3:$Z$87,2,FALSE),TIAM15_assumptions!$H$2:$V$2,0))</f>
        <v>0.1</v>
      </c>
      <c r="W19" s="59">
        <f ca="1">OFFSET(TIAM15_assumptions!$G19,0,MATCH(VLOOKUP(Assumptions!W$2,TIAM15_assumptions!$Y$3:$Z$87,2,FALSE),TIAM15_assumptions!$H$2:$V$2,0))</f>
        <v>0.5</v>
      </c>
      <c r="X19" s="59">
        <f ca="1">OFFSET(TIAM15_assumptions!$G19,0,MATCH(VLOOKUP(Assumptions!X$2,TIAM15_assumptions!$Y$3:$Z$87,2,FALSE),TIAM15_assumptions!$H$2:$V$2,0))</f>
        <v>0.1</v>
      </c>
      <c r="Y19" s="59">
        <f ca="1">OFFSET(TIAM15_assumptions!$G19,0,MATCH(VLOOKUP(Assumptions!Y$2,TIAM15_assumptions!$Y$3:$Z$87,2,FALSE),TIAM15_assumptions!$H$2:$V$2,0))</f>
        <v>0.1</v>
      </c>
      <c r="Z19" s="59">
        <f ca="1">OFFSET(TIAM15_assumptions!$G19,0,MATCH(VLOOKUP(Assumptions!Z$2,TIAM15_assumptions!$Y$3:$Z$87,2,FALSE),TIAM15_assumptions!$H$2:$V$2,0))</f>
        <v>0.7</v>
      </c>
      <c r="AA19" s="59">
        <f ca="1">OFFSET(TIAM15_assumptions!$G19,0,MATCH(VLOOKUP(Assumptions!AA$2,TIAM15_assumptions!$Y$3:$Z$87,2,FALSE),TIAM15_assumptions!$H$2:$V$2,0))</f>
        <v>0.2</v>
      </c>
      <c r="AB19" s="59">
        <f ca="1">OFFSET(TIAM15_assumptions!$G19,0,MATCH(VLOOKUP(Assumptions!AB$2,TIAM15_assumptions!$Y$3:$Z$87,2,FALSE),TIAM15_assumptions!$H$2:$V$2,0))</f>
        <v>0.3</v>
      </c>
      <c r="AC19" s="59">
        <f ca="1">OFFSET(TIAM15_assumptions!$G19,0,MATCH(VLOOKUP(Assumptions!AC$2,TIAM15_assumptions!$Y$3:$Z$87,2,FALSE),TIAM15_assumptions!$H$2:$V$2,0))</f>
        <v>0.0396787690826272</v>
      </c>
      <c r="AD19" s="59">
        <f ca="1">OFFSET(TIAM15_assumptions!$G19,0,MATCH(VLOOKUP(Assumptions!AD$2,TIAM15_assumptions!$Y$3:$Z$87,2,FALSE),TIAM15_assumptions!$H$2:$V$2,0))</f>
        <v>0.1</v>
      </c>
      <c r="AE19" s="59">
        <f ca="1">OFFSET(TIAM15_assumptions!$G19,0,MATCH(VLOOKUP(Assumptions!AE$2,TIAM15_assumptions!$Y$3:$Z$87,2,FALSE),TIAM15_assumptions!$H$2:$V$2,0))</f>
        <v>0.1</v>
      </c>
      <c r="AF19" s="59">
        <f ca="1">OFFSET(TIAM15_assumptions!$G19,0,MATCH(VLOOKUP(Assumptions!AF$2,TIAM15_assumptions!$Y$3:$Z$87,2,FALSE),TIAM15_assumptions!$H$2:$V$2,0))</f>
        <v>0.2</v>
      </c>
      <c r="AG19" s="59">
        <f ca="1">OFFSET(TIAM15_assumptions!$G19,0,MATCH(VLOOKUP(Assumptions!AG$2,TIAM15_assumptions!$Y$3:$Z$87,2,FALSE),TIAM15_assumptions!$H$2:$V$2,0))</f>
        <v>0.1</v>
      </c>
      <c r="AH19" s="59">
        <f ca="1">OFFSET(TIAM15_assumptions!$G19,0,MATCH(VLOOKUP(Assumptions!AH$2,TIAM15_assumptions!$Y$3:$Z$87,2,FALSE),TIAM15_assumptions!$H$2:$V$2,0))</f>
        <v>0.3</v>
      </c>
      <c r="AI19" s="59">
        <f ca="1">OFFSET(TIAM15_assumptions!$G19,0,MATCH(VLOOKUP(Assumptions!AI$2,TIAM15_assumptions!$Y$3:$Z$87,2,FALSE),TIAM15_assumptions!$H$2:$V$2,0))</f>
        <v>0.3</v>
      </c>
      <c r="AJ19" s="59">
        <f ca="1">OFFSET(TIAM15_assumptions!$G19,0,MATCH(VLOOKUP(Assumptions!AJ$2,TIAM15_assumptions!$Y$3:$Z$87,2,FALSE),TIAM15_assumptions!$H$2:$V$2,0))</f>
        <v>0.1</v>
      </c>
      <c r="AK19" s="59">
        <f ca="1">OFFSET(TIAM15_assumptions!$G19,0,MATCH(VLOOKUP(Assumptions!AK$2,TIAM15_assumptions!$Y$3:$Z$87,2,FALSE),TIAM15_assumptions!$H$2:$V$2,0))</f>
        <v>0.1</v>
      </c>
      <c r="AL19" s="59">
        <f ca="1">OFFSET(TIAM15_assumptions!$G19,0,MATCH(VLOOKUP(Assumptions!AL$2,TIAM15_assumptions!$Y$3:$Z$87,2,FALSE),TIAM15_assumptions!$H$2:$V$2,0))</f>
        <v>0.1</v>
      </c>
      <c r="AM19" s="59">
        <f ca="1">OFFSET(TIAM15_assumptions!$G19,0,MATCH(VLOOKUP(Assumptions!AM$2,TIAM15_assumptions!$Y$3:$Z$87,2,FALSE),TIAM15_assumptions!$H$2:$V$2,0))</f>
        <v>0.3</v>
      </c>
      <c r="AN19" s="59">
        <f ca="1">OFFSET(TIAM15_assumptions!$G19,0,MATCH(VLOOKUP(Assumptions!AN$2,TIAM15_assumptions!$Y$3:$Z$87,2,FALSE),TIAM15_assumptions!$H$2:$V$2,0))</f>
        <v>0.1</v>
      </c>
      <c r="AO19" s="59">
        <f ca="1">OFFSET(TIAM15_assumptions!$G19,0,MATCH(VLOOKUP(Assumptions!AO$2,TIAM15_assumptions!$Y$3:$Z$87,2,FALSE),TIAM15_assumptions!$H$2:$V$2,0))</f>
        <v>0.1</v>
      </c>
      <c r="AP19" s="59">
        <f ca="1">OFFSET(TIAM15_assumptions!$G19,0,MATCH(VLOOKUP(Assumptions!AP$2,TIAM15_assumptions!$Y$3:$Z$87,2,FALSE),TIAM15_assumptions!$H$2:$V$2,0))</f>
        <v>0.1</v>
      </c>
      <c r="AQ19" s="59">
        <f ca="1">OFFSET(TIAM15_assumptions!$G19,0,MATCH(VLOOKUP(Assumptions!AQ$2,TIAM15_assumptions!$Y$3:$Z$87,2,FALSE),TIAM15_assumptions!$H$2:$V$2,0))</f>
        <v>0.0396787690826272</v>
      </c>
      <c r="AR19" s="59">
        <f ca="1">OFFSET(TIAM15_assumptions!$G19,0,MATCH(VLOOKUP(Assumptions!AR$2,TIAM15_assumptions!$Y$3:$Z$87,2,FALSE),TIAM15_assumptions!$H$2:$V$2,0))</f>
        <v>0.0396787690826272</v>
      </c>
      <c r="AS19" s="59">
        <f ca="1">OFFSET(TIAM15_assumptions!$G19,0,MATCH(VLOOKUP(Assumptions!AS$2,TIAM15_assumptions!$Y$3:$Z$87,2,FALSE),TIAM15_assumptions!$H$2:$V$2,0))</f>
        <v>0.0396787690826272</v>
      </c>
      <c r="AT19" s="59">
        <f ca="1">OFFSET(TIAM15_assumptions!$G19,0,MATCH(VLOOKUP(Assumptions!AT$2,TIAM15_assumptions!$Y$3:$Z$87,2,FALSE),TIAM15_assumptions!$H$2:$V$2,0))</f>
        <v>0.0396787690826272</v>
      </c>
      <c r="AU19" s="59">
        <f ca="1">OFFSET(TIAM15_assumptions!$G19,0,MATCH(VLOOKUP(Assumptions!AU$2,TIAM15_assumptions!$Y$3:$Z$87,2,FALSE),TIAM15_assumptions!$H$2:$V$2,0))</f>
        <v>0.0396787690826272</v>
      </c>
      <c r="AV19" s="59">
        <f ca="1">OFFSET(TIAM15_assumptions!$G19,0,MATCH(VLOOKUP(Assumptions!AV$2,TIAM15_assumptions!$Y$3:$Z$87,2,FALSE),TIAM15_assumptions!$H$2:$V$2,0))</f>
        <v>0.0396787690826272</v>
      </c>
      <c r="AW19" s="59">
        <f ca="1">OFFSET(TIAM15_assumptions!$G19,0,MATCH(VLOOKUP(Assumptions!AW$2,TIAM15_assumptions!$Y$3:$Z$87,2,FALSE),TIAM15_assumptions!$H$2:$V$2,0))</f>
        <v>0.0396787690826272</v>
      </c>
      <c r="AX19" s="59">
        <f ca="1">OFFSET(TIAM15_assumptions!$G19,0,MATCH(VLOOKUP(Assumptions!AX$2,TIAM15_assumptions!$Y$3:$Z$87,2,FALSE),TIAM15_assumptions!$H$2:$V$2,0))</f>
        <v>0.0396787690826272</v>
      </c>
      <c r="AY19" s="59">
        <f ca="1">OFFSET(TIAM15_assumptions!$G19,0,MATCH(VLOOKUP(Assumptions!AY$2,TIAM15_assumptions!$Y$3:$Z$87,2,FALSE),TIAM15_assumptions!$H$2:$V$2,0))</f>
        <v>0.0396787690826272</v>
      </c>
      <c r="AZ19" s="59">
        <f ca="1">OFFSET(TIAM15_assumptions!$G19,0,MATCH(VLOOKUP(Assumptions!AZ$2,TIAM15_assumptions!$Y$3:$Z$87,2,FALSE),TIAM15_assumptions!$H$2:$V$2,0))</f>
        <v>0.0396787690826272</v>
      </c>
      <c r="BA19" s="59">
        <f ca="1">OFFSET(TIAM15_assumptions!$G19,0,MATCH(VLOOKUP(Assumptions!BA$2,TIAM15_assumptions!$Y$3:$Z$87,2,FALSE),TIAM15_assumptions!$H$2:$V$2,0))</f>
        <v>0.0396787690826272</v>
      </c>
      <c r="BD19" s="41">
        <f ca="1">IFERROR(SUMIFS('TRA balance'!E$5:E$40,'TRA balance'!$C$5:$C$40,Assumptions!$C19,'TRA balance'!$D$5:$D$40,Assumptions!$B19)*CY19*H19,"")</f>
        <v>0.80034617592</v>
      </c>
      <c r="BE19" s="41">
        <f ca="1">IFERROR(SUMIFS('TRA balance'!F$5:F$40,'TRA balance'!$C$5:$C$40,Assumptions!$C19,'TRA balance'!$D$5:$D$40,Assumptions!$B19)*CZ19*I19,"")</f>
        <v>4.52536641936</v>
      </c>
      <c r="BF19" s="41">
        <f ca="1">IFERROR(SUMIFS('TRA balance'!G$5:G$40,'TRA balance'!$C$5:$C$40,Assumptions!$C19,'TRA balance'!$D$5:$D$40,Assumptions!$B19)*DA19*J19,"")</f>
        <v>14.30048767104</v>
      </c>
      <c r="BG19" s="41">
        <f ca="1">IFERROR(SUMIFS('TRA balance'!H$5:H$40,'TRA balance'!$C$5:$C$40,Assumptions!$C19,'TRA balance'!$D$5:$D$40,Assumptions!$B19)*DB19*K19,"")</f>
        <v>0.13269476448</v>
      </c>
      <c r="BH19" s="41">
        <f ca="1">IFERROR(SUMIFS('TRA balance'!I$5:I$40,'TRA balance'!$C$5:$C$40,Assumptions!$C19,'TRA balance'!$D$5:$D$40,Assumptions!$B19)*DC19*L19,"")</f>
        <v>0.46106423244</v>
      </c>
      <c r="BI19" s="41">
        <f ca="1">IFERROR(SUMIFS('TRA balance'!J$5:J$40,'TRA balance'!$C$5:$C$40,Assumptions!$C19,'TRA balance'!$D$5:$D$40,Assumptions!$B19)*DD19*M19,"")</f>
        <v>0.18967627512</v>
      </c>
      <c r="BJ19" s="41">
        <f ca="1">IFERROR(SUMIFS('TRA balance'!K$5:K$40,'TRA balance'!$C$5:$C$40,Assumptions!$C19,'TRA balance'!$D$5:$D$40,Assumptions!$B19)*DE19*N19,"")</f>
        <v>8.15715416304</v>
      </c>
      <c r="BK19" s="41">
        <f ca="1">IFERROR(SUMIFS('TRA balance'!L$5:L$40,'TRA balance'!$C$5:$C$40,Assumptions!$C19,'TRA balance'!$D$5:$D$40,Assumptions!$B19)*DF19*O19,"")</f>
        <v>45.64727196048</v>
      </c>
      <c r="BL19" s="41">
        <f ca="1">IFERROR(SUMIFS('TRA balance'!M$5:M$40,'TRA balance'!$C$5:$C$40,Assumptions!$C19,'TRA balance'!$D$5:$D$40,Assumptions!$B19)*DG19*P19,"")</f>
        <v>0.09207945504</v>
      </c>
      <c r="BM19" s="41">
        <f ca="1">IFERROR(SUMIFS('TRA balance'!N$5:N$40,'TRA balance'!$C$5:$C$40,Assumptions!$C19,'TRA balance'!$D$5:$D$40,Assumptions!$B19)*DH19*Q19,"")</f>
        <v>0.32801987016</v>
      </c>
      <c r="BN19" s="41">
        <f ca="1">IFERROR(SUMIFS('TRA balance'!O$5:O$40,'TRA balance'!$C$5:$C$40,Assumptions!$C19,'TRA balance'!$D$5:$D$40,Assumptions!$B19)*DI19*R19,"")</f>
        <v>0.49130172072</v>
      </c>
      <c r="BO19" s="41">
        <f ca="1">IFERROR(SUMIFS('TRA balance'!P$5:P$40,'TRA balance'!$C$5:$C$40,Assumptions!$C19,'TRA balance'!$D$5:$D$40,Assumptions!$B19)*DJ19*S19,"")</f>
        <v>1.07351980344</v>
      </c>
      <c r="BP19" s="41">
        <f ca="1">IFERROR(SUMIFS('TRA balance'!Q$5:Q$40,'TRA balance'!$C$5:$C$40,Assumptions!$C19,'TRA balance'!$D$5:$D$40,Assumptions!$B19)*DK19*T19,"")</f>
        <v>0.04441483044</v>
      </c>
      <c r="BQ19" s="41">
        <f ca="1">IFERROR(SUMIFS('TRA balance'!R$5:R$40,'TRA balance'!$C$5:$C$40,Assumptions!$C19,'TRA balance'!$D$5:$D$40,Assumptions!$B19)*DL19*U19,"")</f>
        <v>0.74542708296</v>
      </c>
      <c r="BR19" s="41">
        <f ca="1">IFERROR(SUMIFS('TRA balance'!S$5:S$40,'TRA balance'!$C$5:$C$40,Assumptions!$C19,'TRA balance'!$D$5:$D$40,Assumptions!$B19)*DM19*V19,"")</f>
        <v>0</v>
      </c>
      <c r="BS19" s="41">
        <f ca="1">IFERROR(SUMIFS('TRA balance'!T$5:T$40,'TRA balance'!$C$5:$C$40,Assumptions!$C19,'TRA balance'!$D$5:$D$40,Assumptions!$B19)*DN19*W19,"")</f>
        <v>54.9780096096</v>
      </c>
      <c r="BT19" s="41">
        <f ca="1">IFERROR(SUMIFS('TRA balance'!U$5:U$40,'TRA balance'!$C$5:$C$40,Assumptions!$C19,'TRA balance'!$D$5:$D$40,Assumptions!$B19)*DO19*X19,"")</f>
        <v>0.16395048252</v>
      </c>
      <c r="BU19" s="41">
        <f ca="1">IFERROR(SUMIFS('TRA balance'!V$5:V$40,'TRA balance'!$C$5:$C$40,Assumptions!$C19,'TRA balance'!$D$5:$D$40,Assumptions!$B19)*DP19*Y19,"")</f>
        <v>0.18318003624</v>
      </c>
      <c r="BV19" s="41">
        <f ca="1">IFERROR(SUMIFS('TRA balance'!W$5:W$40,'TRA balance'!$C$5:$C$40,Assumptions!$C19,'TRA balance'!$D$5:$D$40,Assumptions!$B19)*DQ19*Z19,"")</f>
        <v>4.68314053452</v>
      </c>
      <c r="BW19" s="41">
        <f ca="1">IFERROR(SUMIFS('TRA balance'!X$5:X$40,'TRA balance'!$C$5:$C$40,Assumptions!$C19,'TRA balance'!$D$5:$D$40,Assumptions!$B19)*DR19*AA19,"")</f>
        <v>0.39064267512</v>
      </c>
      <c r="BX19" s="41">
        <f ca="1">IFERROR(SUMIFS('TRA balance'!Y$5:Y$40,'TRA balance'!$C$5:$C$40,Assumptions!$C19,'TRA balance'!$D$5:$D$40,Assumptions!$B19)*DS19*AB19,"")</f>
        <v>1.02893791968</v>
      </c>
      <c r="BY19" s="41">
        <f ca="1">IFERROR(SUMIFS('TRA balance'!Z$5:Z$40,'TRA balance'!$C$5:$C$40,Assumptions!$C19,'TRA balance'!$D$5:$D$40,Assumptions!$B19)*DT19*AC19,"")</f>
        <v>27.1358138371717</v>
      </c>
      <c r="BZ19" s="41">
        <f ca="1">IFERROR(SUMIFS('TRA balance'!AA$5:AA$40,'TRA balance'!$C$5:$C$40,Assumptions!$C19,'TRA balance'!$D$5:$D$40,Assumptions!$B19)*DU19*AD19,"")</f>
        <v>0.05694759756</v>
      </c>
      <c r="CA19" s="41">
        <f ca="1">IFERROR(SUMIFS('TRA balance'!AB$5:AB$40,'TRA balance'!$C$5:$C$40,Assumptions!$C19,'TRA balance'!$D$5:$D$40,Assumptions!$B19)*DV19*AE19,"")</f>
        <v>0.35821925856</v>
      </c>
      <c r="CB19" s="41">
        <f ca="1">IFERROR(SUMIFS('TRA balance'!AC$5:AC$40,'TRA balance'!$C$5:$C$40,Assumptions!$C19,'TRA balance'!$D$5:$D$40,Assumptions!$B19)*DW19*AF19,"")</f>
        <v>15.5618080632</v>
      </c>
      <c r="CC19" s="41">
        <f ca="1">IFERROR(SUMIFS('TRA balance'!AD$5:AD$40,'TRA balance'!$C$5:$C$40,Assumptions!$C19,'TRA balance'!$D$5:$D$40,Assumptions!$B19)*DX19*AG19,"")</f>
        <v>17.20139788044</v>
      </c>
      <c r="CD19" s="41">
        <f ca="1">IFERROR(SUMIFS('TRA balance'!AE$5:AE$40,'TRA balance'!$C$5:$C$40,Assumptions!$C19,'TRA balance'!$D$5:$D$40,Assumptions!$B19)*DY19*AH19,"")</f>
        <v>0</v>
      </c>
      <c r="CE19" s="41">
        <f ca="1">IFERROR(SUMIFS('TRA balance'!AF$5:AF$40,'TRA balance'!$C$5:$C$40,Assumptions!$C19,'TRA balance'!$D$5:$D$40,Assumptions!$B19)*DZ19*AI19,"")</f>
        <v>1.51441496424</v>
      </c>
      <c r="CF19" s="41">
        <f ca="1">IFERROR(SUMIFS('TRA balance'!AG$5:AG$40,'TRA balance'!$C$5:$C$40,Assumptions!$C19,'TRA balance'!$D$5:$D$40,Assumptions!$B19)*EA19*AJ19,"")</f>
        <v>0.38659069008</v>
      </c>
      <c r="CG19" s="41">
        <f ca="1">IFERROR(SUMIFS('TRA balance'!AH$5:AH$40,'TRA balance'!$C$5:$C$40,Assumptions!$C19,'TRA balance'!$D$5:$D$40,Assumptions!$B19)*EB19*AK19,"")</f>
        <v>0.45532580436</v>
      </c>
      <c r="CH19" s="41">
        <f ca="1">IFERROR(SUMIFS('TRA balance'!AI$5:AI$40,'TRA balance'!$C$5:$C$40,Assumptions!$C19,'TRA balance'!$D$5:$D$40,Assumptions!$B19)*EC19*AL19,"")</f>
        <v>0.03794371236</v>
      </c>
      <c r="CI19" s="41">
        <f ca="1">IFERROR(SUMIFS('TRA balance'!AJ$5:AJ$40,'TRA balance'!$C$5:$C$40,Assumptions!$C19,'TRA balance'!$D$5:$D$40,Assumptions!$B19)*ED19*AM19,"")</f>
        <v>1.45691973324</v>
      </c>
      <c r="CJ19" s="41">
        <f ca="1">IFERROR(SUMIFS('TRA balance'!AK$5:AK$40,'TRA balance'!$C$5:$C$40,Assumptions!$C19,'TRA balance'!$D$5:$D$40,Assumptions!$B19)*EE19*AN19,"")</f>
        <v>2.70309772584</v>
      </c>
      <c r="CK19" s="41">
        <f ca="1">IFERROR(SUMIFS('TRA balance'!AL$5:AL$40,'TRA balance'!$C$5:$C$40,Assumptions!$C19,'TRA balance'!$D$5:$D$40,Assumptions!$B19)*EF19*AO19,"")</f>
        <v>0.14202295488</v>
      </c>
      <c r="CL19" s="41">
        <f ca="1">IFERROR(SUMIFS('TRA balance'!AM$5:AM$40,'TRA balance'!$C$5:$C$40,Assumptions!$C19,'TRA balance'!$D$5:$D$40,Assumptions!$B19)*EG19*AP19,"")</f>
        <v>0.07832079288</v>
      </c>
      <c r="CM19" s="41">
        <f ca="1">IFERROR(SUMIFS('TRA balance'!AN$5:AN$40,'TRA balance'!$C$5:$C$40,Assumptions!$C19,'TRA balance'!$D$5:$D$40,Assumptions!$B19)*EH19*AQ19,"")</f>
        <v>0</v>
      </c>
      <c r="CN19" s="41">
        <f ca="1">IFERROR(SUMIFS('TRA balance'!AO$5:AO$40,'TRA balance'!$C$5:$C$40,Assumptions!$C19,'TRA balance'!$D$5:$D$40,Assumptions!$B19)*EI19*AR19,"")</f>
        <v>0</v>
      </c>
      <c r="CO19" s="41">
        <f ca="1">IFERROR(SUMIFS('TRA balance'!AP$5:AP$40,'TRA balance'!$C$5:$C$40,Assumptions!$C19,'TRA balance'!$D$5:$D$40,Assumptions!$B19)*EJ19*AS19,"")</f>
        <v>0</v>
      </c>
      <c r="CP19" s="41">
        <f ca="1">IFERROR(SUMIFS('TRA balance'!AQ$5:AQ$40,'TRA balance'!$C$5:$C$40,Assumptions!$C19,'TRA balance'!$D$5:$D$40,Assumptions!$B19)*EK19*AT19,"")</f>
        <v>0</v>
      </c>
      <c r="CQ19" s="41">
        <f ca="1">IFERROR(SUMIFS('TRA balance'!AR$5:AR$40,'TRA balance'!$C$5:$C$40,Assumptions!$C19,'TRA balance'!$D$5:$D$40,Assumptions!$B19)*EL19*AU19,"")</f>
        <v>0</v>
      </c>
      <c r="CR19" s="41">
        <f ca="1">IFERROR(SUMIFS('TRA balance'!AS$5:AS$40,'TRA balance'!$C$5:$C$40,Assumptions!$C19,'TRA balance'!$D$5:$D$40,Assumptions!$B19)*EM19*AV19,"")</f>
        <v>0</v>
      </c>
      <c r="CS19" s="41">
        <f ca="1">IFERROR(SUMIFS('TRA balance'!AT$5:AT$40,'TRA balance'!$C$5:$C$40,Assumptions!$C19,'TRA balance'!$D$5:$D$40,Assumptions!$B19)*EN19*AW19,"")</f>
        <v>0</v>
      </c>
      <c r="CT19" s="41">
        <f ca="1">IFERROR(SUMIFS('TRA balance'!AU$5:AU$40,'TRA balance'!$C$5:$C$40,Assumptions!$C19,'TRA balance'!$D$5:$D$40,Assumptions!$B19)*EO19*AX19,"")</f>
        <v>0</v>
      </c>
      <c r="CU19" s="41">
        <f ca="1">IFERROR(SUMIFS('TRA balance'!AV$5:AV$40,'TRA balance'!$C$5:$C$40,Assumptions!$C19,'TRA balance'!$D$5:$D$40,Assumptions!$B19)*EP19*AY19,"")</f>
        <v>0</v>
      </c>
      <c r="CV19" s="41">
        <f ca="1">IFERROR(SUMIFS('TRA balance'!AW$5:AW$40,'TRA balance'!$C$5:$C$40,Assumptions!$C19,'TRA balance'!$D$5:$D$40,Assumptions!$B19)*EQ19*AZ19,"")</f>
        <v>0</v>
      </c>
      <c r="CW19" s="41">
        <f ca="1">IFERROR(SUMIFS('TRA balance'!AX$5:AX$40,'TRA balance'!$C$5:$C$40,Assumptions!$C19,'TRA balance'!$D$5:$D$40,Assumptions!$B19)*ER19*BA19,"")</f>
        <v>0</v>
      </c>
      <c r="CY19" s="40">
        <f ca="1" t="shared" si="2"/>
        <v>1</v>
      </c>
      <c r="CZ19" s="40">
        <f ca="1" t="shared" si="3"/>
        <v>1</v>
      </c>
      <c r="DA19" s="40">
        <f ca="1" t="shared" si="4"/>
        <v>1</v>
      </c>
      <c r="DB19" s="40">
        <f ca="1" t="shared" si="5"/>
        <v>1</v>
      </c>
      <c r="DC19" s="40">
        <f ca="1" t="shared" si="6"/>
        <v>1</v>
      </c>
      <c r="DD19" s="40">
        <f ca="1" t="shared" si="7"/>
        <v>1</v>
      </c>
      <c r="DE19" s="40">
        <f ca="1" t="shared" si="8"/>
        <v>1</v>
      </c>
      <c r="DF19" s="40">
        <f ca="1" t="shared" si="9"/>
        <v>1</v>
      </c>
      <c r="DG19" s="40">
        <f ca="1" t="shared" si="10"/>
        <v>1</v>
      </c>
      <c r="DH19" s="40">
        <f ca="1" t="shared" si="11"/>
        <v>1</v>
      </c>
      <c r="DI19" s="40">
        <f ca="1" t="shared" si="12"/>
        <v>1</v>
      </c>
      <c r="DJ19" s="40">
        <f ca="1" t="shared" si="13"/>
        <v>1</v>
      </c>
      <c r="DK19" s="40">
        <f ca="1" t="shared" si="14"/>
        <v>1</v>
      </c>
      <c r="DL19" s="40">
        <f ca="1" t="shared" si="15"/>
        <v>1</v>
      </c>
      <c r="DM19" s="40">
        <f ca="1" t="shared" si="16"/>
        <v>1</v>
      </c>
      <c r="DN19" s="40">
        <f ca="1" t="shared" si="17"/>
        <v>1</v>
      </c>
      <c r="DO19" s="40">
        <f ca="1" t="shared" si="18"/>
        <v>1</v>
      </c>
      <c r="DP19" s="40">
        <f ca="1" t="shared" si="19"/>
        <v>1</v>
      </c>
      <c r="DQ19" s="40">
        <f ca="1" t="shared" si="20"/>
        <v>1</v>
      </c>
      <c r="DR19" s="40">
        <f ca="1" t="shared" si="21"/>
        <v>1</v>
      </c>
      <c r="DS19" s="40">
        <f ca="1" t="shared" si="22"/>
        <v>1</v>
      </c>
      <c r="DT19" s="40">
        <f ca="1" t="shared" si="23"/>
        <v>1</v>
      </c>
      <c r="DU19" s="40">
        <f ca="1" t="shared" si="24"/>
        <v>1</v>
      </c>
      <c r="DV19" s="40">
        <f ca="1" t="shared" si="25"/>
        <v>1</v>
      </c>
      <c r="DW19" s="40">
        <f ca="1" t="shared" si="26"/>
        <v>1</v>
      </c>
      <c r="DX19" s="40">
        <f ca="1" t="shared" si="27"/>
        <v>1</v>
      </c>
      <c r="DY19" s="40">
        <f ca="1" t="shared" si="28"/>
        <v>1</v>
      </c>
      <c r="DZ19" s="40">
        <f ca="1" t="shared" si="29"/>
        <v>1</v>
      </c>
      <c r="EA19" s="40">
        <f ca="1" t="shared" si="30"/>
        <v>1</v>
      </c>
      <c r="EB19" s="40">
        <f ca="1" t="shared" si="31"/>
        <v>1</v>
      </c>
      <c r="EC19" s="40">
        <f ca="1" t="shared" si="32"/>
        <v>1</v>
      </c>
      <c r="ED19" s="40">
        <f ca="1" t="shared" si="33"/>
        <v>1</v>
      </c>
      <c r="EE19" s="40">
        <f ca="1" t="shared" si="34"/>
        <v>1</v>
      </c>
      <c r="EF19" s="40">
        <f ca="1" t="shared" si="35"/>
        <v>1</v>
      </c>
      <c r="EG19" s="40">
        <f ca="1" t="shared" si="36"/>
        <v>1</v>
      </c>
      <c r="EH19" s="40">
        <f ca="1" t="shared" si="37"/>
        <v>1</v>
      </c>
      <c r="EI19" s="40">
        <f ca="1" t="shared" si="38"/>
        <v>1</v>
      </c>
      <c r="EJ19" s="40">
        <f ca="1" t="shared" si="39"/>
        <v>1</v>
      </c>
      <c r="EK19" s="40">
        <f ca="1" t="shared" si="40"/>
        <v>1</v>
      </c>
      <c r="EL19" s="40">
        <f ca="1" t="shared" si="41"/>
        <v>1</v>
      </c>
      <c r="EM19" s="40">
        <f ca="1" t="shared" si="42"/>
        <v>1</v>
      </c>
      <c r="EN19" s="40">
        <f ca="1" t="shared" si="43"/>
        <v>1</v>
      </c>
      <c r="EO19" s="40">
        <f ca="1" t="shared" si="44"/>
        <v>1</v>
      </c>
      <c r="EP19" s="40">
        <f ca="1" t="shared" si="45"/>
        <v>1</v>
      </c>
      <c r="EQ19" s="40">
        <f ca="1" t="shared" si="46"/>
        <v>1</v>
      </c>
      <c r="ER19" s="40">
        <f ca="1" t="shared" si="47"/>
        <v>1</v>
      </c>
    </row>
    <row r="20" spans="1:148">
      <c r="A20">
        <v>1</v>
      </c>
      <c r="B20" t="str">
        <f>VLOOKUP(F20,'TRA balance'!$BA$5:$BB$14,2,FALSE)</f>
        <v>TRADST</v>
      </c>
      <c r="C20" s="60"/>
      <c r="D20" s="60"/>
      <c r="E20" s="61" t="s">
        <v>199</v>
      </c>
      <c r="F20" s="62" t="str">
        <f t="shared" si="55"/>
        <v>Diesel</v>
      </c>
      <c r="G20" s="60"/>
      <c r="H20" s="61" t="str">
        <f ca="1" t="shared" ref="H20" si="57">IF(SUM(H18:H19)=1,"-","&lt;&gt;1!!")</f>
        <v>-</v>
      </c>
      <c r="I20" s="61" t="str">
        <f ca="1" t="shared" ref="I20:BA20" si="58">IF(SUM(I18:I19)=1,"-","&lt;&gt;1!!")</f>
        <v>-</v>
      </c>
      <c r="J20" s="61" t="str">
        <f ca="1" t="shared" si="58"/>
        <v>-</v>
      </c>
      <c r="K20" s="61" t="str">
        <f ca="1" t="shared" si="58"/>
        <v>-</v>
      </c>
      <c r="L20" s="61" t="str">
        <f ca="1" t="shared" si="58"/>
        <v>-</v>
      </c>
      <c r="M20" s="61" t="str">
        <f ca="1" t="shared" si="58"/>
        <v>-</v>
      </c>
      <c r="N20" s="61" t="str">
        <f ca="1" t="shared" si="58"/>
        <v>-</v>
      </c>
      <c r="O20" s="61" t="str">
        <f ca="1" t="shared" si="58"/>
        <v>-</v>
      </c>
      <c r="P20" s="61" t="str">
        <f ca="1" t="shared" si="58"/>
        <v>-</v>
      </c>
      <c r="Q20" s="61" t="str">
        <f ca="1" t="shared" si="58"/>
        <v>-</v>
      </c>
      <c r="R20" s="61" t="str">
        <f ca="1" t="shared" si="58"/>
        <v>-</v>
      </c>
      <c r="S20" s="61" t="str">
        <f ca="1" t="shared" si="58"/>
        <v>-</v>
      </c>
      <c r="T20" s="61" t="str">
        <f ca="1" t="shared" si="58"/>
        <v>-</v>
      </c>
      <c r="U20" s="61" t="str">
        <f ca="1" t="shared" si="58"/>
        <v>-</v>
      </c>
      <c r="V20" s="61" t="str">
        <f ca="1" t="shared" si="58"/>
        <v>-</v>
      </c>
      <c r="W20" s="61" t="str">
        <f ca="1" t="shared" si="58"/>
        <v>-</v>
      </c>
      <c r="X20" s="61" t="str">
        <f ca="1" t="shared" si="58"/>
        <v>-</v>
      </c>
      <c r="Y20" s="61" t="str">
        <f ca="1" t="shared" si="58"/>
        <v>-</v>
      </c>
      <c r="Z20" s="61" t="str">
        <f ca="1" t="shared" si="58"/>
        <v>-</v>
      </c>
      <c r="AA20" s="61" t="str">
        <f ca="1" t="shared" si="58"/>
        <v>-</v>
      </c>
      <c r="AB20" s="61" t="str">
        <f ca="1" t="shared" si="58"/>
        <v>-</v>
      </c>
      <c r="AC20" s="61" t="str">
        <f ca="1" t="shared" si="58"/>
        <v>-</v>
      </c>
      <c r="AD20" s="61" t="str">
        <f ca="1" t="shared" si="58"/>
        <v>-</v>
      </c>
      <c r="AE20" s="61" t="str">
        <f ca="1" t="shared" si="58"/>
        <v>-</v>
      </c>
      <c r="AF20" s="61" t="str">
        <f ca="1" t="shared" si="58"/>
        <v>-</v>
      </c>
      <c r="AG20" s="61" t="str">
        <f ca="1" t="shared" si="58"/>
        <v>-</v>
      </c>
      <c r="AH20" s="61" t="str">
        <f ca="1" t="shared" si="58"/>
        <v>-</v>
      </c>
      <c r="AI20" s="61" t="str">
        <f ca="1" t="shared" si="58"/>
        <v>-</v>
      </c>
      <c r="AJ20" s="61" t="str">
        <f ca="1" t="shared" si="58"/>
        <v>-</v>
      </c>
      <c r="AK20" s="61" t="str">
        <f ca="1" t="shared" si="58"/>
        <v>-</v>
      </c>
      <c r="AL20" s="61" t="str">
        <f ca="1" t="shared" si="58"/>
        <v>-</v>
      </c>
      <c r="AM20" s="61" t="str">
        <f ca="1" t="shared" si="58"/>
        <v>-</v>
      </c>
      <c r="AN20" s="61" t="str">
        <f ca="1" t="shared" si="58"/>
        <v>-</v>
      </c>
      <c r="AO20" s="61" t="str">
        <f ca="1" t="shared" si="58"/>
        <v>-</v>
      </c>
      <c r="AP20" s="61" t="str">
        <f ca="1" t="shared" si="58"/>
        <v>-</v>
      </c>
      <c r="AQ20" s="61" t="str">
        <f ca="1" t="shared" si="58"/>
        <v>-</v>
      </c>
      <c r="AR20" s="61" t="str">
        <f ca="1" t="shared" si="58"/>
        <v>-</v>
      </c>
      <c r="AS20" s="61" t="str">
        <f ca="1" t="shared" si="58"/>
        <v>-</v>
      </c>
      <c r="AT20" s="61" t="str">
        <f ca="1" t="shared" si="58"/>
        <v>-</v>
      </c>
      <c r="AU20" s="61" t="str">
        <f ca="1" t="shared" si="58"/>
        <v>-</v>
      </c>
      <c r="AV20" s="61" t="str">
        <f ca="1" t="shared" si="58"/>
        <v>-</v>
      </c>
      <c r="AW20" s="61" t="str">
        <f ca="1" t="shared" si="58"/>
        <v>-</v>
      </c>
      <c r="AX20" s="61" t="str">
        <f ca="1" t="shared" si="58"/>
        <v>-</v>
      </c>
      <c r="AY20" s="61" t="str">
        <f ca="1" t="shared" si="58"/>
        <v>-</v>
      </c>
      <c r="AZ20" s="61" t="str">
        <f ca="1" t="shared" si="58"/>
        <v>-</v>
      </c>
      <c r="BA20" s="61" t="str">
        <f ca="1" t="shared" si="58"/>
        <v>-</v>
      </c>
      <c r="BD20" s="41" t="str">
        <f ca="1">IFERROR(SUMIFS('TRA balance'!E$5:E$40,'TRA balance'!$C$5:$C$40,Assumptions!$C20,'TRA balance'!$D$5:$D$40,Assumptions!$B20)*CY20*H20,"")</f>
        <v/>
      </c>
      <c r="BE20" s="41" t="str">
        <f ca="1">IFERROR(SUMIFS('TRA balance'!F$5:F$40,'TRA balance'!$C$5:$C$40,Assumptions!$C20,'TRA balance'!$D$5:$D$40,Assumptions!$B20)*CZ20*I20,"")</f>
        <v/>
      </c>
      <c r="BF20" s="41" t="str">
        <f ca="1">IFERROR(SUMIFS('TRA balance'!G$5:G$40,'TRA balance'!$C$5:$C$40,Assumptions!$C20,'TRA balance'!$D$5:$D$40,Assumptions!$B20)*DA20*J20,"")</f>
        <v/>
      </c>
      <c r="BG20" s="41" t="str">
        <f ca="1">IFERROR(SUMIFS('TRA balance'!H$5:H$40,'TRA balance'!$C$5:$C$40,Assumptions!$C20,'TRA balance'!$D$5:$D$40,Assumptions!$B20)*DB20*K20,"")</f>
        <v/>
      </c>
      <c r="BH20" s="41" t="str">
        <f ca="1">IFERROR(SUMIFS('TRA balance'!I$5:I$40,'TRA balance'!$C$5:$C$40,Assumptions!$C20,'TRA balance'!$D$5:$D$40,Assumptions!$B20)*DC20*L20,"")</f>
        <v/>
      </c>
      <c r="BI20" s="41" t="str">
        <f ca="1">IFERROR(SUMIFS('TRA balance'!J$5:J$40,'TRA balance'!$C$5:$C$40,Assumptions!$C20,'TRA balance'!$D$5:$D$40,Assumptions!$B20)*DD20*M20,"")</f>
        <v/>
      </c>
      <c r="BJ20" s="41" t="str">
        <f ca="1">IFERROR(SUMIFS('TRA balance'!K$5:K$40,'TRA balance'!$C$5:$C$40,Assumptions!$C20,'TRA balance'!$D$5:$D$40,Assumptions!$B20)*DE20*N20,"")</f>
        <v/>
      </c>
      <c r="BK20" s="41" t="str">
        <f ca="1">IFERROR(SUMIFS('TRA balance'!L$5:L$40,'TRA balance'!$C$5:$C$40,Assumptions!$C20,'TRA balance'!$D$5:$D$40,Assumptions!$B20)*DF20*O20,"")</f>
        <v/>
      </c>
      <c r="BL20" s="41" t="str">
        <f ca="1">IFERROR(SUMIFS('TRA balance'!M$5:M$40,'TRA balance'!$C$5:$C$40,Assumptions!$C20,'TRA balance'!$D$5:$D$40,Assumptions!$B20)*DG20*P20,"")</f>
        <v/>
      </c>
      <c r="BM20" s="41" t="str">
        <f ca="1">IFERROR(SUMIFS('TRA balance'!N$5:N$40,'TRA balance'!$C$5:$C$40,Assumptions!$C20,'TRA balance'!$D$5:$D$40,Assumptions!$B20)*DH20*Q20,"")</f>
        <v/>
      </c>
      <c r="BN20" s="41" t="str">
        <f ca="1">IFERROR(SUMIFS('TRA balance'!O$5:O$40,'TRA balance'!$C$5:$C$40,Assumptions!$C20,'TRA balance'!$D$5:$D$40,Assumptions!$B20)*DI20*R20,"")</f>
        <v/>
      </c>
      <c r="BO20" s="41" t="str">
        <f ca="1">IFERROR(SUMIFS('TRA balance'!P$5:P$40,'TRA balance'!$C$5:$C$40,Assumptions!$C20,'TRA balance'!$D$5:$D$40,Assumptions!$B20)*DJ20*S20,"")</f>
        <v/>
      </c>
      <c r="BP20" s="41" t="str">
        <f ca="1">IFERROR(SUMIFS('TRA balance'!Q$5:Q$40,'TRA balance'!$C$5:$C$40,Assumptions!$C20,'TRA balance'!$D$5:$D$40,Assumptions!$B20)*DK20*T20,"")</f>
        <v/>
      </c>
      <c r="BQ20" s="41" t="str">
        <f ca="1">IFERROR(SUMIFS('TRA balance'!R$5:R$40,'TRA balance'!$C$5:$C$40,Assumptions!$C20,'TRA balance'!$D$5:$D$40,Assumptions!$B20)*DL20*U20,"")</f>
        <v/>
      </c>
      <c r="BR20" s="41" t="str">
        <f ca="1">IFERROR(SUMIFS('TRA balance'!S$5:S$40,'TRA balance'!$C$5:$C$40,Assumptions!$C20,'TRA balance'!$D$5:$D$40,Assumptions!$B20)*DM20*V20,"")</f>
        <v/>
      </c>
      <c r="BS20" s="41" t="str">
        <f ca="1">IFERROR(SUMIFS('TRA balance'!T$5:T$40,'TRA balance'!$C$5:$C$40,Assumptions!$C20,'TRA balance'!$D$5:$D$40,Assumptions!$B20)*DN20*W20,"")</f>
        <v/>
      </c>
      <c r="BT20" s="41" t="str">
        <f ca="1">IFERROR(SUMIFS('TRA balance'!U$5:U$40,'TRA balance'!$C$5:$C$40,Assumptions!$C20,'TRA balance'!$D$5:$D$40,Assumptions!$B20)*DO20*X20,"")</f>
        <v/>
      </c>
      <c r="BU20" s="41" t="str">
        <f ca="1">IFERROR(SUMIFS('TRA balance'!V$5:V$40,'TRA balance'!$C$5:$C$40,Assumptions!$C20,'TRA balance'!$D$5:$D$40,Assumptions!$B20)*DP20*Y20,"")</f>
        <v/>
      </c>
      <c r="BV20" s="41" t="str">
        <f ca="1">IFERROR(SUMIFS('TRA balance'!W$5:W$40,'TRA balance'!$C$5:$C$40,Assumptions!$C20,'TRA balance'!$D$5:$D$40,Assumptions!$B20)*DQ20*Z20,"")</f>
        <v/>
      </c>
      <c r="BW20" s="41" t="str">
        <f ca="1">IFERROR(SUMIFS('TRA balance'!X$5:X$40,'TRA balance'!$C$5:$C$40,Assumptions!$C20,'TRA balance'!$D$5:$D$40,Assumptions!$B20)*DR20*AA20,"")</f>
        <v/>
      </c>
      <c r="BX20" s="41" t="str">
        <f ca="1">IFERROR(SUMIFS('TRA balance'!Y$5:Y$40,'TRA balance'!$C$5:$C$40,Assumptions!$C20,'TRA balance'!$D$5:$D$40,Assumptions!$B20)*DS20*AB20,"")</f>
        <v/>
      </c>
      <c r="BY20" s="41" t="str">
        <f ca="1">IFERROR(SUMIFS('TRA balance'!Z$5:Z$40,'TRA balance'!$C$5:$C$40,Assumptions!$C20,'TRA balance'!$D$5:$D$40,Assumptions!$B20)*DT20*AC20,"")</f>
        <v/>
      </c>
      <c r="BZ20" s="41" t="str">
        <f ca="1">IFERROR(SUMIFS('TRA balance'!AA$5:AA$40,'TRA balance'!$C$5:$C$40,Assumptions!$C20,'TRA balance'!$D$5:$D$40,Assumptions!$B20)*DU20*AD20,"")</f>
        <v/>
      </c>
      <c r="CA20" s="41" t="str">
        <f ca="1">IFERROR(SUMIFS('TRA balance'!AB$5:AB$40,'TRA balance'!$C$5:$C$40,Assumptions!$C20,'TRA balance'!$D$5:$D$40,Assumptions!$B20)*DV20*AE20,"")</f>
        <v/>
      </c>
      <c r="CB20" s="41" t="str">
        <f ca="1">IFERROR(SUMIFS('TRA balance'!AC$5:AC$40,'TRA balance'!$C$5:$C$40,Assumptions!$C20,'TRA balance'!$D$5:$D$40,Assumptions!$B20)*DW20*AF20,"")</f>
        <v/>
      </c>
      <c r="CC20" s="41" t="str">
        <f ca="1">IFERROR(SUMIFS('TRA balance'!AD$5:AD$40,'TRA balance'!$C$5:$C$40,Assumptions!$C20,'TRA balance'!$D$5:$D$40,Assumptions!$B20)*DX20*AG20,"")</f>
        <v/>
      </c>
      <c r="CD20" s="41" t="str">
        <f ca="1">IFERROR(SUMIFS('TRA balance'!AE$5:AE$40,'TRA balance'!$C$5:$C$40,Assumptions!$C20,'TRA balance'!$D$5:$D$40,Assumptions!$B20)*DY20*AH20,"")</f>
        <v/>
      </c>
      <c r="CE20" s="41" t="str">
        <f ca="1">IFERROR(SUMIFS('TRA balance'!AF$5:AF$40,'TRA balance'!$C$5:$C$40,Assumptions!$C20,'TRA balance'!$D$5:$D$40,Assumptions!$B20)*DZ20*AI20,"")</f>
        <v/>
      </c>
      <c r="CF20" s="41" t="str">
        <f ca="1">IFERROR(SUMIFS('TRA balance'!AG$5:AG$40,'TRA balance'!$C$5:$C$40,Assumptions!$C20,'TRA balance'!$D$5:$D$40,Assumptions!$B20)*EA20*AJ20,"")</f>
        <v/>
      </c>
      <c r="CG20" s="41" t="str">
        <f ca="1">IFERROR(SUMIFS('TRA balance'!AH$5:AH$40,'TRA balance'!$C$5:$C$40,Assumptions!$C20,'TRA balance'!$D$5:$D$40,Assumptions!$B20)*EB20*AK20,"")</f>
        <v/>
      </c>
      <c r="CH20" s="41" t="str">
        <f ca="1">IFERROR(SUMIFS('TRA balance'!AI$5:AI$40,'TRA balance'!$C$5:$C$40,Assumptions!$C20,'TRA balance'!$D$5:$D$40,Assumptions!$B20)*EC20*AL20,"")</f>
        <v/>
      </c>
      <c r="CI20" s="41" t="str">
        <f ca="1">IFERROR(SUMIFS('TRA balance'!AJ$5:AJ$40,'TRA balance'!$C$5:$C$40,Assumptions!$C20,'TRA balance'!$D$5:$D$40,Assumptions!$B20)*ED20*AM20,"")</f>
        <v/>
      </c>
      <c r="CJ20" s="41" t="str">
        <f ca="1">IFERROR(SUMIFS('TRA balance'!AK$5:AK$40,'TRA balance'!$C$5:$C$40,Assumptions!$C20,'TRA balance'!$D$5:$D$40,Assumptions!$B20)*EE20*AN20,"")</f>
        <v/>
      </c>
      <c r="CK20" s="41" t="str">
        <f ca="1">IFERROR(SUMIFS('TRA balance'!AL$5:AL$40,'TRA balance'!$C$5:$C$40,Assumptions!$C20,'TRA balance'!$D$5:$D$40,Assumptions!$B20)*EF20*AO20,"")</f>
        <v/>
      </c>
      <c r="CL20" s="41" t="str">
        <f ca="1">IFERROR(SUMIFS('TRA balance'!AM$5:AM$40,'TRA balance'!$C$5:$C$40,Assumptions!$C20,'TRA balance'!$D$5:$D$40,Assumptions!$B20)*EG20*AP20,"")</f>
        <v/>
      </c>
      <c r="CM20" s="41" t="str">
        <f ca="1">IFERROR(SUMIFS('TRA balance'!AN$5:AN$40,'TRA balance'!$C$5:$C$40,Assumptions!$C20,'TRA balance'!$D$5:$D$40,Assumptions!$B20)*EH20*AQ20,"")</f>
        <v/>
      </c>
      <c r="CN20" s="41" t="str">
        <f ca="1">IFERROR(SUMIFS('TRA balance'!AO$5:AO$40,'TRA balance'!$C$5:$C$40,Assumptions!$C20,'TRA balance'!$D$5:$D$40,Assumptions!$B20)*EI20*AR20,"")</f>
        <v/>
      </c>
      <c r="CO20" s="41" t="str">
        <f ca="1">IFERROR(SUMIFS('TRA balance'!AP$5:AP$40,'TRA balance'!$C$5:$C$40,Assumptions!$C20,'TRA balance'!$D$5:$D$40,Assumptions!$B20)*EJ20*AS20,"")</f>
        <v/>
      </c>
      <c r="CP20" s="41" t="str">
        <f ca="1">IFERROR(SUMIFS('TRA balance'!AQ$5:AQ$40,'TRA balance'!$C$5:$C$40,Assumptions!$C20,'TRA balance'!$D$5:$D$40,Assumptions!$B20)*EK20*AT20,"")</f>
        <v/>
      </c>
      <c r="CQ20" s="41" t="str">
        <f ca="1">IFERROR(SUMIFS('TRA balance'!AR$5:AR$40,'TRA balance'!$C$5:$C$40,Assumptions!$C20,'TRA balance'!$D$5:$D$40,Assumptions!$B20)*EL20*AU20,"")</f>
        <v/>
      </c>
      <c r="CR20" s="41" t="str">
        <f ca="1">IFERROR(SUMIFS('TRA balance'!AS$5:AS$40,'TRA balance'!$C$5:$C$40,Assumptions!$C20,'TRA balance'!$D$5:$D$40,Assumptions!$B20)*EM20*AV20,"")</f>
        <v/>
      </c>
      <c r="CS20" s="41" t="str">
        <f ca="1">IFERROR(SUMIFS('TRA balance'!AT$5:AT$40,'TRA balance'!$C$5:$C$40,Assumptions!$C20,'TRA balance'!$D$5:$D$40,Assumptions!$B20)*EN20*AW20,"")</f>
        <v/>
      </c>
      <c r="CT20" s="41" t="str">
        <f ca="1">IFERROR(SUMIFS('TRA balance'!AU$5:AU$40,'TRA balance'!$C$5:$C$40,Assumptions!$C20,'TRA balance'!$D$5:$D$40,Assumptions!$B20)*EO20*AX20,"")</f>
        <v/>
      </c>
      <c r="CU20" s="41" t="str">
        <f ca="1">IFERROR(SUMIFS('TRA balance'!AV$5:AV$40,'TRA balance'!$C$5:$C$40,Assumptions!$C20,'TRA balance'!$D$5:$D$40,Assumptions!$B20)*EP20*AY20,"")</f>
        <v/>
      </c>
      <c r="CV20" s="41" t="str">
        <f ca="1">IFERROR(SUMIFS('TRA balance'!AW$5:AW$40,'TRA balance'!$C$5:$C$40,Assumptions!$C20,'TRA balance'!$D$5:$D$40,Assumptions!$B20)*EQ20*AZ20,"")</f>
        <v/>
      </c>
      <c r="CW20" s="41" t="str">
        <f ca="1">IFERROR(SUMIFS('TRA balance'!AX$5:AX$40,'TRA balance'!$C$5:$C$40,Assumptions!$C20,'TRA balance'!$D$5:$D$40,Assumptions!$B20)*ER20*BA20,"")</f>
        <v/>
      </c>
      <c r="CY20" s="40">
        <f ca="1" t="shared" si="2"/>
        <v>1</v>
      </c>
      <c r="CZ20" s="40">
        <f ca="1" t="shared" si="3"/>
        <v>1</v>
      </c>
      <c r="DA20" s="40">
        <f ca="1" t="shared" si="4"/>
        <v>1</v>
      </c>
      <c r="DB20" s="40">
        <f ca="1" t="shared" si="5"/>
        <v>1</v>
      </c>
      <c r="DC20" s="40">
        <f ca="1" t="shared" si="6"/>
        <v>1</v>
      </c>
      <c r="DD20" s="40">
        <f ca="1" t="shared" si="7"/>
        <v>1</v>
      </c>
      <c r="DE20" s="40">
        <f ca="1" t="shared" si="8"/>
        <v>1</v>
      </c>
      <c r="DF20" s="40">
        <f ca="1" t="shared" si="9"/>
        <v>1</v>
      </c>
      <c r="DG20" s="40">
        <f ca="1" t="shared" si="10"/>
        <v>1</v>
      </c>
      <c r="DH20" s="40">
        <f ca="1" t="shared" si="11"/>
        <v>1</v>
      </c>
      <c r="DI20" s="40">
        <f ca="1" t="shared" si="12"/>
        <v>1</v>
      </c>
      <c r="DJ20" s="40">
        <f ca="1" t="shared" si="13"/>
        <v>1</v>
      </c>
      <c r="DK20" s="40">
        <f ca="1" t="shared" si="14"/>
        <v>1</v>
      </c>
      <c r="DL20" s="40">
        <f ca="1" t="shared" si="15"/>
        <v>1</v>
      </c>
      <c r="DM20" s="40">
        <f ca="1" t="shared" si="16"/>
        <v>1</v>
      </c>
      <c r="DN20" s="40">
        <f ca="1" t="shared" si="17"/>
        <v>1</v>
      </c>
      <c r="DO20" s="40">
        <f ca="1" t="shared" si="18"/>
        <v>1</v>
      </c>
      <c r="DP20" s="40">
        <f ca="1" t="shared" si="19"/>
        <v>1</v>
      </c>
      <c r="DQ20" s="40">
        <f ca="1" t="shared" si="20"/>
        <v>1</v>
      </c>
      <c r="DR20" s="40">
        <f ca="1" t="shared" si="21"/>
        <v>1</v>
      </c>
      <c r="DS20" s="40">
        <f ca="1" t="shared" si="22"/>
        <v>1</v>
      </c>
      <c r="DT20" s="40">
        <f ca="1" t="shared" si="23"/>
        <v>1</v>
      </c>
      <c r="DU20" s="40">
        <f ca="1" t="shared" si="24"/>
        <v>1</v>
      </c>
      <c r="DV20" s="40">
        <f ca="1" t="shared" si="25"/>
        <v>1</v>
      </c>
      <c r="DW20" s="40">
        <f ca="1" t="shared" si="26"/>
        <v>1</v>
      </c>
      <c r="DX20" s="40">
        <f ca="1" t="shared" si="27"/>
        <v>1</v>
      </c>
      <c r="DY20" s="40">
        <f ca="1" t="shared" si="28"/>
        <v>1</v>
      </c>
      <c r="DZ20" s="40">
        <f ca="1" t="shared" si="29"/>
        <v>1</v>
      </c>
      <c r="EA20" s="40">
        <f ca="1" t="shared" si="30"/>
        <v>1</v>
      </c>
      <c r="EB20" s="40">
        <f ca="1" t="shared" si="31"/>
        <v>1</v>
      </c>
      <c r="EC20" s="40">
        <f ca="1" t="shared" si="32"/>
        <v>1</v>
      </c>
      <c r="ED20" s="40">
        <f ca="1" t="shared" si="33"/>
        <v>1</v>
      </c>
      <c r="EE20" s="40">
        <f ca="1" t="shared" si="34"/>
        <v>1</v>
      </c>
      <c r="EF20" s="40">
        <f ca="1" t="shared" si="35"/>
        <v>1</v>
      </c>
      <c r="EG20" s="40">
        <f ca="1" t="shared" si="36"/>
        <v>1</v>
      </c>
      <c r="EH20" s="40">
        <f ca="1" t="shared" si="37"/>
        <v>1</v>
      </c>
      <c r="EI20" s="40">
        <f ca="1" t="shared" si="38"/>
        <v>1</v>
      </c>
      <c r="EJ20" s="40">
        <f ca="1" t="shared" si="39"/>
        <v>1</v>
      </c>
      <c r="EK20" s="40">
        <f ca="1" t="shared" si="40"/>
        <v>1</v>
      </c>
      <c r="EL20" s="40">
        <f ca="1" t="shared" si="41"/>
        <v>1</v>
      </c>
      <c r="EM20" s="40">
        <f ca="1" t="shared" si="42"/>
        <v>1</v>
      </c>
      <c r="EN20" s="40">
        <f ca="1" t="shared" si="43"/>
        <v>1</v>
      </c>
      <c r="EO20" s="40">
        <f ca="1" t="shared" si="44"/>
        <v>1</v>
      </c>
      <c r="EP20" s="40">
        <f ca="1" t="shared" si="45"/>
        <v>1</v>
      </c>
      <c r="EQ20" s="40">
        <f ca="1" t="shared" si="46"/>
        <v>1</v>
      </c>
      <c r="ER20" s="40">
        <f ca="1" t="shared" si="47"/>
        <v>1</v>
      </c>
    </row>
    <row r="21" spans="1:148">
      <c r="A21">
        <v>1</v>
      </c>
      <c r="B21" t="str">
        <f>VLOOKUP(F21,'TRA balance'!$BA$5:$BB$14,2,FALSE)</f>
        <v>TRAGSL</v>
      </c>
      <c r="C21" s="64">
        <v>1</v>
      </c>
      <c r="D21" s="65" t="s">
        <v>200</v>
      </c>
      <c r="E21" s="65" t="s">
        <v>201</v>
      </c>
      <c r="F21" s="66" t="s">
        <v>67</v>
      </c>
      <c r="G21" s="64"/>
      <c r="H21" s="64">
        <f ca="1">OFFSET(TIAM15_assumptions!$G21,0,MATCH(VLOOKUP(Assumptions!H$2,TIAM15_assumptions!$Y$3:$Z$87,2,FALSE),TIAM15_assumptions!$H$2:$V$2,0))</f>
        <v>1</v>
      </c>
      <c r="I21" s="64">
        <f ca="1">OFFSET(TIAM15_assumptions!$G21,0,MATCH(VLOOKUP(Assumptions!I$2,TIAM15_assumptions!$Y$3:$Z$87,2,FALSE),TIAM15_assumptions!$H$2:$V$2,0))</f>
        <v>1</v>
      </c>
      <c r="J21" s="64">
        <f ca="1">OFFSET(TIAM15_assumptions!$G21,0,MATCH(VLOOKUP(Assumptions!J$2,TIAM15_assumptions!$Y$3:$Z$87,2,FALSE),TIAM15_assumptions!$H$2:$V$2,0))</f>
        <v>0.9</v>
      </c>
      <c r="K21" s="64">
        <f ca="1">OFFSET(TIAM15_assumptions!$G21,0,MATCH(VLOOKUP(Assumptions!K$2,TIAM15_assumptions!$Y$3:$Z$87,2,FALSE),TIAM15_assumptions!$H$2:$V$2,0))</f>
        <v>0.97</v>
      </c>
      <c r="L21" s="64">
        <f ca="1">OFFSET(TIAM15_assumptions!$G21,0,MATCH(VLOOKUP(Assumptions!L$2,TIAM15_assumptions!$Y$3:$Z$87,2,FALSE),TIAM15_assumptions!$H$2:$V$2,0))</f>
        <v>0.7</v>
      </c>
      <c r="M21" s="64">
        <f ca="1">OFFSET(TIAM15_assumptions!$G21,0,MATCH(VLOOKUP(Assumptions!M$2,TIAM15_assumptions!$Y$3:$Z$87,2,FALSE),TIAM15_assumptions!$H$2:$V$2,0))</f>
        <v>0.97</v>
      </c>
      <c r="N21" s="64">
        <f ca="1">OFFSET(TIAM15_assumptions!$G21,0,MATCH(VLOOKUP(Assumptions!N$2,TIAM15_assumptions!$Y$3:$Z$87,2,FALSE),TIAM15_assumptions!$H$2:$V$2,0))</f>
        <v>0.9</v>
      </c>
      <c r="O21" s="64">
        <f ca="1">OFFSET(TIAM15_assumptions!$G21,0,MATCH(VLOOKUP(Assumptions!O$2,TIAM15_assumptions!$Y$3:$Z$87,2,FALSE),TIAM15_assumptions!$H$2:$V$2,0))</f>
        <v>0.9</v>
      </c>
      <c r="P21" s="64">
        <f ca="1">OFFSET(TIAM15_assumptions!$G21,0,MATCH(VLOOKUP(Assumptions!P$2,TIAM15_assumptions!$Y$3:$Z$87,2,FALSE),TIAM15_assumptions!$H$2:$V$2,0))</f>
        <v>0.9</v>
      </c>
      <c r="Q21" s="64">
        <f ca="1">OFFSET(TIAM15_assumptions!$G21,0,MATCH(VLOOKUP(Assumptions!Q$2,TIAM15_assumptions!$Y$3:$Z$87,2,FALSE),TIAM15_assumptions!$H$2:$V$2,0))</f>
        <v>0.9</v>
      </c>
      <c r="R21" s="64">
        <f ca="1">OFFSET(TIAM15_assumptions!$G21,0,MATCH(VLOOKUP(Assumptions!R$2,TIAM15_assumptions!$Y$3:$Z$87,2,FALSE),TIAM15_assumptions!$H$2:$V$2,0))</f>
        <v>0.97</v>
      </c>
      <c r="S21" s="64">
        <f ca="1">OFFSET(TIAM15_assumptions!$G21,0,MATCH(VLOOKUP(Assumptions!S$2,TIAM15_assumptions!$Y$3:$Z$87,2,FALSE),TIAM15_assumptions!$H$2:$V$2,0))</f>
        <v>0.97</v>
      </c>
      <c r="T21" s="64">
        <f ca="1">OFFSET(TIAM15_assumptions!$G21,0,MATCH(VLOOKUP(Assumptions!T$2,TIAM15_assumptions!$Y$3:$Z$87,2,FALSE),TIAM15_assumptions!$H$2:$V$2,0))</f>
        <v>0.97</v>
      </c>
      <c r="U21" s="64">
        <f ca="1">OFFSET(TIAM15_assumptions!$G21,0,MATCH(VLOOKUP(Assumptions!U$2,TIAM15_assumptions!$Y$3:$Z$87,2,FALSE),TIAM15_assumptions!$H$2:$V$2,0))</f>
        <v>0.9</v>
      </c>
      <c r="V21" s="64">
        <f ca="1">OFFSET(TIAM15_assumptions!$G21,0,MATCH(VLOOKUP(Assumptions!V$2,TIAM15_assumptions!$Y$3:$Z$87,2,FALSE),TIAM15_assumptions!$H$2:$V$2,0))</f>
        <v>0.97</v>
      </c>
      <c r="W21" s="64">
        <f ca="1">OFFSET(TIAM15_assumptions!$G21,0,MATCH(VLOOKUP(Assumptions!W$2,TIAM15_assumptions!$Y$3:$Z$87,2,FALSE),TIAM15_assumptions!$H$2:$V$2,0))</f>
        <v>1</v>
      </c>
      <c r="X21" s="64">
        <f ca="1">OFFSET(TIAM15_assumptions!$G21,0,MATCH(VLOOKUP(Assumptions!X$2,TIAM15_assumptions!$Y$3:$Z$87,2,FALSE),TIAM15_assumptions!$H$2:$V$2,0))</f>
        <v>0.97</v>
      </c>
      <c r="Y21" s="64">
        <f ca="1">OFFSET(TIAM15_assumptions!$G21,0,MATCH(VLOOKUP(Assumptions!Y$2,TIAM15_assumptions!$Y$3:$Z$87,2,FALSE),TIAM15_assumptions!$H$2:$V$2,0))</f>
        <v>0.97</v>
      </c>
      <c r="Z21" s="64">
        <f ca="1">OFFSET(TIAM15_assumptions!$G21,0,MATCH(VLOOKUP(Assumptions!Z$2,TIAM15_assumptions!$Y$3:$Z$87,2,FALSE),TIAM15_assumptions!$H$2:$V$2,0))</f>
        <v>0.9</v>
      </c>
      <c r="AA21" s="64">
        <f ca="1">OFFSET(TIAM15_assumptions!$G21,0,MATCH(VLOOKUP(Assumptions!AA$2,TIAM15_assumptions!$Y$3:$Z$87,2,FALSE),TIAM15_assumptions!$H$2:$V$2,0))</f>
        <v>0.9</v>
      </c>
      <c r="AB21" s="64">
        <f ca="1">OFFSET(TIAM15_assumptions!$G21,0,MATCH(VLOOKUP(Assumptions!AB$2,TIAM15_assumptions!$Y$3:$Z$87,2,FALSE),TIAM15_assumptions!$H$2:$V$2,0))</f>
        <v>0.7</v>
      </c>
      <c r="AC21" s="64">
        <f ca="1">OFFSET(TIAM15_assumptions!$G21,0,MATCH(VLOOKUP(Assumptions!AC$2,TIAM15_assumptions!$Y$3:$Z$87,2,FALSE),TIAM15_assumptions!$H$2:$V$2,0))</f>
        <v>0.8</v>
      </c>
      <c r="AD21" s="64">
        <f ca="1">OFFSET(TIAM15_assumptions!$G21,0,MATCH(VLOOKUP(Assumptions!AD$2,TIAM15_assumptions!$Y$3:$Z$87,2,FALSE),TIAM15_assumptions!$H$2:$V$2,0))</f>
        <v>0.97</v>
      </c>
      <c r="AE21" s="64">
        <f ca="1">OFFSET(TIAM15_assumptions!$G21,0,MATCH(VLOOKUP(Assumptions!AE$2,TIAM15_assumptions!$Y$3:$Z$87,2,FALSE),TIAM15_assumptions!$H$2:$V$2,0))</f>
        <v>0.9</v>
      </c>
      <c r="AF21" s="64">
        <f ca="1">OFFSET(TIAM15_assumptions!$G21,0,MATCH(VLOOKUP(Assumptions!AF$2,TIAM15_assumptions!$Y$3:$Z$87,2,FALSE),TIAM15_assumptions!$H$2:$V$2,0))</f>
        <v>1</v>
      </c>
      <c r="AG21" s="64">
        <f ca="1">OFFSET(TIAM15_assumptions!$G21,0,MATCH(VLOOKUP(Assumptions!AG$2,TIAM15_assumptions!$Y$3:$Z$87,2,FALSE),TIAM15_assumptions!$H$2:$V$2,0))</f>
        <v>0.7</v>
      </c>
      <c r="AH21" s="64">
        <f ca="1">OFFSET(TIAM15_assumptions!$G21,0,MATCH(VLOOKUP(Assumptions!AH$2,TIAM15_assumptions!$Y$3:$Z$87,2,FALSE),TIAM15_assumptions!$H$2:$V$2,0))</f>
        <v>0.7</v>
      </c>
      <c r="AI21" s="64">
        <f ca="1">OFFSET(TIAM15_assumptions!$G21,0,MATCH(VLOOKUP(Assumptions!AI$2,TIAM15_assumptions!$Y$3:$Z$87,2,FALSE),TIAM15_assumptions!$H$2:$V$2,0))</f>
        <v>1</v>
      </c>
      <c r="AJ21" s="64">
        <f ca="1">OFFSET(TIAM15_assumptions!$G21,0,MATCH(VLOOKUP(Assumptions!AJ$2,TIAM15_assumptions!$Y$3:$Z$87,2,FALSE),TIAM15_assumptions!$H$2:$V$2,0))</f>
        <v>0.97</v>
      </c>
      <c r="AK21" s="64">
        <f ca="1">OFFSET(TIAM15_assumptions!$G21,0,MATCH(VLOOKUP(Assumptions!AK$2,TIAM15_assumptions!$Y$3:$Z$87,2,FALSE),TIAM15_assumptions!$H$2:$V$2,0))</f>
        <v>0.97</v>
      </c>
      <c r="AL21" s="64">
        <f ca="1">OFFSET(TIAM15_assumptions!$G21,0,MATCH(VLOOKUP(Assumptions!AL$2,TIAM15_assumptions!$Y$3:$Z$87,2,FALSE),TIAM15_assumptions!$H$2:$V$2,0))</f>
        <v>0.97</v>
      </c>
      <c r="AM21" s="64">
        <f ca="1">OFFSET(TIAM15_assumptions!$G21,0,MATCH(VLOOKUP(Assumptions!AM$2,TIAM15_assumptions!$Y$3:$Z$87,2,FALSE),TIAM15_assumptions!$H$2:$V$2,0))</f>
        <v>0.7</v>
      </c>
      <c r="AN21" s="64">
        <f ca="1">OFFSET(TIAM15_assumptions!$G21,0,MATCH(VLOOKUP(Assumptions!AN$2,TIAM15_assumptions!$Y$3:$Z$87,2,FALSE),TIAM15_assumptions!$H$2:$V$2,0))</f>
        <v>0.97</v>
      </c>
      <c r="AO21" s="64">
        <f ca="1">OFFSET(TIAM15_assumptions!$G21,0,MATCH(VLOOKUP(Assumptions!AO$2,TIAM15_assumptions!$Y$3:$Z$87,2,FALSE),TIAM15_assumptions!$H$2:$V$2,0))</f>
        <v>0.7</v>
      </c>
      <c r="AP21" s="64">
        <f ca="1">OFFSET(TIAM15_assumptions!$G21,0,MATCH(VLOOKUP(Assumptions!AP$2,TIAM15_assumptions!$Y$3:$Z$87,2,FALSE),TIAM15_assumptions!$H$2:$V$2,0))</f>
        <v>0.9</v>
      </c>
      <c r="AQ21" s="64">
        <f ca="1">OFFSET(TIAM15_assumptions!$G21,0,MATCH(VLOOKUP(Assumptions!AQ$2,TIAM15_assumptions!$Y$3:$Z$87,2,FALSE),TIAM15_assumptions!$H$2:$V$2,0))</f>
        <v>0.8</v>
      </c>
      <c r="AR21" s="64">
        <f ca="1">OFFSET(TIAM15_assumptions!$G21,0,MATCH(VLOOKUP(Assumptions!AR$2,TIAM15_assumptions!$Y$3:$Z$87,2,FALSE),TIAM15_assumptions!$H$2:$V$2,0))</f>
        <v>0.8</v>
      </c>
      <c r="AS21" s="64">
        <f ca="1">OFFSET(TIAM15_assumptions!$G21,0,MATCH(VLOOKUP(Assumptions!AS$2,TIAM15_assumptions!$Y$3:$Z$87,2,FALSE),TIAM15_assumptions!$H$2:$V$2,0))</f>
        <v>0.8</v>
      </c>
      <c r="AT21" s="64">
        <f ca="1">OFFSET(TIAM15_assumptions!$G21,0,MATCH(VLOOKUP(Assumptions!AT$2,TIAM15_assumptions!$Y$3:$Z$87,2,FALSE),TIAM15_assumptions!$H$2:$V$2,0))</f>
        <v>0.8</v>
      </c>
      <c r="AU21" s="64">
        <f ca="1">OFFSET(TIAM15_assumptions!$G21,0,MATCH(VLOOKUP(Assumptions!AU$2,TIAM15_assumptions!$Y$3:$Z$87,2,FALSE),TIAM15_assumptions!$H$2:$V$2,0))</f>
        <v>0.8</v>
      </c>
      <c r="AV21" s="64">
        <f ca="1">OFFSET(TIAM15_assumptions!$G21,0,MATCH(VLOOKUP(Assumptions!AV$2,TIAM15_assumptions!$Y$3:$Z$87,2,FALSE),TIAM15_assumptions!$H$2:$V$2,0))</f>
        <v>0.8</v>
      </c>
      <c r="AW21" s="64">
        <f ca="1">OFFSET(TIAM15_assumptions!$G21,0,MATCH(VLOOKUP(Assumptions!AW$2,TIAM15_assumptions!$Y$3:$Z$87,2,FALSE),TIAM15_assumptions!$H$2:$V$2,0))</f>
        <v>0.8</v>
      </c>
      <c r="AX21" s="64">
        <f ca="1">OFFSET(TIAM15_assumptions!$G21,0,MATCH(VLOOKUP(Assumptions!AX$2,TIAM15_assumptions!$Y$3:$Z$87,2,FALSE),TIAM15_assumptions!$H$2:$V$2,0))</f>
        <v>0.8</v>
      </c>
      <c r="AY21" s="64">
        <f ca="1">OFFSET(TIAM15_assumptions!$G21,0,MATCH(VLOOKUP(Assumptions!AY$2,TIAM15_assumptions!$Y$3:$Z$87,2,FALSE),TIAM15_assumptions!$H$2:$V$2,0))</f>
        <v>0.8</v>
      </c>
      <c r="AZ21" s="64">
        <f ca="1">OFFSET(TIAM15_assumptions!$G21,0,MATCH(VLOOKUP(Assumptions!AZ$2,TIAM15_assumptions!$Y$3:$Z$87,2,FALSE),TIAM15_assumptions!$H$2:$V$2,0))</f>
        <v>0.8</v>
      </c>
      <c r="BA21" s="64">
        <f ca="1">OFFSET(TIAM15_assumptions!$G21,0,MATCH(VLOOKUP(Assumptions!BA$2,TIAM15_assumptions!$Y$3:$Z$87,2,FALSE),TIAM15_assumptions!$H$2:$V$2,0))</f>
        <v>0.8</v>
      </c>
      <c r="BD21" s="41">
        <f ca="1">IFERROR(SUMIFS('TRA balance'!E$5:E$40,'TRA balance'!$C$5:$C$40,Assumptions!$C21,'TRA balance'!$D$5:$D$40,Assumptions!$B21)*CY21*H21,"")</f>
        <v>0</v>
      </c>
      <c r="BE21" s="41">
        <f ca="1">IFERROR(SUMIFS('TRA balance'!F$5:F$40,'TRA balance'!$C$5:$C$40,Assumptions!$C21,'TRA balance'!$D$5:$D$40,Assumptions!$B21)*CZ21*I21,"")</f>
        <v>0</v>
      </c>
      <c r="BF21" s="41">
        <f ca="1">IFERROR(SUMIFS('TRA balance'!G$5:G$40,'TRA balance'!$C$5:$C$40,Assumptions!$C21,'TRA balance'!$D$5:$D$40,Assumptions!$B21)*DA21*J21,"")</f>
        <v>0</v>
      </c>
      <c r="BG21" s="41">
        <f ca="1">IFERROR(SUMIFS('TRA balance'!H$5:H$40,'TRA balance'!$C$5:$C$40,Assumptions!$C21,'TRA balance'!$D$5:$D$40,Assumptions!$B21)*DB21*K21,"")</f>
        <v>0</v>
      </c>
      <c r="BH21" s="41">
        <f ca="1">IFERROR(SUMIFS('TRA balance'!I$5:I$40,'TRA balance'!$C$5:$C$40,Assumptions!$C21,'TRA balance'!$D$5:$D$40,Assumptions!$B21)*DC21*L21,"")</f>
        <v>0</v>
      </c>
      <c r="BI21" s="41">
        <f ca="1">IFERROR(SUMIFS('TRA balance'!J$5:J$40,'TRA balance'!$C$5:$C$40,Assumptions!$C21,'TRA balance'!$D$5:$D$40,Assumptions!$B21)*DD21*M21,"")</f>
        <v>0</v>
      </c>
      <c r="BJ21" s="41">
        <f ca="1">IFERROR(SUMIFS('TRA balance'!K$5:K$40,'TRA balance'!$C$5:$C$40,Assumptions!$C21,'TRA balance'!$D$5:$D$40,Assumptions!$B21)*DE21*N21,"")</f>
        <v>0</v>
      </c>
      <c r="BK21" s="41">
        <f ca="1">IFERROR(SUMIFS('TRA balance'!L$5:L$40,'TRA balance'!$C$5:$C$40,Assumptions!$C21,'TRA balance'!$D$5:$D$40,Assumptions!$B21)*DF21*O21,"")</f>
        <v>0</v>
      </c>
      <c r="BL21" s="41">
        <f ca="1">IFERROR(SUMIFS('TRA balance'!M$5:M$40,'TRA balance'!$C$5:$C$40,Assumptions!$C21,'TRA balance'!$D$5:$D$40,Assumptions!$B21)*DG21*P21,"")</f>
        <v>0</v>
      </c>
      <c r="BM21" s="41">
        <f ca="1">IFERROR(SUMIFS('TRA balance'!N$5:N$40,'TRA balance'!$C$5:$C$40,Assumptions!$C21,'TRA balance'!$D$5:$D$40,Assumptions!$B21)*DH21*Q21,"")</f>
        <v>0</v>
      </c>
      <c r="BN21" s="41">
        <f ca="1">IFERROR(SUMIFS('TRA balance'!O$5:O$40,'TRA balance'!$C$5:$C$40,Assumptions!$C21,'TRA balance'!$D$5:$D$40,Assumptions!$B21)*DI21*R21,"")</f>
        <v>0</v>
      </c>
      <c r="BO21" s="41">
        <f ca="1">IFERROR(SUMIFS('TRA balance'!P$5:P$40,'TRA balance'!$C$5:$C$40,Assumptions!$C21,'TRA balance'!$D$5:$D$40,Assumptions!$B21)*DJ21*S21,"")</f>
        <v>0</v>
      </c>
      <c r="BP21" s="41">
        <f ca="1">IFERROR(SUMIFS('TRA balance'!Q$5:Q$40,'TRA balance'!$C$5:$C$40,Assumptions!$C21,'TRA balance'!$D$5:$D$40,Assumptions!$B21)*DK21*T21,"")</f>
        <v>0</v>
      </c>
      <c r="BQ21" s="41">
        <f ca="1">IFERROR(SUMIFS('TRA balance'!R$5:R$40,'TRA balance'!$C$5:$C$40,Assumptions!$C21,'TRA balance'!$D$5:$D$40,Assumptions!$B21)*DL21*U21,"")</f>
        <v>0</v>
      </c>
      <c r="BR21" s="41">
        <f ca="1">IFERROR(SUMIFS('TRA balance'!S$5:S$40,'TRA balance'!$C$5:$C$40,Assumptions!$C21,'TRA balance'!$D$5:$D$40,Assumptions!$B21)*DM21*V21,"")</f>
        <v>0</v>
      </c>
      <c r="BS21" s="41">
        <f ca="1">IFERROR(SUMIFS('TRA balance'!T$5:T$40,'TRA balance'!$C$5:$C$40,Assumptions!$C21,'TRA balance'!$D$5:$D$40,Assumptions!$B21)*DN21*W21,"")</f>
        <v>0</v>
      </c>
      <c r="BT21" s="41">
        <f ca="1">IFERROR(SUMIFS('TRA balance'!U$5:U$40,'TRA balance'!$C$5:$C$40,Assumptions!$C21,'TRA balance'!$D$5:$D$40,Assumptions!$B21)*DO21*X21,"")</f>
        <v>0</v>
      </c>
      <c r="BU21" s="41">
        <f ca="1">IFERROR(SUMIFS('TRA balance'!V$5:V$40,'TRA balance'!$C$5:$C$40,Assumptions!$C21,'TRA balance'!$D$5:$D$40,Assumptions!$B21)*DP21*Y21,"")</f>
        <v>0</v>
      </c>
      <c r="BV21" s="41">
        <f ca="1">IFERROR(SUMIFS('TRA balance'!W$5:W$40,'TRA balance'!$C$5:$C$40,Assumptions!$C21,'TRA balance'!$D$5:$D$40,Assumptions!$B21)*DQ21*Z21,"")</f>
        <v>0</v>
      </c>
      <c r="BW21" s="41">
        <f ca="1">IFERROR(SUMIFS('TRA balance'!X$5:X$40,'TRA balance'!$C$5:$C$40,Assumptions!$C21,'TRA balance'!$D$5:$D$40,Assumptions!$B21)*DR21*AA21,"")</f>
        <v>0</v>
      </c>
      <c r="BX21" s="41">
        <f ca="1">IFERROR(SUMIFS('TRA balance'!Y$5:Y$40,'TRA balance'!$C$5:$C$40,Assumptions!$C21,'TRA balance'!$D$5:$D$40,Assumptions!$B21)*DS21*AB21,"")</f>
        <v>0</v>
      </c>
      <c r="BY21" s="41">
        <f ca="1">IFERROR(SUMIFS('TRA balance'!Z$5:Z$40,'TRA balance'!$C$5:$C$40,Assumptions!$C21,'TRA balance'!$D$5:$D$40,Assumptions!$B21)*DT21*AC21,"")</f>
        <v>0</v>
      </c>
      <c r="BZ21" s="41">
        <f ca="1">IFERROR(SUMIFS('TRA balance'!AA$5:AA$40,'TRA balance'!$C$5:$C$40,Assumptions!$C21,'TRA balance'!$D$5:$D$40,Assumptions!$B21)*DU21*AD21,"")</f>
        <v>0</v>
      </c>
      <c r="CA21" s="41">
        <f ca="1">IFERROR(SUMIFS('TRA balance'!AB$5:AB$40,'TRA balance'!$C$5:$C$40,Assumptions!$C21,'TRA balance'!$D$5:$D$40,Assumptions!$B21)*DV21*AE21,"")</f>
        <v>0</v>
      </c>
      <c r="CB21" s="41">
        <f ca="1">IFERROR(SUMIFS('TRA balance'!AC$5:AC$40,'TRA balance'!$C$5:$C$40,Assumptions!$C21,'TRA balance'!$D$5:$D$40,Assumptions!$B21)*DW21*AF21,"")</f>
        <v>0</v>
      </c>
      <c r="CC21" s="41">
        <f ca="1">IFERROR(SUMIFS('TRA balance'!AD$5:AD$40,'TRA balance'!$C$5:$C$40,Assumptions!$C21,'TRA balance'!$D$5:$D$40,Assumptions!$B21)*DX21*AG21,"")</f>
        <v>0</v>
      </c>
      <c r="CD21" s="41">
        <f ca="1">IFERROR(SUMIFS('TRA balance'!AE$5:AE$40,'TRA balance'!$C$5:$C$40,Assumptions!$C21,'TRA balance'!$D$5:$D$40,Assumptions!$B21)*DY21*AH21,"")</f>
        <v>0</v>
      </c>
      <c r="CE21" s="41">
        <f ca="1">IFERROR(SUMIFS('TRA balance'!AF$5:AF$40,'TRA balance'!$C$5:$C$40,Assumptions!$C21,'TRA balance'!$D$5:$D$40,Assumptions!$B21)*DZ21*AI21,"")</f>
        <v>0</v>
      </c>
      <c r="CF21" s="41">
        <f ca="1">IFERROR(SUMIFS('TRA balance'!AG$5:AG$40,'TRA balance'!$C$5:$C$40,Assumptions!$C21,'TRA balance'!$D$5:$D$40,Assumptions!$B21)*EA21*AJ21,"")</f>
        <v>0</v>
      </c>
      <c r="CG21" s="41">
        <f ca="1">IFERROR(SUMIFS('TRA balance'!AH$5:AH$40,'TRA balance'!$C$5:$C$40,Assumptions!$C21,'TRA balance'!$D$5:$D$40,Assumptions!$B21)*EB21*AK21,"")</f>
        <v>0</v>
      </c>
      <c r="CH21" s="41">
        <f ca="1">IFERROR(SUMIFS('TRA balance'!AI$5:AI$40,'TRA balance'!$C$5:$C$40,Assumptions!$C21,'TRA balance'!$D$5:$D$40,Assumptions!$B21)*EC21*AL21,"")</f>
        <v>0</v>
      </c>
      <c r="CI21" s="41">
        <f ca="1">IFERROR(SUMIFS('TRA balance'!AJ$5:AJ$40,'TRA balance'!$C$5:$C$40,Assumptions!$C21,'TRA balance'!$D$5:$D$40,Assumptions!$B21)*ED21*AM21,"")</f>
        <v>0</v>
      </c>
      <c r="CJ21" s="41">
        <f ca="1">IFERROR(SUMIFS('TRA balance'!AK$5:AK$40,'TRA balance'!$C$5:$C$40,Assumptions!$C21,'TRA balance'!$D$5:$D$40,Assumptions!$B21)*EE21*AN21,"")</f>
        <v>0</v>
      </c>
      <c r="CK21" s="41">
        <f ca="1">IFERROR(SUMIFS('TRA balance'!AL$5:AL$40,'TRA balance'!$C$5:$C$40,Assumptions!$C21,'TRA balance'!$D$5:$D$40,Assumptions!$B21)*EF21*AO21,"")</f>
        <v>0</v>
      </c>
      <c r="CL21" s="41">
        <f ca="1">IFERROR(SUMIFS('TRA balance'!AM$5:AM$40,'TRA balance'!$C$5:$C$40,Assumptions!$C21,'TRA balance'!$D$5:$D$40,Assumptions!$B21)*EG21*AP21,"")</f>
        <v>0</v>
      </c>
      <c r="CM21" s="41">
        <f ca="1">IFERROR(SUMIFS('TRA balance'!AN$5:AN$40,'TRA balance'!$C$5:$C$40,Assumptions!$C21,'TRA balance'!$D$5:$D$40,Assumptions!$B21)*EH21*AQ21,"")</f>
        <v>0</v>
      </c>
      <c r="CN21" s="41">
        <f ca="1">IFERROR(SUMIFS('TRA balance'!AO$5:AO$40,'TRA balance'!$C$5:$C$40,Assumptions!$C21,'TRA balance'!$D$5:$D$40,Assumptions!$B21)*EI21*AR21,"")</f>
        <v>0</v>
      </c>
      <c r="CO21" s="41">
        <f ca="1">IFERROR(SUMIFS('TRA balance'!AP$5:AP$40,'TRA balance'!$C$5:$C$40,Assumptions!$C21,'TRA balance'!$D$5:$D$40,Assumptions!$B21)*EJ21*AS21,"")</f>
        <v>0</v>
      </c>
      <c r="CP21" s="41">
        <f ca="1">IFERROR(SUMIFS('TRA balance'!AQ$5:AQ$40,'TRA balance'!$C$5:$C$40,Assumptions!$C21,'TRA balance'!$D$5:$D$40,Assumptions!$B21)*EK21*AT21,"")</f>
        <v>0</v>
      </c>
      <c r="CQ21" s="41">
        <f ca="1">IFERROR(SUMIFS('TRA balance'!AR$5:AR$40,'TRA balance'!$C$5:$C$40,Assumptions!$C21,'TRA balance'!$D$5:$D$40,Assumptions!$B21)*EL21*AU21,"")</f>
        <v>0</v>
      </c>
      <c r="CR21" s="41">
        <f ca="1">IFERROR(SUMIFS('TRA balance'!AS$5:AS$40,'TRA balance'!$C$5:$C$40,Assumptions!$C21,'TRA balance'!$D$5:$D$40,Assumptions!$B21)*EM21*AV21,"")</f>
        <v>0</v>
      </c>
      <c r="CS21" s="41">
        <f ca="1">IFERROR(SUMIFS('TRA balance'!AT$5:AT$40,'TRA balance'!$C$5:$C$40,Assumptions!$C21,'TRA balance'!$D$5:$D$40,Assumptions!$B21)*EN21*AW21,"")</f>
        <v>0</v>
      </c>
      <c r="CT21" s="41">
        <f ca="1">IFERROR(SUMIFS('TRA balance'!AU$5:AU$40,'TRA balance'!$C$5:$C$40,Assumptions!$C21,'TRA balance'!$D$5:$D$40,Assumptions!$B21)*EO21*AX21,"")</f>
        <v>0</v>
      </c>
      <c r="CU21" s="41">
        <f ca="1">IFERROR(SUMIFS('TRA balance'!AV$5:AV$40,'TRA balance'!$C$5:$C$40,Assumptions!$C21,'TRA balance'!$D$5:$D$40,Assumptions!$B21)*EP21*AY21,"")</f>
        <v>0</v>
      </c>
      <c r="CV21" s="41">
        <f ca="1">IFERROR(SUMIFS('TRA balance'!AW$5:AW$40,'TRA balance'!$C$5:$C$40,Assumptions!$C21,'TRA balance'!$D$5:$D$40,Assumptions!$B21)*EQ21*AZ21,"")</f>
        <v>0</v>
      </c>
      <c r="CW21" s="41">
        <f ca="1">IFERROR(SUMIFS('TRA balance'!AX$5:AX$40,'TRA balance'!$C$5:$C$40,Assumptions!$C21,'TRA balance'!$D$5:$D$40,Assumptions!$B21)*ER21*BA21,"")</f>
        <v>0</v>
      </c>
      <c r="CY21" s="40">
        <f ca="1" t="shared" si="2"/>
        <v>1</v>
      </c>
      <c r="CZ21" s="40">
        <f ca="1" t="shared" si="3"/>
        <v>1</v>
      </c>
      <c r="DA21" s="40">
        <f ca="1" t="shared" si="4"/>
        <v>1</v>
      </c>
      <c r="DB21" s="40">
        <f ca="1" t="shared" si="5"/>
        <v>1</v>
      </c>
      <c r="DC21" s="40">
        <f ca="1" t="shared" si="6"/>
        <v>1</v>
      </c>
      <c r="DD21" s="40">
        <f ca="1" t="shared" si="7"/>
        <v>1</v>
      </c>
      <c r="DE21" s="40">
        <f ca="1" t="shared" si="8"/>
        <v>1</v>
      </c>
      <c r="DF21" s="40">
        <f ca="1" t="shared" si="9"/>
        <v>1</v>
      </c>
      <c r="DG21" s="40">
        <f ca="1" t="shared" si="10"/>
        <v>1</v>
      </c>
      <c r="DH21" s="40">
        <f ca="1" t="shared" si="11"/>
        <v>1</v>
      </c>
      <c r="DI21" s="40">
        <f ca="1" t="shared" si="12"/>
        <v>1</v>
      </c>
      <c r="DJ21" s="40">
        <f ca="1" t="shared" si="13"/>
        <v>1</v>
      </c>
      <c r="DK21" s="40">
        <f ca="1" t="shared" si="14"/>
        <v>1</v>
      </c>
      <c r="DL21" s="40">
        <f ca="1" t="shared" si="15"/>
        <v>1</v>
      </c>
      <c r="DM21" s="40">
        <f ca="1" t="shared" si="16"/>
        <v>1</v>
      </c>
      <c r="DN21" s="40">
        <f ca="1" t="shared" si="17"/>
        <v>1</v>
      </c>
      <c r="DO21" s="40">
        <f ca="1" t="shared" si="18"/>
        <v>1</v>
      </c>
      <c r="DP21" s="40">
        <f ca="1" t="shared" si="19"/>
        <v>1</v>
      </c>
      <c r="DQ21" s="40">
        <f ca="1" t="shared" si="20"/>
        <v>1</v>
      </c>
      <c r="DR21" s="40">
        <f ca="1" t="shared" si="21"/>
        <v>1</v>
      </c>
      <c r="DS21" s="40">
        <f ca="1" t="shared" si="22"/>
        <v>1</v>
      </c>
      <c r="DT21" s="40">
        <f ca="1" t="shared" si="23"/>
        <v>1</v>
      </c>
      <c r="DU21" s="40">
        <f ca="1" t="shared" si="24"/>
        <v>1</v>
      </c>
      <c r="DV21" s="40">
        <f ca="1" t="shared" si="25"/>
        <v>1</v>
      </c>
      <c r="DW21" s="40">
        <f ca="1" t="shared" si="26"/>
        <v>1</v>
      </c>
      <c r="DX21" s="40">
        <f ca="1" t="shared" si="27"/>
        <v>1</v>
      </c>
      <c r="DY21" s="40">
        <f ca="1" t="shared" si="28"/>
        <v>1</v>
      </c>
      <c r="DZ21" s="40">
        <f ca="1" t="shared" si="29"/>
        <v>1</v>
      </c>
      <c r="EA21" s="40">
        <f ca="1" t="shared" si="30"/>
        <v>1</v>
      </c>
      <c r="EB21" s="40">
        <f ca="1" t="shared" si="31"/>
        <v>1</v>
      </c>
      <c r="EC21" s="40">
        <f ca="1" t="shared" si="32"/>
        <v>1</v>
      </c>
      <c r="ED21" s="40">
        <f ca="1" t="shared" si="33"/>
        <v>1</v>
      </c>
      <c r="EE21" s="40">
        <f ca="1" t="shared" si="34"/>
        <v>1</v>
      </c>
      <c r="EF21" s="40">
        <f ca="1" t="shared" si="35"/>
        <v>1</v>
      </c>
      <c r="EG21" s="40">
        <f ca="1" t="shared" si="36"/>
        <v>1</v>
      </c>
      <c r="EH21" s="40">
        <f ca="1" t="shared" si="37"/>
        <v>1</v>
      </c>
      <c r="EI21" s="40">
        <f ca="1" t="shared" si="38"/>
        <v>1</v>
      </c>
      <c r="EJ21" s="40">
        <f ca="1" t="shared" si="39"/>
        <v>1</v>
      </c>
      <c r="EK21" s="40">
        <f ca="1" t="shared" si="40"/>
        <v>1</v>
      </c>
      <c r="EL21" s="40">
        <f ca="1" t="shared" si="41"/>
        <v>1</v>
      </c>
      <c r="EM21" s="40">
        <f ca="1" t="shared" si="42"/>
        <v>1</v>
      </c>
      <c r="EN21" s="40">
        <f ca="1" t="shared" si="43"/>
        <v>1</v>
      </c>
      <c r="EO21" s="40">
        <f ca="1" t="shared" si="44"/>
        <v>1</v>
      </c>
      <c r="EP21" s="40">
        <f ca="1" t="shared" si="45"/>
        <v>1</v>
      </c>
      <c r="EQ21" s="40">
        <f ca="1" t="shared" si="46"/>
        <v>1</v>
      </c>
      <c r="ER21" s="40">
        <f ca="1" t="shared" si="47"/>
        <v>1</v>
      </c>
    </row>
    <row r="22" spans="1:148">
      <c r="A22">
        <v>1</v>
      </c>
      <c r="B22" t="str">
        <f>VLOOKUP(F22,'TRA balance'!$BA$5:$BB$14,2,FALSE)</f>
        <v>TRAGSL</v>
      </c>
      <c r="C22" s="56" t="str">
        <f t="shared" si="48"/>
        <v>TR</v>
      </c>
      <c r="D22" s="57" t="s">
        <v>200</v>
      </c>
      <c r="E22" s="68" t="s">
        <v>202</v>
      </c>
      <c r="F22" s="58" t="str">
        <f>F21</f>
        <v>Gasoline</v>
      </c>
      <c r="G22" s="56" t="s">
        <v>203</v>
      </c>
      <c r="H22" s="59">
        <f ca="1">OFFSET(TIAM15_assumptions!$G22,0,MATCH(VLOOKUP(Assumptions!H$2,TIAM15_assumptions!$Y$3:$Z$87,2,FALSE),TIAM15_assumptions!$H$2:$V$2,0))</f>
        <v>0.45</v>
      </c>
      <c r="I22" s="59">
        <f ca="1">OFFSET(TIAM15_assumptions!$G22,0,MATCH(VLOOKUP(Assumptions!I$2,TIAM15_assumptions!$Y$3:$Z$87,2,FALSE),TIAM15_assumptions!$H$2:$V$2,0))</f>
        <v>0.45</v>
      </c>
      <c r="J22" s="59">
        <f ca="1">OFFSET(TIAM15_assumptions!$G22,0,MATCH(VLOOKUP(Assumptions!J$2,TIAM15_assumptions!$Y$3:$Z$87,2,FALSE),TIAM15_assumptions!$H$2:$V$2,0))</f>
        <v>0.69</v>
      </c>
      <c r="K22" s="59">
        <f ca="1">OFFSET(TIAM15_assumptions!$G22,0,MATCH(VLOOKUP(Assumptions!K$2,TIAM15_assumptions!$Y$3:$Z$87,2,FALSE),TIAM15_assumptions!$H$2:$V$2,0))</f>
        <v>0.64</v>
      </c>
      <c r="L22" s="59">
        <f ca="1">OFFSET(TIAM15_assumptions!$G22,0,MATCH(VLOOKUP(Assumptions!L$2,TIAM15_assumptions!$Y$3:$Z$87,2,FALSE),TIAM15_assumptions!$H$2:$V$2,0))</f>
        <v>0.65</v>
      </c>
      <c r="M22" s="59">
        <f ca="1">OFFSET(TIAM15_assumptions!$G22,0,MATCH(VLOOKUP(Assumptions!M$2,TIAM15_assumptions!$Y$3:$Z$87,2,FALSE),TIAM15_assumptions!$H$2:$V$2,0))</f>
        <v>0.64</v>
      </c>
      <c r="N22" s="59">
        <f ca="1">OFFSET(TIAM15_assumptions!$G22,0,MATCH(VLOOKUP(Assumptions!N$2,TIAM15_assumptions!$Y$3:$Z$87,2,FALSE),TIAM15_assumptions!$H$2:$V$2,0))</f>
        <v>0.67</v>
      </c>
      <c r="O22" s="59">
        <f ca="1">OFFSET(TIAM15_assumptions!$G22,0,MATCH(VLOOKUP(Assumptions!O$2,TIAM15_assumptions!$Y$3:$Z$87,2,FALSE),TIAM15_assumptions!$H$2:$V$2,0))</f>
        <v>0.65</v>
      </c>
      <c r="P22" s="59">
        <f ca="1">OFFSET(TIAM15_assumptions!$G22,0,MATCH(VLOOKUP(Assumptions!P$2,TIAM15_assumptions!$Y$3:$Z$87,2,FALSE),TIAM15_assumptions!$H$2:$V$2,0))</f>
        <v>0.65</v>
      </c>
      <c r="Q22" s="59">
        <f ca="1">OFFSET(TIAM15_assumptions!$G22,0,MATCH(VLOOKUP(Assumptions!Q$2,TIAM15_assumptions!$Y$3:$Z$87,2,FALSE),TIAM15_assumptions!$H$2:$V$2,0))</f>
        <v>0.65</v>
      </c>
      <c r="R22" s="59">
        <f ca="1">OFFSET(TIAM15_assumptions!$G22,0,MATCH(VLOOKUP(Assumptions!R$2,TIAM15_assumptions!$Y$3:$Z$87,2,FALSE),TIAM15_assumptions!$H$2:$V$2,0))</f>
        <v>0.64</v>
      </c>
      <c r="S22" s="59">
        <f ca="1">OFFSET(TIAM15_assumptions!$G22,0,MATCH(VLOOKUP(Assumptions!S$2,TIAM15_assumptions!$Y$3:$Z$87,2,FALSE),TIAM15_assumptions!$H$2:$V$2,0))</f>
        <v>0.64</v>
      </c>
      <c r="T22" s="59">
        <f ca="1">OFFSET(TIAM15_assumptions!$G22,0,MATCH(VLOOKUP(Assumptions!T$2,TIAM15_assumptions!$Y$3:$Z$87,2,FALSE),TIAM15_assumptions!$H$2:$V$2,0))</f>
        <v>0.64</v>
      </c>
      <c r="U22" s="59">
        <f ca="1">OFFSET(TIAM15_assumptions!$G22,0,MATCH(VLOOKUP(Assumptions!U$2,TIAM15_assumptions!$Y$3:$Z$87,2,FALSE),TIAM15_assumptions!$H$2:$V$2,0))</f>
        <v>0.65</v>
      </c>
      <c r="V22" s="59">
        <f ca="1">OFFSET(TIAM15_assumptions!$G22,0,MATCH(VLOOKUP(Assumptions!V$2,TIAM15_assumptions!$Y$3:$Z$87,2,FALSE),TIAM15_assumptions!$H$2:$V$2,0))</f>
        <v>0.64</v>
      </c>
      <c r="W22" s="59">
        <f ca="1">OFFSET(TIAM15_assumptions!$G22,0,MATCH(VLOOKUP(Assumptions!W$2,TIAM15_assumptions!$Y$3:$Z$87,2,FALSE),TIAM15_assumptions!$H$2:$V$2,0))</f>
        <v>0.45</v>
      </c>
      <c r="X22" s="59">
        <f ca="1">OFFSET(TIAM15_assumptions!$G22,0,MATCH(VLOOKUP(Assumptions!X$2,TIAM15_assumptions!$Y$3:$Z$87,2,FALSE),TIAM15_assumptions!$H$2:$V$2,0))</f>
        <v>0.64</v>
      </c>
      <c r="Y22" s="59">
        <f ca="1">OFFSET(TIAM15_assumptions!$G22,0,MATCH(VLOOKUP(Assumptions!Y$2,TIAM15_assumptions!$Y$3:$Z$87,2,FALSE),TIAM15_assumptions!$H$2:$V$2,0))</f>
        <v>0.64</v>
      </c>
      <c r="Z22" s="59">
        <f ca="1">OFFSET(TIAM15_assumptions!$G22,0,MATCH(VLOOKUP(Assumptions!Z$2,TIAM15_assumptions!$Y$3:$Z$87,2,FALSE),TIAM15_assumptions!$H$2:$V$2,0))</f>
        <v>0.7</v>
      </c>
      <c r="AA22" s="59">
        <f ca="1">OFFSET(TIAM15_assumptions!$G22,0,MATCH(VLOOKUP(Assumptions!AA$2,TIAM15_assumptions!$Y$3:$Z$87,2,FALSE),TIAM15_assumptions!$H$2:$V$2,0))</f>
        <v>0.67</v>
      </c>
      <c r="AB22" s="59">
        <f ca="1">OFFSET(TIAM15_assumptions!$G22,0,MATCH(VLOOKUP(Assumptions!AB$2,TIAM15_assumptions!$Y$3:$Z$87,2,FALSE),TIAM15_assumptions!$H$2:$V$2,0))</f>
        <v>0.55</v>
      </c>
      <c r="AC22" s="59">
        <f ca="1">OFFSET(TIAM15_assumptions!$G22,0,MATCH(VLOOKUP(Assumptions!AC$2,TIAM15_assumptions!$Y$3:$Z$87,2,FALSE),TIAM15_assumptions!$H$2:$V$2,0))</f>
        <v>0.583</v>
      </c>
      <c r="AD22" s="59">
        <f ca="1">OFFSET(TIAM15_assumptions!$G22,0,MATCH(VLOOKUP(Assumptions!AD$2,TIAM15_assumptions!$Y$3:$Z$87,2,FALSE),TIAM15_assumptions!$H$2:$V$2,0))</f>
        <v>0.64</v>
      </c>
      <c r="AE22" s="59">
        <f ca="1">OFFSET(TIAM15_assumptions!$G22,0,MATCH(VLOOKUP(Assumptions!AE$2,TIAM15_assumptions!$Y$3:$Z$87,2,FALSE),TIAM15_assumptions!$H$2:$V$2,0))</f>
        <v>0.65</v>
      </c>
      <c r="AF22" s="59">
        <f ca="1">OFFSET(TIAM15_assumptions!$G22,0,MATCH(VLOOKUP(Assumptions!AF$2,TIAM15_assumptions!$Y$3:$Z$87,2,FALSE),TIAM15_assumptions!$H$2:$V$2,0))</f>
        <v>0.45</v>
      </c>
      <c r="AG22" s="59">
        <f ca="1">OFFSET(TIAM15_assumptions!$G22,0,MATCH(VLOOKUP(Assumptions!AG$2,TIAM15_assumptions!$Y$3:$Z$87,2,FALSE),TIAM15_assumptions!$H$2:$V$2,0))</f>
        <v>0.65</v>
      </c>
      <c r="AH22" s="59">
        <f ca="1">OFFSET(TIAM15_assumptions!$G22,0,MATCH(VLOOKUP(Assumptions!AH$2,TIAM15_assumptions!$Y$3:$Z$87,2,FALSE),TIAM15_assumptions!$H$2:$V$2,0))</f>
        <v>0.55</v>
      </c>
      <c r="AI22" s="59">
        <f ca="1">OFFSET(TIAM15_assumptions!$G22,0,MATCH(VLOOKUP(Assumptions!AI$2,TIAM15_assumptions!$Y$3:$Z$87,2,FALSE),TIAM15_assumptions!$H$2:$V$2,0))</f>
        <v>0.45</v>
      </c>
      <c r="AJ22" s="59">
        <f ca="1">OFFSET(TIAM15_assumptions!$G22,0,MATCH(VLOOKUP(Assumptions!AJ$2,TIAM15_assumptions!$Y$3:$Z$87,2,FALSE),TIAM15_assumptions!$H$2:$V$2,0))</f>
        <v>0.64</v>
      </c>
      <c r="AK22" s="59">
        <f ca="1">OFFSET(TIAM15_assumptions!$G22,0,MATCH(VLOOKUP(Assumptions!AK$2,TIAM15_assumptions!$Y$3:$Z$87,2,FALSE),TIAM15_assumptions!$H$2:$V$2,0))</f>
        <v>0.64</v>
      </c>
      <c r="AL22" s="59">
        <f ca="1">OFFSET(TIAM15_assumptions!$G22,0,MATCH(VLOOKUP(Assumptions!AL$2,TIAM15_assumptions!$Y$3:$Z$87,2,FALSE),TIAM15_assumptions!$H$2:$V$2,0))</f>
        <v>0.64</v>
      </c>
      <c r="AM22" s="59">
        <f ca="1">OFFSET(TIAM15_assumptions!$G22,0,MATCH(VLOOKUP(Assumptions!AM$2,TIAM15_assumptions!$Y$3:$Z$87,2,FALSE),TIAM15_assumptions!$H$2:$V$2,0))</f>
        <v>0.55</v>
      </c>
      <c r="AN22" s="59">
        <f ca="1">OFFSET(TIAM15_assumptions!$G22,0,MATCH(VLOOKUP(Assumptions!AN$2,TIAM15_assumptions!$Y$3:$Z$87,2,FALSE),TIAM15_assumptions!$H$2:$V$2,0))</f>
        <v>0.64</v>
      </c>
      <c r="AO22" s="59">
        <f ca="1">OFFSET(TIAM15_assumptions!$G22,0,MATCH(VLOOKUP(Assumptions!AO$2,TIAM15_assumptions!$Y$3:$Z$87,2,FALSE),TIAM15_assumptions!$H$2:$V$2,0))</f>
        <v>0.65</v>
      </c>
      <c r="AP22" s="59">
        <f ca="1">OFFSET(TIAM15_assumptions!$G22,0,MATCH(VLOOKUP(Assumptions!AP$2,TIAM15_assumptions!$Y$3:$Z$87,2,FALSE),TIAM15_assumptions!$H$2:$V$2,0))</f>
        <v>0.65</v>
      </c>
      <c r="AQ22" s="59">
        <f ca="1">OFFSET(TIAM15_assumptions!$G22,0,MATCH(VLOOKUP(Assumptions!AQ$2,TIAM15_assumptions!$Y$3:$Z$87,2,FALSE),TIAM15_assumptions!$H$2:$V$2,0))</f>
        <v>0.583</v>
      </c>
      <c r="AR22" s="59">
        <f ca="1">OFFSET(TIAM15_assumptions!$G22,0,MATCH(VLOOKUP(Assumptions!AR$2,TIAM15_assumptions!$Y$3:$Z$87,2,FALSE),TIAM15_assumptions!$H$2:$V$2,0))</f>
        <v>0.583</v>
      </c>
      <c r="AS22" s="59">
        <f ca="1">OFFSET(TIAM15_assumptions!$G22,0,MATCH(VLOOKUP(Assumptions!AS$2,TIAM15_assumptions!$Y$3:$Z$87,2,FALSE),TIAM15_assumptions!$H$2:$V$2,0))</f>
        <v>0.583</v>
      </c>
      <c r="AT22" s="59">
        <f ca="1">OFFSET(TIAM15_assumptions!$G22,0,MATCH(VLOOKUP(Assumptions!AT$2,TIAM15_assumptions!$Y$3:$Z$87,2,FALSE),TIAM15_assumptions!$H$2:$V$2,0))</f>
        <v>0.583</v>
      </c>
      <c r="AU22" s="59">
        <f ca="1">OFFSET(TIAM15_assumptions!$G22,0,MATCH(VLOOKUP(Assumptions!AU$2,TIAM15_assumptions!$Y$3:$Z$87,2,FALSE),TIAM15_assumptions!$H$2:$V$2,0))</f>
        <v>0.583</v>
      </c>
      <c r="AV22" s="59">
        <f ca="1">OFFSET(TIAM15_assumptions!$G22,0,MATCH(VLOOKUP(Assumptions!AV$2,TIAM15_assumptions!$Y$3:$Z$87,2,FALSE),TIAM15_assumptions!$H$2:$V$2,0))</f>
        <v>0.583</v>
      </c>
      <c r="AW22" s="59">
        <f ca="1">OFFSET(TIAM15_assumptions!$G22,0,MATCH(VLOOKUP(Assumptions!AW$2,TIAM15_assumptions!$Y$3:$Z$87,2,FALSE),TIAM15_assumptions!$H$2:$V$2,0))</f>
        <v>0.583</v>
      </c>
      <c r="AX22" s="59">
        <f ca="1">OFFSET(TIAM15_assumptions!$G22,0,MATCH(VLOOKUP(Assumptions!AX$2,TIAM15_assumptions!$Y$3:$Z$87,2,FALSE),TIAM15_assumptions!$H$2:$V$2,0))</f>
        <v>0.583</v>
      </c>
      <c r="AY22" s="59">
        <f ca="1">OFFSET(TIAM15_assumptions!$G22,0,MATCH(VLOOKUP(Assumptions!AY$2,TIAM15_assumptions!$Y$3:$Z$87,2,FALSE),TIAM15_assumptions!$H$2:$V$2,0))</f>
        <v>0.583</v>
      </c>
      <c r="AZ22" s="59">
        <f ca="1">OFFSET(TIAM15_assumptions!$G22,0,MATCH(VLOOKUP(Assumptions!AZ$2,TIAM15_assumptions!$Y$3:$Z$87,2,FALSE),TIAM15_assumptions!$H$2:$V$2,0))</f>
        <v>0.583</v>
      </c>
      <c r="BA22" s="59">
        <f ca="1">OFFSET(TIAM15_assumptions!$G22,0,MATCH(VLOOKUP(Assumptions!BA$2,TIAM15_assumptions!$Y$3:$Z$87,2,FALSE),TIAM15_assumptions!$H$2:$V$2,0))</f>
        <v>0.583</v>
      </c>
      <c r="BD22" s="41">
        <f ca="1">IFERROR(SUMIFS('TRA balance'!E$5:E$40,'TRA balance'!$C$5:$C$40,Assumptions!$C22,'TRA balance'!$D$5:$D$40,Assumptions!$B22)*CY22*H22,"")</f>
        <v>322.05163218678</v>
      </c>
      <c r="BE22" s="41">
        <f ca="1">IFERROR(SUMIFS('TRA balance'!F$5:F$40,'TRA balance'!$C$5:$C$40,Assumptions!$C22,'TRA balance'!$D$5:$D$40,Assumptions!$B22)*CZ22*I22,"")</f>
        <v>559.23847964748</v>
      </c>
      <c r="BF22" s="41">
        <f ca="1">IFERROR(SUMIFS('TRA balance'!G$5:G$40,'TRA balance'!$C$5:$C$40,Assumptions!$C22,'TRA balance'!$D$5:$D$40,Assumptions!$B22)*DA22*J22,"")</f>
        <v>353.300460077009</v>
      </c>
      <c r="BG22" s="41">
        <f ca="1">IFERROR(SUMIFS('TRA balance'!H$5:H$40,'TRA balance'!$C$5:$C$40,Assumptions!$C22,'TRA balance'!$D$5:$D$40,Assumptions!$B22)*DB22*K22,"")</f>
        <v>42.9867810742118</v>
      </c>
      <c r="BH22" s="41">
        <f ca="1">IFERROR(SUMIFS('TRA balance'!I$5:I$40,'TRA balance'!$C$5:$C$40,Assumptions!$C22,'TRA balance'!$D$5:$D$40,Assumptions!$B22)*DC22*L22,"")</f>
        <v>13.156743906306</v>
      </c>
      <c r="BI22" s="41">
        <f ca="1">IFERROR(SUMIFS('TRA balance'!J$5:J$40,'TRA balance'!$C$5:$C$40,Assumptions!$C22,'TRA balance'!$D$5:$D$40,Assumptions!$B22)*DD22*M22,"")</f>
        <v>166.319793363479</v>
      </c>
      <c r="BJ22" s="41">
        <f ca="1">IFERROR(SUMIFS('TRA balance'!K$5:K$40,'TRA balance'!$C$5:$C$40,Assumptions!$C22,'TRA balance'!$D$5:$D$40,Assumptions!$B22)*DE22*N22,"")</f>
        <v>541.603649748899</v>
      </c>
      <c r="BK22" s="41">
        <f ca="1">IFERROR(SUMIFS('TRA balance'!L$5:L$40,'TRA balance'!$C$5:$C$40,Assumptions!$C22,'TRA balance'!$D$5:$D$40,Assumptions!$B22)*DF22*O22,"")</f>
        <v>3511.10842133454</v>
      </c>
      <c r="BL22" s="41">
        <f ca="1">IFERROR(SUMIFS('TRA balance'!M$5:M$40,'TRA balance'!$C$5:$C$40,Assumptions!$C22,'TRA balance'!$D$5:$D$40,Assumptions!$B22)*DG22*P22,"")</f>
        <v>21.987494359974</v>
      </c>
      <c r="BM22" s="41">
        <f ca="1">IFERROR(SUMIFS('TRA balance'!N$5:N$40,'TRA balance'!$C$5:$C$40,Assumptions!$C22,'TRA balance'!$D$5:$D$40,Assumptions!$B22)*DH22*Q22,"")</f>
        <v>52.12350149526</v>
      </c>
      <c r="BN22" s="41">
        <f ca="1">IFERROR(SUMIFS('TRA balance'!O$5:O$40,'TRA balance'!$C$5:$C$40,Assumptions!$C22,'TRA balance'!$D$5:$D$40,Assumptions!$B22)*DI22*R22,"")</f>
        <v>204.307287647086</v>
      </c>
      <c r="BO22" s="41">
        <f ca="1">IFERROR(SUMIFS('TRA balance'!P$5:P$40,'TRA balance'!$C$5:$C$40,Assumptions!$C22,'TRA balance'!$D$5:$D$40,Assumptions!$B22)*DJ22*S22,"")</f>
        <v>448.597529460196</v>
      </c>
      <c r="BP22" s="41">
        <f ca="1">IFERROR(SUMIFS('TRA balance'!Q$5:Q$40,'TRA balance'!$C$5:$C$40,Assumptions!$C22,'TRA balance'!$D$5:$D$40,Assumptions!$B22)*DK22*T22,"")</f>
        <v>70.1599095174528</v>
      </c>
      <c r="BQ22" s="41">
        <f ca="1">IFERROR(SUMIFS('TRA balance'!R$5:R$40,'TRA balance'!$C$5:$C$40,Assumptions!$C22,'TRA balance'!$D$5:$D$40,Assumptions!$B22)*DL22*U22,"")</f>
        <v>81.237500848764</v>
      </c>
      <c r="BR22" s="41">
        <f ca="1">IFERROR(SUMIFS('TRA balance'!S$5:S$40,'TRA balance'!$C$5:$C$40,Assumptions!$C22,'TRA balance'!$D$5:$D$40,Assumptions!$B22)*DM22*V22,"")</f>
        <v>3.24351674673408</v>
      </c>
      <c r="BS22" s="41">
        <f ca="1">IFERROR(SUMIFS('TRA balance'!T$5:T$40,'TRA balance'!$C$5:$C$40,Assumptions!$C22,'TRA balance'!$D$5:$D$40,Assumptions!$B22)*DN22*W22,"")</f>
        <v>604.29600063468</v>
      </c>
      <c r="BT22" s="41">
        <f ca="1">IFERROR(SUMIFS('TRA balance'!U$5:U$40,'TRA balance'!$C$5:$C$40,Assumptions!$C22,'TRA balance'!$D$5:$D$40,Assumptions!$B22)*DO22*X22,"")</f>
        <v>20.0100494196634</v>
      </c>
      <c r="BU22" s="41">
        <f ca="1">IFERROR(SUMIFS('TRA balance'!V$5:V$40,'TRA balance'!$C$5:$C$40,Assumptions!$C22,'TRA balance'!$D$5:$D$40,Assumptions!$B22)*DP22*Y22,"")</f>
        <v>202.678619392397</v>
      </c>
      <c r="BV22" s="41">
        <f ca="1">IFERROR(SUMIFS('TRA balance'!W$5:W$40,'TRA balance'!$C$5:$C$40,Assumptions!$C22,'TRA balance'!$D$5:$D$40,Assumptions!$B22)*DQ22*Z22,"")</f>
        <v>998.259084148536</v>
      </c>
      <c r="BW22" s="41">
        <f ca="1">IFERROR(SUMIFS('TRA balance'!X$5:X$40,'TRA balance'!$C$5:$C$40,Assumptions!$C22,'TRA balance'!$D$5:$D$40,Assumptions!$B22)*DR22*AA22,"")</f>
        <v>1029.79774162335</v>
      </c>
      <c r="BX22" s="41">
        <f ca="1">IFERROR(SUMIFS('TRA balance'!Y$5:Y$40,'TRA balance'!$C$5:$C$40,Assumptions!$C22,'TRA balance'!$D$5:$D$40,Assumptions!$B22)*DS22*AB22,"")</f>
        <v>908.45519972823</v>
      </c>
      <c r="BY22" s="41">
        <f ca="1">IFERROR(SUMIFS('TRA balance'!Z$5:Z$40,'TRA balance'!$C$5:$C$40,Assumptions!$C22,'TRA balance'!$D$5:$D$40,Assumptions!$B22)*DT22*AC22,"")</f>
        <v>8557.15707799819</v>
      </c>
      <c r="BZ22" s="41">
        <f ca="1">IFERROR(SUMIFS('TRA balance'!AA$5:AA$40,'TRA balance'!$C$5:$C$40,Assumptions!$C22,'TRA balance'!$D$5:$D$40,Assumptions!$B22)*DU22*AD22,"")</f>
        <v>17.3177558819482</v>
      </c>
      <c r="CA22" s="41">
        <f ca="1">IFERROR(SUMIFS('TRA balance'!AB$5:AB$40,'TRA balance'!$C$5:$C$40,Assumptions!$C22,'TRA balance'!$D$5:$D$40,Assumptions!$B22)*DV22*AE22,"")</f>
        <v>113.675381086176</v>
      </c>
      <c r="CB22" s="41">
        <f ca="1">IFERROR(SUMIFS('TRA balance'!AC$5:AC$40,'TRA balance'!$C$5:$C$40,Assumptions!$C22,'TRA balance'!$D$5:$D$40,Assumptions!$B22)*DW22*AF22,"")</f>
        <v>2035.35293075676</v>
      </c>
      <c r="CC22" s="41">
        <f ca="1">IFERROR(SUMIFS('TRA balance'!AD$5:AD$40,'TRA balance'!$C$5:$C$40,Assumptions!$C22,'TRA balance'!$D$5:$D$40,Assumptions!$B22)*DX22*AG22,"")</f>
        <v>703.869967534734</v>
      </c>
      <c r="CD22" s="41">
        <f ca="1">IFERROR(SUMIFS('TRA balance'!AE$5:AE$40,'TRA balance'!$C$5:$C$40,Assumptions!$C22,'TRA balance'!$D$5:$D$40,Assumptions!$B22)*DY22*AH22,"")</f>
        <v>392.457714926508</v>
      </c>
      <c r="CE22" s="41">
        <f ca="1">IFERROR(SUMIFS('TRA balance'!AF$5:AF$40,'TRA balance'!$C$5:$C$40,Assumptions!$C22,'TRA balance'!$D$5:$D$40,Assumptions!$B22)*DZ22*AI22,"")</f>
        <v>142.45850182248</v>
      </c>
      <c r="CF22" s="41">
        <f ca="1">IFERROR(SUMIFS('TRA balance'!AG$5:AG$40,'TRA balance'!$C$5:$C$40,Assumptions!$C22,'TRA balance'!$D$5:$D$40,Assumptions!$B22)*EA22*AJ22,"")</f>
        <v>168.32289999062</v>
      </c>
      <c r="CG22" s="41">
        <f ca="1">IFERROR(SUMIFS('TRA balance'!AH$5:AH$40,'TRA balance'!$C$5:$C$40,Assumptions!$C22,'TRA balance'!$D$5:$D$40,Assumptions!$B22)*EB22*AK22,"")</f>
        <v>118.053236560205</v>
      </c>
      <c r="CH22" s="41">
        <f ca="1">IFERROR(SUMIFS('TRA balance'!AI$5:AI$40,'TRA balance'!$C$5:$C$40,Assumptions!$C22,'TRA balance'!$D$5:$D$40,Assumptions!$B22)*EC22*AL22,"")</f>
        <v>62.0013527295206</v>
      </c>
      <c r="CI22" s="41">
        <f ca="1">IFERROR(SUMIFS('TRA balance'!AJ$5:AJ$40,'TRA balance'!$C$5:$C$40,Assumptions!$C22,'TRA balance'!$D$5:$D$40,Assumptions!$B22)*ED22*AM22,"")</f>
        <v>38.233579512744</v>
      </c>
      <c r="CJ22" s="41">
        <f ca="1">IFERROR(SUMIFS('TRA balance'!AK$5:AK$40,'TRA balance'!$C$5:$C$40,Assumptions!$C22,'TRA balance'!$D$5:$D$40,Assumptions!$B22)*EE22*AN22,"")</f>
        <v>319.954682093553</v>
      </c>
      <c r="CK22" s="41">
        <f ca="1">IFERROR(SUMIFS('TRA balance'!AL$5:AL$40,'TRA balance'!$C$5:$C$40,Assumptions!$C22,'TRA balance'!$D$5:$D$40,Assumptions!$B22)*EF22*AO22,"")</f>
        <v>35.103469217544</v>
      </c>
      <c r="CL22" s="41">
        <f ca="1">IFERROR(SUMIFS('TRA balance'!AM$5:AM$40,'TRA balance'!$C$5:$C$40,Assumptions!$C22,'TRA balance'!$D$5:$D$40,Assumptions!$B22)*EG22*AP22,"")</f>
        <v>22.884738369714</v>
      </c>
      <c r="CM22" s="41">
        <f ca="1">IFERROR(SUMIFS('TRA balance'!AN$5:AN$40,'TRA balance'!$C$5:$C$40,Assumptions!$C22,'TRA balance'!$D$5:$D$40,Assumptions!$B22)*EH22*AQ22,"")</f>
        <v>0</v>
      </c>
      <c r="CN22" s="41">
        <f ca="1">IFERROR(SUMIFS('TRA balance'!AO$5:AO$40,'TRA balance'!$C$5:$C$40,Assumptions!$C22,'TRA balance'!$D$5:$D$40,Assumptions!$B22)*EI22*AR22,"")</f>
        <v>0</v>
      </c>
      <c r="CO22" s="41">
        <f ca="1">IFERROR(SUMIFS('TRA balance'!AP$5:AP$40,'TRA balance'!$C$5:$C$40,Assumptions!$C22,'TRA balance'!$D$5:$D$40,Assumptions!$B22)*EJ22*AS22,"")</f>
        <v>0</v>
      </c>
      <c r="CP22" s="41">
        <f ca="1">IFERROR(SUMIFS('TRA balance'!AQ$5:AQ$40,'TRA balance'!$C$5:$C$40,Assumptions!$C22,'TRA balance'!$D$5:$D$40,Assumptions!$B22)*EK22*AT22,"")</f>
        <v>0</v>
      </c>
      <c r="CQ22" s="41">
        <f ca="1">IFERROR(SUMIFS('TRA balance'!AR$5:AR$40,'TRA balance'!$C$5:$C$40,Assumptions!$C22,'TRA balance'!$D$5:$D$40,Assumptions!$B22)*EL22*AU22,"")</f>
        <v>0</v>
      </c>
      <c r="CR22" s="41">
        <f ca="1">IFERROR(SUMIFS('TRA balance'!AS$5:AS$40,'TRA balance'!$C$5:$C$40,Assumptions!$C22,'TRA balance'!$D$5:$D$40,Assumptions!$B22)*EM22*AV22,"")</f>
        <v>0</v>
      </c>
      <c r="CS22" s="41">
        <f ca="1">IFERROR(SUMIFS('TRA balance'!AT$5:AT$40,'TRA balance'!$C$5:$C$40,Assumptions!$C22,'TRA balance'!$D$5:$D$40,Assumptions!$B22)*EN22*AW22,"")</f>
        <v>0</v>
      </c>
      <c r="CT22" s="41">
        <f ca="1">IFERROR(SUMIFS('TRA balance'!AU$5:AU$40,'TRA balance'!$C$5:$C$40,Assumptions!$C22,'TRA balance'!$D$5:$D$40,Assumptions!$B22)*EO22*AX22,"")</f>
        <v>0</v>
      </c>
      <c r="CU22" s="41">
        <f ca="1">IFERROR(SUMIFS('TRA balance'!AV$5:AV$40,'TRA balance'!$C$5:$C$40,Assumptions!$C22,'TRA balance'!$D$5:$D$40,Assumptions!$B22)*EP22*AY22,"")</f>
        <v>0</v>
      </c>
      <c r="CV22" s="41">
        <f ca="1">IFERROR(SUMIFS('TRA balance'!AW$5:AW$40,'TRA balance'!$C$5:$C$40,Assumptions!$C22,'TRA balance'!$D$5:$D$40,Assumptions!$B22)*EQ22*AZ22,"")</f>
        <v>0</v>
      </c>
      <c r="CW22" s="41">
        <f ca="1">IFERROR(SUMIFS('TRA balance'!AX$5:AX$40,'TRA balance'!$C$5:$C$40,Assumptions!$C22,'TRA balance'!$D$5:$D$40,Assumptions!$B22)*ER22*BA22,"")</f>
        <v>0</v>
      </c>
      <c r="CY22" s="40">
        <f ca="1" t="shared" si="2"/>
        <v>1</v>
      </c>
      <c r="CZ22" s="40">
        <f ca="1" t="shared" si="3"/>
        <v>1</v>
      </c>
      <c r="DA22" s="40">
        <f ca="1" t="shared" si="4"/>
        <v>0.9</v>
      </c>
      <c r="DB22" s="40">
        <f ca="1" t="shared" si="5"/>
        <v>0.97</v>
      </c>
      <c r="DC22" s="40">
        <f ca="1" t="shared" si="6"/>
        <v>0.7</v>
      </c>
      <c r="DD22" s="40">
        <f ca="1" t="shared" si="7"/>
        <v>0.97</v>
      </c>
      <c r="DE22" s="40">
        <f ca="1" t="shared" si="8"/>
        <v>0.9</v>
      </c>
      <c r="DF22" s="40">
        <f ca="1" t="shared" si="9"/>
        <v>0.9</v>
      </c>
      <c r="DG22" s="40">
        <f ca="1" t="shared" si="10"/>
        <v>0.9</v>
      </c>
      <c r="DH22" s="40">
        <f ca="1" t="shared" si="11"/>
        <v>0.9</v>
      </c>
      <c r="DI22" s="40">
        <f ca="1" t="shared" si="12"/>
        <v>0.97</v>
      </c>
      <c r="DJ22" s="40">
        <f ca="1" t="shared" si="13"/>
        <v>0.97</v>
      </c>
      <c r="DK22" s="40">
        <f ca="1" t="shared" si="14"/>
        <v>0.97</v>
      </c>
      <c r="DL22" s="40">
        <f ca="1" t="shared" si="15"/>
        <v>0.9</v>
      </c>
      <c r="DM22" s="40">
        <f ca="1" t="shared" si="16"/>
        <v>0.97</v>
      </c>
      <c r="DN22" s="40">
        <f ca="1" t="shared" si="17"/>
        <v>1</v>
      </c>
      <c r="DO22" s="40">
        <f ca="1" t="shared" si="18"/>
        <v>0.97</v>
      </c>
      <c r="DP22" s="40">
        <f ca="1" t="shared" si="19"/>
        <v>0.97</v>
      </c>
      <c r="DQ22" s="40">
        <f ca="1" t="shared" si="20"/>
        <v>0.9</v>
      </c>
      <c r="DR22" s="40">
        <f ca="1" t="shared" si="21"/>
        <v>0.9</v>
      </c>
      <c r="DS22" s="40">
        <f ca="1" t="shared" si="22"/>
        <v>0.7</v>
      </c>
      <c r="DT22" s="40">
        <f ca="1" t="shared" si="23"/>
        <v>0.8</v>
      </c>
      <c r="DU22" s="40">
        <f ca="1" t="shared" si="24"/>
        <v>0.97</v>
      </c>
      <c r="DV22" s="40">
        <f ca="1" t="shared" si="25"/>
        <v>0.9</v>
      </c>
      <c r="DW22" s="40">
        <f ca="1" t="shared" si="26"/>
        <v>1</v>
      </c>
      <c r="DX22" s="40">
        <f ca="1" t="shared" si="27"/>
        <v>0.7</v>
      </c>
      <c r="DY22" s="40">
        <f ca="1" t="shared" si="28"/>
        <v>0.7</v>
      </c>
      <c r="DZ22" s="40">
        <f ca="1" t="shared" si="29"/>
        <v>1</v>
      </c>
      <c r="EA22" s="40">
        <f ca="1" t="shared" si="30"/>
        <v>0.97</v>
      </c>
      <c r="EB22" s="40">
        <f ca="1" t="shared" si="31"/>
        <v>0.97</v>
      </c>
      <c r="EC22" s="40">
        <f ca="1" t="shared" si="32"/>
        <v>0.97</v>
      </c>
      <c r="ED22" s="40">
        <f ca="1" t="shared" si="33"/>
        <v>0.7</v>
      </c>
      <c r="EE22" s="40">
        <f ca="1" t="shared" si="34"/>
        <v>0.97</v>
      </c>
      <c r="EF22" s="40">
        <f ca="1" t="shared" si="35"/>
        <v>0.7</v>
      </c>
      <c r="EG22" s="40">
        <f ca="1" t="shared" si="36"/>
        <v>0.9</v>
      </c>
      <c r="EH22" s="40">
        <f ca="1" t="shared" si="37"/>
        <v>0.8</v>
      </c>
      <c r="EI22" s="40">
        <f ca="1" t="shared" si="38"/>
        <v>0.8</v>
      </c>
      <c r="EJ22" s="40">
        <f ca="1" t="shared" si="39"/>
        <v>0.8</v>
      </c>
      <c r="EK22" s="40">
        <f ca="1" t="shared" si="40"/>
        <v>0.8</v>
      </c>
      <c r="EL22" s="40">
        <f ca="1" t="shared" si="41"/>
        <v>0.8</v>
      </c>
      <c r="EM22" s="40">
        <f ca="1" t="shared" si="42"/>
        <v>0.8</v>
      </c>
      <c r="EN22" s="40">
        <f ca="1" t="shared" si="43"/>
        <v>0.8</v>
      </c>
      <c r="EO22" s="40">
        <f ca="1" t="shared" si="44"/>
        <v>0.8</v>
      </c>
      <c r="EP22" s="40">
        <f ca="1" t="shared" si="45"/>
        <v>0.8</v>
      </c>
      <c r="EQ22" s="40">
        <f ca="1" t="shared" si="46"/>
        <v>0.8</v>
      </c>
      <c r="ER22" s="40">
        <f ca="1" t="shared" si="47"/>
        <v>0.8</v>
      </c>
    </row>
    <row r="23" spans="1:148">
      <c r="A23">
        <v>1</v>
      </c>
      <c r="B23" t="str">
        <f>VLOOKUP(F23,'TRA balance'!$BA$5:$BB$14,2,FALSE)</f>
        <v>TRAGSL</v>
      </c>
      <c r="C23" s="56" t="str">
        <f t="shared" si="48"/>
        <v>TR</v>
      </c>
      <c r="D23" s="57" t="s">
        <v>200</v>
      </c>
      <c r="E23" s="68" t="s">
        <v>204</v>
      </c>
      <c r="F23" s="58" t="str">
        <f t="shared" ref="F23:F28" si="59">F22</f>
        <v>Gasoline</v>
      </c>
      <c r="G23" s="56" t="s">
        <v>205</v>
      </c>
      <c r="H23" s="59">
        <f ca="1">OFFSET(TIAM15_assumptions!$G23,0,MATCH(VLOOKUP(Assumptions!H$2,TIAM15_assumptions!$Y$3:$Z$87,2,FALSE),TIAM15_assumptions!$H$2:$V$2,0))</f>
        <v>0.1</v>
      </c>
      <c r="I23" s="59">
        <f ca="1">OFFSET(TIAM15_assumptions!$G23,0,MATCH(VLOOKUP(Assumptions!I$2,TIAM15_assumptions!$Y$3:$Z$87,2,FALSE),TIAM15_assumptions!$H$2:$V$2,0))</f>
        <v>0.1</v>
      </c>
      <c r="J23" s="59">
        <f ca="1">OFFSET(TIAM15_assumptions!$G23,0,MATCH(VLOOKUP(Assumptions!J$2,TIAM15_assumptions!$Y$3:$Z$87,2,FALSE),TIAM15_assumptions!$H$2:$V$2,0))</f>
        <v>0.29</v>
      </c>
      <c r="K23" s="59">
        <f ca="1">OFFSET(TIAM15_assumptions!$G23,0,MATCH(VLOOKUP(Assumptions!K$2,TIAM15_assumptions!$Y$3:$Z$87,2,FALSE),TIAM15_assumptions!$H$2:$V$2,0))</f>
        <v>0.35</v>
      </c>
      <c r="L23" s="59">
        <f ca="1">OFFSET(TIAM15_assumptions!$G23,0,MATCH(VLOOKUP(Assumptions!L$2,TIAM15_assumptions!$Y$3:$Z$87,2,FALSE),TIAM15_assumptions!$H$2:$V$2,0))</f>
        <v>0.33</v>
      </c>
      <c r="M23" s="59">
        <f ca="1">OFFSET(TIAM15_assumptions!$G23,0,MATCH(VLOOKUP(Assumptions!M$2,TIAM15_assumptions!$Y$3:$Z$87,2,FALSE),TIAM15_assumptions!$H$2:$V$2,0))</f>
        <v>0.35</v>
      </c>
      <c r="N23" s="59">
        <f ca="1">OFFSET(TIAM15_assumptions!$G23,0,MATCH(VLOOKUP(Assumptions!N$2,TIAM15_assumptions!$Y$3:$Z$87,2,FALSE),TIAM15_assumptions!$H$2:$V$2,0))</f>
        <v>0.31</v>
      </c>
      <c r="O23" s="59">
        <f ca="1">OFFSET(TIAM15_assumptions!$G23,0,MATCH(VLOOKUP(Assumptions!O$2,TIAM15_assumptions!$Y$3:$Z$87,2,FALSE),TIAM15_assumptions!$H$2:$V$2,0))</f>
        <v>0.25</v>
      </c>
      <c r="P23" s="59">
        <f ca="1">OFFSET(TIAM15_assumptions!$G23,0,MATCH(VLOOKUP(Assumptions!P$2,TIAM15_assumptions!$Y$3:$Z$87,2,FALSE),TIAM15_assumptions!$H$2:$V$2,0))</f>
        <v>0.33</v>
      </c>
      <c r="Q23" s="59">
        <f ca="1">OFFSET(TIAM15_assumptions!$G23,0,MATCH(VLOOKUP(Assumptions!Q$2,TIAM15_assumptions!$Y$3:$Z$87,2,FALSE),TIAM15_assumptions!$H$2:$V$2,0))</f>
        <v>0.33</v>
      </c>
      <c r="R23" s="59">
        <f ca="1">OFFSET(TIAM15_assumptions!$G23,0,MATCH(VLOOKUP(Assumptions!R$2,TIAM15_assumptions!$Y$3:$Z$87,2,FALSE),TIAM15_assumptions!$H$2:$V$2,0))</f>
        <v>0.35</v>
      </c>
      <c r="S23" s="59">
        <f ca="1">OFFSET(TIAM15_assumptions!$G23,0,MATCH(VLOOKUP(Assumptions!S$2,TIAM15_assumptions!$Y$3:$Z$87,2,FALSE),TIAM15_assumptions!$H$2:$V$2,0))</f>
        <v>0.35</v>
      </c>
      <c r="T23" s="59">
        <f ca="1">OFFSET(TIAM15_assumptions!$G23,0,MATCH(VLOOKUP(Assumptions!T$2,TIAM15_assumptions!$Y$3:$Z$87,2,FALSE),TIAM15_assumptions!$H$2:$V$2,0))</f>
        <v>0.35</v>
      </c>
      <c r="U23" s="59">
        <f ca="1">OFFSET(TIAM15_assumptions!$G23,0,MATCH(VLOOKUP(Assumptions!U$2,TIAM15_assumptions!$Y$3:$Z$87,2,FALSE),TIAM15_assumptions!$H$2:$V$2,0))</f>
        <v>0.33</v>
      </c>
      <c r="V23" s="59">
        <f ca="1">OFFSET(TIAM15_assumptions!$G23,0,MATCH(VLOOKUP(Assumptions!V$2,TIAM15_assumptions!$Y$3:$Z$87,2,FALSE),TIAM15_assumptions!$H$2:$V$2,0))</f>
        <v>0.35</v>
      </c>
      <c r="W23" s="59">
        <f ca="1">OFFSET(TIAM15_assumptions!$G23,0,MATCH(VLOOKUP(Assumptions!W$2,TIAM15_assumptions!$Y$3:$Z$87,2,FALSE),TIAM15_assumptions!$H$2:$V$2,0))</f>
        <v>0.05</v>
      </c>
      <c r="X23" s="59">
        <f ca="1">OFFSET(TIAM15_assumptions!$G23,0,MATCH(VLOOKUP(Assumptions!X$2,TIAM15_assumptions!$Y$3:$Z$87,2,FALSE),TIAM15_assumptions!$H$2:$V$2,0))</f>
        <v>0.35</v>
      </c>
      <c r="Y23" s="59">
        <f ca="1">OFFSET(TIAM15_assumptions!$G23,0,MATCH(VLOOKUP(Assumptions!Y$2,TIAM15_assumptions!$Y$3:$Z$87,2,FALSE),TIAM15_assumptions!$H$2:$V$2,0))</f>
        <v>0.35</v>
      </c>
      <c r="Z23" s="59">
        <f ca="1">OFFSET(TIAM15_assumptions!$G23,0,MATCH(VLOOKUP(Assumptions!Z$2,TIAM15_assumptions!$Y$3:$Z$87,2,FALSE),TIAM15_assumptions!$H$2:$V$2,0))</f>
        <v>0.285</v>
      </c>
      <c r="AA23" s="59">
        <f ca="1">OFFSET(TIAM15_assumptions!$G23,0,MATCH(VLOOKUP(Assumptions!AA$2,TIAM15_assumptions!$Y$3:$Z$87,2,FALSE),TIAM15_assumptions!$H$2:$V$2,0))</f>
        <v>0.31</v>
      </c>
      <c r="AB23" s="59">
        <f ca="1">OFFSET(TIAM15_assumptions!$G23,0,MATCH(VLOOKUP(Assumptions!AB$2,TIAM15_assumptions!$Y$3:$Z$87,2,FALSE),TIAM15_assumptions!$H$2:$V$2,0))</f>
        <v>0.42</v>
      </c>
      <c r="AC23" s="59">
        <f ca="1">OFFSET(TIAM15_assumptions!$G23,0,MATCH(VLOOKUP(Assumptions!AC$2,TIAM15_assumptions!$Y$3:$Z$87,2,FALSE),TIAM15_assumptions!$H$2:$V$2,0))</f>
        <v>0.415</v>
      </c>
      <c r="AD23" s="59">
        <f ca="1">OFFSET(TIAM15_assumptions!$G23,0,MATCH(VLOOKUP(Assumptions!AD$2,TIAM15_assumptions!$Y$3:$Z$87,2,FALSE),TIAM15_assumptions!$H$2:$V$2,0))</f>
        <v>0.35</v>
      </c>
      <c r="AE23" s="59">
        <f ca="1">OFFSET(TIAM15_assumptions!$G23,0,MATCH(VLOOKUP(Assumptions!AE$2,TIAM15_assumptions!$Y$3:$Z$87,2,FALSE),TIAM15_assumptions!$H$2:$V$2,0))</f>
        <v>0.33</v>
      </c>
      <c r="AF23" s="59">
        <f ca="1">OFFSET(TIAM15_assumptions!$G23,0,MATCH(VLOOKUP(Assumptions!AF$2,TIAM15_assumptions!$Y$3:$Z$87,2,FALSE),TIAM15_assumptions!$H$2:$V$2,0))</f>
        <v>0.1</v>
      </c>
      <c r="AG23" s="59">
        <f ca="1">OFFSET(TIAM15_assumptions!$G23,0,MATCH(VLOOKUP(Assumptions!AG$2,TIAM15_assumptions!$Y$3:$Z$87,2,FALSE),TIAM15_assumptions!$H$2:$V$2,0))</f>
        <v>0.33</v>
      </c>
      <c r="AH23" s="59">
        <f ca="1">OFFSET(TIAM15_assumptions!$G23,0,MATCH(VLOOKUP(Assumptions!AH$2,TIAM15_assumptions!$Y$3:$Z$87,2,FALSE),TIAM15_assumptions!$H$2:$V$2,0))</f>
        <v>0.42</v>
      </c>
      <c r="AI23" s="59">
        <f ca="1">OFFSET(TIAM15_assumptions!$G23,0,MATCH(VLOOKUP(Assumptions!AI$2,TIAM15_assumptions!$Y$3:$Z$87,2,FALSE),TIAM15_assumptions!$H$2:$V$2,0))</f>
        <v>0.1</v>
      </c>
      <c r="AJ23" s="59">
        <f ca="1">OFFSET(TIAM15_assumptions!$G23,0,MATCH(VLOOKUP(Assumptions!AJ$2,TIAM15_assumptions!$Y$3:$Z$87,2,FALSE),TIAM15_assumptions!$H$2:$V$2,0))</f>
        <v>0.35</v>
      </c>
      <c r="AK23" s="59">
        <f ca="1">OFFSET(TIAM15_assumptions!$G23,0,MATCH(VLOOKUP(Assumptions!AK$2,TIAM15_assumptions!$Y$3:$Z$87,2,FALSE),TIAM15_assumptions!$H$2:$V$2,0))</f>
        <v>0.35</v>
      </c>
      <c r="AL23" s="59">
        <f ca="1">OFFSET(TIAM15_assumptions!$G23,0,MATCH(VLOOKUP(Assumptions!AL$2,TIAM15_assumptions!$Y$3:$Z$87,2,FALSE),TIAM15_assumptions!$H$2:$V$2,0))</f>
        <v>0.35</v>
      </c>
      <c r="AM23" s="59">
        <f ca="1">OFFSET(TIAM15_assumptions!$G23,0,MATCH(VLOOKUP(Assumptions!AM$2,TIAM15_assumptions!$Y$3:$Z$87,2,FALSE),TIAM15_assumptions!$H$2:$V$2,0))</f>
        <v>0.42</v>
      </c>
      <c r="AN23" s="59">
        <f ca="1">OFFSET(TIAM15_assumptions!$G23,0,MATCH(VLOOKUP(Assumptions!AN$2,TIAM15_assumptions!$Y$3:$Z$87,2,FALSE),TIAM15_assumptions!$H$2:$V$2,0))</f>
        <v>0.35</v>
      </c>
      <c r="AO23" s="59">
        <f ca="1">OFFSET(TIAM15_assumptions!$G23,0,MATCH(VLOOKUP(Assumptions!AO$2,TIAM15_assumptions!$Y$3:$Z$87,2,FALSE),TIAM15_assumptions!$H$2:$V$2,0))</f>
        <v>0.33</v>
      </c>
      <c r="AP23" s="59">
        <f ca="1">OFFSET(TIAM15_assumptions!$G23,0,MATCH(VLOOKUP(Assumptions!AP$2,TIAM15_assumptions!$Y$3:$Z$87,2,FALSE),TIAM15_assumptions!$H$2:$V$2,0))</f>
        <v>0.33</v>
      </c>
      <c r="AQ23" s="59">
        <f ca="1">OFFSET(TIAM15_assumptions!$G23,0,MATCH(VLOOKUP(Assumptions!AQ$2,TIAM15_assumptions!$Y$3:$Z$87,2,FALSE),TIAM15_assumptions!$H$2:$V$2,0))</f>
        <v>0.415</v>
      </c>
      <c r="AR23" s="59">
        <f ca="1">OFFSET(TIAM15_assumptions!$G23,0,MATCH(VLOOKUP(Assumptions!AR$2,TIAM15_assumptions!$Y$3:$Z$87,2,FALSE),TIAM15_assumptions!$H$2:$V$2,0))</f>
        <v>0.415</v>
      </c>
      <c r="AS23" s="59">
        <f ca="1">OFFSET(TIAM15_assumptions!$G23,0,MATCH(VLOOKUP(Assumptions!AS$2,TIAM15_assumptions!$Y$3:$Z$87,2,FALSE),TIAM15_assumptions!$H$2:$V$2,0))</f>
        <v>0.415</v>
      </c>
      <c r="AT23" s="59">
        <f ca="1">OFFSET(TIAM15_assumptions!$G23,0,MATCH(VLOOKUP(Assumptions!AT$2,TIAM15_assumptions!$Y$3:$Z$87,2,FALSE),TIAM15_assumptions!$H$2:$V$2,0))</f>
        <v>0.415</v>
      </c>
      <c r="AU23" s="59">
        <f ca="1">OFFSET(TIAM15_assumptions!$G23,0,MATCH(VLOOKUP(Assumptions!AU$2,TIAM15_assumptions!$Y$3:$Z$87,2,FALSE),TIAM15_assumptions!$H$2:$V$2,0))</f>
        <v>0.415</v>
      </c>
      <c r="AV23" s="59">
        <f ca="1">OFFSET(TIAM15_assumptions!$G23,0,MATCH(VLOOKUP(Assumptions!AV$2,TIAM15_assumptions!$Y$3:$Z$87,2,FALSE),TIAM15_assumptions!$H$2:$V$2,0))</f>
        <v>0.415</v>
      </c>
      <c r="AW23" s="59">
        <f ca="1">OFFSET(TIAM15_assumptions!$G23,0,MATCH(VLOOKUP(Assumptions!AW$2,TIAM15_assumptions!$Y$3:$Z$87,2,FALSE),TIAM15_assumptions!$H$2:$V$2,0))</f>
        <v>0.415</v>
      </c>
      <c r="AX23" s="59">
        <f ca="1">OFFSET(TIAM15_assumptions!$G23,0,MATCH(VLOOKUP(Assumptions!AX$2,TIAM15_assumptions!$Y$3:$Z$87,2,FALSE),TIAM15_assumptions!$H$2:$V$2,0))</f>
        <v>0.415</v>
      </c>
      <c r="AY23" s="59">
        <f ca="1">OFFSET(TIAM15_assumptions!$G23,0,MATCH(VLOOKUP(Assumptions!AY$2,TIAM15_assumptions!$Y$3:$Z$87,2,FALSE),TIAM15_assumptions!$H$2:$V$2,0))</f>
        <v>0.415</v>
      </c>
      <c r="AZ23" s="59">
        <f ca="1">OFFSET(TIAM15_assumptions!$G23,0,MATCH(VLOOKUP(Assumptions!AZ$2,TIAM15_assumptions!$Y$3:$Z$87,2,FALSE),TIAM15_assumptions!$H$2:$V$2,0))</f>
        <v>0.415</v>
      </c>
      <c r="BA23" s="59">
        <f ca="1">OFFSET(TIAM15_assumptions!$G23,0,MATCH(VLOOKUP(Assumptions!BA$2,TIAM15_assumptions!$Y$3:$Z$87,2,FALSE),TIAM15_assumptions!$H$2:$V$2,0))</f>
        <v>0.415</v>
      </c>
      <c r="BD23" s="41">
        <f ca="1">IFERROR(SUMIFS('TRA balance'!E$5:E$40,'TRA balance'!$C$5:$C$40,Assumptions!$C23,'TRA balance'!$D$5:$D$40,Assumptions!$B23)*CY23*H23,"")</f>
        <v>71.56702937484</v>
      </c>
      <c r="BE23" s="41">
        <f ca="1">IFERROR(SUMIFS('TRA balance'!F$5:F$40,'TRA balance'!$C$5:$C$40,Assumptions!$C23,'TRA balance'!$D$5:$D$40,Assumptions!$B23)*CZ23*I23,"")</f>
        <v>124.27521769944</v>
      </c>
      <c r="BF23" s="41">
        <f ca="1">IFERROR(SUMIFS('TRA balance'!G$5:G$40,'TRA balance'!$C$5:$C$40,Assumptions!$C23,'TRA balance'!$D$5:$D$40,Assumptions!$B23)*DA23*J23,"")</f>
        <v>148.488599162801</v>
      </c>
      <c r="BG23" s="41">
        <f ca="1">IFERROR(SUMIFS('TRA balance'!H$5:H$40,'TRA balance'!$C$5:$C$40,Assumptions!$C23,'TRA balance'!$D$5:$D$40,Assumptions!$B23)*DB23*K23,"")</f>
        <v>23.5083958999596</v>
      </c>
      <c r="BH23" s="41">
        <f ca="1">IFERROR(SUMIFS('TRA balance'!I$5:I$40,'TRA balance'!$C$5:$C$40,Assumptions!$C23,'TRA balance'!$D$5:$D$40,Assumptions!$B23)*DC23*L23,"")</f>
        <v>6.6795776755092</v>
      </c>
      <c r="BI23" s="41">
        <f ca="1">IFERROR(SUMIFS('TRA balance'!J$5:J$40,'TRA balance'!$C$5:$C$40,Assumptions!$C23,'TRA balance'!$D$5:$D$40,Assumptions!$B23)*DD23*M23,"")</f>
        <v>90.9561369956526</v>
      </c>
      <c r="BJ23" s="41">
        <f ca="1">IFERROR(SUMIFS('TRA balance'!K$5:K$40,'TRA balance'!$C$5:$C$40,Assumptions!$C23,'TRA balance'!$D$5:$D$40,Assumptions!$B23)*DE23*N23,"")</f>
        <v>250.592733465908</v>
      </c>
      <c r="BK23" s="41">
        <f ca="1">IFERROR(SUMIFS('TRA balance'!L$5:L$40,'TRA balance'!$C$5:$C$40,Assumptions!$C23,'TRA balance'!$D$5:$D$40,Assumptions!$B23)*DF23*O23,"")</f>
        <v>1350.4263158979</v>
      </c>
      <c r="BL23" s="41">
        <f ca="1">IFERROR(SUMIFS('TRA balance'!M$5:M$40,'TRA balance'!$C$5:$C$40,Assumptions!$C23,'TRA balance'!$D$5:$D$40,Assumptions!$B23)*DG23*P23,"")</f>
        <v>11.1628817519868</v>
      </c>
      <c r="BM23" s="41">
        <f ca="1">IFERROR(SUMIFS('TRA balance'!N$5:N$40,'TRA balance'!$C$5:$C$40,Assumptions!$C23,'TRA balance'!$D$5:$D$40,Assumptions!$B23)*DH23*Q23,"")</f>
        <v>26.462700759132</v>
      </c>
      <c r="BN23" s="41">
        <f ca="1">IFERROR(SUMIFS('TRA balance'!O$5:O$40,'TRA balance'!$C$5:$C$40,Assumptions!$C23,'TRA balance'!$D$5:$D$40,Assumptions!$B23)*DI23*R23,"")</f>
        <v>111.730547932</v>
      </c>
      <c r="BO23" s="41">
        <f ca="1">IFERROR(SUMIFS('TRA balance'!P$5:P$40,'TRA balance'!$C$5:$C$40,Assumptions!$C23,'TRA balance'!$D$5:$D$40,Assumptions!$B23)*DJ23*S23,"")</f>
        <v>245.326773923545</v>
      </c>
      <c r="BP23" s="41">
        <f ca="1">IFERROR(SUMIFS('TRA balance'!Q$5:Q$40,'TRA balance'!$C$5:$C$40,Assumptions!$C23,'TRA balance'!$D$5:$D$40,Assumptions!$B23)*DK23*T23,"")</f>
        <v>38.368700517357</v>
      </c>
      <c r="BQ23" s="41">
        <f ca="1">IFERROR(SUMIFS('TRA balance'!R$5:R$40,'TRA balance'!$C$5:$C$40,Assumptions!$C23,'TRA balance'!$D$5:$D$40,Assumptions!$B23)*DL23*U23,"")</f>
        <v>41.2436542770648</v>
      </c>
      <c r="BR23" s="41">
        <f ca="1">IFERROR(SUMIFS('TRA balance'!S$5:S$40,'TRA balance'!$C$5:$C$40,Assumptions!$C23,'TRA balance'!$D$5:$D$40,Assumptions!$B23)*DM23*V23,"")</f>
        <v>1.7737982208702</v>
      </c>
      <c r="BS23" s="41">
        <f ca="1">IFERROR(SUMIFS('TRA balance'!T$5:T$40,'TRA balance'!$C$5:$C$40,Assumptions!$C23,'TRA balance'!$D$5:$D$40,Assumptions!$B23)*DN23*W23,"")</f>
        <v>67.14400007052</v>
      </c>
      <c r="BT23" s="41">
        <f ca="1">IFERROR(SUMIFS('TRA balance'!U$5:U$40,'TRA balance'!$C$5:$C$40,Assumptions!$C23,'TRA balance'!$D$5:$D$40,Assumptions!$B23)*DO23*X23,"")</f>
        <v>10.9429957763784</v>
      </c>
      <c r="BU23" s="41">
        <f ca="1">IFERROR(SUMIFS('TRA balance'!V$5:V$40,'TRA balance'!$C$5:$C$40,Assumptions!$C23,'TRA balance'!$D$5:$D$40,Assumptions!$B23)*DP23*Y23,"")</f>
        <v>110.839869980217</v>
      </c>
      <c r="BV23" s="41">
        <f ca="1">IFERROR(SUMIFS('TRA balance'!W$5:W$40,'TRA balance'!$C$5:$C$40,Assumptions!$C23,'TRA balance'!$D$5:$D$40,Assumptions!$B23)*DQ23*Z23,"")</f>
        <v>406.434055689047</v>
      </c>
      <c r="BW23" s="41">
        <f ca="1">IFERROR(SUMIFS('TRA balance'!X$5:X$40,'TRA balance'!$C$5:$C$40,Assumptions!$C23,'TRA balance'!$D$5:$D$40,Assumptions!$B23)*DR23*AA23,"")</f>
        <v>476.473581945133</v>
      </c>
      <c r="BX23" s="41">
        <f ca="1">IFERROR(SUMIFS('TRA balance'!Y$5:Y$40,'TRA balance'!$C$5:$C$40,Assumptions!$C23,'TRA balance'!$D$5:$D$40,Assumptions!$B23)*DS23*AB23,"")</f>
        <v>693.729425247012</v>
      </c>
      <c r="BY23" s="41">
        <f ca="1">IFERROR(SUMIFS('TRA balance'!Z$5:Z$40,'TRA balance'!$C$5:$C$40,Assumptions!$C23,'TRA balance'!$D$5:$D$40,Assumptions!$B23)*DT23*AC23,"")</f>
        <v>6091.28677078773</v>
      </c>
      <c r="BZ23" s="41">
        <f ca="1">IFERROR(SUMIFS('TRA balance'!AA$5:AA$40,'TRA balance'!$C$5:$C$40,Assumptions!$C23,'TRA balance'!$D$5:$D$40,Assumptions!$B23)*DU23*AD23,"")</f>
        <v>9.4706477479404</v>
      </c>
      <c r="CA23" s="41">
        <f ca="1">IFERROR(SUMIFS('TRA balance'!AB$5:AB$40,'TRA balance'!$C$5:$C$40,Assumptions!$C23,'TRA balance'!$D$5:$D$40,Assumptions!$B23)*DV23*AE23,"")</f>
        <v>57.7121165514432</v>
      </c>
      <c r="CB23" s="41">
        <f ca="1">IFERROR(SUMIFS('TRA balance'!AC$5:AC$40,'TRA balance'!$C$5:$C$40,Assumptions!$C23,'TRA balance'!$D$5:$D$40,Assumptions!$B23)*DW23*AF23,"")</f>
        <v>452.30065127928</v>
      </c>
      <c r="CC23" s="41">
        <f ca="1">IFERROR(SUMIFS('TRA balance'!AD$5:AD$40,'TRA balance'!$C$5:$C$40,Assumptions!$C23,'TRA balance'!$D$5:$D$40,Assumptions!$B23)*DX23*AG23,"")</f>
        <v>357.349368133019</v>
      </c>
      <c r="CD23" s="41">
        <f ca="1">IFERROR(SUMIFS('TRA balance'!AE$5:AE$40,'TRA balance'!$C$5:$C$40,Assumptions!$C23,'TRA balance'!$D$5:$D$40,Assumptions!$B23)*DY23*AH23,"")</f>
        <v>299.694982307515</v>
      </c>
      <c r="CE23" s="41">
        <f ca="1">IFERROR(SUMIFS('TRA balance'!AF$5:AF$40,'TRA balance'!$C$5:$C$40,Assumptions!$C23,'TRA balance'!$D$5:$D$40,Assumptions!$B23)*DZ23*AI23,"")</f>
        <v>31.65744484944</v>
      </c>
      <c r="CF23" s="41">
        <f ca="1">IFERROR(SUMIFS('TRA balance'!AG$5:AG$40,'TRA balance'!$C$5:$C$40,Assumptions!$C23,'TRA balance'!$D$5:$D$40,Assumptions!$B23)*EA23*AJ23,"")</f>
        <v>92.0515859323704</v>
      </c>
      <c r="CG23" s="41">
        <f ca="1">IFERROR(SUMIFS('TRA balance'!AH$5:AH$40,'TRA balance'!$C$5:$C$40,Assumptions!$C23,'TRA balance'!$D$5:$D$40,Assumptions!$B23)*EB23*AK23,"")</f>
        <v>64.560363743862</v>
      </c>
      <c r="CH23" s="41">
        <f ca="1">IFERROR(SUMIFS('TRA balance'!AI$5:AI$40,'TRA balance'!$C$5:$C$40,Assumptions!$C23,'TRA balance'!$D$5:$D$40,Assumptions!$B23)*EC23*AL23,"")</f>
        <v>33.9069897739566</v>
      </c>
      <c r="CI23" s="41">
        <f ca="1">IFERROR(SUMIFS('TRA balance'!AJ$5:AJ$40,'TRA balance'!$C$5:$C$40,Assumptions!$C23,'TRA balance'!$D$5:$D$40,Assumptions!$B23)*ED23*AM23,"")</f>
        <v>29.1965516279136</v>
      </c>
      <c r="CJ23" s="41">
        <f ca="1">IFERROR(SUMIFS('TRA balance'!AK$5:AK$40,'TRA balance'!$C$5:$C$40,Assumptions!$C23,'TRA balance'!$D$5:$D$40,Assumptions!$B23)*EE23*AN23,"")</f>
        <v>174.975216769912</v>
      </c>
      <c r="CK23" s="41">
        <f ca="1">IFERROR(SUMIFS('TRA balance'!AL$5:AL$40,'TRA balance'!$C$5:$C$40,Assumptions!$C23,'TRA balance'!$D$5:$D$40,Assumptions!$B23)*EF23*AO23,"")</f>
        <v>17.8217612950608</v>
      </c>
      <c r="CL23" s="41">
        <f ca="1">IFERROR(SUMIFS('TRA balance'!AM$5:AM$40,'TRA balance'!$C$5:$C$40,Assumptions!$C23,'TRA balance'!$D$5:$D$40,Assumptions!$B23)*EG23*AP23,"")</f>
        <v>11.6184056338548</v>
      </c>
      <c r="CM23" s="41">
        <f ca="1">IFERROR(SUMIFS('TRA balance'!AN$5:AN$40,'TRA balance'!$C$5:$C$40,Assumptions!$C23,'TRA balance'!$D$5:$D$40,Assumptions!$B23)*EH23*AQ23,"")</f>
        <v>0</v>
      </c>
      <c r="CN23" s="41">
        <f ca="1">IFERROR(SUMIFS('TRA balance'!AO$5:AO$40,'TRA balance'!$C$5:$C$40,Assumptions!$C23,'TRA balance'!$D$5:$D$40,Assumptions!$B23)*EI23*AR23,"")</f>
        <v>0</v>
      </c>
      <c r="CO23" s="41">
        <f ca="1">IFERROR(SUMIFS('TRA balance'!AP$5:AP$40,'TRA balance'!$C$5:$C$40,Assumptions!$C23,'TRA balance'!$D$5:$D$40,Assumptions!$B23)*EJ23*AS23,"")</f>
        <v>0</v>
      </c>
      <c r="CP23" s="41">
        <f ca="1">IFERROR(SUMIFS('TRA balance'!AQ$5:AQ$40,'TRA balance'!$C$5:$C$40,Assumptions!$C23,'TRA balance'!$D$5:$D$40,Assumptions!$B23)*EK23*AT23,"")</f>
        <v>0</v>
      </c>
      <c r="CQ23" s="41">
        <f ca="1">IFERROR(SUMIFS('TRA balance'!AR$5:AR$40,'TRA balance'!$C$5:$C$40,Assumptions!$C23,'TRA balance'!$D$5:$D$40,Assumptions!$B23)*EL23*AU23,"")</f>
        <v>0</v>
      </c>
      <c r="CR23" s="41">
        <f ca="1">IFERROR(SUMIFS('TRA balance'!AS$5:AS$40,'TRA balance'!$C$5:$C$40,Assumptions!$C23,'TRA balance'!$D$5:$D$40,Assumptions!$B23)*EM23*AV23,"")</f>
        <v>0</v>
      </c>
      <c r="CS23" s="41">
        <f ca="1">IFERROR(SUMIFS('TRA balance'!AT$5:AT$40,'TRA balance'!$C$5:$C$40,Assumptions!$C23,'TRA balance'!$D$5:$D$40,Assumptions!$B23)*EN23*AW23,"")</f>
        <v>0</v>
      </c>
      <c r="CT23" s="41">
        <f ca="1">IFERROR(SUMIFS('TRA balance'!AU$5:AU$40,'TRA balance'!$C$5:$C$40,Assumptions!$C23,'TRA balance'!$D$5:$D$40,Assumptions!$B23)*EO23*AX23,"")</f>
        <v>0</v>
      </c>
      <c r="CU23" s="41">
        <f ca="1">IFERROR(SUMIFS('TRA balance'!AV$5:AV$40,'TRA balance'!$C$5:$C$40,Assumptions!$C23,'TRA balance'!$D$5:$D$40,Assumptions!$B23)*EP23*AY23,"")</f>
        <v>0</v>
      </c>
      <c r="CV23" s="41">
        <f ca="1">IFERROR(SUMIFS('TRA balance'!AW$5:AW$40,'TRA balance'!$C$5:$C$40,Assumptions!$C23,'TRA balance'!$D$5:$D$40,Assumptions!$B23)*EQ23*AZ23,"")</f>
        <v>0</v>
      </c>
      <c r="CW23" s="41">
        <f ca="1">IFERROR(SUMIFS('TRA balance'!AX$5:AX$40,'TRA balance'!$C$5:$C$40,Assumptions!$C23,'TRA balance'!$D$5:$D$40,Assumptions!$B23)*ER23*BA23,"")</f>
        <v>0</v>
      </c>
      <c r="CY23" s="40">
        <f ca="1" t="shared" si="2"/>
        <v>1</v>
      </c>
      <c r="CZ23" s="40">
        <f ca="1" t="shared" si="3"/>
        <v>1</v>
      </c>
      <c r="DA23" s="40">
        <f ca="1" t="shared" si="4"/>
        <v>0.9</v>
      </c>
      <c r="DB23" s="40">
        <f ca="1" t="shared" si="5"/>
        <v>0.97</v>
      </c>
      <c r="DC23" s="40">
        <f ca="1" t="shared" si="6"/>
        <v>0.7</v>
      </c>
      <c r="DD23" s="40">
        <f ca="1" t="shared" si="7"/>
        <v>0.97</v>
      </c>
      <c r="DE23" s="40">
        <f ca="1" t="shared" si="8"/>
        <v>0.9</v>
      </c>
      <c r="DF23" s="40">
        <f ca="1" t="shared" si="9"/>
        <v>0.9</v>
      </c>
      <c r="DG23" s="40">
        <f ca="1" t="shared" si="10"/>
        <v>0.9</v>
      </c>
      <c r="DH23" s="40">
        <f ca="1" t="shared" si="11"/>
        <v>0.9</v>
      </c>
      <c r="DI23" s="40">
        <f ca="1" t="shared" si="12"/>
        <v>0.97</v>
      </c>
      <c r="DJ23" s="40">
        <f ca="1" t="shared" si="13"/>
        <v>0.97</v>
      </c>
      <c r="DK23" s="40">
        <f ca="1" t="shared" si="14"/>
        <v>0.97</v>
      </c>
      <c r="DL23" s="40">
        <f ca="1" t="shared" si="15"/>
        <v>0.9</v>
      </c>
      <c r="DM23" s="40">
        <f ca="1" t="shared" si="16"/>
        <v>0.97</v>
      </c>
      <c r="DN23" s="40">
        <f ca="1" t="shared" si="17"/>
        <v>1</v>
      </c>
      <c r="DO23" s="40">
        <f ca="1" t="shared" si="18"/>
        <v>0.97</v>
      </c>
      <c r="DP23" s="40">
        <f ca="1" t="shared" si="19"/>
        <v>0.97</v>
      </c>
      <c r="DQ23" s="40">
        <f ca="1" t="shared" si="20"/>
        <v>0.9</v>
      </c>
      <c r="DR23" s="40">
        <f ca="1" t="shared" si="21"/>
        <v>0.9</v>
      </c>
      <c r="DS23" s="40">
        <f ca="1" t="shared" si="22"/>
        <v>0.7</v>
      </c>
      <c r="DT23" s="40">
        <f ca="1" t="shared" si="23"/>
        <v>0.8</v>
      </c>
      <c r="DU23" s="40">
        <f ca="1" t="shared" si="24"/>
        <v>0.97</v>
      </c>
      <c r="DV23" s="40">
        <f ca="1" t="shared" si="25"/>
        <v>0.9</v>
      </c>
      <c r="DW23" s="40">
        <f ca="1" t="shared" si="26"/>
        <v>1</v>
      </c>
      <c r="DX23" s="40">
        <f ca="1" t="shared" si="27"/>
        <v>0.7</v>
      </c>
      <c r="DY23" s="40">
        <f ca="1" t="shared" si="28"/>
        <v>0.7</v>
      </c>
      <c r="DZ23" s="40">
        <f ca="1" t="shared" si="29"/>
        <v>1</v>
      </c>
      <c r="EA23" s="40">
        <f ca="1" t="shared" si="30"/>
        <v>0.97</v>
      </c>
      <c r="EB23" s="40">
        <f ca="1" t="shared" si="31"/>
        <v>0.97</v>
      </c>
      <c r="EC23" s="40">
        <f ca="1" t="shared" si="32"/>
        <v>0.97</v>
      </c>
      <c r="ED23" s="40">
        <f ca="1" t="shared" si="33"/>
        <v>0.7</v>
      </c>
      <c r="EE23" s="40">
        <f ca="1" t="shared" si="34"/>
        <v>0.97</v>
      </c>
      <c r="EF23" s="40">
        <f ca="1" t="shared" si="35"/>
        <v>0.7</v>
      </c>
      <c r="EG23" s="40">
        <f ca="1" t="shared" si="36"/>
        <v>0.9</v>
      </c>
      <c r="EH23" s="40">
        <f ca="1" t="shared" si="37"/>
        <v>0.8</v>
      </c>
      <c r="EI23" s="40">
        <f ca="1" t="shared" si="38"/>
        <v>0.8</v>
      </c>
      <c r="EJ23" s="40">
        <f ca="1" t="shared" si="39"/>
        <v>0.8</v>
      </c>
      <c r="EK23" s="40">
        <f ca="1" t="shared" si="40"/>
        <v>0.8</v>
      </c>
      <c r="EL23" s="40">
        <f ca="1" t="shared" si="41"/>
        <v>0.8</v>
      </c>
      <c r="EM23" s="40">
        <f ca="1" t="shared" si="42"/>
        <v>0.8</v>
      </c>
      <c r="EN23" s="40">
        <f ca="1" t="shared" si="43"/>
        <v>0.8</v>
      </c>
      <c r="EO23" s="40">
        <f ca="1" t="shared" si="44"/>
        <v>0.8</v>
      </c>
      <c r="EP23" s="40">
        <f ca="1" t="shared" si="45"/>
        <v>0.8</v>
      </c>
      <c r="EQ23" s="40">
        <f ca="1" t="shared" si="46"/>
        <v>0.8</v>
      </c>
      <c r="ER23" s="40">
        <f ca="1" t="shared" si="47"/>
        <v>0.8</v>
      </c>
    </row>
    <row r="24" spans="1:148">
      <c r="A24">
        <v>1</v>
      </c>
      <c r="B24" t="str">
        <f>VLOOKUP(F24,'TRA balance'!$BA$5:$BB$14,2,FALSE)</f>
        <v>TRAGSL</v>
      </c>
      <c r="C24" s="56" t="str">
        <f t="shared" si="48"/>
        <v>TR</v>
      </c>
      <c r="D24" s="57" t="s">
        <v>200</v>
      </c>
      <c r="E24" s="68" t="s">
        <v>206</v>
      </c>
      <c r="F24" s="58" t="str">
        <f t="shared" si="59"/>
        <v>Gasoline</v>
      </c>
      <c r="G24" s="56" t="s">
        <v>207</v>
      </c>
      <c r="H24" s="59">
        <f ca="1">OFFSET(TIAM15_assumptions!$G24,0,MATCH(VLOOKUP(Assumptions!H$2,TIAM15_assumptions!$Y$3:$Z$87,2,FALSE),TIAM15_assumptions!$H$2:$V$2,0))</f>
        <v>0.1</v>
      </c>
      <c r="I24" s="59">
        <f ca="1">OFFSET(TIAM15_assumptions!$G24,0,MATCH(VLOOKUP(Assumptions!I$2,TIAM15_assumptions!$Y$3:$Z$87,2,FALSE),TIAM15_assumptions!$H$2:$V$2,0))</f>
        <v>0.1</v>
      </c>
      <c r="J24" s="59">
        <f ca="1">OFFSET(TIAM15_assumptions!$G24,0,MATCH(VLOOKUP(Assumptions!J$2,TIAM15_assumptions!$Y$3:$Z$87,2,FALSE),TIAM15_assumptions!$H$2:$V$2,0))</f>
        <v>0</v>
      </c>
      <c r="K24" s="59">
        <f ca="1">OFFSET(TIAM15_assumptions!$G24,0,MATCH(VLOOKUP(Assumptions!K$2,TIAM15_assumptions!$Y$3:$Z$87,2,FALSE),TIAM15_assumptions!$H$2:$V$2,0))</f>
        <v>0.005</v>
      </c>
      <c r="L24" s="59">
        <f ca="1">OFFSET(TIAM15_assumptions!$G24,0,MATCH(VLOOKUP(Assumptions!L$2,TIAM15_assumptions!$Y$3:$Z$87,2,FALSE),TIAM15_assumptions!$H$2:$V$2,0))</f>
        <v>0.005</v>
      </c>
      <c r="M24" s="59">
        <f ca="1">OFFSET(TIAM15_assumptions!$G24,0,MATCH(VLOOKUP(Assumptions!M$2,TIAM15_assumptions!$Y$3:$Z$87,2,FALSE),TIAM15_assumptions!$H$2:$V$2,0))</f>
        <v>0.005</v>
      </c>
      <c r="N24" s="59">
        <f ca="1">OFFSET(TIAM15_assumptions!$G24,0,MATCH(VLOOKUP(Assumptions!N$2,TIAM15_assumptions!$Y$3:$Z$87,2,FALSE),TIAM15_assumptions!$H$2:$V$2,0))</f>
        <v>0.005</v>
      </c>
      <c r="O24" s="59">
        <f ca="1">OFFSET(TIAM15_assumptions!$G24,0,MATCH(VLOOKUP(Assumptions!O$2,TIAM15_assumptions!$Y$3:$Z$87,2,FALSE),TIAM15_assumptions!$H$2:$V$2,0))</f>
        <v>0</v>
      </c>
      <c r="P24" s="59">
        <f ca="1">OFFSET(TIAM15_assumptions!$G24,0,MATCH(VLOOKUP(Assumptions!P$2,TIAM15_assumptions!$Y$3:$Z$87,2,FALSE),TIAM15_assumptions!$H$2:$V$2,0))</f>
        <v>0.005</v>
      </c>
      <c r="Q24" s="59">
        <f ca="1">OFFSET(TIAM15_assumptions!$G24,0,MATCH(VLOOKUP(Assumptions!Q$2,TIAM15_assumptions!$Y$3:$Z$87,2,FALSE),TIAM15_assumptions!$H$2:$V$2,0))</f>
        <v>0.005</v>
      </c>
      <c r="R24" s="59">
        <f ca="1">OFFSET(TIAM15_assumptions!$G24,0,MATCH(VLOOKUP(Assumptions!R$2,TIAM15_assumptions!$Y$3:$Z$87,2,FALSE),TIAM15_assumptions!$H$2:$V$2,0))</f>
        <v>0.005</v>
      </c>
      <c r="S24" s="59">
        <f ca="1">OFFSET(TIAM15_assumptions!$G24,0,MATCH(VLOOKUP(Assumptions!S$2,TIAM15_assumptions!$Y$3:$Z$87,2,FALSE),TIAM15_assumptions!$H$2:$V$2,0))</f>
        <v>0.005</v>
      </c>
      <c r="T24" s="59">
        <f ca="1">OFFSET(TIAM15_assumptions!$G24,0,MATCH(VLOOKUP(Assumptions!T$2,TIAM15_assumptions!$Y$3:$Z$87,2,FALSE),TIAM15_assumptions!$H$2:$V$2,0))</f>
        <v>0.005</v>
      </c>
      <c r="U24" s="59">
        <f ca="1">OFFSET(TIAM15_assumptions!$G24,0,MATCH(VLOOKUP(Assumptions!U$2,TIAM15_assumptions!$Y$3:$Z$87,2,FALSE),TIAM15_assumptions!$H$2:$V$2,0))</f>
        <v>0.005</v>
      </c>
      <c r="V24" s="59">
        <f ca="1">OFFSET(TIAM15_assumptions!$G24,0,MATCH(VLOOKUP(Assumptions!V$2,TIAM15_assumptions!$Y$3:$Z$87,2,FALSE),TIAM15_assumptions!$H$2:$V$2,0))</f>
        <v>0.005</v>
      </c>
      <c r="W24" s="59">
        <f ca="1">OFFSET(TIAM15_assumptions!$G24,0,MATCH(VLOOKUP(Assumptions!W$2,TIAM15_assumptions!$Y$3:$Z$87,2,FALSE),TIAM15_assumptions!$H$2:$V$2,0))</f>
        <v>0.1</v>
      </c>
      <c r="X24" s="59">
        <f ca="1">OFFSET(TIAM15_assumptions!$G24,0,MATCH(VLOOKUP(Assumptions!X$2,TIAM15_assumptions!$Y$3:$Z$87,2,FALSE),TIAM15_assumptions!$H$2:$V$2,0))</f>
        <v>0.005</v>
      </c>
      <c r="Y24" s="59">
        <f ca="1">OFFSET(TIAM15_assumptions!$G24,0,MATCH(VLOOKUP(Assumptions!Y$2,TIAM15_assumptions!$Y$3:$Z$87,2,FALSE),TIAM15_assumptions!$H$2:$V$2,0))</f>
        <v>0.005</v>
      </c>
      <c r="Z24" s="59">
        <f ca="1">OFFSET(TIAM15_assumptions!$G24,0,MATCH(VLOOKUP(Assumptions!Z$2,TIAM15_assumptions!$Y$3:$Z$87,2,FALSE),TIAM15_assumptions!$H$2:$V$2,0))</f>
        <v>0.005</v>
      </c>
      <c r="AA24" s="59">
        <f ca="1">OFFSET(TIAM15_assumptions!$G24,0,MATCH(VLOOKUP(Assumptions!AA$2,TIAM15_assumptions!$Y$3:$Z$87,2,FALSE),TIAM15_assumptions!$H$2:$V$2,0))</f>
        <v>0.005</v>
      </c>
      <c r="AB24" s="59">
        <f ca="1">OFFSET(TIAM15_assumptions!$G24,0,MATCH(VLOOKUP(Assumptions!AB$2,TIAM15_assumptions!$Y$3:$Z$87,2,FALSE),TIAM15_assumptions!$H$2:$V$2,0))</f>
        <v>0.01</v>
      </c>
      <c r="AC24" s="59">
        <f ca="1">OFFSET(TIAM15_assumptions!$G24,0,MATCH(VLOOKUP(Assumptions!AC$2,TIAM15_assumptions!$Y$3:$Z$87,2,FALSE),TIAM15_assumptions!$H$2:$V$2,0))</f>
        <v>0.001</v>
      </c>
      <c r="AD24" s="59">
        <f ca="1">OFFSET(TIAM15_assumptions!$G24,0,MATCH(VLOOKUP(Assumptions!AD$2,TIAM15_assumptions!$Y$3:$Z$87,2,FALSE),TIAM15_assumptions!$H$2:$V$2,0))</f>
        <v>0.005</v>
      </c>
      <c r="AE24" s="59">
        <f ca="1">OFFSET(TIAM15_assumptions!$G24,0,MATCH(VLOOKUP(Assumptions!AE$2,TIAM15_assumptions!$Y$3:$Z$87,2,FALSE),TIAM15_assumptions!$H$2:$V$2,0))</f>
        <v>0.005</v>
      </c>
      <c r="AF24" s="59">
        <f ca="1">OFFSET(TIAM15_assumptions!$G24,0,MATCH(VLOOKUP(Assumptions!AF$2,TIAM15_assumptions!$Y$3:$Z$87,2,FALSE),TIAM15_assumptions!$H$2:$V$2,0))</f>
        <v>0.1</v>
      </c>
      <c r="AG24" s="59">
        <f ca="1">OFFSET(TIAM15_assumptions!$G24,0,MATCH(VLOOKUP(Assumptions!AG$2,TIAM15_assumptions!$Y$3:$Z$87,2,FALSE),TIAM15_assumptions!$H$2:$V$2,0))</f>
        <v>0.005</v>
      </c>
      <c r="AH24" s="59">
        <f ca="1">OFFSET(TIAM15_assumptions!$G24,0,MATCH(VLOOKUP(Assumptions!AH$2,TIAM15_assumptions!$Y$3:$Z$87,2,FALSE),TIAM15_assumptions!$H$2:$V$2,0))</f>
        <v>0.01</v>
      </c>
      <c r="AI24" s="59">
        <f ca="1">OFFSET(TIAM15_assumptions!$G24,0,MATCH(VLOOKUP(Assumptions!AI$2,TIAM15_assumptions!$Y$3:$Z$87,2,FALSE),TIAM15_assumptions!$H$2:$V$2,0))</f>
        <v>0.1</v>
      </c>
      <c r="AJ24" s="59">
        <f ca="1">OFFSET(TIAM15_assumptions!$G24,0,MATCH(VLOOKUP(Assumptions!AJ$2,TIAM15_assumptions!$Y$3:$Z$87,2,FALSE),TIAM15_assumptions!$H$2:$V$2,0))</f>
        <v>0.005</v>
      </c>
      <c r="AK24" s="59">
        <f ca="1">OFFSET(TIAM15_assumptions!$G24,0,MATCH(VLOOKUP(Assumptions!AK$2,TIAM15_assumptions!$Y$3:$Z$87,2,FALSE),TIAM15_assumptions!$H$2:$V$2,0))</f>
        <v>0.005</v>
      </c>
      <c r="AL24" s="59">
        <f ca="1">OFFSET(TIAM15_assumptions!$G24,0,MATCH(VLOOKUP(Assumptions!AL$2,TIAM15_assumptions!$Y$3:$Z$87,2,FALSE),TIAM15_assumptions!$H$2:$V$2,0))</f>
        <v>0.005</v>
      </c>
      <c r="AM24" s="59">
        <f ca="1">OFFSET(TIAM15_assumptions!$G24,0,MATCH(VLOOKUP(Assumptions!AM$2,TIAM15_assumptions!$Y$3:$Z$87,2,FALSE),TIAM15_assumptions!$H$2:$V$2,0))</f>
        <v>0.01</v>
      </c>
      <c r="AN24" s="59">
        <f ca="1">OFFSET(TIAM15_assumptions!$G24,0,MATCH(VLOOKUP(Assumptions!AN$2,TIAM15_assumptions!$Y$3:$Z$87,2,FALSE),TIAM15_assumptions!$H$2:$V$2,0))</f>
        <v>0.005</v>
      </c>
      <c r="AO24" s="59">
        <f ca="1">OFFSET(TIAM15_assumptions!$G24,0,MATCH(VLOOKUP(Assumptions!AO$2,TIAM15_assumptions!$Y$3:$Z$87,2,FALSE),TIAM15_assumptions!$H$2:$V$2,0))</f>
        <v>0.005</v>
      </c>
      <c r="AP24" s="59">
        <f ca="1">OFFSET(TIAM15_assumptions!$G24,0,MATCH(VLOOKUP(Assumptions!AP$2,TIAM15_assumptions!$Y$3:$Z$87,2,FALSE),TIAM15_assumptions!$H$2:$V$2,0))</f>
        <v>0.005</v>
      </c>
      <c r="AQ24" s="59">
        <f ca="1">OFFSET(TIAM15_assumptions!$G24,0,MATCH(VLOOKUP(Assumptions!AQ$2,TIAM15_assumptions!$Y$3:$Z$87,2,FALSE),TIAM15_assumptions!$H$2:$V$2,0))</f>
        <v>0.001</v>
      </c>
      <c r="AR24" s="59">
        <f ca="1">OFFSET(TIAM15_assumptions!$G24,0,MATCH(VLOOKUP(Assumptions!AR$2,TIAM15_assumptions!$Y$3:$Z$87,2,FALSE),TIAM15_assumptions!$H$2:$V$2,0))</f>
        <v>0.001</v>
      </c>
      <c r="AS24" s="59">
        <f ca="1">OFFSET(TIAM15_assumptions!$G24,0,MATCH(VLOOKUP(Assumptions!AS$2,TIAM15_assumptions!$Y$3:$Z$87,2,FALSE),TIAM15_assumptions!$H$2:$V$2,0))</f>
        <v>0.001</v>
      </c>
      <c r="AT24" s="59">
        <f ca="1">OFFSET(TIAM15_assumptions!$G24,0,MATCH(VLOOKUP(Assumptions!AT$2,TIAM15_assumptions!$Y$3:$Z$87,2,FALSE),TIAM15_assumptions!$H$2:$V$2,0))</f>
        <v>0.001</v>
      </c>
      <c r="AU24" s="59">
        <f ca="1">OFFSET(TIAM15_assumptions!$G24,0,MATCH(VLOOKUP(Assumptions!AU$2,TIAM15_assumptions!$Y$3:$Z$87,2,FALSE),TIAM15_assumptions!$H$2:$V$2,0))</f>
        <v>0.001</v>
      </c>
      <c r="AV24" s="59">
        <f ca="1">OFFSET(TIAM15_assumptions!$G24,0,MATCH(VLOOKUP(Assumptions!AV$2,TIAM15_assumptions!$Y$3:$Z$87,2,FALSE),TIAM15_assumptions!$H$2:$V$2,0))</f>
        <v>0.001</v>
      </c>
      <c r="AW24" s="59">
        <f ca="1">OFFSET(TIAM15_assumptions!$G24,0,MATCH(VLOOKUP(Assumptions!AW$2,TIAM15_assumptions!$Y$3:$Z$87,2,FALSE),TIAM15_assumptions!$H$2:$V$2,0))</f>
        <v>0.001</v>
      </c>
      <c r="AX24" s="59">
        <f ca="1">OFFSET(TIAM15_assumptions!$G24,0,MATCH(VLOOKUP(Assumptions!AX$2,TIAM15_assumptions!$Y$3:$Z$87,2,FALSE),TIAM15_assumptions!$H$2:$V$2,0))</f>
        <v>0.001</v>
      </c>
      <c r="AY24" s="59">
        <f ca="1">OFFSET(TIAM15_assumptions!$G24,0,MATCH(VLOOKUP(Assumptions!AY$2,TIAM15_assumptions!$Y$3:$Z$87,2,FALSE),TIAM15_assumptions!$H$2:$V$2,0))</f>
        <v>0.001</v>
      </c>
      <c r="AZ24" s="59">
        <f ca="1">OFFSET(TIAM15_assumptions!$G24,0,MATCH(VLOOKUP(Assumptions!AZ$2,TIAM15_assumptions!$Y$3:$Z$87,2,FALSE),TIAM15_assumptions!$H$2:$V$2,0))</f>
        <v>0.001</v>
      </c>
      <c r="BA24" s="59">
        <f ca="1">OFFSET(TIAM15_assumptions!$G24,0,MATCH(VLOOKUP(Assumptions!BA$2,TIAM15_assumptions!$Y$3:$Z$87,2,FALSE),TIAM15_assumptions!$H$2:$V$2,0))</f>
        <v>0.001</v>
      </c>
      <c r="BD24" s="41">
        <f ca="1">IFERROR(SUMIFS('TRA balance'!E$5:E$40,'TRA balance'!$C$5:$C$40,Assumptions!$C24,'TRA balance'!$D$5:$D$40,Assumptions!$B24)*CY24*H24,"")</f>
        <v>71.56702937484</v>
      </c>
      <c r="BE24" s="41">
        <f ca="1">IFERROR(SUMIFS('TRA balance'!F$5:F$40,'TRA balance'!$C$5:$C$40,Assumptions!$C24,'TRA balance'!$D$5:$D$40,Assumptions!$B24)*CZ24*I24,"")</f>
        <v>124.27521769944</v>
      </c>
      <c r="BF24" s="41">
        <f ca="1">IFERROR(SUMIFS('TRA balance'!G$5:G$40,'TRA balance'!$C$5:$C$40,Assumptions!$C24,'TRA balance'!$D$5:$D$40,Assumptions!$B24)*DA24*J24,"")</f>
        <v>0</v>
      </c>
      <c r="BG24" s="41">
        <f ca="1">IFERROR(SUMIFS('TRA balance'!H$5:H$40,'TRA balance'!$C$5:$C$40,Assumptions!$C24,'TRA balance'!$D$5:$D$40,Assumptions!$B24)*DB24*K24,"")</f>
        <v>0.33583422714228</v>
      </c>
      <c r="BH24" s="41">
        <f ca="1">IFERROR(SUMIFS('TRA balance'!I$5:I$40,'TRA balance'!$C$5:$C$40,Assumptions!$C24,'TRA balance'!$D$5:$D$40,Assumptions!$B24)*DC24*L24,"")</f>
        <v>0.1012057223562</v>
      </c>
      <c r="BI24" s="41">
        <f ca="1">IFERROR(SUMIFS('TRA balance'!J$5:J$40,'TRA balance'!$C$5:$C$40,Assumptions!$C24,'TRA balance'!$D$5:$D$40,Assumptions!$B24)*DD24*M24,"")</f>
        <v>1.29937338565218</v>
      </c>
      <c r="BJ24" s="41">
        <f ca="1">IFERROR(SUMIFS('TRA balance'!K$5:K$40,'TRA balance'!$C$5:$C$40,Assumptions!$C24,'TRA balance'!$D$5:$D$40,Assumptions!$B24)*DE24*N24,"")</f>
        <v>4.0418182817082</v>
      </c>
      <c r="BK24" s="41">
        <f ca="1">IFERROR(SUMIFS('TRA balance'!L$5:L$40,'TRA balance'!$C$5:$C$40,Assumptions!$C24,'TRA balance'!$D$5:$D$40,Assumptions!$B24)*DF24*O24,"")</f>
        <v>0</v>
      </c>
      <c r="BL24" s="41">
        <f ca="1">IFERROR(SUMIFS('TRA balance'!M$5:M$40,'TRA balance'!$C$5:$C$40,Assumptions!$C24,'TRA balance'!$D$5:$D$40,Assumptions!$B24)*DG24*P24,"")</f>
        <v>0.1691345719998</v>
      </c>
      <c r="BM24" s="41">
        <f ca="1">IFERROR(SUMIFS('TRA balance'!N$5:N$40,'TRA balance'!$C$5:$C$40,Assumptions!$C24,'TRA balance'!$D$5:$D$40,Assumptions!$B24)*DH24*Q24,"")</f>
        <v>0.400950011502</v>
      </c>
      <c r="BN24" s="41">
        <f ca="1">IFERROR(SUMIFS('TRA balance'!O$5:O$40,'TRA balance'!$C$5:$C$40,Assumptions!$C24,'TRA balance'!$D$5:$D$40,Assumptions!$B24)*DI24*R24,"")</f>
        <v>1.59615068474286</v>
      </c>
      <c r="BO24" s="41">
        <f ca="1">IFERROR(SUMIFS('TRA balance'!P$5:P$40,'TRA balance'!$C$5:$C$40,Assumptions!$C24,'TRA balance'!$D$5:$D$40,Assumptions!$B24)*DJ24*S24,"")</f>
        <v>3.50466819890778</v>
      </c>
      <c r="BP24" s="41">
        <f ca="1">IFERROR(SUMIFS('TRA balance'!Q$5:Q$40,'TRA balance'!$C$5:$C$40,Assumptions!$C24,'TRA balance'!$D$5:$D$40,Assumptions!$B24)*DK24*T24,"")</f>
        <v>0.5481242931051</v>
      </c>
      <c r="BQ24" s="41">
        <f ca="1">IFERROR(SUMIFS('TRA balance'!R$5:R$40,'TRA balance'!$C$5:$C$40,Assumptions!$C24,'TRA balance'!$D$5:$D$40,Assumptions!$B24)*DL24*U24,"")</f>
        <v>0.6249038526828</v>
      </c>
      <c r="BR24" s="41">
        <f ca="1">IFERROR(SUMIFS('TRA balance'!S$5:S$40,'TRA balance'!$C$5:$C$40,Assumptions!$C24,'TRA balance'!$D$5:$D$40,Assumptions!$B24)*DM24*V24,"")</f>
        <v>0.02533997458386</v>
      </c>
      <c r="BS24" s="41">
        <f ca="1">IFERROR(SUMIFS('TRA balance'!T$5:T$40,'TRA balance'!$C$5:$C$40,Assumptions!$C24,'TRA balance'!$D$5:$D$40,Assumptions!$B24)*DN24*W24,"")</f>
        <v>134.28800014104</v>
      </c>
      <c r="BT24" s="41">
        <f ca="1">IFERROR(SUMIFS('TRA balance'!U$5:U$40,'TRA balance'!$C$5:$C$40,Assumptions!$C24,'TRA balance'!$D$5:$D$40,Assumptions!$B24)*DO24*X24,"")</f>
        <v>0.15632851109112</v>
      </c>
      <c r="BU24" s="41">
        <f ca="1">IFERROR(SUMIFS('TRA balance'!V$5:V$40,'TRA balance'!$C$5:$C$40,Assumptions!$C24,'TRA balance'!$D$5:$D$40,Assumptions!$B24)*DP24*Y24,"")</f>
        <v>1.5834267140031</v>
      </c>
      <c r="BV24" s="41">
        <f ca="1">IFERROR(SUMIFS('TRA balance'!W$5:W$40,'TRA balance'!$C$5:$C$40,Assumptions!$C24,'TRA balance'!$D$5:$D$40,Assumptions!$B24)*DQ24*Z24,"")</f>
        <v>7.1304220296324</v>
      </c>
      <c r="BW24" s="41">
        <f ca="1">IFERROR(SUMIFS('TRA balance'!X$5:X$40,'TRA balance'!$C$5:$C$40,Assumptions!$C24,'TRA balance'!$D$5:$D$40,Assumptions!$B24)*DR24*AA24,"")</f>
        <v>7.6850577733086</v>
      </c>
      <c r="BX24" s="41">
        <f ca="1">IFERROR(SUMIFS('TRA balance'!Y$5:Y$40,'TRA balance'!$C$5:$C$40,Assumptions!$C24,'TRA balance'!$D$5:$D$40,Assumptions!$B24)*DS24*AB24,"")</f>
        <v>16.517367267786</v>
      </c>
      <c r="BY24" s="41">
        <f ca="1">IFERROR(SUMIFS('TRA balance'!Z$5:Z$40,'TRA balance'!$C$5:$C$40,Assumptions!$C24,'TRA balance'!$D$5:$D$40,Assumptions!$B24)*DT24*AC24,"")</f>
        <v>14.6777994476813</v>
      </c>
      <c r="BZ24" s="41">
        <f ca="1">IFERROR(SUMIFS('TRA balance'!AA$5:AA$40,'TRA balance'!$C$5:$C$40,Assumptions!$C24,'TRA balance'!$D$5:$D$40,Assumptions!$B24)*DU24*AD24,"")</f>
        <v>0.13529496782772</v>
      </c>
      <c r="CA24" s="41">
        <f ca="1">IFERROR(SUMIFS('TRA balance'!AB$5:AB$40,'TRA balance'!$C$5:$C$40,Assumptions!$C24,'TRA balance'!$D$5:$D$40,Assumptions!$B24)*DV24*AE24,"")</f>
        <v>0.8744260083552</v>
      </c>
      <c r="CB24" s="41">
        <f ca="1">IFERROR(SUMIFS('TRA balance'!AC$5:AC$40,'TRA balance'!$C$5:$C$40,Assumptions!$C24,'TRA balance'!$D$5:$D$40,Assumptions!$B24)*DW24*AF24,"")</f>
        <v>452.30065127928</v>
      </c>
      <c r="CC24" s="41">
        <f ca="1">IFERROR(SUMIFS('TRA balance'!AD$5:AD$40,'TRA balance'!$C$5:$C$40,Assumptions!$C24,'TRA balance'!$D$5:$D$40,Assumptions!$B24)*DX24*AG24,"")</f>
        <v>5.4143843656518</v>
      </c>
      <c r="CD24" s="41">
        <f ca="1">IFERROR(SUMIFS('TRA balance'!AE$5:AE$40,'TRA balance'!$C$5:$C$40,Assumptions!$C24,'TRA balance'!$D$5:$D$40,Assumptions!$B24)*DY24*AH24,"")</f>
        <v>7.1355948168456</v>
      </c>
      <c r="CE24" s="41">
        <f ca="1">IFERROR(SUMIFS('TRA balance'!AF$5:AF$40,'TRA balance'!$C$5:$C$40,Assumptions!$C24,'TRA balance'!$D$5:$D$40,Assumptions!$B24)*DZ24*AI24,"")</f>
        <v>31.65744484944</v>
      </c>
      <c r="CF24" s="41">
        <f ca="1">IFERROR(SUMIFS('TRA balance'!AG$5:AG$40,'TRA balance'!$C$5:$C$40,Assumptions!$C24,'TRA balance'!$D$5:$D$40,Assumptions!$B24)*EA24*AJ24,"")</f>
        <v>1.31502265617672</v>
      </c>
      <c r="CG24" s="41">
        <f ca="1">IFERROR(SUMIFS('TRA balance'!AH$5:AH$40,'TRA balance'!$C$5:$C$40,Assumptions!$C24,'TRA balance'!$D$5:$D$40,Assumptions!$B24)*EB24*AK24,"")</f>
        <v>0.9222909106266</v>
      </c>
      <c r="CH24" s="41">
        <f ca="1">IFERROR(SUMIFS('TRA balance'!AI$5:AI$40,'TRA balance'!$C$5:$C$40,Assumptions!$C24,'TRA balance'!$D$5:$D$40,Assumptions!$B24)*EC24*AL24,"")</f>
        <v>0.48438556819938</v>
      </c>
      <c r="CI24" s="41">
        <f ca="1">IFERROR(SUMIFS('TRA balance'!AJ$5:AJ$40,'TRA balance'!$C$5:$C$40,Assumptions!$C24,'TRA balance'!$D$5:$D$40,Assumptions!$B24)*ED24*AM24,"")</f>
        <v>0.6951559911408</v>
      </c>
      <c r="CJ24" s="41">
        <f ca="1">IFERROR(SUMIFS('TRA balance'!AK$5:AK$40,'TRA balance'!$C$5:$C$40,Assumptions!$C24,'TRA balance'!$D$5:$D$40,Assumptions!$B24)*EE24*AN24,"")</f>
        <v>2.49964595385588</v>
      </c>
      <c r="CK24" s="41">
        <f ca="1">IFERROR(SUMIFS('TRA balance'!AL$5:AL$40,'TRA balance'!$C$5:$C$40,Assumptions!$C24,'TRA balance'!$D$5:$D$40,Assumptions!$B24)*EF24*AO24,"")</f>
        <v>0.2700266862888</v>
      </c>
      <c r="CL24" s="41">
        <f ca="1">IFERROR(SUMIFS('TRA balance'!AM$5:AM$40,'TRA balance'!$C$5:$C$40,Assumptions!$C24,'TRA balance'!$D$5:$D$40,Assumptions!$B24)*EG24*AP24,"")</f>
        <v>0.1760364489978</v>
      </c>
      <c r="CM24" s="41">
        <f ca="1">IFERROR(SUMIFS('TRA balance'!AN$5:AN$40,'TRA balance'!$C$5:$C$40,Assumptions!$C24,'TRA balance'!$D$5:$D$40,Assumptions!$B24)*EH24*AQ24,"")</f>
        <v>0</v>
      </c>
      <c r="CN24" s="41">
        <f ca="1">IFERROR(SUMIFS('TRA balance'!AO$5:AO$40,'TRA balance'!$C$5:$C$40,Assumptions!$C24,'TRA balance'!$D$5:$D$40,Assumptions!$B24)*EI24*AR24,"")</f>
        <v>0</v>
      </c>
      <c r="CO24" s="41">
        <f ca="1">IFERROR(SUMIFS('TRA balance'!AP$5:AP$40,'TRA balance'!$C$5:$C$40,Assumptions!$C24,'TRA balance'!$D$5:$D$40,Assumptions!$B24)*EJ24*AS24,"")</f>
        <v>0</v>
      </c>
      <c r="CP24" s="41">
        <f ca="1">IFERROR(SUMIFS('TRA balance'!AQ$5:AQ$40,'TRA balance'!$C$5:$C$40,Assumptions!$C24,'TRA balance'!$D$5:$D$40,Assumptions!$B24)*EK24*AT24,"")</f>
        <v>0</v>
      </c>
      <c r="CQ24" s="41">
        <f ca="1">IFERROR(SUMIFS('TRA balance'!AR$5:AR$40,'TRA balance'!$C$5:$C$40,Assumptions!$C24,'TRA balance'!$D$5:$D$40,Assumptions!$B24)*EL24*AU24,"")</f>
        <v>0</v>
      </c>
      <c r="CR24" s="41">
        <f ca="1">IFERROR(SUMIFS('TRA balance'!AS$5:AS$40,'TRA balance'!$C$5:$C$40,Assumptions!$C24,'TRA balance'!$D$5:$D$40,Assumptions!$B24)*EM24*AV24,"")</f>
        <v>0</v>
      </c>
      <c r="CS24" s="41">
        <f ca="1">IFERROR(SUMIFS('TRA balance'!AT$5:AT$40,'TRA balance'!$C$5:$C$40,Assumptions!$C24,'TRA balance'!$D$5:$D$40,Assumptions!$B24)*EN24*AW24,"")</f>
        <v>0</v>
      </c>
      <c r="CT24" s="41">
        <f ca="1">IFERROR(SUMIFS('TRA balance'!AU$5:AU$40,'TRA balance'!$C$5:$C$40,Assumptions!$C24,'TRA balance'!$D$5:$D$40,Assumptions!$B24)*EO24*AX24,"")</f>
        <v>0</v>
      </c>
      <c r="CU24" s="41">
        <f ca="1">IFERROR(SUMIFS('TRA balance'!AV$5:AV$40,'TRA balance'!$C$5:$C$40,Assumptions!$C24,'TRA balance'!$D$5:$D$40,Assumptions!$B24)*EP24*AY24,"")</f>
        <v>0</v>
      </c>
      <c r="CV24" s="41">
        <f ca="1">IFERROR(SUMIFS('TRA balance'!AW$5:AW$40,'TRA balance'!$C$5:$C$40,Assumptions!$C24,'TRA balance'!$D$5:$D$40,Assumptions!$B24)*EQ24*AZ24,"")</f>
        <v>0</v>
      </c>
      <c r="CW24" s="41">
        <f ca="1">IFERROR(SUMIFS('TRA balance'!AX$5:AX$40,'TRA balance'!$C$5:$C$40,Assumptions!$C24,'TRA balance'!$D$5:$D$40,Assumptions!$B24)*ER24*BA24,"")</f>
        <v>0</v>
      </c>
      <c r="CY24" s="40">
        <f ca="1" t="shared" si="2"/>
        <v>1</v>
      </c>
      <c r="CZ24" s="40">
        <f ca="1" t="shared" si="3"/>
        <v>1</v>
      </c>
      <c r="DA24" s="40">
        <f ca="1" t="shared" si="4"/>
        <v>0.9</v>
      </c>
      <c r="DB24" s="40">
        <f ca="1" t="shared" si="5"/>
        <v>0.97</v>
      </c>
      <c r="DC24" s="40">
        <f ca="1" t="shared" si="6"/>
        <v>0.7</v>
      </c>
      <c r="DD24" s="40">
        <f ca="1" t="shared" si="7"/>
        <v>0.97</v>
      </c>
      <c r="DE24" s="40">
        <f ca="1" t="shared" si="8"/>
        <v>0.9</v>
      </c>
      <c r="DF24" s="40">
        <f ca="1" t="shared" si="9"/>
        <v>0.9</v>
      </c>
      <c r="DG24" s="40">
        <f ca="1" t="shared" si="10"/>
        <v>0.9</v>
      </c>
      <c r="DH24" s="40">
        <f ca="1" t="shared" si="11"/>
        <v>0.9</v>
      </c>
      <c r="DI24" s="40">
        <f ca="1" t="shared" si="12"/>
        <v>0.97</v>
      </c>
      <c r="DJ24" s="40">
        <f ca="1" t="shared" si="13"/>
        <v>0.97</v>
      </c>
      <c r="DK24" s="40">
        <f ca="1" t="shared" si="14"/>
        <v>0.97</v>
      </c>
      <c r="DL24" s="40">
        <f ca="1" t="shared" si="15"/>
        <v>0.9</v>
      </c>
      <c r="DM24" s="40">
        <f ca="1" t="shared" si="16"/>
        <v>0.97</v>
      </c>
      <c r="DN24" s="40">
        <f ca="1" t="shared" si="17"/>
        <v>1</v>
      </c>
      <c r="DO24" s="40">
        <f ca="1" t="shared" si="18"/>
        <v>0.97</v>
      </c>
      <c r="DP24" s="40">
        <f ca="1" t="shared" si="19"/>
        <v>0.97</v>
      </c>
      <c r="DQ24" s="40">
        <f ca="1" t="shared" si="20"/>
        <v>0.9</v>
      </c>
      <c r="DR24" s="40">
        <f ca="1" t="shared" si="21"/>
        <v>0.9</v>
      </c>
      <c r="DS24" s="40">
        <f ca="1" t="shared" si="22"/>
        <v>0.7</v>
      </c>
      <c r="DT24" s="40">
        <f ca="1" t="shared" si="23"/>
        <v>0.8</v>
      </c>
      <c r="DU24" s="40">
        <f ca="1" t="shared" si="24"/>
        <v>0.97</v>
      </c>
      <c r="DV24" s="40">
        <f ca="1" t="shared" si="25"/>
        <v>0.9</v>
      </c>
      <c r="DW24" s="40">
        <f ca="1" t="shared" si="26"/>
        <v>1</v>
      </c>
      <c r="DX24" s="40">
        <f ca="1" t="shared" si="27"/>
        <v>0.7</v>
      </c>
      <c r="DY24" s="40">
        <f ca="1" t="shared" si="28"/>
        <v>0.7</v>
      </c>
      <c r="DZ24" s="40">
        <f ca="1" t="shared" si="29"/>
        <v>1</v>
      </c>
      <c r="EA24" s="40">
        <f ca="1" t="shared" si="30"/>
        <v>0.97</v>
      </c>
      <c r="EB24" s="40">
        <f ca="1" t="shared" si="31"/>
        <v>0.97</v>
      </c>
      <c r="EC24" s="40">
        <f ca="1" t="shared" si="32"/>
        <v>0.97</v>
      </c>
      <c r="ED24" s="40">
        <f ca="1" t="shared" si="33"/>
        <v>0.7</v>
      </c>
      <c r="EE24" s="40">
        <f ca="1" t="shared" si="34"/>
        <v>0.97</v>
      </c>
      <c r="EF24" s="40">
        <f ca="1" t="shared" si="35"/>
        <v>0.7</v>
      </c>
      <c r="EG24" s="40">
        <f ca="1" t="shared" si="36"/>
        <v>0.9</v>
      </c>
      <c r="EH24" s="40">
        <f ca="1" t="shared" si="37"/>
        <v>0.8</v>
      </c>
      <c r="EI24" s="40">
        <f ca="1" t="shared" si="38"/>
        <v>0.8</v>
      </c>
      <c r="EJ24" s="40">
        <f ca="1" t="shared" si="39"/>
        <v>0.8</v>
      </c>
      <c r="EK24" s="40">
        <f ca="1" t="shared" si="40"/>
        <v>0.8</v>
      </c>
      <c r="EL24" s="40">
        <f ca="1" t="shared" si="41"/>
        <v>0.8</v>
      </c>
      <c r="EM24" s="40">
        <f ca="1" t="shared" si="42"/>
        <v>0.8</v>
      </c>
      <c r="EN24" s="40">
        <f ca="1" t="shared" si="43"/>
        <v>0.8</v>
      </c>
      <c r="EO24" s="40">
        <f ca="1" t="shared" si="44"/>
        <v>0.8</v>
      </c>
      <c r="EP24" s="40">
        <f ca="1" t="shared" si="45"/>
        <v>0.8</v>
      </c>
      <c r="EQ24" s="40">
        <f ca="1" t="shared" si="46"/>
        <v>0.8</v>
      </c>
      <c r="ER24" s="40">
        <f ca="1" t="shared" si="47"/>
        <v>0.8</v>
      </c>
    </row>
    <row r="25" spans="1:148">
      <c r="A25">
        <v>1</v>
      </c>
      <c r="B25" t="str">
        <f>VLOOKUP(F25,'TRA balance'!$BA$5:$BB$14,2,FALSE)</f>
        <v>TRAGSL</v>
      </c>
      <c r="C25" s="56" t="str">
        <f t="shared" si="48"/>
        <v>TR</v>
      </c>
      <c r="D25" s="57" t="s">
        <v>200</v>
      </c>
      <c r="E25" s="68" t="s">
        <v>208</v>
      </c>
      <c r="F25" s="58" t="str">
        <f t="shared" si="59"/>
        <v>Gasoline</v>
      </c>
      <c r="G25" s="56" t="s">
        <v>209</v>
      </c>
      <c r="H25" s="59">
        <f ca="1">OFFSET(TIAM15_assumptions!$G25,0,MATCH(VLOOKUP(Assumptions!H$2,TIAM15_assumptions!$Y$3:$Z$87,2,FALSE),TIAM15_assumptions!$H$2:$V$2,0))</f>
        <v>0.35</v>
      </c>
      <c r="I25" s="59">
        <f ca="1">OFFSET(TIAM15_assumptions!$G25,0,MATCH(VLOOKUP(Assumptions!I$2,TIAM15_assumptions!$Y$3:$Z$87,2,FALSE),TIAM15_assumptions!$H$2:$V$2,0))</f>
        <v>0.35</v>
      </c>
      <c r="J25" s="59">
        <f ca="1">OFFSET(TIAM15_assumptions!$G25,0,MATCH(VLOOKUP(Assumptions!J$2,TIAM15_assumptions!$Y$3:$Z$87,2,FALSE),TIAM15_assumptions!$H$2:$V$2,0))</f>
        <v>0.02</v>
      </c>
      <c r="K25" s="59">
        <f ca="1">OFFSET(TIAM15_assumptions!$G25,0,MATCH(VLOOKUP(Assumptions!K$2,TIAM15_assumptions!$Y$3:$Z$87,2,FALSE),TIAM15_assumptions!$H$2:$V$2,0))</f>
        <v>0.005</v>
      </c>
      <c r="L25" s="59">
        <f ca="1">OFFSET(TIAM15_assumptions!$G25,0,MATCH(VLOOKUP(Assumptions!L$2,TIAM15_assumptions!$Y$3:$Z$87,2,FALSE),TIAM15_assumptions!$H$2:$V$2,0))</f>
        <v>0.015</v>
      </c>
      <c r="M25" s="59">
        <f ca="1">OFFSET(TIAM15_assumptions!$G25,0,MATCH(VLOOKUP(Assumptions!M$2,TIAM15_assumptions!$Y$3:$Z$87,2,FALSE),TIAM15_assumptions!$H$2:$V$2,0))</f>
        <v>0.005</v>
      </c>
      <c r="N25" s="59">
        <f ca="1">OFFSET(TIAM15_assumptions!$G25,0,MATCH(VLOOKUP(Assumptions!N$2,TIAM15_assumptions!$Y$3:$Z$87,2,FALSE),TIAM15_assumptions!$H$2:$V$2,0))</f>
        <v>0.015</v>
      </c>
      <c r="O25" s="59">
        <f ca="1">OFFSET(TIAM15_assumptions!$G25,0,MATCH(VLOOKUP(Assumptions!O$2,TIAM15_assumptions!$Y$3:$Z$87,2,FALSE),TIAM15_assumptions!$H$2:$V$2,0))</f>
        <v>0.1</v>
      </c>
      <c r="P25" s="59">
        <f ca="1">OFFSET(TIAM15_assumptions!$G25,0,MATCH(VLOOKUP(Assumptions!P$2,TIAM15_assumptions!$Y$3:$Z$87,2,FALSE),TIAM15_assumptions!$H$2:$V$2,0))</f>
        <v>0.015</v>
      </c>
      <c r="Q25" s="59">
        <f ca="1">OFFSET(TIAM15_assumptions!$G25,0,MATCH(VLOOKUP(Assumptions!Q$2,TIAM15_assumptions!$Y$3:$Z$87,2,FALSE),TIAM15_assumptions!$H$2:$V$2,0))</f>
        <v>0.015</v>
      </c>
      <c r="R25" s="59">
        <f ca="1">OFFSET(TIAM15_assumptions!$G25,0,MATCH(VLOOKUP(Assumptions!R$2,TIAM15_assumptions!$Y$3:$Z$87,2,FALSE),TIAM15_assumptions!$H$2:$V$2,0))</f>
        <v>0.005</v>
      </c>
      <c r="S25" s="59">
        <f ca="1">OFFSET(TIAM15_assumptions!$G25,0,MATCH(VLOOKUP(Assumptions!S$2,TIAM15_assumptions!$Y$3:$Z$87,2,FALSE),TIAM15_assumptions!$H$2:$V$2,0))</f>
        <v>0.005</v>
      </c>
      <c r="T25" s="59">
        <f ca="1">OFFSET(TIAM15_assumptions!$G25,0,MATCH(VLOOKUP(Assumptions!T$2,TIAM15_assumptions!$Y$3:$Z$87,2,FALSE),TIAM15_assumptions!$H$2:$V$2,0))</f>
        <v>0.005</v>
      </c>
      <c r="U25" s="59">
        <f ca="1">OFFSET(TIAM15_assumptions!$G25,0,MATCH(VLOOKUP(Assumptions!U$2,TIAM15_assumptions!$Y$3:$Z$87,2,FALSE),TIAM15_assumptions!$H$2:$V$2,0))</f>
        <v>0.015</v>
      </c>
      <c r="V25" s="59">
        <f ca="1">OFFSET(TIAM15_assumptions!$G25,0,MATCH(VLOOKUP(Assumptions!V$2,TIAM15_assumptions!$Y$3:$Z$87,2,FALSE),TIAM15_assumptions!$H$2:$V$2,0))</f>
        <v>0.005</v>
      </c>
      <c r="W25" s="59">
        <f ca="1">OFFSET(TIAM15_assumptions!$G25,0,MATCH(VLOOKUP(Assumptions!W$2,TIAM15_assumptions!$Y$3:$Z$87,2,FALSE),TIAM15_assumptions!$H$2:$V$2,0))</f>
        <v>0.4</v>
      </c>
      <c r="X25" s="59">
        <f ca="1">OFFSET(TIAM15_assumptions!$G25,0,MATCH(VLOOKUP(Assumptions!X$2,TIAM15_assumptions!$Y$3:$Z$87,2,FALSE),TIAM15_assumptions!$H$2:$V$2,0))</f>
        <v>0.005</v>
      </c>
      <c r="Y25" s="59">
        <f ca="1">OFFSET(TIAM15_assumptions!$G25,0,MATCH(VLOOKUP(Assumptions!Y$2,TIAM15_assumptions!$Y$3:$Z$87,2,FALSE),TIAM15_assumptions!$H$2:$V$2,0))</f>
        <v>0.005</v>
      </c>
      <c r="Z25" s="59">
        <f ca="1">OFFSET(TIAM15_assumptions!$G25,0,MATCH(VLOOKUP(Assumptions!Z$2,TIAM15_assumptions!$Y$3:$Z$87,2,FALSE),TIAM15_assumptions!$H$2:$V$2,0))</f>
        <v>0.01</v>
      </c>
      <c r="AA25" s="59">
        <f ca="1">OFFSET(TIAM15_assumptions!$G25,0,MATCH(VLOOKUP(Assumptions!AA$2,TIAM15_assumptions!$Y$3:$Z$87,2,FALSE),TIAM15_assumptions!$H$2:$V$2,0))</f>
        <v>0.015</v>
      </c>
      <c r="AB25" s="59">
        <f ca="1">OFFSET(TIAM15_assumptions!$G25,0,MATCH(VLOOKUP(Assumptions!AB$2,TIAM15_assumptions!$Y$3:$Z$87,2,FALSE),TIAM15_assumptions!$H$2:$V$2,0))</f>
        <v>0.02</v>
      </c>
      <c r="AC25" s="59">
        <f ca="1">OFFSET(TIAM15_assumptions!$G25,0,MATCH(VLOOKUP(Assumptions!AC$2,TIAM15_assumptions!$Y$3:$Z$87,2,FALSE),TIAM15_assumptions!$H$2:$V$2,0))</f>
        <v>0.001</v>
      </c>
      <c r="AD25" s="59">
        <f ca="1">OFFSET(TIAM15_assumptions!$G25,0,MATCH(VLOOKUP(Assumptions!AD$2,TIAM15_assumptions!$Y$3:$Z$87,2,FALSE),TIAM15_assumptions!$H$2:$V$2,0))</f>
        <v>0.005</v>
      </c>
      <c r="AE25" s="59">
        <f ca="1">OFFSET(TIAM15_assumptions!$G25,0,MATCH(VLOOKUP(Assumptions!AE$2,TIAM15_assumptions!$Y$3:$Z$87,2,FALSE),TIAM15_assumptions!$H$2:$V$2,0))</f>
        <v>0.015</v>
      </c>
      <c r="AF25" s="59">
        <f ca="1">OFFSET(TIAM15_assumptions!$G25,0,MATCH(VLOOKUP(Assumptions!AF$2,TIAM15_assumptions!$Y$3:$Z$87,2,FALSE),TIAM15_assumptions!$H$2:$V$2,0))</f>
        <v>0.35</v>
      </c>
      <c r="AG25" s="59">
        <f ca="1">OFFSET(TIAM15_assumptions!$G25,0,MATCH(VLOOKUP(Assumptions!AG$2,TIAM15_assumptions!$Y$3:$Z$87,2,FALSE),TIAM15_assumptions!$H$2:$V$2,0))</f>
        <v>0.015</v>
      </c>
      <c r="AH25" s="59">
        <f ca="1">OFFSET(TIAM15_assumptions!$G25,0,MATCH(VLOOKUP(Assumptions!AH$2,TIAM15_assumptions!$Y$3:$Z$87,2,FALSE),TIAM15_assumptions!$H$2:$V$2,0))</f>
        <v>0.02</v>
      </c>
      <c r="AI25" s="59">
        <f ca="1">OFFSET(TIAM15_assumptions!$G25,0,MATCH(VLOOKUP(Assumptions!AI$2,TIAM15_assumptions!$Y$3:$Z$87,2,FALSE),TIAM15_assumptions!$H$2:$V$2,0))</f>
        <v>0.35</v>
      </c>
      <c r="AJ25" s="59">
        <f ca="1">OFFSET(TIAM15_assumptions!$G25,0,MATCH(VLOOKUP(Assumptions!AJ$2,TIAM15_assumptions!$Y$3:$Z$87,2,FALSE),TIAM15_assumptions!$H$2:$V$2,0))</f>
        <v>0.005</v>
      </c>
      <c r="AK25" s="59">
        <f ca="1">OFFSET(TIAM15_assumptions!$G25,0,MATCH(VLOOKUP(Assumptions!AK$2,TIAM15_assumptions!$Y$3:$Z$87,2,FALSE),TIAM15_assumptions!$H$2:$V$2,0))</f>
        <v>0.005</v>
      </c>
      <c r="AL25" s="59">
        <f ca="1">OFFSET(TIAM15_assumptions!$G25,0,MATCH(VLOOKUP(Assumptions!AL$2,TIAM15_assumptions!$Y$3:$Z$87,2,FALSE),TIAM15_assumptions!$H$2:$V$2,0))</f>
        <v>0.005</v>
      </c>
      <c r="AM25" s="59">
        <f ca="1">OFFSET(TIAM15_assumptions!$G25,0,MATCH(VLOOKUP(Assumptions!AM$2,TIAM15_assumptions!$Y$3:$Z$87,2,FALSE),TIAM15_assumptions!$H$2:$V$2,0))</f>
        <v>0.02</v>
      </c>
      <c r="AN25" s="59">
        <f ca="1">OFFSET(TIAM15_assumptions!$G25,0,MATCH(VLOOKUP(Assumptions!AN$2,TIAM15_assumptions!$Y$3:$Z$87,2,FALSE),TIAM15_assumptions!$H$2:$V$2,0))</f>
        <v>0.005</v>
      </c>
      <c r="AO25" s="59">
        <f ca="1">OFFSET(TIAM15_assumptions!$G25,0,MATCH(VLOOKUP(Assumptions!AO$2,TIAM15_assumptions!$Y$3:$Z$87,2,FALSE),TIAM15_assumptions!$H$2:$V$2,0))</f>
        <v>0.015</v>
      </c>
      <c r="AP25" s="59">
        <f ca="1">OFFSET(TIAM15_assumptions!$G25,0,MATCH(VLOOKUP(Assumptions!AP$2,TIAM15_assumptions!$Y$3:$Z$87,2,FALSE),TIAM15_assumptions!$H$2:$V$2,0))</f>
        <v>0.015</v>
      </c>
      <c r="AQ25" s="59">
        <f ca="1">OFFSET(TIAM15_assumptions!$G25,0,MATCH(VLOOKUP(Assumptions!AQ$2,TIAM15_assumptions!$Y$3:$Z$87,2,FALSE),TIAM15_assumptions!$H$2:$V$2,0))</f>
        <v>0.001</v>
      </c>
      <c r="AR25" s="59">
        <f ca="1">OFFSET(TIAM15_assumptions!$G25,0,MATCH(VLOOKUP(Assumptions!AR$2,TIAM15_assumptions!$Y$3:$Z$87,2,FALSE),TIAM15_assumptions!$H$2:$V$2,0))</f>
        <v>0.001</v>
      </c>
      <c r="AS25" s="59">
        <f ca="1">OFFSET(TIAM15_assumptions!$G25,0,MATCH(VLOOKUP(Assumptions!AS$2,TIAM15_assumptions!$Y$3:$Z$87,2,FALSE),TIAM15_assumptions!$H$2:$V$2,0))</f>
        <v>0.001</v>
      </c>
      <c r="AT25" s="59">
        <f ca="1">OFFSET(TIAM15_assumptions!$G25,0,MATCH(VLOOKUP(Assumptions!AT$2,TIAM15_assumptions!$Y$3:$Z$87,2,FALSE),TIAM15_assumptions!$H$2:$V$2,0))</f>
        <v>0.001</v>
      </c>
      <c r="AU25" s="59">
        <f ca="1">OFFSET(TIAM15_assumptions!$G25,0,MATCH(VLOOKUP(Assumptions!AU$2,TIAM15_assumptions!$Y$3:$Z$87,2,FALSE),TIAM15_assumptions!$H$2:$V$2,0))</f>
        <v>0.001</v>
      </c>
      <c r="AV25" s="59">
        <f ca="1">OFFSET(TIAM15_assumptions!$G25,0,MATCH(VLOOKUP(Assumptions!AV$2,TIAM15_assumptions!$Y$3:$Z$87,2,FALSE),TIAM15_assumptions!$H$2:$V$2,0))</f>
        <v>0.001</v>
      </c>
      <c r="AW25" s="59">
        <f ca="1">OFFSET(TIAM15_assumptions!$G25,0,MATCH(VLOOKUP(Assumptions!AW$2,TIAM15_assumptions!$Y$3:$Z$87,2,FALSE),TIAM15_assumptions!$H$2:$V$2,0))</f>
        <v>0.001</v>
      </c>
      <c r="AX25" s="59">
        <f ca="1">OFFSET(TIAM15_assumptions!$G25,0,MATCH(VLOOKUP(Assumptions!AX$2,TIAM15_assumptions!$Y$3:$Z$87,2,FALSE),TIAM15_assumptions!$H$2:$V$2,0))</f>
        <v>0.001</v>
      </c>
      <c r="AY25" s="59">
        <f ca="1">OFFSET(TIAM15_assumptions!$G25,0,MATCH(VLOOKUP(Assumptions!AY$2,TIAM15_assumptions!$Y$3:$Z$87,2,FALSE),TIAM15_assumptions!$H$2:$V$2,0))</f>
        <v>0.001</v>
      </c>
      <c r="AZ25" s="59">
        <f ca="1">OFFSET(TIAM15_assumptions!$G25,0,MATCH(VLOOKUP(Assumptions!AZ$2,TIAM15_assumptions!$Y$3:$Z$87,2,FALSE),TIAM15_assumptions!$H$2:$V$2,0))</f>
        <v>0.001</v>
      </c>
      <c r="BA25" s="59">
        <f ca="1">OFFSET(TIAM15_assumptions!$G25,0,MATCH(VLOOKUP(Assumptions!BA$2,TIAM15_assumptions!$Y$3:$Z$87,2,FALSE),TIAM15_assumptions!$H$2:$V$2,0))</f>
        <v>0.001</v>
      </c>
      <c r="BD25" s="41">
        <f ca="1">IFERROR(SUMIFS('TRA balance'!E$5:E$40,'TRA balance'!$C$5:$C$40,Assumptions!$C25,'TRA balance'!$D$5:$D$40,Assumptions!$B25)*CY25*H25,"")</f>
        <v>250.48460281194</v>
      </c>
      <c r="BE25" s="41">
        <f ca="1">IFERROR(SUMIFS('TRA balance'!F$5:F$40,'TRA balance'!$C$5:$C$40,Assumptions!$C25,'TRA balance'!$D$5:$D$40,Assumptions!$B25)*CZ25*I25,"")</f>
        <v>434.96326194804</v>
      </c>
      <c r="BF25" s="41">
        <f ca="1">IFERROR(SUMIFS('TRA balance'!G$5:G$40,'TRA balance'!$C$5:$C$40,Assumptions!$C25,'TRA balance'!$D$5:$D$40,Assumptions!$B25)*DA25*J25,"")</f>
        <v>10.2405930457104</v>
      </c>
      <c r="BG25" s="41">
        <f ca="1">IFERROR(SUMIFS('TRA balance'!H$5:H$40,'TRA balance'!$C$5:$C$40,Assumptions!$C25,'TRA balance'!$D$5:$D$40,Assumptions!$B25)*DB25*K25,"")</f>
        <v>0.33583422714228</v>
      </c>
      <c r="BH25" s="41">
        <f ca="1">IFERROR(SUMIFS('TRA balance'!I$5:I$40,'TRA balance'!$C$5:$C$40,Assumptions!$C25,'TRA balance'!$D$5:$D$40,Assumptions!$B25)*DC25*L25,"")</f>
        <v>0.3036171670686</v>
      </c>
      <c r="BI25" s="41">
        <f ca="1">IFERROR(SUMIFS('TRA balance'!J$5:J$40,'TRA balance'!$C$5:$C$40,Assumptions!$C25,'TRA balance'!$D$5:$D$40,Assumptions!$B25)*DD25*M25,"")</f>
        <v>1.29937338565218</v>
      </c>
      <c r="BJ25" s="41">
        <f ca="1">IFERROR(SUMIFS('TRA balance'!K$5:K$40,'TRA balance'!$C$5:$C$40,Assumptions!$C25,'TRA balance'!$D$5:$D$40,Assumptions!$B25)*DE25*N25,"")</f>
        <v>12.1254548451246</v>
      </c>
      <c r="BK25" s="41">
        <f ca="1">IFERROR(SUMIFS('TRA balance'!L$5:L$40,'TRA balance'!$C$5:$C$40,Assumptions!$C25,'TRA balance'!$D$5:$D$40,Assumptions!$B25)*DF25*O25,"")</f>
        <v>540.17052635916</v>
      </c>
      <c r="BL25" s="41">
        <f ca="1">IFERROR(SUMIFS('TRA balance'!M$5:M$40,'TRA balance'!$C$5:$C$40,Assumptions!$C25,'TRA balance'!$D$5:$D$40,Assumptions!$B25)*DG25*P25,"")</f>
        <v>0.5074037159994</v>
      </c>
      <c r="BM25" s="41">
        <f ca="1">IFERROR(SUMIFS('TRA balance'!N$5:N$40,'TRA balance'!$C$5:$C$40,Assumptions!$C25,'TRA balance'!$D$5:$D$40,Assumptions!$B25)*DH25*Q25,"")</f>
        <v>1.202850034506</v>
      </c>
      <c r="BN25" s="41">
        <f ca="1">IFERROR(SUMIFS('TRA balance'!O$5:O$40,'TRA balance'!$C$5:$C$40,Assumptions!$C25,'TRA balance'!$D$5:$D$40,Assumptions!$B25)*DI25*R25,"")</f>
        <v>1.59615068474286</v>
      </c>
      <c r="BO25" s="41">
        <f ca="1">IFERROR(SUMIFS('TRA balance'!P$5:P$40,'TRA balance'!$C$5:$C$40,Assumptions!$C25,'TRA balance'!$D$5:$D$40,Assumptions!$B25)*DJ25*S25,"")</f>
        <v>3.50466819890778</v>
      </c>
      <c r="BP25" s="41">
        <f ca="1">IFERROR(SUMIFS('TRA balance'!Q$5:Q$40,'TRA balance'!$C$5:$C$40,Assumptions!$C25,'TRA balance'!$D$5:$D$40,Assumptions!$B25)*DK25*T25,"")</f>
        <v>0.5481242931051</v>
      </c>
      <c r="BQ25" s="41">
        <f ca="1">IFERROR(SUMIFS('TRA balance'!R$5:R$40,'TRA balance'!$C$5:$C$40,Assumptions!$C25,'TRA balance'!$D$5:$D$40,Assumptions!$B25)*DL25*U25,"")</f>
        <v>1.8747115580484</v>
      </c>
      <c r="BR25" s="41">
        <f ca="1">IFERROR(SUMIFS('TRA balance'!S$5:S$40,'TRA balance'!$C$5:$C$40,Assumptions!$C25,'TRA balance'!$D$5:$D$40,Assumptions!$B25)*DM25*V25,"")</f>
        <v>0.02533997458386</v>
      </c>
      <c r="BS25" s="41">
        <f ca="1">IFERROR(SUMIFS('TRA balance'!T$5:T$40,'TRA balance'!$C$5:$C$40,Assumptions!$C25,'TRA balance'!$D$5:$D$40,Assumptions!$B25)*DN25*W25,"")</f>
        <v>537.15200056416</v>
      </c>
      <c r="BT25" s="41">
        <f ca="1">IFERROR(SUMIFS('TRA balance'!U$5:U$40,'TRA balance'!$C$5:$C$40,Assumptions!$C25,'TRA balance'!$D$5:$D$40,Assumptions!$B25)*DO25*X25,"")</f>
        <v>0.15632851109112</v>
      </c>
      <c r="BU25" s="41">
        <f ca="1">IFERROR(SUMIFS('TRA balance'!V$5:V$40,'TRA balance'!$C$5:$C$40,Assumptions!$C25,'TRA balance'!$D$5:$D$40,Assumptions!$B25)*DP25*Y25,"")</f>
        <v>1.5834267140031</v>
      </c>
      <c r="BV25" s="41">
        <f ca="1">IFERROR(SUMIFS('TRA balance'!W$5:W$40,'TRA balance'!$C$5:$C$40,Assumptions!$C25,'TRA balance'!$D$5:$D$40,Assumptions!$B25)*DQ25*Z25,"")</f>
        <v>14.2608440592648</v>
      </c>
      <c r="BW25" s="41">
        <f ca="1">IFERROR(SUMIFS('TRA balance'!X$5:X$40,'TRA balance'!$C$5:$C$40,Assumptions!$C25,'TRA balance'!$D$5:$D$40,Assumptions!$B25)*DR25*AA25,"")</f>
        <v>23.0551733199258</v>
      </c>
      <c r="BX25" s="41">
        <f ca="1">IFERROR(SUMIFS('TRA balance'!Y$5:Y$40,'TRA balance'!$C$5:$C$40,Assumptions!$C25,'TRA balance'!$D$5:$D$40,Assumptions!$B25)*DS25*AB25,"")</f>
        <v>33.034734535572</v>
      </c>
      <c r="BY25" s="41">
        <f ca="1">IFERROR(SUMIFS('TRA balance'!Z$5:Z$40,'TRA balance'!$C$5:$C$40,Assumptions!$C25,'TRA balance'!$D$5:$D$40,Assumptions!$B25)*DT25*AC25,"")</f>
        <v>14.6777994476813</v>
      </c>
      <c r="BZ25" s="41">
        <f ca="1">IFERROR(SUMIFS('TRA balance'!AA$5:AA$40,'TRA balance'!$C$5:$C$40,Assumptions!$C25,'TRA balance'!$D$5:$D$40,Assumptions!$B25)*DU25*AD25,"")</f>
        <v>0.13529496782772</v>
      </c>
      <c r="CA25" s="41">
        <f ca="1">IFERROR(SUMIFS('TRA balance'!AB$5:AB$40,'TRA balance'!$C$5:$C$40,Assumptions!$C25,'TRA balance'!$D$5:$D$40,Assumptions!$B25)*DV25*AE25,"")</f>
        <v>2.6232780250656</v>
      </c>
      <c r="CB25" s="41">
        <f ca="1">IFERROR(SUMIFS('TRA balance'!AC$5:AC$40,'TRA balance'!$C$5:$C$40,Assumptions!$C25,'TRA balance'!$D$5:$D$40,Assumptions!$B25)*DW25*AF25,"")</f>
        <v>1583.05227947748</v>
      </c>
      <c r="CC25" s="41">
        <f ca="1">IFERROR(SUMIFS('TRA balance'!AD$5:AD$40,'TRA balance'!$C$5:$C$40,Assumptions!$C25,'TRA balance'!$D$5:$D$40,Assumptions!$B25)*DX25*AG25,"")</f>
        <v>16.2431530969554</v>
      </c>
      <c r="CD25" s="41">
        <f ca="1">IFERROR(SUMIFS('TRA balance'!AE$5:AE$40,'TRA balance'!$C$5:$C$40,Assumptions!$C25,'TRA balance'!$D$5:$D$40,Assumptions!$B25)*DY25*AH25,"")</f>
        <v>14.2711896336912</v>
      </c>
      <c r="CE25" s="41">
        <f ca="1">IFERROR(SUMIFS('TRA balance'!AF$5:AF$40,'TRA balance'!$C$5:$C$40,Assumptions!$C25,'TRA balance'!$D$5:$D$40,Assumptions!$B25)*DZ25*AI25,"")</f>
        <v>110.80105697304</v>
      </c>
      <c r="CF25" s="41">
        <f ca="1">IFERROR(SUMIFS('TRA balance'!AG$5:AG$40,'TRA balance'!$C$5:$C$40,Assumptions!$C25,'TRA balance'!$D$5:$D$40,Assumptions!$B25)*EA25*AJ25,"")</f>
        <v>1.31502265617672</v>
      </c>
      <c r="CG25" s="41">
        <f ca="1">IFERROR(SUMIFS('TRA balance'!AH$5:AH$40,'TRA balance'!$C$5:$C$40,Assumptions!$C25,'TRA balance'!$D$5:$D$40,Assumptions!$B25)*EB25*AK25,"")</f>
        <v>0.9222909106266</v>
      </c>
      <c r="CH25" s="41">
        <f ca="1">IFERROR(SUMIFS('TRA balance'!AI$5:AI$40,'TRA balance'!$C$5:$C$40,Assumptions!$C25,'TRA balance'!$D$5:$D$40,Assumptions!$B25)*EC25*AL25,"")</f>
        <v>0.48438556819938</v>
      </c>
      <c r="CI25" s="41">
        <f ca="1">IFERROR(SUMIFS('TRA balance'!AJ$5:AJ$40,'TRA balance'!$C$5:$C$40,Assumptions!$C25,'TRA balance'!$D$5:$D$40,Assumptions!$B25)*ED25*AM25,"")</f>
        <v>1.3903119822816</v>
      </c>
      <c r="CJ25" s="41">
        <f ca="1">IFERROR(SUMIFS('TRA balance'!AK$5:AK$40,'TRA balance'!$C$5:$C$40,Assumptions!$C25,'TRA balance'!$D$5:$D$40,Assumptions!$B25)*EE25*AN25,"")</f>
        <v>2.49964595385588</v>
      </c>
      <c r="CK25" s="41">
        <f ca="1">IFERROR(SUMIFS('TRA balance'!AL$5:AL$40,'TRA balance'!$C$5:$C$40,Assumptions!$C25,'TRA balance'!$D$5:$D$40,Assumptions!$B25)*EF25*AO25,"")</f>
        <v>0.8100800588664</v>
      </c>
      <c r="CL25" s="41">
        <f ca="1">IFERROR(SUMIFS('TRA balance'!AM$5:AM$40,'TRA balance'!$C$5:$C$40,Assumptions!$C25,'TRA balance'!$D$5:$D$40,Assumptions!$B25)*EG25*AP25,"")</f>
        <v>0.5281093469934</v>
      </c>
      <c r="CM25" s="41">
        <f ca="1">IFERROR(SUMIFS('TRA balance'!AN$5:AN$40,'TRA balance'!$C$5:$C$40,Assumptions!$C25,'TRA balance'!$D$5:$D$40,Assumptions!$B25)*EH25*AQ25,"")</f>
        <v>0</v>
      </c>
      <c r="CN25" s="41">
        <f ca="1">IFERROR(SUMIFS('TRA balance'!AO$5:AO$40,'TRA balance'!$C$5:$C$40,Assumptions!$C25,'TRA balance'!$D$5:$D$40,Assumptions!$B25)*EI25*AR25,"")</f>
        <v>0</v>
      </c>
      <c r="CO25" s="41">
        <f ca="1">IFERROR(SUMIFS('TRA balance'!AP$5:AP$40,'TRA balance'!$C$5:$C$40,Assumptions!$C25,'TRA balance'!$D$5:$D$40,Assumptions!$B25)*EJ25*AS25,"")</f>
        <v>0</v>
      </c>
      <c r="CP25" s="41">
        <f ca="1">IFERROR(SUMIFS('TRA balance'!AQ$5:AQ$40,'TRA balance'!$C$5:$C$40,Assumptions!$C25,'TRA balance'!$D$5:$D$40,Assumptions!$B25)*EK25*AT25,"")</f>
        <v>0</v>
      </c>
      <c r="CQ25" s="41">
        <f ca="1">IFERROR(SUMIFS('TRA balance'!AR$5:AR$40,'TRA balance'!$C$5:$C$40,Assumptions!$C25,'TRA balance'!$D$5:$D$40,Assumptions!$B25)*EL25*AU25,"")</f>
        <v>0</v>
      </c>
      <c r="CR25" s="41">
        <f ca="1">IFERROR(SUMIFS('TRA balance'!AS$5:AS$40,'TRA balance'!$C$5:$C$40,Assumptions!$C25,'TRA balance'!$D$5:$D$40,Assumptions!$B25)*EM25*AV25,"")</f>
        <v>0</v>
      </c>
      <c r="CS25" s="41">
        <f ca="1">IFERROR(SUMIFS('TRA balance'!AT$5:AT$40,'TRA balance'!$C$5:$C$40,Assumptions!$C25,'TRA balance'!$D$5:$D$40,Assumptions!$B25)*EN25*AW25,"")</f>
        <v>0</v>
      </c>
      <c r="CT25" s="41">
        <f ca="1">IFERROR(SUMIFS('TRA balance'!AU$5:AU$40,'TRA balance'!$C$5:$C$40,Assumptions!$C25,'TRA balance'!$D$5:$D$40,Assumptions!$B25)*EO25*AX25,"")</f>
        <v>0</v>
      </c>
      <c r="CU25" s="41">
        <f ca="1">IFERROR(SUMIFS('TRA balance'!AV$5:AV$40,'TRA balance'!$C$5:$C$40,Assumptions!$C25,'TRA balance'!$D$5:$D$40,Assumptions!$B25)*EP25*AY25,"")</f>
        <v>0</v>
      </c>
      <c r="CV25" s="41">
        <f ca="1">IFERROR(SUMIFS('TRA balance'!AW$5:AW$40,'TRA balance'!$C$5:$C$40,Assumptions!$C25,'TRA balance'!$D$5:$D$40,Assumptions!$B25)*EQ25*AZ25,"")</f>
        <v>0</v>
      </c>
      <c r="CW25" s="41">
        <f ca="1">IFERROR(SUMIFS('TRA balance'!AX$5:AX$40,'TRA balance'!$C$5:$C$40,Assumptions!$C25,'TRA balance'!$D$5:$D$40,Assumptions!$B25)*ER25*BA25,"")</f>
        <v>0</v>
      </c>
      <c r="CY25" s="40">
        <f ca="1" t="shared" si="2"/>
        <v>1</v>
      </c>
      <c r="CZ25" s="40">
        <f ca="1" t="shared" si="3"/>
        <v>1</v>
      </c>
      <c r="DA25" s="40">
        <f ca="1" t="shared" si="4"/>
        <v>0.9</v>
      </c>
      <c r="DB25" s="40">
        <f ca="1" t="shared" si="5"/>
        <v>0.97</v>
      </c>
      <c r="DC25" s="40">
        <f ca="1" t="shared" si="6"/>
        <v>0.7</v>
      </c>
      <c r="DD25" s="40">
        <f ca="1" t="shared" si="7"/>
        <v>0.97</v>
      </c>
      <c r="DE25" s="40">
        <f ca="1" t="shared" si="8"/>
        <v>0.9</v>
      </c>
      <c r="DF25" s="40">
        <f ca="1" t="shared" si="9"/>
        <v>0.9</v>
      </c>
      <c r="DG25" s="40">
        <f ca="1" t="shared" si="10"/>
        <v>0.9</v>
      </c>
      <c r="DH25" s="40">
        <f ca="1" t="shared" si="11"/>
        <v>0.9</v>
      </c>
      <c r="DI25" s="40">
        <f ca="1" t="shared" si="12"/>
        <v>0.97</v>
      </c>
      <c r="DJ25" s="40">
        <f ca="1" t="shared" si="13"/>
        <v>0.97</v>
      </c>
      <c r="DK25" s="40">
        <f ca="1" t="shared" si="14"/>
        <v>0.97</v>
      </c>
      <c r="DL25" s="40">
        <f ca="1" t="shared" si="15"/>
        <v>0.9</v>
      </c>
      <c r="DM25" s="40">
        <f ca="1" t="shared" si="16"/>
        <v>0.97</v>
      </c>
      <c r="DN25" s="40">
        <f ca="1" t="shared" si="17"/>
        <v>1</v>
      </c>
      <c r="DO25" s="40">
        <f ca="1" t="shared" si="18"/>
        <v>0.97</v>
      </c>
      <c r="DP25" s="40">
        <f ca="1" t="shared" si="19"/>
        <v>0.97</v>
      </c>
      <c r="DQ25" s="40">
        <f ca="1" t="shared" si="20"/>
        <v>0.9</v>
      </c>
      <c r="DR25" s="40">
        <f ca="1" t="shared" si="21"/>
        <v>0.9</v>
      </c>
      <c r="DS25" s="40">
        <f ca="1" t="shared" si="22"/>
        <v>0.7</v>
      </c>
      <c r="DT25" s="40">
        <f ca="1" t="shared" si="23"/>
        <v>0.8</v>
      </c>
      <c r="DU25" s="40">
        <f ca="1" t="shared" si="24"/>
        <v>0.97</v>
      </c>
      <c r="DV25" s="40">
        <f ca="1" t="shared" si="25"/>
        <v>0.9</v>
      </c>
      <c r="DW25" s="40">
        <f ca="1" t="shared" si="26"/>
        <v>1</v>
      </c>
      <c r="DX25" s="40">
        <f ca="1" t="shared" si="27"/>
        <v>0.7</v>
      </c>
      <c r="DY25" s="40">
        <f ca="1" t="shared" si="28"/>
        <v>0.7</v>
      </c>
      <c r="DZ25" s="40">
        <f ca="1" t="shared" si="29"/>
        <v>1</v>
      </c>
      <c r="EA25" s="40">
        <f ca="1" t="shared" si="30"/>
        <v>0.97</v>
      </c>
      <c r="EB25" s="40">
        <f ca="1" t="shared" si="31"/>
        <v>0.97</v>
      </c>
      <c r="EC25" s="40">
        <f ca="1" t="shared" si="32"/>
        <v>0.97</v>
      </c>
      <c r="ED25" s="40">
        <f ca="1" t="shared" si="33"/>
        <v>0.7</v>
      </c>
      <c r="EE25" s="40">
        <f ca="1" t="shared" si="34"/>
        <v>0.97</v>
      </c>
      <c r="EF25" s="40">
        <f ca="1" t="shared" si="35"/>
        <v>0.7</v>
      </c>
      <c r="EG25" s="40">
        <f ca="1" t="shared" si="36"/>
        <v>0.9</v>
      </c>
      <c r="EH25" s="40">
        <f ca="1" t="shared" si="37"/>
        <v>0.8</v>
      </c>
      <c r="EI25" s="40">
        <f ca="1" t="shared" si="38"/>
        <v>0.8</v>
      </c>
      <c r="EJ25" s="40">
        <f ca="1" t="shared" si="39"/>
        <v>0.8</v>
      </c>
      <c r="EK25" s="40">
        <f ca="1" t="shared" si="40"/>
        <v>0.8</v>
      </c>
      <c r="EL25" s="40">
        <f ca="1" t="shared" si="41"/>
        <v>0.8</v>
      </c>
      <c r="EM25" s="40">
        <f ca="1" t="shared" si="42"/>
        <v>0.8</v>
      </c>
      <c r="EN25" s="40">
        <f ca="1" t="shared" si="43"/>
        <v>0.8</v>
      </c>
      <c r="EO25" s="40">
        <f ca="1" t="shared" si="44"/>
        <v>0.8</v>
      </c>
      <c r="EP25" s="40">
        <f ca="1" t="shared" si="45"/>
        <v>0.8</v>
      </c>
      <c r="EQ25" s="40">
        <f ca="1" t="shared" si="46"/>
        <v>0.8</v>
      </c>
      <c r="ER25" s="40">
        <f ca="1" t="shared" si="47"/>
        <v>0.8</v>
      </c>
    </row>
    <row r="26" spans="1:148">
      <c r="A26">
        <v>1</v>
      </c>
      <c r="B26" t="str">
        <f>VLOOKUP(F26,'TRA balance'!$BA$5:$BB$14,2,FALSE)</f>
        <v>TRAGSL</v>
      </c>
      <c r="C26" s="56" t="str">
        <f t="shared" si="48"/>
        <v/>
      </c>
      <c r="D26" s="57"/>
      <c r="E26" s="69" t="s">
        <v>210</v>
      </c>
      <c r="F26" s="58" t="str">
        <f t="shared" si="59"/>
        <v>Gasoline</v>
      </c>
      <c r="G26" s="56"/>
      <c r="H26" s="69" t="str">
        <f ca="1">IF(SUM(H22:H25)=1,"-","&lt;&gt;1!!")</f>
        <v>-</v>
      </c>
      <c r="I26" s="69" t="str">
        <f ca="1" t="shared" ref="I26:BA26" si="60">IF(SUM(I22:I25)=1,"-","&lt;&gt;1!!")</f>
        <v>-</v>
      </c>
      <c r="J26" s="69" t="str">
        <f ca="1" t="shared" si="60"/>
        <v>-</v>
      </c>
      <c r="K26" s="69" t="str">
        <f ca="1" t="shared" si="60"/>
        <v>-</v>
      </c>
      <c r="L26" s="69" t="str">
        <f ca="1" t="shared" si="60"/>
        <v>-</v>
      </c>
      <c r="M26" s="69" t="str">
        <f ca="1" t="shared" si="60"/>
        <v>-</v>
      </c>
      <c r="N26" s="69" t="str">
        <f ca="1" t="shared" si="60"/>
        <v>-</v>
      </c>
      <c r="O26" s="69" t="str">
        <f ca="1" t="shared" si="60"/>
        <v>-</v>
      </c>
      <c r="P26" s="69" t="str">
        <f ca="1" t="shared" si="60"/>
        <v>-</v>
      </c>
      <c r="Q26" s="69" t="str">
        <f ca="1" t="shared" si="60"/>
        <v>-</v>
      </c>
      <c r="R26" s="69" t="str">
        <f ca="1" t="shared" si="60"/>
        <v>-</v>
      </c>
      <c r="S26" s="69" t="str">
        <f ca="1" t="shared" si="60"/>
        <v>-</v>
      </c>
      <c r="T26" s="69" t="str">
        <f ca="1" t="shared" si="60"/>
        <v>-</v>
      </c>
      <c r="U26" s="69" t="str">
        <f ca="1" t="shared" si="60"/>
        <v>-</v>
      </c>
      <c r="V26" s="69" t="str">
        <f ca="1" t="shared" si="60"/>
        <v>-</v>
      </c>
      <c r="W26" s="69" t="str">
        <f ca="1" t="shared" si="60"/>
        <v>-</v>
      </c>
      <c r="X26" s="69" t="str">
        <f ca="1" t="shared" si="60"/>
        <v>-</v>
      </c>
      <c r="Y26" s="69" t="str">
        <f ca="1" t="shared" si="60"/>
        <v>-</v>
      </c>
      <c r="Z26" s="69" t="str">
        <f ca="1" t="shared" si="60"/>
        <v>-</v>
      </c>
      <c r="AA26" s="69" t="str">
        <f ca="1" t="shared" si="60"/>
        <v>-</v>
      </c>
      <c r="AB26" s="69" t="str">
        <f ca="1" t="shared" si="60"/>
        <v>-</v>
      </c>
      <c r="AC26" s="69" t="str">
        <f ca="1" t="shared" si="60"/>
        <v>-</v>
      </c>
      <c r="AD26" s="69" t="str">
        <f ca="1" t="shared" si="60"/>
        <v>-</v>
      </c>
      <c r="AE26" s="69" t="str">
        <f ca="1" t="shared" si="60"/>
        <v>-</v>
      </c>
      <c r="AF26" s="69" t="str">
        <f ca="1" t="shared" si="60"/>
        <v>-</v>
      </c>
      <c r="AG26" s="69" t="str">
        <f ca="1" t="shared" si="60"/>
        <v>-</v>
      </c>
      <c r="AH26" s="69" t="str">
        <f ca="1" t="shared" si="60"/>
        <v>-</v>
      </c>
      <c r="AI26" s="69" t="str">
        <f ca="1" t="shared" si="60"/>
        <v>-</v>
      </c>
      <c r="AJ26" s="69" t="str">
        <f ca="1" t="shared" si="60"/>
        <v>-</v>
      </c>
      <c r="AK26" s="69" t="str">
        <f ca="1" t="shared" si="60"/>
        <v>-</v>
      </c>
      <c r="AL26" s="69" t="str">
        <f ca="1" t="shared" si="60"/>
        <v>-</v>
      </c>
      <c r="AM26" s="69" t="str">
        <f ca="1" t="shared" si="60"/>
        <v>-</v>
      </c>
      <c r="AN26" s="69" t="str">
        <f ca="1" t="shared" si="60"/>
        <v>-</v>
      </c>
      <c r="AO26" s="69" t="str">
        <f ca="1" t="shared" si="60"/>
        <v>-</v>
      </c>
      <c r="AP26" s="69" t="str">
        <f ca="1" t="shared" si="60"/>
        <v>-</v>
      </c>
      <c r="AQ26" s="69" t="str">
        <f ca="1" t="shared" si="60"/>
        <v>-</v>
      </c>
      <c r="AR26" s="69" t="str">
        <f ca="1" t="shared" si="60"/>
        <v>-</v>
      </c>
      <c r="AS26" s="69" t="str">
        <f ca="1" t="shared" si="60"/>
        <v>-</v>
      </c>
      <c r="AT26" s="69" t="str">
        <f ca="1" t="shared" si="60"/>
        <v>-</v>
      </c>
      <c r="AU26" s="69" t="str">
        <f ca="1" t="shared" si="60"/>
        <v>-</v>
      </c>
      <c r="AV26" s="69" t="str">
        <f ca="1" t="shared" si="60"/>
        <v>-</v>
      </c>
      <c r="AW26" s="69" t="str">
        <f ca="1" t="shared" si="60"/>
        <v>-</v>
      </c>
      <c r="AX26" s="69" t="str">
        <f ca="1" t="shared" si="60"/>
        <v>-</v>
      </c>
      <c r="AY26" s="69" t="str">
        <f ca="1" t="shared" si="60"/>
        <v>-</v>
      </c>
      <c r="AZ26" s="69" t="str">
        <f ca="1" t="shared" si="60"/>
        <v>-</v>
      </c>
      <c r="BA26" s="69" t="str">
        <f ca="1" t="shared" si="60"/>
        <v>-</v>
      </c>
      <c r="BD26" s="41" t="str">
        <f ca="1">IFERROR(SUMIFS('TRA balance'!E$5:E$40,'TRA balance'!$C$5:$C$40,Assumptions!$C26,'TRA balance'!$D$5:$D$40,Assumptions!$B26)*CY26*H26,"")</f>
        <v/>
      </c>
      <c r="BE26" s="41" t="str">
        <f ca="1">IFERROR(SUMIFS('TRA balance'!F$5:F$40,'TRA balance'!$C$5:$C$40,Assumptions!$C26,'TRA balance'!$D$5:$D$40,Assumptions!$B26)*CZ26*I26,"")</f>
        <v/>
      </c>
      <c r="BF26" s="41" t="str">
        <f ca="1">IFERROR(SUMIFS('TRA balance'!G$5:G$40,'TRA balance'!$C$5:$C$40,Assumptions!$C26,'TRA balance'!$D$5:$D$40,Assumptions!$B26)*DA26*J26,"")</f>
        <v/>
      </c>
      <c r="BG26" s="41" t="str">
        <f ca="1">IFERROR(SUMIFS('TRA balance'!H$5:H$40,'TRA balance'!$C$5:$C$40,Assumptions!$C26,'TRA balance'!$D$5:$D$40,Assumptions!$B26)*DB26*K26,"")</f>
        <v/>
      </c>
      <c r="BH26" s="41" t="str">
        <f ca="1">IFERROR(SUMIFS('TRA balance'!I$5:I$40,'TRA balance'!$C$5:$C$40,Assumptions!$C26,'TRA balance'!$D$5:$D$40,Assumptions!$B26)*DC26*L26,"")</f>
        <v/>
      </c>
      <c r="BI26" s="41" t="str">
        <f ca="1">IFERROR(SUMIFS('TRA balance'!J$5:J$40,'TRA balance'!$C$5:$C$40,Assumptions!$C26,'TRA balance'!$D$5:$D$40,Assumptions!$B26)*DD26*M26,"")</f>
        <v/>
      </c>
      <c r="BJ26" s="41" t="str">
        <f ca="1">IFERROR(SUMIFS('TRA balance'!K$5:K$40,'TRA balance'!$C$5:$C$40,Assumptions!$C26,'TRA balance'!$D$5:$D$40,Assumptions!$B26)*DE26*N26,"")</f>
        <v/>
      </c>
      <c r="BK26" s="41" t="str">
        <f ca="1">IFERROR(SUMIFS('TRA balance'!L$5:L$40,'TRA balance'!$C$5:$C$40,Assumptions!$C26,'TRA balance'!$D$5:$D$40,Assumptions!$B26)*DF26*O26,"")</f>
        <v/>
      </c>
      <c r="BL26" s="41" t="str">
        <f ca="1">IFERROR(SUMIFS('TRA balance'!M$5:M$40,'TRA balance'!$C$5:$C$40,Assumptions!$C26,'TRA balance'!$D$5:$D$40,Assumptions!$B26)*DG26*P26,"")</f>
        <v/>
      </c>
      <c r="BM26" s="41" t="str">
        <f ca="1">IFERROR(SUMIFS('TRA balance'!N$5:N$40,'TRA balance'!$C$5:$C$40,Assumptions!$C26,'TRA balance'!$D$5:$D$40,Assumptions!$B26)*DH26*Q26,"")</f>
        <v/>
      </c>
      <c r="BN26" s="41" t="str">
        <f ca="1">IFERROR(SUMIFS('TRA balance'!O$5:O$40,'TRA balance'!$C$5:$C$40,Assumptions!$C26,'TRA balance'!$D$5:$D$40,Assumptions!$B26)*DI26*R26,"")</f>
        <v/>
      </c>
      <c r="BO26" s="41" t="str">
        <f ca="1">IFERROR(SUMIFS('TRA balance'!P$5:P$40,'TRA balance'!$C$5:$C$40,Assumptions!$C26,'TRA balance'!$D$5:$D$40,Assumptions!$B26)*DJ26*S26,"")</f>
        <v/>
      </c>
      <c r="BP26" s="41" t="str">
        <f ca="1">IFERROR(SUMIFS('TRA balance'!Q$5:Q$40,'TRA balance'!$C$5:$C$40,Assumptions!$C26,'TRA balance'!$D$5:$D$40,Assumptions!$B26)*DK26*T26,"")</f>
        <v/>
      </c>
      <c r="BQ26" s="41" t="str">
        <f ca="1">IFERROR(SUMIFS('TRA balance'!R$5:R$40,'TRA balance'!$C$5:$C$40,Assumptions!$C26,'TRA balance'!$D$5:$D$40,Assumptions!$B26)*DL26*U26,"")</f>
        <v/>
      </c>
      <c r="BR26" s="41" t="str">
        <f ca="1">IFERROR(SUMIFS('TRA balance'!S$5:S$40,'TRA balance'!$C$5:$C$40,Assumptions!$C26,'TRA balance'!$D$5:$D$40,Assumptions!$B26)*DM26*V26,"")</f>
        <v/>
      </c>
      <c r="BS26" s="41" t="str">
        <f ca="1">IFERROR(SUMIFS('TRA balance'!T$5:T$40,'TRA balance'!$C$5:$C$40,Assumptions!$C26,'TRA balance'!$D$5:$D$40,Assumptions!$B26)*DN26*W26,"")</f>
        <v/>
      </c>
      <c r="BT26" s="41" t="str">
        <f ca="1">IFERROR(SUMIFS('TRA balance'!U$5:U$40,'TRA balance'!$C$5:$C$40,Assumptions!$C26,'TRA balance'!$D$5:$D$40,Assumptions!$B26)*DO26*X26,"")</f>
        <v/>
      </c>
      <c r="BU26" s="41" t="str">
        <f ca="1">IFERROR(SUMIFS('TRA balance'!V$5:V$40,'TRA balance'!$C$5:$C$40,Assumptions!$C26,'TRA balance'!$D$5:$D$40,Assumptions!$B26)*DP26*Y26,"")</f>
        <v/>
      </c>
      <c r="BV26" s="41" t="str">
        <f ca="1">IFERROR(SUMIFS('TRA balance'!W$5:W$40,'TRA balance'!$C$5:$C$40,Assumptions!$C26,'TRA balance'!$D$5:$D$40,Assumptions!$B26)*DQ26*Z26,"")</f>
        <v/>
      </c>
      <c r="BW26" s="41" t="str">
        <f ca="1">IFERROR(SUMIFS('TRA balance'!X$5:X$40,'TRA balance'!$C$5:$C$40,Assumptions!$C26,'TRA balance'!$D$5:$D$40,Assumptions!$B26)*DR26*AA26,"")</f>
        <v/>
      </c>
      <c r="BX26" s="41" t="str">
        <f ca="1">IFERROR(SUMIFS('TRA balance'!Y$5:Y$40,'TRA balance'!$C$5:$C$40,Assumptions!$C26,'TRA balance'!$D$5:$D$40,Assumptions!$B26)*DS26*AB26,"")</f>
        <v/>
      </c>
      <c r="BY26" s="41" t="str">
        <f ca="1">IFERROR(SUMIFS('TRA balance'!Z$5:Z$40,'TRA balance'!$C$5:$C$40,Assumptions!$C26,'TRA balance'!$D$5:$D$40,Assumptions!$B26)*DT26*AC26,"")</f>
        <v/>
      </c>
      <c r="BZ26" s="41" t="str">
        <f ca="1">IFERROR(SUMIFS('TRA balance'!AA$5:AA$40,'TRA balance'!$C$5:$C$40,Assumptions!$C26,'TRA balance'!$D$5:$D$40,Assumptions!$B26)*DU26*AD26,"")</f>
        <v/>
      </c>
      <c r="CA26" s="41" t="str">
        <f ca="1">IFERROR(SUMIFS('TRA balance'!AB$5:AB$40,'TRA balance'!$C$5:$C$40,Assumptions!$C26,'TRA balance'!$D$5:$D$40,Assumptions!$B26)*DV26*AE26,"")</f>
        <v/>
      </c>
      <c r="CB26" s="41" t="str">
        <f ca="1">IFERROR(SUMIFS('TRA balance'!AC$5:AC$40,'TRA balance'!$C$5:$C$40,Assumptions!$C26,'TRA balance'!$D$5:$D$40,Assumptions!$B26)*DW26*AF26,"")</f>
        <v/>
      </c>
      <c r="CC26" s="41" t="str">
        <f ca="1">IFERROR(SUMIFS('TRA balance'!AD$5:AD$40,'TRA balance'!$C$5:$C$40,Assumptions!$C26,'TRA balance'!$D$5:$D$40,Assumptions!$B26)*DX26*AG26,"")</f>
        <v/>
      </c>
      <c r="CD26" s="41" t="str">
        <f ca="1">IFERROR(SUMIFS('TRA balance'!AE$5:AE$40,'TRA balance'!$C$5:$C$40,Assumptions!$C26,'TRA balance'!$D$5:$D$40,Assumptions!$B26)*DY26*AH26,"")</f>
        <v/>
      </c>
      <c r="CE26" s="41" t="str">
        <f ca="1">IFERROR(SUMIFS('TRA balance'!AF$5:AF$40,'TRA balance'!$C$5:$C$40,Assumptions!$C26,'TRA balance'!$D$5:$D$40,Assumptions!$B26)*DZ26*AI26,"")</f>
        <v/>
      </c>
      <c r="CF26" s="41" t="str">
        <f ca="1">IFERROR(SUMIFS('TRA balance'!AG$5:AG$40,'TRA balance'!$C$5:$C$40,Assumptions!$C26,'TRA balance'!$D$5:$D$40,Assumptions!$B26)*EA26*AJ26,"")</f>
        <v/>
      </c>
      <c r="CG26" s="41" t="str">
        <f ca="1">IFERROR(SUMIFS('TRA balance'!AH$5:AH$40,'TRA balance'!$C$5:$C$40,Assumptions!$C26,'TRA balance'!$D$5:$D$40,Assumptions!$B26)*EB26*AK26,"")</f>
        <v/>
      </c>
      <c r="CH26" s="41" t="str">
        <f ca="1">IFERROR(SUMIFS('TRA balance'!AI$5:AI$40,'TRA balance'!$C$5:$C$40,Assumptions!$C26,'TRA balance'!$D$5:$D$40,Assumptions!$B26)*EC26*AL26,"")</f>
        <v/>
      </c>
      <c r="CI26" s="41" t="str">
        <f ca="1">IFERROR(SUMIFS('TRA balance'!AJ$5:AJ$40,'TRA balance'!$C$5:$C$40,Assumptions!$C26,'TRA balance'!$D$5:$D$40,Assumptions!$B26)*ED26*AM26,"")</f>
        <v/>
      </c>
      <c r="CJ26" s="41" t="str">
        <f ca="1">IFERROR(SUMIFS('TRA balance'!AK$5:AK$40,'TRA balance'!$C$5:$C$40,Assumptions!$C26,'TRA balance'!$D$5:$D$40,Assumptions!$B26)*EE26*AN26,"")</f>
        <v/>
      </c>
      <c r="CK26" s="41" t="str">
        <f ca="1">IFERROR(SUMIFS('TRA balance'!AL$5:AL$40,'TRA balance'!$C$5:$C$40,Assumptions!$C26,'TRA balance'!$D$5:$D$40,Assumptions!$B26)*EF26*AO26,"")</f>
        <v/>
      </c>
      <c r="CL26" s="41" t="str">
        <f ca="1">IFERROR(SUMIFS('TRA balance'!AM$5:AM$40,'TRA balance'!$C$5:$C$40,Assumptions!$C26,'TRA balance'!$D$5:$D$40,Assumptions!$B26)*EG26*AP26,"")</f>
        <v/>
      </c>
      <c r="CM26" s="41" t="str">
        <f ca="1">IFERROR(SUMIFS('TRA balance'!AN$5:AN$40,'TRA balance'!$C$5:$C$40,Assumptions!$C26,'TRA balance'!$D$5:$D$40,Assumptions!$B26)*EH26*AQ26,"")</f>
        <v/>
      </c>
      <c r="CN26" s="41" t="str">
        <f ca="1">IFERROR(SUMIFS('TRA balance'!AO$5:AO$40,'TRA balance'!$C$5:$C$40,Assumptions!$C26,'TRA balance'!$D$5:$D$40,Assumptions!$B26)*EI26*AR26,"")</f>
        <v/>
      </c>
      <c r="CO26" s="41" t="str">
        <f ca="1">IFERROR(SUMIFS('TRA balance'!AP$5:AP$40,'TRA balance'!$C$5:$C$40,Assumptions!$C26,'TRA balance'!$D$5:$D$40,Assumptions!$B26)*EJ26*AS26,"")</f>
        <v/>
      </c>
      <c r="CP26" s="41" t="str">
        <f ca="1">IFERROR(SUMIFS('TRA balance'!AQ$5:AQ$40,'TRA balance'!$C$5:$C$40,Assumptions!$C26,'TRA balance'!$D$5:$D$40,Assumptions!$B26)*EK26*AT26,"")</f>
        <v/>
      </c>
      <c r="CQ26" s="41" t="str">
        <f ca="1">IFERROR(SUMIFS('TRA balance'!AR$5:AR$40,'TRA balance'!$C$5:$C$40,Assumptions!$C26,'TRA balance'!$D$5:$D$40,Assumptions!$B26)*EL26*AU26,"")</f>
        <v/>
      </c>
      <c r="CR26" s="41" t="str">
        <f ca="1">IFERROR(SUMIFS('TRA balance'!AS$5:AS$40,'TRA balance'!$C$5:$C$40,Assumptions!$C26,'TRA balance'!$D$5:$D$40,Assumptions!$B26)*EM26*AV26,"")</f>
        <v/>
      </c>
      <c r="CS26" s="41" t="str">
        <f ca="1">IFERROR(SUMIFS('TRA balance'!AT$5:AT$40,'TRA balance'!$C$5:$C$40,Assumptions!$C26,'TRA balance'!$D$5:$D$40,Assumptions!$B26)*EN26*AW26,"")</f>
        <v/>
      </c>
      <c r="CT26" s="41" t="str">
        <f ca="1">IFERROR(SUMIFS('TRA balance'!AU$5:AU$40,'TRA balance'!$C$5:$C$40,Assumptions!$C26,'TRA balance'!$D$5:$D$40,Assumptions!$B26)*EO26*AX26,"")</f>
        <v/>
      </c>
      <c r="CU26" s="41" t="str">
        <f ca="1">IFERROR(SUMIFS('TRA balance'!AV$5:AV$40,'TRA balance'!$C$5:$C$40,Assumptions!$C26,'TRA balance'!$D$5:$D$40,Assumptions!$B26)*EP26*AY26,"")</f>
        <v/>
      </c>
      <c r="CV26" s="41" t="str">
        <f ca="1">IFERROR(SUMIFS('TRA balance'!AW$5:AW$40,'TRA balance'!$C$5:$C$40,Assumptions!$C26,'TRA balance'!$D$5:$D$40,Assumptions!$B26)*EQ26*AZ26,"")</f>
        <v/>
      </c>
      <c r="CW26" s="41" t="str">
        <f ca="1">IFERROR(SUMIFS('TRA balance'!AX$5:AX$40,'TRA balance'!$C$5:$C$40,Assumptions!$C26,'TRA balance'!$D$5:$D$40,Assumptions!$B26)*ER26*BA26,"")</f>
        <v/>
      </c>
      <c r="CY26" s="40">
        <f ca="1" t="shared" si="2"/>
        <v>1</v>
      </c>
      <c r="CZ26" s="40">
        <f ca="1" t="shared" si="3"/>
        <v>1</v>
      </c>
      <c r="DA26" s="40">
        <f ca="1" t="shared" si="4"/>
        <v>1</v>
      </c>
      <c r="DB26" s="40">
        <f ca="1" t="shared" si="5"/>
        <v>1</v>
      </c>
      <c r="DC26" s="40">
        <f ca="1" t="shared" si="6"/>
        <v>1</v>
      </c>
      <c r="DD26" s="40">
        <f ca="1" t="shared" si="7"/>
        <v>1</v>
      </c>
      <c r="DE26" s="40">
        <f ca="1" t="shared" si="8"/>
        <v>1</v>
      </c>
      <c r="DF26" s="40">
        <f ca="1" t="shared" si="9"/>
        <v>1</v>
      </c>
      <c r="DG26" s="40">
        <f ca="1" t="shared" si="10"/>
        <v>1</v>
      </c>
      <c r="DH26" s="40">
        <f ca="1" t="shared" si="11"/>
        <v>1</v>
      </c>
      <c r="DI26" s="40">
        <f ca="1" t="shared" si="12"/>
        <v>1</v>
      </c>
      <c r="DJ26" s="40">
        <f ca="1" t="shared" si="13"/>
        <v>1</v>
      </c>
      <c r="DK26" s="40">
        <f ca="1" t="shared" si="14"/>
        <v>1</v>
      </c>
      <c r="DL26" s="40">
        <f ca="1" t="shared" si="15"/>
        <v>1</v>
      </c>
      <c r="DM26" s="40">
        <f ca="1" t="shared" si="16"/>
        <v>1</v>
      </c>
      <c r="DN26" s="40">
        <f ca="1" t="shared" si="17"/>
        <v>1</v>
      </c>
      <c r="DO26" s="40">
        <f ca="1" t="shared" si="18"/>
        <v>1</v>
      </c>
      <c r="DP26" s="40">
        <f ca="1" t="shared" si="19"/>
        <v>1</v>
      </c>
      <c r="DQ26" s="40">
        <f ca="1" t="shared" si="20"/>
        <v>1</v>
      </c>
      <c r="DR26" s="40">
        <f ca="1" t="shared" si="21"/>
        <v>1</v>
      </c>
      <c r="DS26" s="40">
        <f ca="1" t="shared" si="22"/>
        <v>1</v>
      </c>
      <c r="DT26" s="40">
        <f ca="1" t="shared" si="23"/>
        <v>1</v>
      </c>
      <c r="DU26" s="40">
        <f ca="1" t="shared" si="24"/>
        <v>1</v>
      </c>
      <c r="DV26" s="40">
        <f ca="1" t="shared" si="25"/>
        <v>1</v>
      </c>
      <c r="DW26" s="40">
        <f ca="1" t="shared" si="26"/>
        <v>1</v>
      </c>
      <c r="DX26" s="40">
        <f ca="1" t="shared" si="27"/>
        <v>1</v>
      </c>
      <c r="DY26" s="40">
        <f ca="1" t="shared" si="28"/>
        <v>1</v>
      </c>
      <c r="DZ26" s="40">
        <f ca="1" t="shared" si="29"/>
        <v>1</v>
      </c>
      <c r="EA26" s="40">
        <f ca="1" t="shared" si="30"/>
        <v>1</v>
      </c>
      <c r="EB26" s="40">
        <f ca="1" t="shared" si="31"/>
        <v>1</v>
      </c>
      <c r="EC26" s="40">
        <f ca="1" t="shared" si="32"/>
        <v>1</v>
      </c>
      <c r="ED26" s="40">
        <f ca="1" t="shared" si="33"/>
        <v>1</v>
      </c>
      <c r="EE26" s="40">
        <f ca="1" t="shared" si="34"/>
        <v>1</v>
      </c>
      <c r="EF26" s="40">
        <f ca="1" t="shared" si="35"/>
        <v>1</v>
      </c>
      <c r="EG26" s="40">
        <f ca="1" t="shared" si="36"/>
        <v>1</v>
      </c>
      <c r="EH26" s="40">
        <f ca="1" t="shared" si="37"/>
        <v>1</v>
      </c>
      <c r="EI26" s="40">
        <f ca="1" t="shared" si="38"/>
        <v>1</v>
      </c>
      <c r="EJ26" s="40">
        <f ca="1" t="shared" si="39"/>
        <v>1</v>
      </c>
      <c r="EK26" s="40">
        <f ca="1" t="shared" si="40"/>
        <v>1</v>
      </c>
      <c r="EL26" s="40">
        <f ca="1" t="shared" si="41"/>
        <v>1</v>
      </c>
      <c r="EM26" s="40">
        <f ca="1" t="shared" si="42"/>
        <v>1</v>
      </c>
      <c r="EN26" s="40">
        <f ca="1" t="shared" si="43"/>
        <v>1</v>
      </c>
      <c r="EO26" s="40">
        <f ca="1" t="shared" si="44"/>
        <v>1</v>
      </c>
      <c r="EP26" s="40">
        <f ca="1" t="shared" si="45"/>
        <v>1</v>
      </c>
      <c r="EQ26" s="40">
        <f ca="1" t="shared" si="46"/>
        <v>1</v>
      </c>
      <c r="ER26" s="40">
        <f ca="1" t="shared" si="47"/>
        <v>1</v>
      </c>
    </row>
    <row r="27" spans="1:148">
      <c r="A27">
        <v>1</v>
      </c>
      <c r="B27" t="str">
        <f>VLOOKUP(F27,'TRA balance'!$BA$5:$BB$14,2,FALSE)</f>
        <v>TRAGSL</v>
      </c>
      <c r="C27" s="64">
        <v>2</v>
      </c>
      <c r="D27" s="65" t="s">
        <v>200</v>
      </c>
      <c r="E27" s="65" t="s">
        <v>211</v>
      </c>
      <c r="F27" s="66" t="str">
        <f t="shared" si="59"/>
        <v>Gasoline</v>
      </c>
      <c r="G27" s="64"/>
      <c r="H27" s="70">
        <f ca="1">1-H21</f>
        <v>0</v>
      </c>
      <c r="I27" s="70">
        <f ca="1" t="shared" ref="I27:BA27" si="61">1-I21</f>
        <v>0</v>
      </c>
      <c r="J27" s="70">
        <f ca="1" t="shared" si="61"/>
        <v>0.1</v>
      </c>
      <c r="K27" s="70">
        <f ca="1" t="shared" si="61"/>
        <v>0.03</v>
      </c>
      <c r="L27" s="70">
        <f ca="1" t="shared" si="61"/>
        <v>0.3</v>
      </c>
      <c r="M27" s="70">
        <f ca="1" t="shared" si="61"/>
        <v>0.03</v>
      </c>
      <c r="N27" s="70">
        <f ca="1" t="shared" si="61"/>
        <v>0.1</v>
      </c>
      <c r="O27" s="70">
        <f ca="1" t="shared" si="61"/>
        <v>0.1</v>
      </c>
      <c r="P27" s="70">
        <f ca="1" t="shared" si="61"/>
        <v>0.1</v>
      </c>
      <c r="Q27" s="70">
        <f ca="1" t="shared" si="61"/>
        <v>0.1</v>
      </c>
      <c r="R27" s="70">
        <f ca="1" t="shared" si="61"/>
        <v>0.03</v>
      </c>
      <c r="S27" s="70">
        <f ca="1" t="shared" si="61"/>
        <v>0.03</v>
      </c>
      <c r="T27" s="70">
        <f ca="1" t="shared" si="61"/>
        <v>0.03</v>
      </c>
      <c r="U27" s="70">
        <f ca="1" t="shared" si="61"/>
        <v>0.1</v>
      </c>
      <c r="V27" s="70">
        <f ca="1" t="shared" si="61"/>
        <v>0.03</v>
      </c>
      <c r="W27" s="70">
        <f ca="1" t="shared" si="61"/>
        <v>0</v>
      </c>
      <c r="X27" s="70">
        <f ca="1" t="shared" si="61"/>
        <v>0.03</v>
      </c>
      <c r="Y27" s="70">
        <f ca="1" t="shared" si="61"/>
        <v>0.03</v>
      </c>
      <c r="Z27" s="70">
        <f ca="1" t="shared" si="61"/>
        <v>0.1</v>
      </c>
      <c r="AA27" s="70">
        <f ca="1" t="shared" si="61"/>
        <v>0.1</v>
      </c>
      <c r="AB27" s="70">
        <f ca="1" t="shared" si="61"/>
        <v>0.3</v>
      </c>
      <c r="AC27" s="70">
        <f ca="1" t="shared" si="61"/>
        <v>0.2</v>
      </c>
      <c r="AD27" s="70">
        <f ca="1" t="shared" si="61"/>
        <v>0.03</v>
      </c>
      <c r="AE27" s="70">
        <f ca="1" t="shared" si="61"/>
        <v>0.1</v>
      </c>
      <c r="AF27" s="70">
        <f ca="1" t="shared" si="61"/>
        <v>0</v>
      </c>
      <c r="AG27" s="70">
        <f ca="1" t="shared" si="61"/>
        <v>0.3</v>
      </c>
      <c r="AH27" s="70">
        <f ca="1" t="shared" si="61"/>
        <v>0.3</v>
      </c>
      <c r="AI27" s="70">
        <f ca="1" t="shared" si="61"/>
        <v>0</v>
      </c>
      <c r="AJ27" s="70">
        <f ca="1" t="shared" si="61"/>
        <v>0.03</v>
      </c>
      <c r="AK27" s="70">
        <f ca="1" t="shared" si="61"/>
        <v>0.03</v>
      </c>
      <c r="AL27" s="70">
        <f ca="1" t="shared" si="61"/>
        <v>0.03</v>
      </c>
      <c r="AM27" s="70">
        <f ca="1" t="shared" si="61"/>
        <v>0.3</v>
      </c>
      <c r="AN27" s="70">
        <f ca="1" t="shared" si="61"/>
        <v>0.03</v>
      </c>
      <c r="AO27" s="70">
        <f ca="1" t="shared" si="61"/>
        <v>0.3</v>
      </c>
      <c r="AP27" s="70">
        <f ca="1" t="shared" si="61"/>
        <v>0.1</v>
      </c>
      <c r="AQ27" s="70">
        <f ca="1" t="shared" si="61"/>
        <v>0.2</v>
      </c>
      <c r="AR27" s="70">
        <f ca="1" t="shared" si="61"/>
        <v>0.2</v>
      </c>
      <c r="AS27" s="70">
        <f ca="1" t="shared" si="61"/>
        <v>0.2</v>
      </c>
      <c r="AT27" s="70">
        <f ca="1" t="shared" si="61"/>
        <v>0.2</v>
      </c>
      <c r="AU27" s="70">
        <f ca="1" t="shared" si="61"/>
        <v>0.2</v>
      </c>
      <c r="AV27" s="70">
        <f ca="1" t="shared" si="61"/>
        <v>0.2</v>
      </c>
      <c r="AW27" s="70">
        <f ca="1" t="shared" si="61"/>
        <v>0.2</v>
      </c>
      <c r="AX27" s="70">
        <f ca="1" t="shared" si="61"/>
        <v>0.2</v>
      </c>
      <c r="AY27" s="70">
        <f ca="1" t="shared" si="61"/>
        <v>0.2</v>
      </c>
      <c r="AZ27" s="70">
        <f ca="1" t="shared" si="61"/>
        <v>0.2</v>
      </c>
      <c r="BA27" s="70">
        <f ca="1" t="shared" si="61"/>
        <v>0.2</v>
      </c>
      <c r="BD27" s="41">
        <f ca="1">IFERROR(SUMIFS('TRA balance'!E$5:E$40,'TRA balance'!$C$5:$C$40,Assumptions!$C27,'TRA balance'!$D$5:$D$40,Assumptions!$B27)*CY27*H27,"")</f>
        <v>0</v>
      </c>
      <c r="BE27" s="41">
        <f ca="1">IFERROR(SUMIFS('TRA balance'!F$5:F$40,'TRA balance'!$C$5:$C$40,Assumptions!$C27,'TRA balance'!$D$5:$D$40,Assumptions!$B27)*CZ27*I27,"")</f>
        <v>0</v>
      </c>
      <c r="BF27" s="41">
        <f ca="1">IFERROR(SUMIFS('TRA balance'!G$5:G$40,'TRA balance'!$C$5:$C$40,Assumptions!$C27,'TRA balance'!$D$5:$D$40,Assumptions!$B27)*DA27*J27,"")</f>
        <v>0</v>
      </c>
      <c r="BG27" s="41">
        <f ca="1">IFERROR(SUMIFS('TRA balance'!H$5:H$40,'TRA balance'!$C$5:$C$40,Assumptions!$C27,'TRA balance'!$D$5:$D$40,Assumptions!$B27)*DB27*K27,"")</f>
        <v>0</v>
      </c>
      <c r="BH27" s="41">
        <f ca="1">IFERROR(SUMIFS('TRA balance'!I$5:I$40,'TRA balance'!$C$5:$C$40,Assumptions!$C27,'TRA balance'!$D$5:$D$40,Assumptions!$B27)*DC27*L27,"")</f>
        <v>0</v>
      </c>
      <c r="BI27" s="41">
        <f ca="1">IFERROR(SUMIFS('TRA balance'!J$5:J$40,'TRA balance'!$C$5:$C$40,Assumptions!$C27,'TRA balance'!$D$5:$D$40,Assumptions!$B27)*DD27*M27,"")</f>
        <v>0</v>
      </c>
      <c r="BJ27" s="41">
        <f ca="1">IFERROR(SUMIFS('TRA balance'!K$5:K$40,'TRA balance'!$C$5:$C$40,Assumptions!$C27,'TRA balance'!$D$5:$D$40,Assumptions!$B27)*DE27*N27,"")</f>
        <v>0</v>
      </c>
      <c r="BK27" s="41">
        <f ca="1">IFERROR(SUMIFS('TRA balance'!L$5:L$40,'TRA balance'!$C$5:$C$40,Assumptions!$C27,'TRA balance'!$D$5:$D$40,Assumptions!$B27)*DF27*O27,"")</f>
        <v>0</v>
      </c>
      <c r="BL27" s="41">
        <f ca="1">IFERROR(SUMIFS('TRA balance'!M$5:M$40,'TRA balance'!$C$5:$C$40,Assumptions!$C27,'TRA balance'!$D$5:$D$40,Assumptions!$B27)*DG27*P27,"")</f>
        <v>0</v>
      </c>
      <c r="BM27" s="41">
        <f ca="1">IFERROR(SUMIFS('TRA balance'!N$5:N$40,'TRA balance'!$C$5:$C$40,Assumptions!$C27,'TRA balance'!$D$5:$D$40,Assumptions!$B27)*DH27*Q27,"")</f>
        <v>0</v>
      </c>
      <c r="BN27" s="41">
        <f ca="1">IFERROR(SUMIFS('TRA balance'!O$5:O$40,'TRA balance'!$C$5:$C$40,Assumptions!$C27,'TRA balance'!$D$5:$D$40,Assumptions!$B27)*DI27*R27,"")</f>
        <v>0</v>
      </c>
      <c r="BO27" s="41">
        <f ca="1">IFERROR(SUMIFS('TRA balance'!P$5:P$40,'TRA balance'!$C$5:$C$40,Assumptions!$C27,'TRA balance'!$D$5:$D$40,Assumptions!$B27)*DJ27*S27,"")</f>
        <v>0</v>
      </c>
      <c r="BP27" s="41">
        <f ca="1">IFERROR(SUMIFS('TRA balance'!Q$5:Q$40,'TRA balance'!$C$5:$C$40,Assumptions!$C27,'TRA balance'!$D$5:$D$40,Assumptions!$B27)*DK27*T27,"")</f>
        <v>0</v>
      </c>
      <c r="BQ27" s="41">
        <f ca="1">IFERROR(SUMIFS('TRA balance'!R$5:R$40,'TRA balance'!$C$5:$C$40,Assumptions!$C27,'TRA balance'!$D$5:$D$40,Assumptions!$B27)*DL27*U27,"")</f>
        <v>0</v>
      </c>
      <c r="BR27" s="41">
        <f ca="1">IFERROR(SUMIFS('TRA balance'!S$5:S$40,'TRA balance'!$C$5:$C$40,Assumptions!$C27,'TRA balance'!$D$5:$D$40,Assumptions!$B27)*DM27*V27,"")</f>
        <v>0</v>
      </c>
      <c r="BS27" s="41">
        <f ca="1">IFERROR(SUMIFS('TRA balance'!T$5:T$40,'TRA balance'!$C$5:$C$40,Assumptions!$C27,'TRA balance'!$D$5:$D$40,Assumptions!$B27)*DN27*W27,"")</f>
        <v>0</v>
      </c>
      <c r="BT27" s="41">
        <f ca="1">IFERROR(SUMIFS('TRA balance'!U$5:U$40,'TRA balance'!$C$5:$C$40,Assumptions!$C27,'TRA balance'!$D$5:$D$40,Assumptions!$B27)*DO27*X27,"")</f>
        <v>0</v>
      </c>
      <c r="BU27" s="41">
        <f ca="1">IFERROR(SUMIFS('TRA balance'!V$5:V$40,'TRA balance'!$C$5:$C$40,Assumptions!$C27,'TRA balance'!$D$5:$D$40,Assumptions!$B27)*DP27*Y27,"")</f>
        <v>0</v>
      </c>
      <c r="BV27" s="41">
        <f ca="1">IFERROR(SUMIFS('TRA balance'!W$5:W$40,'TRA balance'!$C$5:$C$40,Assumptions!$C27,'TRA balance'!$D$5:$D$40,Assumptions!$B27)*DQ27*Z27,"")</f>
        <v>0</v>
      </c>
      <c r="BW27" s="41">
        <f ca="1">IFERROR(SUMIFS('TRA balance'!X$5:X$40,'TRA balance'!$C$5:$C$40,Assumptions!$C27,'TRA balance'!$D$5:$D$40,Assumptions!$B27)*DR27*AA27,"")</f>
        <v>0</v>
      </c>
      <c r="BX27" s="41">
        <f ca="1">IFERROR(SUMIFS('TRA balance'!Y$5:Y$40,'TRA balance'!$C$5:$C$40,Assumptions!$C27,'TRA balance'!$D$5:$D$40,Assumptions!$B27)*DS27*AB27,"")</f>
        <v>0</v>
      </c>
      <c r="BY27" s="41">
        <f ca="1">IFERROR(SUMIFS('TRA balance'!Z$5:Z$40,'TRA balance'!$C$5:$C$40,Assumptions!$C27,'TRA balance'!$D$5:$D$40,Assumptions!$B27)*DT27*AC27,"")</f>
        <v>0</v>
      </c>
      <c r="BZ27" s="41">
        <f ca="1">IFERROR(SUMIFS('TRA balance'!AA$5:AA$40,'TRA balance'!$C$5:$C$40,Assumptions!$C27,'TRA balance'!$D$5:$D$40,Assumptions!$B27)*DU27*AD27,"")</f>
        <v>0</v>
      </c>
      <c r="CA27" s="41">
        <f ca="1">IFERROR(SUMIFS('TRA balance'!AB$5:AB$40,'TRA balance'!$C$5:$C$40,Assumptions!$C27,'TRA balance'!$D$5:$D$40,Assumptions!$B27)*DV27*AE27,"")</f>
        <v>0</v>
      </c>
      <c r="CB27" s="41">
        <f ca="1">IFERROR(SUMIFS('TRA balance'!AC$5:AC$40,'TRA balance'!$C$5:$C$40,Assumptions!$C27,'TRA balance'!$D$5:$D$40,Assumptions!$B27)*DW27*AF27,"")</f>
        <v>0</v>
      </c>
      <c r="CC27" s="41">
        <f ca="1">IFERROR(SUMIFS('TRA balance'!AD$5:AD$40,'TRA balance'!$C$5:$C$40,Assumptions!$C27,'TRA balance'!$D$5:$D$40,Assumptions!$B27)*DX27*AG27,"")</f>
        <v>0</v>
      </c>
      <c r="CD27" s="41">
        <f ca="1">IFERROR(SUMIFS('TRA balance'!AE$5:AE$40,'TRA balance'!$C$5:$C$40,Assumptions!$C27,'TRA balance'!$D$5:$D$40,Assumptions!$B27)*DY27*AH27,"")</f>
        <v>0</v>
      </c>
      <c r="CE27" s="41">
        <f ca="1">IFERROR(SUMIFS('TRA balance'!AF$5:AF$40,'TRA balance'!$C$5:$C$40,Assumptions!$C27,'TRA balance'!$D$5:$D$40,Assumptions!$B27)*DZ27*AI27,"")</f>
        <v>0</v>
      </c>
      <c r="CF27" s="41">
        <f ca="1">IFERROR(SUMIFS('TRA balance'!AG$5:AG$40,'TRA balance'!$C$5:$C$40,Assumptions!$C27,'TRA balance'!$D$5:$D$40,Assumptions!$B27)*EA27*AJ27,"")</f>
        <v>0</v>
      </c>
      <c r="CG27" s="41">
        <f ca="1">IFERROR(SUMIFS('TRA balance'!AH$5:AH$40,'TRA balance'!$C$5:$C$40,Assumptions!$C27,'TRA balance'!$D$5:$D$40,Assumptions!$B27)*EB27*AK27,"")</f>
        <v>0</v>
      </c>
      <c r="CH27" s="41">
        <f ca="1">IFERROR(SUMIFS('TRA balance'!AI$5:AI$40,'TRA balance'!$C$5:$C$40,Assumptions!$C27,'TRA balance'!$D$5:$D$40,Assumptions!$B27)*EC27*AL27,"")</f>
        <v>0</v>
      </c>
      <c r="CI27" s="41">
        <f ca="1">IFERROR(SUMIFS('TRA balance'!AJ$5:AJ$40,'TRA balance'!$C$5:$C$40,Assumptions!$C27,'TRA balance'!$D$5:$D$40,Assumptions!$B27)*ED27*AM27,"")</f>
        <v>0</v>
      </c>
      <c r="CJ27" s="41">
        <f ca="1">IFERROR(SUMIFS('TRA balance'!AK$5:AK$40,'TRA balance'!$C$5:$C$40,Assumptions!$C27,'TRA balance'!$D$5:$D$40,Assumptions!$B27)*EE27*AN27,"")</f>
        <v>0</v>
      </c>
      <c r="CK27" s="41">
        <f ca="1">IFERROR(SUMIFS('TRA balance'!AL$5:AL$40,'TRA balance'!$C$5:$C$40,Assumptions!$C27,'TRA balance'!$D$5:$D$40,Assumptions!$B27)*EF27*AO27,"")</f>
        <v>0</v>
      </c>
      <c r="CL27" s="41">
        <f ca="1">IFERROR(SUMIFS('TRA balance'!AM$5:AM$40,'TRA balance'!$C$5:$C$40,Assumptions!$C27,'TRA balance'!$D$5:$D$40,Assumptions!$B27)*EG27*AP27,"")</f>
        <v>0</v>
      </c>
      <c r="CM27" s="41">
        <f ca="1">IFERROR(SUMIFS('TRA balance'!AN$5:AN$40,'TRA balance'!$C$5:$C$40,Assumptions!$C27,'TRA balance'!$D$5:$D$40,Assumptions!$B27)*EH27*AQ27,"")</f>
        <v>0</v>
      </c>
      <c r="CN27" s="41">
        <f ca="1">IFERROR(SUMIFS('TRA balance'!AO$5:AO$40,'TRA balance'!$C$5:$C$40,Assumptions!$C27,'TRA balance'!$D$5:$D$40,Assumptions!$B27)*EI27*AR27,"")</f>
        <v>0</v>
      </c>
      <c r="CO27" s="41">
        <f ca="1">IFERROR(SUMIFS('TRA balance'!AP$5:AP$40,'TRA balance'!$C$5:$C$40,Assumptions!$C27,'TRA balance'!$D$5:$D$40,Assumptions!$B27)*EJ27*AS27,"")</f>
        <v>0</v>
      </c>
      <c r="CP27" s="41">
        <f ca="1">IFERROR(SUMIFS('TRA balance'!AQ$5:AQ$40,'TRA balance'!$C$5:$C$40,Assumptions!$C27,'TRA balance'!$D$5:$D$40,Assumptions!$B27)*EK27*AT27,"")</f>
        <v>0</v>
      </c>
      <c r="CQ27" s="41">
        <f ca="1">IFERROR(SUMIFS('TRA balance'!AR$5:AR$40,'TRA balance'!$C$5:$C$40,Assumptions!$C27,'TRA balance'!$D$5:$D$40,Assumptions!$B27)*EL27*AU27,"")</f>
        <v>0</v>
      </c>
      <c r="CR27" s="41">
        <f ca="1">IFERROR(SUMIFS('TRA balance'!AS$5:AS$40,'TRA balance'!$C$5:$C$40,Assumptions!$C27,'TRA balance'!$D$5:$D$40,Assumptions!$B27)*EM27*AV27,"")</f>
        <v>0</v>
      </c>
      <c r="CS27" s="41">
        <f ca="1">IFERROR(SUMIFS('TRA balance'!AT$5:AT$40,'TRA balance'!$C$5:$C$40,Assumptions!$C27,'TRA balance'!$D$5:$D$40,Assumptions!$B27)*EN27*AW27,"")</f>
        <v>0</v>
      </c>
      <c r="CT27" s="41">
        <f ca="1">IFERROR(SUMIFS('TRA balance'!AU$5:AU$40,'TRA balance'!$C$5:$C$40,Assumptions!$C27,'TRA balance'!$D$5:$D$40,Assumptions!$B27)*EO27*AX27,"")</f>
        <v>0</v>
      </c>
      <c r="CU27" s="41">
        <f ca="1">IFERROR(SUMIFS('TRA balance'!AV$5:AV$40,'TRA balance'!$C$5:$C$40,Assumptions!$C27,'TRA balance'!$D$5:$D$40,Assumptions!$B27)*EP27*AY27,"")</f>
        <v>0</v>
      </c>
      <c r="CV27" s="41">
        <f ca="1">IFERROR(SUMIFS('TRA balance'!AW$5:AW$40,'TRA balance'!$C$5:$C$40,Assumptions!$C27,'TRA balance'!$D$5:$D$40,Assumptions!$B27)*EQ27*AZ27,"")</f>
        <v>0</v>
      </c>
      <c r="CW27" s="41">
        <f ca="1">IFERROR(SUMIFS('TRA balance'!AX$5:AX$40,'TRA balance'!$C$5:$C$40,Assumptions!$C27,'TRA balance'!$D$5:$D$40,Assumptions!$B27)*ER27*BA27,"")</f>
        <v>0</v>
      </c>
      <c r="CY27" s="40">
        <f ca="1" t="shared" si="2"/>
        <v>1</v>
      </c>
      <c r="CZ27" s="40">
        <f ca="1" t="shared" si="3"/>
        <v>1</v>
      </c>
      <c r="DA27" s="40">
        <f ca="1" t="shared" si="4"/>
        <v>1</v>
      </c>
      <c r="DB27" s="40">
        <f ca="1" t="shared" si="5"/>
        <v>1</v>
      </c>
      <c r="DC27" s="40">
        <f ca="1" t="shared" si="6"/>
        <v>1</v>
      </c>
      <c r="DD27" s="40">
        <f ca="1" t="shared" si="7"/>
        <v>1</v>
      </c>
      <c r="DE27" s="40">
        <f ca="1" t="shared" si="8"/>
        <v>1</v>
      </c>
      <c r="DF27" s="40">
        <f ca="1" t="shared" si="9"/>
        <v>1</v>
      </c>
      <c r="DG27" s="40">
        <f ca="1" t="shared" si="10"/>
        <v>1</v>
      </c>
      <c r="DH27" s="40">
        <f ca="1" t="shared" si="11"/>
        <v>1</v>
      </c>
      <c r="DI27" s="40">
        <f ca="1" t="shared" si="12"/>
        <v>1</v>
      </c>
      <c r="DJ27" s="40">
        <f ca="1" t="shared" si="13"/>
        <v>1</v>
      </c>
      <c r="DK27" s="40">
        <f ca="1" t="shared" si="14"/>
        <v>1</v>
      </c>
      <c r="DL27" s="40">
        <f ca="1" t="shared" si="15"/>
        <v>1</v>
      </c>
      <c r="DM27" s="40">
        <f ca="1" t="shared" si="16"/>
        <v>1</v>
      </c>
      <c r="DN27" s="40">
        <f ca="1" t="shared" si="17"/>
        <v>1</v>
      </c>
      <c r="DO27" s="40">
        <f ca="1" t="shared" si="18"/>
        <v>1</v>
      </c>
      <c r="DP27" s="40">
        <f ca="1" t="shared" si="19"/>
        <v>1</v>
      </c>
      <c r="DQ27" s="40">
        <f ca="1" t="shared" si="20"/>
        <v>1</v>
      </c>
      <c r="DR27" s="40">
        <f ca="1" t="shared" si="21"/>
        <v>1</v>
      </c>
      <c r="DS27" s="40">
        <f ca="1" t="shared" si="22"/>
        <v>1</v>
      </c>
      <c r="DT27" s="40">
        <f ca="1" t="shared" si="23"/>
        <v>1</v>
      </c>
      <c r="DU27" s="40">
        <f ca="1" t="shared" si="24"/>
        <v>1</v>
      </c>
      <c r="DV27" s="40">
        <f ca="1" t="shared" si="25"/>
        <v>1</v>
      </c>
      <c r="DW27" s="40">
        <f ca="1" t="shared" si="26"/>
        <v>1</v>
      </c>
      <c r="DX27" s="40">
        <f ca="1" t="shared" si="27"/>
        <v>1</v>
      </c>
      <c r="DY27" s="40">
        <f ca="1" t="shared" si="28"/>
        <v>1</v>
      </c>
      <c r="DZ27" s="40">
        <f ca="1" t="shared" si="29"/>
        <v>1</v>
      </c>
      <c r="EA27" s="40">
        <f ca="1" t="shared" si="30"/>
        <v>1</v>
      </c>
      <c r="EB27" s="40">
        <f ca="1" t="shared" si="31"/>
        <v>1</v>
      </c>
      <c r="EC27" s="40">
        <f ca="1" t="shared" si="32"/>
        <v>1</v>
      </c>
      <c r="ED27" s="40">
        <f ca="1" t="shared" si="33"/>
        <v>1</v>
      </c>
      <c r="EE27" s="40">
        <f ca="1" t="shared" si="34"/>
        <v>1</v>
      </c>
      <c r="EF27" s="40">
        <f ca="1" t="shared" si="35"/>
        <v>1</v>
      </c>
      <c r="EG27" s="40">
        <f ca="1" t="shared" si="36"/>
        <v>1</v>
      </c>
      <c r="EH27" s="40">
        <f ca="1" t="shared" si="37"/>
        <v>1</v>
      </c>
      <c r="EI27" s="40">
        <f ca="1" t="shared" si="38"/>
        <v>1</v>
      </c>
      <c r="EJ27" s="40">
        <f ca="1" t="shared" si="39"/>
        <v>1</v>
      </c>
      <c r="EK27" s="40">
        <f ca="1" t="shared" si="40"/>
        <v>1</v>
      </c>
      <c r="EL27" s="40">
        <f ca="1" t="shared" si="41"/>
        <v>1</v>
      </c>
      <c r="EM27" s="40">
        <f ca="1" t="shared" si="42"/>
        <v>1</v>
      </c>
      <c r="EN27" s="40">
        <f ca="1" t="shared" si="43"/>
        <v>1</v>
      </c>
      <c r="EO27" s="40">
        <f ca="1" t="shared" si="44"/>
        <v>1</v>
      </c>
      <c r="EP27" s="40">
        <f ca="1" t="shared" si="45"/>
        <v>1</v>
      </c>
      <c r="EQ27" s="40">
        <f ca="1" t="shared" si="46"/>
        <v>1</v>
      </c>
      <c r="ER27" s="40">
        <f ca="1" t="shared" si="47"/>
        <v>1</v>
      </c>
    </row>
    <row r="28" spans="1:148">
      <c r="A28">
        <v>2</v>
      </c>
      <c r="B28" t="str">
        <f>VLOOKUP(F28,'TRA balance'!$BA$5:$BB$14,2,FALSE)</f>
        <v>TRAGSL</v>
      </c>
      <c r="C28" s="56" t="str">
        <f t="shared" si="48"/>
        <v>TR</v>
      </c>
      <c r="D28" s="57" t="s">
        <v>200</v>
      </c>
      <c r="E28" s="68" t="s">
        <v>212</v>
      </c>
      <c r="F28" s="58" t="str">
        <f t="shared" si="59"/>
        <v>Gasoline</v>
      </c>
      <c r="G28" s="56" t="s">
        <v>213</v>
      </c>
      <c r="H28" s="59">
        <f ca="1">OFFSET(TIAM15_assumptions!$G28,0,MATCH(VLOOKUP(Assumptions!H$2,TIAM15_assumptions!$Y$3:$Z$87,2,FALSE),TIAM15_assumptions!$H$2:$V$2,0))</f>
        <v>0.05</v>
      </c>
      <c r="I28" s="59">
        <f ca="1">OFFSET(TIAM15_assumptions!$G28,0,MATCH(VLOOKUP(Assumptions!I$2,TIAM15_assumptions!$Y$3:$Z$87,2,FALSE),TIAM15_assumptions!$H$2:$V$2,0))</f>
        <v>0.05</v>
      </c>
      <c r="J28" s="59">
        <f ca="1">OFFSET(TIAM15_assumptions!$G28,0,MATCH(VLOOKUP(Assumptions!J$2,TIAM15_assumptions!$Y$3:$Z$87,2,FALSE),TIAM15_assumptions!$H$2:$V$2,0))</f>
        <v>0.05</v>
      </c>
      <c r="K28" s="59">
        <f ca="1">OFFSET(TIAM15_assumptions!$G28,0,MATCH(VLOOKUP(Assumptions!K$2,TIAM15_assumptions!$Y$3:$Z$87,2,FALSE),TIAM15_assumptions!$H$2:$V$2,0))</f>
        <v>0.05</v>
      </c>
      <c r="L28" s="59">
        <f ca="1">OFFSET(TIAM15_assumptions!$G28,0,MATCH(VLOOKUP(Assumptions!L$2,TIAM15_assumptions!$Y$3:$Z$87,2,FALSE),TIAM15_assumptions!$H$2:$V$2,0))</f>
        <v>0.05</v>
      </c>
      <c r="M28" s="59">
        <f ca="1">OFFSET(TIAM15_assumptions!$G28,0,MATCH(VLOOKUP(Assumptions!M$2,TIAM15_assumptions!$Y$3:$Z$87,2,FALSE),TIAM15_assumptions!$H$2:$V$2,0))</f>
        <v>0.05</v>
      </c>
      <c r="N28" s="59">
        <f ca="1">OFFSET(TIAM15_assumptions!$G28,0,MATCH(VLOOKUP(Assumptions!N$2,TIAM15_assumptions!$Y$3:$Z$87,2,FALSE),TIAM15_assumptions!$H$2:$V$2,0))</f>
        <v>0.12</v>
      </c>
      <c r="O28" s="59">
        <f ca="1">OFFSET(TIAM15_assumptions!$G28,0,MATCH(VLOOKUP(Assumptions!O$2,TIAM15_assumptions!$Y$3:$Z$87,2,FALSE),TIAM15_assumptions!$H$2:$V$2,0))</f>
        <v>0.1</v>
      </c>
      <c r="P28" s="59">
        <f ca="1">OFFSET(TIAM15_assumptions!$G28,0,MATCH(VLOOKUP(Assumptions!P$2,TIAM15_assumptions!$Y$3:$Z$87,2,FALSE),TIAM15_assumptions!$H$2:$V$2,0))</f>
        <v>0.1</v>
      </c>
      <c r="Q28" s="59">
        <f ca="1">OFFSET(TIAM15_assumptions!$G28,0,MATCH(VLOOKUP(Assumptions!Q$2,TIAM15_assumptions!$Y$3:$Z$87,2,FALSE),TIAM15_assumptions!$H$2:$V$2,0))</f>
        <v>0.1</v>
      </c>
      <c r="R28" s="59">
        <f ca="1">OFFSET(TIAM15_assumptions!$G28,0,MATCH(VLOOKUP(Assumptions!R$2,TIAM15_assumptions!$Y$3:$Z$87,2,FALSE),TIAM15_assumptions!$H$2:$V$2,0))</f>
        <v>0.05</v>
      </c>
      <c r="S28" s="59">
        <f ca="1">OFFSET(TIAM15_assumptions!$G28,0,MATCH(VLOOKUP(Assumptions!S$2,TIAM15_assumptions!$Y$3:$Z$87,2,FALSE),TIAM15_assumptions!$H$2:$V$2,0))</f>
        <v>0.05</v>
      </c>
      <c r="T28" s="59">
        <f ca="1">OFFSET(TIAM15_assumptions!$G28,0,MATCH(VLOOKUP(Assumptions!T$2,TIAM15_assumptions!$Y$3:$Z$87,2,FALSE),TIAM15_assumptions!$H$2:$V$2,0))</f>
        <v>0.05</v>
      </c>
      <c r="U28" s="59">
        <f ca="1">OFFSET(TIAM15_assumptions!$G28,0,MATCH(VLOOKUP(Assumptions!U$2,TIAM15_assumptions!$Y$3:$Z$87,2,FALSE),TIAM15_assumptions!$H$2:$V$2,0))</f>
        <v>0.1</v>
      </c>
      <c r="V28" s="59">
        <f ca="1">OFFSET(TIAM15_assumptions!$G28,0,MATCH(VLOOKUP(Assumptions!V$2,TIAM15_assumptions!$Y$3:$Z$87,2,FALSE),TIAM15_assumptions!$H$2:$V$2,0))</f>
        <v>0.05</v>
      </c>
      <c r="W28" s="59">
        <f ca="1">OFFSET(TIAM15_assumptions!$G28,0,MATCH(VLOOKUP(Assumptions!W$2,TIAM15_assumptions!$Y$3:$Z$87,2,FALSE),TIAM15_assumptions!$H$2:$V$2,0))</f>
        <v>0</v>
      </c>
      <c r="X28" s="59">
        <f ca="1">OFFSET(TIAM15_assumptions!$G28,0,MATCH(VLOOKUP(Assumptions!X$2,TIAM15_assumptions!$Y$3:$Z$87,2,FALSE),TIAM15_assumptions!$H$2:$V$2,0))</f>
        <v>0.05</v>
      </c>
      <c r="Y28" s="59">
        <f ca="1">OFFSET(TIAM15_assumptions!$G28,0,MATCH(VLOOKUP(Assumptions!Y$2,TIAM15_assumptions!$Y$3:$Z$87,2,FALSE),TIAM15_assumptions!$H$2:$V$2,0))</f>
        <v>0.05</v>
      </c>
      <c r="Z28" s="59">
        <f ca="1">OFFSET(TIAM15_assumptions!$G28,0,MATCH(VLOOKUP(Assumptions!Z$2,TIAM15_assumptions!$Y$3:$Z$87,2,FALSE),TIAM15_assumptions!$H$2:$V$2,0))</f>
        <v>0</v>
      </c>
      <c r="AA28" s="59">
        <f ca="1">OFFSET(TIAM15_assumptions!$G28,0,MATCH(VLOOKUP(Assumptions!AA$2,TIAM15_assumptions!$Y$3:$Z$87,2,FALSE),TIAM15_assumptions!$H$2:$V$2,0))</f>
        <v>0.12</v>
      </c>
      <c r="AB28" s="59">
        <f ca="1">OFFSET(TIAM15_assumptions!$G28,0,MATCH(VLOOKUP(Assumptions!AB$2,TIAM15_assumptions!$Y$3:$Z$87,2,FALSE),TIAM15_assumptions!$H$2:$V$2,0))</f>
        <v>0.1</v>
      </c>
      <c r="AC28" s="59">
        <f ca="1">OFFSET(TIAM15_assumptions!$G28,0,MATCH(VLOOKUP(Assumptions!AC$2,TIAM15_assumptions!$Y$3:$Z$87,2,FALSE),TIAM15_assumptions!$H$2:$V$2,0))</f>
        <v>0.005</v>
      </c>
      <c r="AD28" s="59">
        <f ca="1">OFFSET(TIAM15_assumptions!$G28,0,MATCH(VLOOKUP(Assumptions!AD$2,TIAM15_assumptions!$Y$3:$Z$87,2,FALSE),TIAM15_assumptions!$H$2:$V$2,0))</f>
        <v>0.05</v>
      </c>
      <c r="AE28" s="59">
        <f ca="1">OFFSET(TIAM15_assumptions!$G28,0,MATCH(VLOOKUP(Assumptions!AE$2,TIAM15_assumptions!$Y$3:$Z$87,2,FALSE),TIAM15_assumptions!$H$2:$V$2,0))</f>
        <v>0.1</v>
      </c>
      <c r="AF28" s="59">
        <f ca="1">OFFSET(TIAM15_assumptions!$G28,0,MATCH(VLOOKUP(Assumptions!AF$2,TIAM15_assumptions!$Y$3:$Z$87,2,FALSE),TIAM15_assumptions!$H$2:$V$2,0))</f>
        <v>0.15</v>
      </c>
      <c r="AG28" s="59">
        <f ca="1">OFFSET(TIAM15_assumptions!$G28,0,MATCH(VLOOKUP(Assumptions!AG$2,TIAM15_assumptions!$Y$3:$Z$87,2,FALSE),TIAM15_assumptions!$H$2:$V$2,0))</f>
        <v>0.05</v>
      </c>
      <c r="AH28" s="59">
        <f ca="1">OFFSET(TIAM15_assumptions!$G28,0,MATCH(VLOOKUP(Assumptions!AH$2,TIAM15_assumptions!$Y$3:$Z$87,2,FALSE),TIAM15_assumptions!$H$2:$V$2,0))</f>
        <v>0.1</v>
      </c>
      <c r="AI28" s="59">
        <f ca="1">OFFSET(TIAM15_assumptions!$G28,0,MATCH(VLOOKUP(Assumptions!AI$2,TIAM15_assumptions!$Y$3:$Z$87,2,FALSE),TIAM15_assumptions!$H$2:$V$2,0))</f>
        <v>0.05</v>
      </c>
      <c r="AJ28" s="59">
        <f ca="1">OFFSET(TIAM15_assumptions!$G28,0,MATCH(VLOOKUP(Assumptions!AJ$2,TIAM15_assumptions!$Y$3:$Z$87,2,FALSE),TIAM15_assumptions!$H$2:$V$2,0))</f>
        <v>0.05</v>
      </c>
      <c r="AK28" s="59">
        <f ca="1">OFFSET(TIAM15_assumptions!$G28,0,MATCH(VLOOKUP(Assumptions!AK$2,TIAM15_assumptions!$Y$3:$Z$87,2,FALSE),TIAM15_assumptions!$H$2:$V$2,0))</f>
        <v>0.05</v>
      </c>
      <c r="AL28" s="59">
        <f ca="1">OFFSET(TIAM15_assumptions!$G28,0,MATCH(VLOOKUP(Assumptions!AL$2,TIAM15_assumptions!$Y$3:$Z$87,2,FALSE),TIAM15_assumptions!$H$2:$V$2,0))</f>
        <v>0.05</v>
      </c>
      <c r="AM28" s="59">
        <f ca="1">OFFSET(TIAM15_assumptions!$G28,0,MATCH(VLOOKUP(Assumptions!AM$2,TIAM15_assumptions!$Y$3:$Z$87,2,FALSE),TIAM15_assumptions!$H$2:$V$2,0))</f>
        <v>0.1</v>
      </c>
      <c r="AN28" s="59">
        <f ca="1">OFFSET(TIAM15_assumptions!$G28,0,MATCH(VLOOKUP(Assumptions!AN$2,TIAM15_assumptions!$Y$3:$Z$87,2,FALSE),TIAM15_assumptions!$H$2:$V$2,0))</f>
        <v>0.05</v>
      </c>
      <c r="AO28" s="59">
        <f ca="1">OFFSET(TIAM15_assumptions!$G28,0,MATCH(VLOOKUP(Assumptions!AO$2,TIAM15_assumptions!$Y$3:$Z$87,2,FALSE),TIAM15_assumptions!$H$2:$V$2,0))</f>
        <v>0.05</v>
      </c>
      <c r="AP28" s="59">
        <f ca="1">OFFSET(TIAM15_assumptions!$G28,0,MATCH(VLOOKUP(Assumptions!AP$2,TIAM15_assumptions!$Y$3:$Z$87,2,FALSE),TIAM15_assumptions!$H$2:$V$2,0))</f>
        <v>0.1</v>
      </c>
      <c r="AQ28" s="59">
        <f ca="1">OFFSET(TIAM15_assumptions!$G28,0,MATCH(VLOOKUP(Assumptions!AQ$2,TIAM15_assumptions!$Y$3:$Z$87,2,FALSE),TIAM15_assumptions!$H$2:$V$2,0))</f>
        <v>0.005</v>
      </c>
      <c r="AR28" s="59">
        <f ca="1">OFFSET(TIAM15_assumptions!$G28,0,MATCH(VLOOKUP(Assumptions!AR$2,TIAM15_assumptions!$Y$3:$Z$87,2,FALSE),TIAM15_assumptions!$H$2:$V$2,0))</f>
        <v>0.005</v>
      </c>
      <c r="AS28" s="59">
        <f ca="1">OFFSET(TIAM15_assumptions!$G28,0,MATCH(VLOOKUP(Assumptions!AS$2,TIAM15_assumptions!$Y$3:$Z$87,2,FALSE),TIAM15_assumptions!$H$2:$V$2,0))</f>
        <v>0.005</v>
      </c>
      <c r="AT28" s="59">
        <f ca="1">OFFSET(TIAM15_assumptions!$G28,0,MATCH(VLOOKUP(Assumptions!AT$2,TIAM15_assumptions!$Y$3:$Z$87,2,FALSE),TIAM15_assumptions!$H$2:$V$2,0))</f>
        <v>0.005</v>
      </c>
      <c r="AU28" s="59">
        <f ca="1">OFFSET(TIAM15_assumptions!$G28,0,MATCH(VLOOKUP(Assumptions!AU$2,TIAM15_assumptions!$Y$3:$Z$87,2,FALSE),TIAM15_assumptions!$H$2:$V$2,0))</f>
        <v>0.005</v>
      </c>
      <c r="AV28" s="59">
        <f ca="1">OFFSET(TIAM15_assumptions!$G28,0,MATCH(VLOOKUP(Assumptions!AV$2,TIAM15_assumptions!$Y$3:$Z$87,2,FALSE),TIAM15_assumptions!$H$2:$V$2,0))</f>
        <v>0.005</v>
      </c>
      <c r="AW28" s="59">
        <f ca="1">OFFSET(TIAM15_assumptions!$G28,0,MATCH(VLOOKUP(Assumptions!AW$2,TIAM15_assumptions!$Y$3:$Z$87,2,FALSE),TIAM15_assumptions!$H$2:$V$2,0))</f>
        <v>0.005</v>
      </c>
      <c r="AX28" s="59">
        <f ca="1">OFFSET(TIAM15_assumptions!$G28,0,MATCH(VLOOKUP(Assumptions!AX$2,TIAM15_assumptions!$Y$3:$Z$87,2,FALSE),TIAM15_assumptions!$H$2:$V$2,0))</f>
        <v>0.005</v>
      </c>
      <c r="AY28" s="59">
        <f ca="1">OFFSET(TIAM15_assumptions!$G28,0,MATCH(VLOOKUP(Assumptions!AY$2,TIAM15_assumptions!$Y$3:$Z$87,2,FALSE),TIAM15_assumptions!$H$2:$V$2,0))</f>
        <v>0.005</v>
      </c>
      <c r="AZ28" s="59">
        <f ca="1">OFFSET(TIAM15_assumptions!$G28,0,MATCH(VLOOKUP(Assumptions!AZ$2,TIAM15_assumptions!$Y$3:$Z$87,2,FALSE),TIAM15_assumptions!$H$2:$V$2,0))</f>
        <v>0.005</v>
      </c>
      <c r="BA28" s="59">
        <f ca="1">OFFSET(TIAM15_assumptions!$G28,0,MATCH(VLOOKUP(Assumptions!BA$2,TIAM15_assumptions!$Y$3:$Z$87,2,FALSE),TIAM15_assumptions!$H$2:$V$2,0))</f>
        <v>0.005</v>
      </c>
      <c r="BD28" s="41">
        <f ca="1">IFERROR(SUMIFS('TRA balance'!E$5:E$40,'TRA balance'!$C$5:$C$40,Assumptions!$C28,'TRA balance'!$D$5:$D$40,Assumptions!$B28)*CY28*H28,"")</f>
        <v>0</v>
      </c>
      <c r="BE28" s="41">
        <f ca="1">IFERROR(SUMIFS('TRA balance'!F$5:F$40,'TRA balance'!$C$5:$C$40,Assumptions!$C28,'TRA balance'!$D$5:$D$40,Assumptions!$B28)*CZ28*I28,"")</f>
        <v>0</v>
      </c>
      <c r="BF28" s="41">
        <f ca="1">IFERROR(SUMIFS('TRA balance'!G$5:G$40,'TRA balance'!$C$5:$C$40,Assumptions!$C28,'TRA balance'!$D$5:$D$40,Assumptions!$B28)*DA28*J28,"")</f>
        <v>2.844609179364</v>
      </c>
      <c r="BG28" s="41">
        <f ca="1">IFERROR(SUMIFS('TRA balance'!H$5:H$40,'TRA balance'!$C$5:$C$40,Assumptions!$C28,'TRA balance'!$D$5:$D$40,Assumptions!$B28)*DB28*K28,"")</f>
        <v>0.1038662558172</v>
      </c>
      <c r="BH28" s="41">
        <f ca="1">IFERROR(SUMIFS('TRA balance'!I$5:I$40,'TRA balance'!$C$5:$C$40,Assumptions!$C28,'TRA balance'!$D$5:$D$40,Assumptions!$B28)*DC28*L28,"")</f>
        <v>0.433738810098</v>
      </c>
      <c r="BI28" s="41">
        <f ca="1">IFERROR(SUMIFS('TRA balance'!J$5:J$40,'TRA balance'!$C$5:$C$40,Assumptions!$C28,'TRA balance'!$D$5:$D$40,Assumptions!$B28)*DD28*M28,"")</f>
        <v>0.4018680574182</v>
      </c>
      <c r="BJ28" s="41">
        <f ca="1">IFERROR(SUMIFS('TRA balance'!K$5:K$40,'TRA balance'!$C$5:$C$40,Assumptions!$C28,'TRA balance'!$D$5:$D$40,Assumptions!$B28)*DE28*N28,"")</f>
        <v>10.7781820845552</v>
      </c>
      <c r="BK28" s="41">
        <f ca="1">IFERROR(SUMIFS('TRA balance'!L$5:L$40,'TRA balance'!$C$5:$C$40,Assumptions!$C28,'TRA balance'!$D$5:$D$40,Assumptions!$B28)*DF28*O28,"")</f>
        <v>60.01894737324</v>
      </c>
      <c r="BL28" s="41">
        <f ca="1">IFERROR(SUMIFS('TRA balance'!M$5:M$40,'TRA balance'!$C$5:$C$40,Assumptions!$C28,'TRA balance'!$D$5:$D$40,Assumptions!$B28)*DG28*P28,"")</f>
        <v>0.375854604444</v>
      </c>
      <c r="BM28" s="41">
        <f ca="1">IFERROR(SUMIFS('TRA balance'!N$5:N$40,'TRA balance'!$C$5:$C$40,Assumptions!$C28,'TRA balance'!$D$5:$D$40,Assumptions!$B28)*DH28*Q28,"")</f>
        <v>0.89100002556</v>
      </c>
      <c r="BN28" s="41">
        <f ca="1">IFERROR(SUMIFS('TRA balance'!O$5:O$40,'TRA balance'!$C$5:$C$40,Assumptions!$C28,'TRA balance'!$D$5:$D$40,Assumptions!$B28)*DI28*R28,"")</f>
        <v>0.4936548509514</v>
      </c>
      <c r="BO28" s="41">
        <f ca="1">IFERROR(SUMIFS('TRA balance'!P$5:P$40,'TRA balance'!$C$5:$C$40,Assumptions!$C28,'TRA balance'!$D$5:$D$40,Assumptions!$B28)*DJ28*S28,"")</f>
        <v>1.0839179996622</v>
      </c>
      <c r="BP28" s="41">
        <f ca="1">IFERROR(SUMIFS('TRA balance'!Q$5:Q$40,'TRA balance'!$C$5:$C$40,Assumptions!$C28,'TRA balance'!$D$5:$D$40,Assumptions!$B28)*DK28*T28,"")</f>
        <v>0.169522977249</v>
      </c>
      <c r="BQ28" s="41">
        <f ca="1">IFERROR(SUMIFS('TRA balance'!R$5:R$40,'TRA balance'!$C$5:$C$40,Assumptions!$C28,'TRA balance'!$D$5:$D$40,Assumptions!$B28)*DL28*U28,"")</f>
        <v>1.388675228184</v>
      </c>
      <c r="BR28" s="41">
        <f ca="1">IFERROR(SUMIFS('TRA balance'!S$5:S$40,'TRA balance'!$C$5:$C$40,Assumptions!$C28,'TRA balance'!$D$5:$D$40,Assumptions!$B28)*DM28*V28,"")</f>
        <v>0.00783710554140001</v>
      </c>
      <c r="BS28" s="41">
        <f ca="1">IFERROR(SUMIFS('TRA balance'!T$5:T$40,'TRA balance'!$C$5:$C$40,Assumptions!$C28,'TRA balance'!$D$5:$D$40,Assumptions!$B28)*DN28*W28,"")</f>
        <v>0</v>
      </c>
      <c r="BT28" s="41">
        <f ca="1">IFERROR(SUMIFS('TRA balance'!U$5:U$40,'TRA balance'!$C$5:$C$40,Assumptions!$C28,'TRA balance'!$D$5:$D$40,Assumptions!$B28)*DO28*X28,"")</f>
        <v>0.0483490240488</v>
      </c>
      <c r="BU28" s="41">
        <f ca="1">IFERROR(SUMIFS('TRA balance'!V$5:V$40,'TRA balance'!$C$5:$C$40,Assumptions!$C28,'TRA balance'!$D$5:$D$40,Assumptions!$B28)*DP28*Y28,"")</f>
        <v>0.489719602269</v>
      </c>
      <c r="BV28" s="41">
        <f ca="1">IFERROR(SUMIFS('TRA balance'!W$5:W$40,'TRA balance'!$C$5:$C$40,Assumptions!$C28,'TRA balance'!$D$5:$D$40,Assumptions!$B28)*DQ28*Z28,"")</f>
        <v>0</v>
      </c>
      <c r="BW28" s="41">
        <f ca="1">IFERROR(SUMIFS('TRA balance'!X$5:X$40,'TRA balance'!$C$5:$C$40,Assumptions!$C28,'TRA balance'!$D$5:$D$40,Assumptions!$B28)*DR28*AA28,"")</f>
        <v>20.4934873954896</v>
      </c>
      <c r="BX28" s="41">
        <f ca="1">IFERROR(SUMIFS('TRA balance'!Y$5:Y$40,'TRA balance'!$C$5:$C$40,Assumptions!$C28,'TRA balance'!$D$5:$D$40,Assumptions!$B28)*DS28*AB28,"")</f>
        <v>70.78871686194</v>
      </c>
      <c r="BY28" s="41">
        <f ca="1">IFERROR(SUMIFS('TRA balance'!Z$5:Z$40,'TRA balance'!$C$5:$C$40,Assumptions!$C28,'TRA balance'!$D$5:$D$40,Assumptions!$B28)*DT28*AC28,"")</f>
        <v>18.3472493096016</v>
      </c>
      <c r="BZ28" s="41">
        <f ca="1">IFERROR(SUMIFS('TRA balance'!AA$5:AA$40,'TRA balance'!$C$5:$C$40,Assumptions!$C28,'TRA balance'!$D$5:$D$40,Assumptions!$B28)*DU28*AD28,"")</f>
        <v>0.0418438044828</v>
      </c>
      <c r="CA28" s="41">
        <f ca="1">IFERROR(SUMIFS('TRA balance'!AB$5:AB$40,'TRA balance'!$C$5:$C$40,Assumptions!$C28,'TRA balance'!$D$5:$D$40,Assumptions!$B28)*DV28*AE28,"")</f>
        <v>1.943168907456</v>
      </c>
      <c r="CB28" s="41">
        <f ca="1">IFERROR(SUMIFS('TRA balance'!AC$5:AC$40,'TRA balance'!$C$5:$C$40,Assumptions!$C28,'TRA balance'!$D$5:$D$40,Assumptions!$B28)*DW28*AF28,"")</f>
        <v>0</v>
      </c>
      <c r="CC28" s="41">
        <f ca="1">IFERROR(SUMIFS('TRA balance'!AD$5:AD$40,'TRA balance'!$C$5:$C$40,Assumptions!$C28,'TRA balance'!$D$5:$D$40,Assumptions!$B28)*DX28*AG28,"")</f>
        <v>23.204504424222</v>
      </c>
      <c r="CD28" s="41">
        <f ca="1">IFERROR(SUMIFS('TRA balance'!AE$5:AE$40,'TRA balance'!$C$5:$C$40,Assumptions!$C28,'TRA balance'!$D$5:$D$40,Assumptions!$B28)*DY28*AH28,"")</f>
        <v>30.581120643624</v>
      </c>
      <c r="CE28" s="41">
        <f ca="1">IFERROR(SUMIFS('TRA balance'!AF$5:AF$40,'TRA balance'!$C$5:$C$40,Assumptions!$C28,'TRA balance'!$D$5:$D$40,Assumptions!$B28)*DZ28*AI28,"")</f>
        <v>0</v>
      </c>
      <c r="CF28" s="41">
        <f ca="1">IFERROR(SUMIFS('TRA balance'!AG$5:AG$40,'TRA balance'!$C$5:$C$40,Assumptions!$C28,'TRA balance'!$D$5:$D$40,Assumptions!$B28)*EA28*AJ28,"")</f>
        <v>0.4067080379928</v>
      </c>
      <c r="CG28" s="41">
        <f ca="1">IFERROR(SUMIFS('TRA balance'!AH$5:AH$40,'TRA balance'!$C$5:$C$40,Assumptions!$C28,'TRA balance'!$D$5:$D$40,Assumptions!$B28)*EB28*AK28,"")</f>
        <v>0.285244611534</v>
      </c>
      <c r="CH28" s="41">
        <f ca="1">IFERROR(SUMIFS('TRA balance'!AI$5:AI$40,'TRA balance'!$C$5:$C$40,Assumptions!$C28,'TRA balance'!$D$5:$D$40,Assumptions!$B28)*EC28*AL28,"")</f>
        <v>0.1498099695462</v>
      </c>
      <c r="CI28" s="41">
        <f ca="1">IFERROR(SUMIFS('TRA balance'!AJ$5:AJ$40,'TRA balance'!$C$5:$C$40,Assumptions!$C28,'TRA balance'!$D$5:$D$40,Assumptions!$B28)*ED28*AM28,"")</f>
        <v>2.979239962032</v>
      </c>
      <c r="CJ28" s="41">
        <f ca="1">IFERROR(SUMIFS('TRA balance'!AK$5:AK$40,'TRA balance'!$C$5:$C$40,Assumptions!$C28,'TRA balance'!$D$5:$D$40,Assumptions!$B28)*EE28*AN28,"")</f>
        <v>0.773086377481201</v>
      </c>
      <c r="CK28" s="41">
        <f ca="1">IFERROR(SUMIFS('TRA balance'!AL$5:AL$40,'TRA balance'!$C$5:$C$40,Assumptions!$C28,'TRA balance'!$D$5:$D$40,Assumptions!$B28)*EF28*AO28,"")</f>
        <v>1.157257226952</v>
      </c>
      <c r="CL28" s="41">
        <f ca="1">IFERROR(SUMIFS('TRA balance'!AM$5:AM$40,'TRA balance'!$C$5:$C$40,Assumptions!$C28,'TRA balance'!$D$5:$D$40,Assumptions!$B28)*EG28*AP28,"")</f>
        <v>0.391192108884</v>
      </c>
      <c r="CM28" s="41">
        <f ca="1">IFERROR(SUMIFS('TRA balance'!AN$5:AN$40,'TRA balance'!$C$5:$C$40,Assumptions!$C28,'TRA balance'!$D$5:$D$40,Assumptions!$B28)*EH28*AQ28,"")</f>
        <v>0</v>
      </c>
      <c r="CN28" s="41">
        <f ca="1">IFERROR(SUMIFS('TRA balance'!AO$5:AO$40,'TRA balance'!$C$5:$C$40,Assumptions!$C28,'TRA balance'!$D$5:$D$40,Assumptions!$B28)*EI28*AR28,"")</f>
        <v>0</v>
      </c>
      <c r="CO28" s="41">
        <f ca="1">IFERROR(SUMIFS('TRA balance'!AP$5:AP$40,'TRA balance'!$C$5:$C$40,Assumptions!$C28,'TRA balance'!$D$5:$D$40,Assumptions!$B28)*EJ28*AS28,"")</f>
        <v>0</v>
      </c>
      <c r="CP28" s="41">
        <f ca="1">IFERROR(SUMIFS('TRA balance'!AQ$5:AQ$40,'TRA balance'!$C$5:$C$40,Assumptions!$C28,'TRA balance'!$D$5:$D$40,Assumptions!$B28)*EK28*AT28,"")</f>
        <v>0</v>
      </c>
      <c r="CQ28" s="41">
        <f ca="1">IFERROR(SUMIFS('TRA balance'!AR$5:AR$40,'TRA balance'!$C$5:$C$40,Assumptions!$C28,'TRA balance'!$D$5:$D$40,Assumptions!$B28)*EL28*AU28,"")</f>
        <v>0</v>
      </c>
      <c r="CR28" s="41">
        <f ca="1">IFERROR(SUMIFS('TRA balance'!AS$5:AS$40,'TRA balance'!$C$5:$C$40,Assumptions!$C28,'TRA balance'!$D$5:$D$40,Assumptions!$B28)*EM28*AV28,"")</f>
        <v>0</v>
      </c>
      <c r="CS28" s="41">
        <f ca="1">IFERROR(SUMIFS('TRA balance'!AT$5:AT$40,'TRA balance'!$C$5:$C$40,Assumptions!$C28,'TRA balance'!$D$5:$D$40,Assumptions!$B28)*EN28*AW28,"")</f>
        <v>0</v>
      </c>
      <c r="CT28" s="41">
        <f ca="1">IFERROR(SUMIFS('TRA balance'!AU$5:AU$40,'TRA balance'!$C$5:$C$40,Assumptions!$C28,'TRA balance'!$D$5:$D$40,Assumptions!$B28)*EO28*AX28,"")</f>
        <v>0</v>
      </c>
      <c r="CU28" s="41">
        <f ca="1">IFERROR(SUMIFS('TRA balance'!AV$5:AV$40,'TRA balance'!$C$5:$C$40,Assumptions!$C28,'TRA balance'!$D$5:$D$40,Assumptions!$B28)*EP28*AY28,"")</f>
        <v>0</v>
      </c>
      <c r="CV28" s="41">
        <f ca="1">IFERROR(SUMIFS('TRA balance'!AW$5:AW$40,'TRA balance'!$C$5:$C$40,Assumptions!$C28,'TRA balance'!$D$5:$D$40,Assumptions!$B28)*EQ28*AZ28,"")</f>
        <v>0</v>
      </c>
      <c r="CW28" s="41">
        <f ca="1">IFERROR(SUMIFS('TRA balance'!AX$5:AX$40,'TRA balance'!$C$5:$C$40,Assumptions!$C28,'TRA balance'!$D$5:$D$40,Assumptions!$B28)*ER28*BA28,"")</f>
        <v>0</v>
      </c>
      <c r="CY28" s="40">
        <f ca="1" t="shared" si="2"/>
        <v>0</v>
      </c>
      <c r="CZ28" s="40">
        <f ca="1" t="shared" si="3"/>
        <v>0</v>
      </c>
      <c r="DA28" s="40">
        <f ca="1" t="shared" si="4"/>
        <v>0.1</v>
      </c>
      <c r="DB28" s="40">
        <f ca="1" t="shared" si="5"/>
        <v>0.03</v>
      </c>
      <c r="DC28" s="40">
        <f ca="1" t="shared" si="6"/>
        <v>0.3</v>
      </c>
      <c r="DD28" s="40">
        <f ca="1" t="shared" si="7"/>
        <v>0.03</v>
      </c>
      <c r="DE28" s="40">
        <f ca="1" t="shared" si="8"/>
        <v>0.1</v>
      </c>
      <c r="DF28" s="40">
        <f ca="1" t="shared" si="9"/>
        <v>0.1</v>
      </c>
      <c r="DG28" s="40">
        <f ca="1" t="shared" si="10"/>
        <v>0.1</v>
      </c>
      <c r="DH28" s="40">
        <f ca="1" t="shared" si="11"/>
        <v>0.1</v>
      </c>
      <c r="DI28" s="40">
        <f ca="1" t="shared" si="12"/>
        <v>0.03</v>
      </c>
      <c r="DJ28" s="40">
        <f ca="1" t="shared" si="13"/>
        <v>0.03</v>
      </c>
      <c r="DK28" s="40">
        <f ca="1" t="shared" si="14"/>
        <v>0.03</v>
      </c>
      <c r="DL28" s="40">
        <f ca="1" t="shared" si="15"/>
        <v>0.1</v>
      </c>
      <c r="DM28" s="40">
        <f ca="1" t="shared" si="16"/>
        <v>0.03</v>
      </c>
      <c r="DN28" s="40">
        <f ca="1" t="shared" si="17"/>
        <v>0</v>
      </c>
      <c r="DO28" s="40">
        <f ca="1" t="shared" si="18"/>
        <v>0.03</v>
      </c>
      <c r="DP28" s="40">
        <f ca="1" t="shared" si="19"/>
        <v>0.03</v>
      </c>
      <c r="DQ28" s="40">
        <f ca="1" t="shared" si="20"/>
        <v>0.1</v>
      </c>
      <c r="DR28" s="40">
        <f ca="1" t="shared" si="21"/>
        <v>0.1</v>
      </c>
      <c r="DS28" s="40">
        <f ca="1" t="shared" si="22"/>
        <v>0.3</v>
      </c>
      <c r="DT28" s="40">
        <f ca="1" t="shared" si="23"/>
        <v>0.2</v>
      </c>
      <c r="DU28" s="40">
        <f ca="1" t="shared" si="24"/>
        <v>0.03</v>
      </c>
      <c r="DV28" s="40">
        <f ca="1" t="shared" si="25"/>
        <v>0.1</v>
      </c>
      <c r="DW28" s="40">
        <f ca="1" t="shared" si="26"/>
        <v>0</v>
      </c>
      <c r="DX28" s="40">
        <f ca="1" t="shared" si="27"/>
        <v>0.3</v>
      </c>
      <c r="DY28" s="40">
        <f ca="1" t="shared" si="28"/>
        <v>0.3</v>
      </c>
      <c r="DZ28" s="40">
        <f ca="1" t="shared" si="29"/>
        <v>0</v>
      </c>
      <c r="EA28" s="40">
        <f ca="1" t="shared" si="30"/>
        <v>0.03</v>
      </c>
      <c r="EB28" s="40">
        <f ca="1" t="shared" si="31"/>
        <v>0.03</v>
      </c>
      <c r="EC28" s="40">
        <f ca="1" t="shared" si="32"/>
        <v>0.03</v>
      </c>
      <c r="ED28" s="40">
        <f ca="1" t="shared" si="33"/>
        <v>0.3</v>
      </c>
      <c r="EE28" s="40">
        <f ca="1" t="shared" si="34"/>
        <v>0.03</v>
      </c>
      <c r="EF28" s="40">
        <f ca="1" t="shared" si="35"/>
        <v>0.3</v>
      </c>
      <c r="EG28" s="40">
        <f ca="1" t="shared" si="36"/>
        <v>0.1</v>
      </c>
      <c r="EH28" s="40">
        <f ca="1" t="shared" si="37"/>
        <v>0.2</v>
      </c>
      <c r="EI28" s="40">
        <f ca="1" t="shared" si="38"/>
        <v>0.2</v>
      </c>
      <c r="EJ28" s="40">
        <f ca="1" t="shared" si="39"/>
        <v>0.2</v>
      </c>
      <c r="EK28" s="40">
        <f ca="1" t="shared" si="40"/>
        <v>0.2</v>
      </c>
      <c r="EL28" s="40">
        <f ca="1" t="shared" si="41"/>
        <v>0.2</v>
      </c>
      <c r="EM28" s="40">
        <f ca="1" t="shared" si="42"/>
        <v>0.2</v>
      </c>
      <c r="EN28" s="40">
        <f ca="1" t="shared" si="43"/>
        <v>0.2</v>
      </c>
      <c r="EO28" s="40">
        <f ca="1" t="shared" si="44"/>
        <v>0.2</v>
      </c>
      <c r="EP28" s="40">
        <f ca="1" t="shared" si="45"/>
        <v>0.2</v>
      </c>
      <c r="EQ28" s="40">
        <f ca="1" t="shared" si="46"/>
        <v>0.2</v>
      </c>
      <c r="ER28" s="40">
        <f ca="1" t="shared" si="47"/>
        <v>0.2</v>
      </c>
    </row>
    <row r="29" spans="1:148">
      <c r="A29">
        <v>2</v>
      </c>
      <c r="B29" t="str">
        <f>VLOOKUP(F29,'TRA balance'!$BA$5:$BB$14,2,FALSE)</f>
        <v>TRAGSL</v>
      </c>
      <c r="C29" s="56" t="str">
        <f t="shared" si="48"/>
        <v>TR</v>
      </c>
      <c r="D29" s="57" t="s">
        <v>200</v>
      </c>
      <c r="E29" s="68" t="s">
        <v>214</v>
      </c>
      <c r="F29" s="58" t="str">
        <f t="shared" ref="F29:F35" si="62">F28</f>
        <v>Gasoline</v>
      </c>
      <c r="G29" s="56" t="s">
        <v>215</v>
      </c>
      <c r="H29" s="59">
        <f ca="1">OFFSET(TIAM15_assumptions!$G29,0,MATCH(VLOOKUP(Assumptions!H$2,TIAM15_assumptions!$Y$3:$Z$87,2,FALSE),TIAM15_assumptions!$H$2:$V$2,0))</f>
        <v>0</v>
      </c>
      <c r="I29" s="59">
        <f ca="1">OFFSET(TIAM15_assumptions!$G29,0,MATCH(VLOOKUP(Assumptions!I$2,TIAM15_assumptions!$Y$3:$Z$87,2,FALSE),TIAM15_assumptions!$H$2:$V$2,0))</f>
        <v>0</v>
      </c>
      <c r="J29" s="59">
        <f ca="1">OFFSET(TIAM15_assumptions!$G29,0,MATCH(VLOOKUP(Assumptions!J$2,TIAM15_assumptions!$Y$3:$Z$87,2,FALSE),TIAM15_assumptions!$H$2:$V$2,0))</f>
        <v>0</v>
      </c>
      <c r="K29" s="59">
        <f ca="1">OFFSET(TIAM15_assumptions!$G29,0,MATCH(VLOOKUP(Assumptions!K$2,TIAM15_assumptions!$Y$3:$Z$87,2,FALSE),TIAM15_assumptions!$H$2:$V$2,0))</f>
        <v>0</v>
      </c>
      <c r="L29" s="59">
        <f ca="1">OFFSET(TIAM15_assumptions!$G29,0,MATCH(VLOOKUP(Assumptions!L$2,TIAM15_assumptions!$Y$3:$Z$87,2,FALSE),TIAM15_assumptions!$H$2:$V$2,0))</f>
        <v>0</v>
      </c>
      <c r="M29" s="59">
        <f ca="1">OFFSET(TIAM15_assumptions!$G29,0,MATCH(VLOOKUP(Assumptions!M$2,TIAM15_assumptions!$Y$3:$Z$87,2,FALSE),TIAM15_assumptions!$H$2:$V$2,0))</f>
        <v>0</v>
      </c>
      <c r="N29" s="59">
        <f ca="1">OFFSET(TIAM15_assumptions!$G29,0,MATCH(VLOOKUP(Assumptions!N$2,TIAM15_assumptions!$Y$3:$Z$87,2,FALSE),TIAM15_assumptions!$H$2:$V$2,0))</f>
        <v>0</v>
      </c>
      <c r="O29" s="59">
        <f ca="1">OFFSET(TIAM15_assumptions!$G29,0,MATCH(VLOOKUP(Assumptions!O$2,TIAM15_assumptions!$Y$3:$Z$87,2,FALSE),TIAM15_assumptions!$H$2:$V$2,0))</f>
        <v>0</v>
      </c>
      <c r="P29" s="59">
        <f ca="1">OFFSET(TIAM15_assumptions!$G29,0,MATCH(VLOOKUP(Assumptions!P$2,TIAM15_assumptions!$Y$3:$Z$87,2,FALSE),TIAM15_assumptions!$H$2:$V$2,0))</f>
        <v>0</v>
      </c>
      <c r="Q29" s="59">
        <f ca="1">OFFSET(TIAM15_assumptions!$G29,0,MATCH(VLOOKUP(Assumptions!Q$2,TIAM15_assumptions!$Y$3:$Z$87,2,FALSE),TIAM15_assumptions!$H$2:$V$2,0))</f>
        <v>0</v>
      </c>
      <c r="R29" s="59">
        <f ca="1">OFFSET(TIAM15_assumptions!$G29,0,MATCH(VLOOKUP(Assumptions!R$2,TIAM15_assumptions!$Y$3:$Z$87,2,FALSE),TIAM15_assumptions!$H$2:$V$2,0))</f>
        <v>0</v>
      </c>
      <c r="S29" s="59">
        <f ca="1">OFFSET(TIAM15_assumptions!$G29,0,MATCH(VLOOKUP(Assumptions!S$2,TIAM15_assumptions!$Y$3:$Z$87,2,FALSE),TIAM15_assumptions!$H$2:$V$2,0))</f>
        <v>0</v>
      </c>
      <c r="T29" s="59">
        <f ca="1">OFFSET(TIAM15_assumptions!$G29,0,MATCH(VLOOKUP(Assumptions!T$2,TIAM15_assumptions!$Y$3:$Z$87,2,FALSE),TIAM15_assumptions!$H$2:$V$2,0))</f>
        <v>0</v>
      </c>
      <c r="U29" s="59">
        <f ca="1">OFFSET(TIAM15_assumptions!$G29,0,MATCH(VLOOKUP(Assumptions!U$2,TIAM15_assumptions!$Y$3:$Z$87,2,FALSE),TIAM15_assumptions!$H$2:$V$2,0))</f>
        <v>0</v>
      </c>
      <c r="V29" s="59">
        <f ca="1">OFFSET(TIAM15_assumptions!$G29,0,MATCH(VLOOKUP(Assumptions!V$2,TIAM15_assumptions!$Y$3:$Z$87,2,FALSE),TIAM15_assumptions!$H$2:$V$2,0))</f>
        <v>0</v>
      </c>
      <c r="W29" s="59">
        <f ca="1">OFFSET(TIAM15_assumptions!$G29,0,MATCH(VLOOKUP(Assumptions!W$2,TIAM15_assumptions!$Y$3:$Z$87,2,FALSE),TIAM15_assumptions!$H$2:$V$2,0))</f>
        <v>0</v>
      </c>
      <c r="X29" s="59">
        <f ca="1">OFFSET(TIAM15_assumptions!$G29,0,MATCH(VLOOKUP(Assumptions!X$2,TIAM15_assumptions!$Y$3:$Z$87,2,FALSE),TIAM15_assumptions!$H$2:$V$2,0))</f>
        <v>0</v>
      </c>
      <c r="Y29" s="59">
        <f ca="1">OFFSET(TIAM15_assumptions!$G29,0,MATCH(VLOOKUP(Assumptions!Y$2,TIAM15_assumptions!$Y$3:$Z$87,2,FALSE),TIAM15_assumptions!$H$2:$V$2,0))</f>
        <v>0</v>
      </c>
      <c r="Z29" s="59">
        <f ca="1">OFFSET(TIAM15_assumptions!$G29,0,MATCH(VLOOKUP(Assumptions!Z$2,TIAM15_assumptions!$Y$3:$Z$87,2,FALSE),TIAM15_assumptions!$H$2:$V$2,0))</f>
        <v>0</v>
      </c>
      <c r="AA29" s="59">
        <f ca="1">OFFSET(TIAM15_assumptions!$G29,0,MATCH(VLOOKUP(Assumptions!AA$2,TIAM15_assumptions!$Y$3:$Z$87,2,FALSE),TIAM15_assumptions!$H$2:$V$2,0))</f>
        <v>0</v>
      </c>
      <c r="AB29" s="59">
        <f ca="1">OFFSET(TIAM15_assumptions!$G29,0,MATCH(VLOOKUP(Assumptions!AB$2,TIAM15_assumptions!$Y$3:$Z$87,2,FALSE),TIAM15_assumptions!$H$2:$V$2,0))</f>
        <v>0</v>
      </c>
      <c r="AC29" s="59">
        <f ca="1">OFFSET(TIAM15_assumptions!$G29,0,MATCH(VLOOKUP(Assumptions!AC$2,TIAM15_assumptions!$Y$3:$Z$87,2,FALSE),TIAM15_assumptions!$H$2:$V$2,0))</f>
        <v>0</v>
      </c>
      <c r="AD29" s="59">
        <f ca="1">OFFSET(TIAM15_assumptions!$G29,0,MATCH(VLOOKUP(Assumptions!AD$2,TIAM15_assumptions!$Y$3:$Z$87,2,FALSE),TIAM15_assumptions!$H$2:$V$2,0))</f>
        <v>0</v>
      </c>
      <c r="AE29" s="59">
        <f ca="1">OFFSET(TIAM15_assumptions!$G29,0,MATCH(VLOOKUP(Assumptions!AE$2,TIAM15_assumptions!$Y$3:$Z$87,2,FALSE),TIAM15_assumptions!$H$2:$V$2,0))</f>
        <v>0</v>
      </c>
      <c r="AF29" s="59">
        <f ca="1">OFFSET(TIAM15_assumptions!$G29,0,MATCH(VLOOKUP(Assumptions!AF$2,TIAM15_assumptions!$Y$3:$Z$87,2,FALSE),TIAM15_assumptions!$H$2:$V$2,0))</f>
        <v>0</v>
      </c>
      <c r="AG29" s="59">
        <f ca="1">OFFSET(TIAM15_assumptions!$G29,0,MATCH(VLOOKUP(Assumptions!AG$2,TIAM15_assumptions!$Y$3:$Z$87,2,FALSE),TIAM15_assumptions!$H$2:$V$2,0))</f>
        <v>0</v>
      </c>
      <c r="AH29" s="59">
        <f ca="1">OFFSET(TIAM15_assumptions!$G29,0,MATCH(VLOOKUP(Assumptions!AH$2,TIAM15_assumptions!$Y$3:$Z$87,2,FALSE),TIAM15_assumptions!$H$2:$V$2,0))</f>
        <v>0</v>
      </c>
      <c r="AI29" s="59">
        <f ca="1">OFFSET(TIAM15_assumptions!$G29,0,MATCH(VLOOKUP(Assumptions!AI$2,TIAM15_assumptions!$Y$3:$Z$87,2,FALSE),TIAM15_assumptions!$H$2:$V$2,0))</f>
        <v>0</v>
      </c>
      <c r="AJ29" s="59">
        <f ca="1">OFFSET(TIAM15_assumptions!$G29,0,MATCH(VLOOKUP(Assumptions!AJ$2,TIAM15_assumptions!$Y$3:$Z$87,2,FALSE),TIAM15_assumptions!$H$2:$V$2,0))</f>
        <v>0</v>
      </c>
      <c r="AK29" s="59">
        <f ca="1">OFFSET(TIAM15_assumptions!$G29,0,MATCH(VLOOKUP(Assumptions!AK$2,TIAM15_assumptions!$Y$3:$Z$87,2,FALSE),TIAM15_assumptions!$H$2:$V$2,0))</f>
        <v>0</v>
      </c>
      <c r="AL29" s="59">
        <f ca="1">OFFSET(TIAM15_assumptions!$G29,0,MATCH(VLOOKUP(Assumptions!AL$2,TIAM15_assumptions!$Y$3:$Z$87,2,FALSE),TIAM15_assumptions!$H$2:$V$2,0))</f>
        <v>0</v>
      </c>
      <c r="AM29" s="59">
        <f ca="1">OFFSET(TIAM15_assumptions!$G29,0,MATCH(VLOOKUP(Assumptions!AM$2,TIAM15_assumptions!$Y$3:$Z$87,2,FALSE),TIAM15_assumptions!$H$2:$V$2,0))</f>
        <v>0</v>
      </c>
      <c r="AN29" s="59">
        <f ca="1">OFFSET(TIAM15_assumptions!$G29,0,MATCH(VLOOKUP(Assumptions!AN$2,TIAM15_assumptions!$Y$3:$Z$87,2,FALSE),TIAM15_assumptions!$H$2:$V$2,0))</f>
        <v>0</v>
      </c>
      <c r="AO29" s="59">
        <f ca="1">OFFSET(TIAM15_assumptions!$G29,0,MATCH(VLOOKUP(Assumptions!AO$2,TIAM15_assumptions!$Y$3:$Z$87,2,FALSE),TIAM15_assumptions!$H$2:$V$2,0))</f>
        <v>0</v>
      </c>
      <c r="AP29" s="59">
        <f ca="1">OFFSET(TIAM15_assumptions!$G29,0,MATCH(VLOOKUP(Assumptions!AP$2,TIAM15_assumptions!$Y$3:$Z$87,2,FALSE),TIAM15_assumptions!$H$2:$V$2,0))</f>
        <v>0</v>
      </c>
      <c r="AQ29" s="59">
        <f ca="1">OFFSET(TIAM15_assumptions!$G29,0,MATCH(VLOOKUP(Assumptions!AQ$2,TIAM15_assumptions!$Y$3:$Z$87,2,FALSE),TIAM15_assumptions!$H$2:$V$2,0))</f>
        <v>0</v>
      </c>
      <c r="AR29" s="59">
        <f ca="1">OFFSET(TIAM15_assumptions!$G29,0,MATCH(VLOOKUP(Assumptions!AR$2,TIAM15_assumptions!$Y$3:$Z$87,2,FALSE),TIAM15_assumptions!$H$2:$V$2,0))</f>
        <v>0</v>
      </c>
      <c r="AS29" s="59">
        <f ca="1">OFFSET(TIAM15_assumptions!$G29,0,MATCH(VLOOKUP(Assumptions!AS$2,TIAM15_assumptions!$Y$3:$Z$87,2,FALSE),TIAM15_assumptions!$H$2:$V$2,0))</f>
        <v>0</v>
      </c>
      <c r="AT29" s="59">
        <f ca="1">OFFSET(TIAM15_assumptions!$G29,0,MATCH(VLOOKUP(Assumptions!AT$2,TIAM15_assumptions!$Y$3:$Z$87,2,FALSE),TIAM15_assumptions!$H$2:$V$2,0))</f>
        <v>0</v>
      </c>
      <c r="AU29" s="59">
        <f ca="1">OFFSET(TIAM15_assumptions!$G29,0,MATCH(VLOOKUP(Assumptions!AU$2,TIAM15_assumptions!$Y$3:$Z$87,2,FALSE),TIAM15_assumptions!$H$2:$V$2,0))</f>
        <v>0</v>
      </c>
      <c r="AV29" s="59">
        <f ca="1">OFFSET(TIAM15_assumptions!$G29,0,MATCH(VLOOKUP(Assumptions!AV$2,TIAM15_assumptions!$Y$3:$Z$87,2,FALSE),TIAM15_assumptions!$H$2:$V$2,0))</f>
        <v>0</v>
      </c>
      <c r="AW29" s="59">
        <f ca="1">OFFSET(TIAM15_assumptions!$G29,0,MATCH(VLOOKUP(Assumptions!AW$2,TIAM15_assumptions!$Y$3:$Z$87,2,FALSE),TIAM15_assumptions!$H$2:$V$2,0))</f>
        <v>0</v>
      </c>
      <c r="AX29" s="59">
        <f ca="1">OFFSET(TIAM15_assumptions!$G29,0,MATCH(VLOOKUP(Assumptions!AX$2,TIAM15_assumptions!$Y$3:$Z$87,2,FALSE),TIAM15_assumptions!$H$2:$V$2,0))</f>
        <v>0</v>
      </c>
      <c r="AY29" s="59">
        <f ca="1">OFFSET(TIAM15_assumptions!$G29,0,MATCH(VLOOKUP(Assumptions!AY$2,TIAM15_assumptions!$Y$3:$Z$87,2,FALSE),TIAM15_assumptions!$H$2:$V$2,0))</f>
        <v>0</v>
      </c>
      <c r="AZ29" s="59">
        <f ca="1">OFFSET(TIAM15_assumptions!$G29,0,MATCH(VLOOKUP(Assumptions!AZ$2,TIAM15_assumptions!$Y$3:$Z$87,2,FALSE),TIAM15_assumptions!$H$2:$V$2,0))</f>
        <v>0</v>
      </c>
      <c r="BA29" s="59">
        <f ca="1">OFFSET(TIAM15_assumptions!$G29,0,MATCH(VLOOKUP(Assumptions!BA$2,TIAM15_assumptions!$Y$3:$Z$87,2,FALSE),TIAM15_assumptions!$H$2:$V$2,0))</f>
        <v>0</v>
      </c>
      <c r="BD29" s="41">
        <f ca="1">IFERROR(SUMIFS('TRA balance'!E$5:E$40,'TRA balance'!$C$5:$C$40,Assumptions!$C29,'TRA balance'!$D$5:$D$40,Assumptions!$B29)*CY29*H29,"")</f>
        <v>0</v>
      </c>
      <c r="BE29" s="41">
        <f ca="1">IFERROR(SUMIFS('TRA balance'!F$5:F$40,'TRA balance'!$C$5:$C$40,Assumptions!$C29,'TRA balance'!$D$5:$D$40,Assumptions!$B29)*CZ29*I29,"")</f>
        <v>0</v>
      </c>
      <c r="BF29" s="41">
        <f ca="1">IFERROR(SUMIFS('TRA balance'!G$5:G$40,'TRA balance'!$C$5:$C$40,Assumptions!$C29,'TRA balance'!$D$5:$D$40,Assumptions!$B29)*DA29*J29,"")</f>
        <v>0</v>
      </c>
      <c r="BG29" s="41">
        <f ca="1">IFERROR(SUMIFS('TRA balance'!H$5:H$40,'TRA balance'!$C$5:$C$40,Assumptions!$C29,'TRA balance'!$D$5:$D$40,Assumptions!$B29)*DB29*K29,"")</f>
        <v>0</v>
      </c>
      <c r="BH29" s="41">
        <f ca="1">IFERROR(SUMIFS('TRA balance'!I$5:I$40,'TRA balance'!$C$5:$C$40,Assumptions!$C29,'TRA balance'!$D$5:$D$40,Assumptions!$B29)*DC29*L29,"")</f>
        <v>0</v>
      </c>
      <c r="BI29" s="41">
        <f ca="1">IFERROR(SUMIFS('TRA balance'!J$5:J$40,'TRA balance'!$C$5:$C$40,Assumptions!$C29,'TRA balance'!$D$5:$D$40,Assumptions!$B29)*DD29*M29,"")</f>
        <v>0</v>
      </c>
      <c r="BJ29" s="41">
        <f ca="1">IFERROR(SUMIFS('TRA balance'!K$5:K$40,'TRA balance'!$C$5:$C$40,Assumptions!$C29,'TRA balance'!$D$5:$D$40,Assumptions!$B29)*DE29*N29,"")</f>
        <v>0</v>
      </c>
      <c r="BK29" s="41">
        <f ca="1">IFERROR(SUMIFS('TRA balance'!L$5:L$40,'TRA balance'!$C$5:$C$40,Assumptions!$C29,'TRA balance'!$D$5:$D$40,Assumptions!$B29)*DF29*O29,"")</f>
        <v>0</v>
      </c>
      <c r="BL29" s="41">
        <f ca="1">IFERROR(SUMIFS('TRA balance'!M$5:M$40,'TRA balance'!$C$5:$C$40,Assumptions!$C29,'TRA balance'!$D$5:$D$40,Assumptions!$B29)*DG29*P29,"")</f>
        <v>0</v>
      </c>
      <c r="BM29" s="41">
        <f ca="1">IFERROR(SUMIFS('TRA balance'!N$5:N$40,'TRA balance'!$C$5:$C$40,Assumptions!$C29,'TRA balance'!$D$5:$D$40,Assumptions!$B29)*DH29*Q29,"")</f>
        <v>0</v>
      </c>
      <c r="BN29" s="41">
        <f ca="1">IFERROR(SUMIFS('TRA balance'!O$5:O$40,'TRA balance'!$C$5:$C$40,Assumptions!$C29,'TRA balance'!$D$5:$D$40,Assumptions!$B29)*DI29*R29,"")</f>
        <v>0</v>
      </c>
      <c r="BO29" s="41">
        <f ca="1">IFERROR(SUMIFS('TRA balance'!P$5:P$40,'TRA balance'!$C$5:$C$40,Assumptions!$C29,'TRA balance'!$D$5:$D$40,Assumptions!$B29)*DJ29*S29,"")</f>
        <v>0</v>
      </c>
      <c r="BP29" s="41">
        <f ca="1">IFERROR(SUMIFS('TRA balance'!Q$5:Q$40,'TRA balance'!$C$5:$C$40,Assumptions!$C29,'TRA balance'!$D$5:$D$40,Assumptions!$B29)*DK29*T29,"")</f>
        <v>0</v>
      </c>
      <c r="BQ29" s="41">
        <f ca="1">IFERROR(SUMIFS('TRA balance'!R$5:R$40,'TRA balance'!$C$5:$C$40,Assumptions!$C29,'TRA balance'!$D$5:$D$40,Assumptions!$B29)*DL29*U29,"")</f>
        <v>0</v>
      </c>
      <c r="BR29" s="41">
        <f ca="1">IFERROR(SUMIFS('TRA balance'!S$5:S$40,'TRA balance'!$C$5:$C$40,Assumptions!$C29,'TRA balance'!$D$5:$D$40,Assumptions!$B29)*DM29*V29,"")</f>
        <v>0</v>
      </c>
      <c r="BS29" s="41">
        <f ca="1">IFERROR(SUMIFS('TRA balance'!T$5:T$40,'TRA balance'!$C$5:$C$40,Assumptions!$C29,'TRA balance'!$D$5:$D$40,Assumptions!$B29)*DN29*W29,"")</f>
        <v>0</v>
      </c>
      <c r="BT29" s="41">
        <f ca="1">IFERROR(SUMIFS('TRA balance'!U$5:U$40,'TRA balance'!$C$5:$C$40,Assumptions!$C29,'TRA balance'!$D$5:$D$40,Assumptions!$B29)*DO29*X29,"")</f>
        <v>0</v>
      </c>
      <c r="BU29" s="41">
        <f ca="1">IFERROR(SUMIFS('TRA balance'!V$5:V$40,'TRA balance'!$C$5:$C$40,Assumptions!$C29,'TRA balance'!$D$5:$D$40,Assumptions!$B29)*DP29*Y29,"")</f>
        <v>0</v>
      </c>
      <c r="BV29" s="41">
        <f ca="1">IFERROR(SUMIFS('TRA balance'!W$5:W$40,'TRA balance'!$C$5:$C$40,Assumptions!$C29,'TRA balance'!$D$5:$D$40,Assumptions!$B29)*DQ29*Z29,"")</f>
        <v>0</v>
      </c>
      <c r="BW29" s="41">
        <f ca="1">IFERROR(SUMIFS('TRA balance'!X$5:X$40,'TRA balance'!$C$5:$C$40,Assumptions!$C29,'TRA balance'!$D$5:$D$40,Assumptions!$B29)*DR29*AA29,"")</f>
        <v>0</v>
      </c>
      <c r="BX29" s="41">
        <f ca="1">IFERROR(SUMIFS('TRA balance'!Y$5:Y$40,'TRA balance'!$C$5:$C$40,Assumptions!$C29,'TRA balance'!$D$5:$D$40,Assumptions!$B29)*DS29*AB29,"")</f>
        <v>0</v>
      </c>
      <c r="BY29" s="41">
        <f ca="1">IFERROR(SUMIFS('TRA balance'!Z$5:Z$40,'TRA balance'!$C$5:$C$40,Assumptions!$C29,'TRA balance'!$D$5:$D$40,Assumptions!$B29)*DT29*AC29,"")</f>
        <v>0</v>
      </c>
      <c r="BZ29" s="41">
        <f ca="1">IFERROR(SUMIFS('TRA balance'!AA$5:AA$40,'TRA balance'!$C$5:$C$40,Assumptions!$C29,'TRA balance'!$D$5:$D$40,Assumptions!$B29)*DU29*AD29,"")</f>
        <v>0</v>
      </c>
      <c r="CA29" s="41">
        <f ca="1">IFERROR(SUMIFS('TRA balance'!AB$5:AB$40,'TRA balance'!$C$5:$C$40,Assumptions!$C29,'TRA balance'!$D$5:$D$40,Assumptions!$B29)*DV29*AE29,"")</f>
        <v>0</v>
      </c>
      <c r="CB29" s="41">
        <f ca="1">IFERROR(SUMIFS('TRA balance'!AC$5:AC$40,'TRA balance'!$C$5:$C$40,Assumptions!$C29,'TRA balance'!$D$5:$D$40,Assumptions!$B29)*DW29*AF29,"")</f>
        <v>0</v>
      </c>
      <c r="CC29" s="41">
        <f ca="1">IFERROR(SUMIFS('TRA balance'!AD$5:AD$40,'TRA balance'!$C$5:$C$40,Assumptions!$C29,'TRA balance'!$D$5:$D$40,Assumptions!$B29)*DX29*AG29,"")</f>
        <v>0</v>
      </c>
      <c r="CD29" s="41">
        <f ca="1">IFERROR(SUMIFS('TRA balance'!AE$5:AE$40,'TRA balance'!$C$5:$C$40,Assumptions!$C29,'TRA balance'!$D$5:$D$40,Assumptions!$B29)*DY29*AH29,"")</f>
        <v>0</v>
      </c>
      <c r="CE29" s="41">
        <f ca="1">IFERROR(SUMIFS('TRA balance'!AF$5:AF$40,'TRA balance'!$C$5:$C$40,Assumptions!$C29,'TRA balance'!$D$5:$D$40,Assumptions!$B29)*DZ29*AI29,"")</f>
        <v>0</v>
      </c>
      <c r="CF29" s="41">
        <f ca="1">IFERROR(SUMIFS('TRA balance'!AG$5:AG$40,'TRA balance'!$C$5:$C$40,Assumptions!$C29,'TRA balance'!$D$5:$D$40,Assumptions!$B29)*EA29*AJ29,"")</f>
        <v>0</v>
      </c>
      <c r="CG29" s="41">
        <f ca="1">IFERROR(SUMIFS('TRA balance'!AH$5:AH$40,'TRA balance'!$C$5:$C$40,Assumptions!$C29,'TRA balance'!$D$5:$D$40,Assumptions!$B29)*EB29*AK29,"")</f>
        <v>0</v>
      </c>
      <c r="CH29" s="41">
        <f ca="1">IFERROR(SUMIFS('TRA balance'!AI$5:AI$40,'TRA balance'!$C$5:$C$40,Assumptions!$C29,'TRA balance'!$D$5:$D$40,Assumptions!$B29)*EC29*AL29,"")</f>
        <v>0</v>
      </c>
      <c r="CI29" s="41">
        <f ca="1">IFERROR(SUMIFS('TRA balance'!AJ$5:AJ$40,'TRA balance'!$C$5:$C$40,Assumptions!$C29,'TRA balance'!$D$5:$D$40,Assumptions!$B29)*ED29*AM29,"")</f>
        <v>0</v>
      </c>
      <c r="CJ29" s="41">
        <f ca="1">IFERROR(SUMIFS('TRA balance'!AK$5:AK$40,'TRA balance'!$C$5:$C$40,Assumptions!$C29,'TRA balance'!$D$5:$D$40,Assumptions!$B29)*EE29*AN29,"")</f>
        <v>0</v>
      </c>
      <c r="CK29" s="41">
        <f ca="1">IFERROR(SUMIFS('TRA balance'!AL$5:AL$40,'TRA balance'!$C$5:$C$40,Assumptions!$C29,'TRA balance'!$D$5:$D$40,Assumptions!$B29)*EF29*AO29,"")</f>
        <v>0</v>
      </c>
      <c r="CL29" s="41">
        <f ca="1">IFERROR(SUMIFS('TRA balance'!AM$5:AM$40,'TRA balance'!$C$5:$C$40,Assumptions!$C29,'TRA balance'!$D$5:$D$40,Assumptions!$B29)*EG29*AP29,"")</f>
        <v>0</v>
      </c>
      <c r="CM29" s="41">
        <f ca="1">IFERROR(SUMIFS('TRA balance'!AN$5:AN$40,'TRA balance'!$C$5:$C$40,Assumptions!$C29,'TRA balance'!$D$5:$D$40,Assumptions!$B29)*EH29*AQ29,"")</f>
        <v>0</v>
      </c>
      <c r="CN29" s="41">
        <f ca="1">IFERROR(SUMIFS('TRA balance'!AO$5:AO$40,'TRA balance'!$C$5:$C$40,Assumptions!$C29,'TRA balance'!$D$5:$D$40,Assumptions!$B29)*EI29*AR29,"")</f>
        <v>0</v>
      </c>
      <c r="CO29" s="41">
        <f ca="1">IFERROR(SUMIFS('TRA balance'!AP$5:AP$40,'TRA balance'!$C$5:$C$40,Assumptions!$C29,'TRA balance'!$D$5:$D$40,Assumptions!$B29)*EJ29*AS29,"")</f>
        <v>0</v>
      </c>
      <c r="CP29" s="41">
        <f ca="1">IFERROR(SUMIFS('TRA balance'!AQ$5:AQ$40,'TRA balance'!$C$5:$C$40,Assumptions!$C29,'TRA balance'!$D$5:$D$40,Assumptions!$B29)*EK29*AT29,"")</f>
        <v>0</v>
      </c>
      <c r="CQ29" s="41">
        <f ca="1">IFERROR(SUMIFS('TRA balance'!AR$5:AR$40,'TRA balance'!$C$5:$C$40,Assumptions!$C29,'TRA balance'!$D$5:$D$40,Assumptions!$B29)*EL29*AU29,"")</f>
        <v>0</v>
      </c>
      <c r="CR29" s="41">
        <f ca="1">IFERROR(SUMIFS('TRA balance'!AS$5:AS$40,'TRA balance'!$C$5:$C$40,Assumptions!$C29,'TRA balance'!$D$5:$D$40,Assumptions!$B29)*EM29*AV29,"")</f>
        <v>0</v>
      </c>
      <c r="CS29" s="41">
        <f ca="1">IFERROR(SUMIFS('TRA balance'!AT$5:AT$40,'TRA balance'!$C$5:$C$40,Assumptions!$C29,'TRA balance'!$D$5:$D$40,Assumptions!$B29)*EN29*AW29,"")</f>
        <v>0</v>
      </c>
      <c r="CT29" s="41">
        <f ca="1">IFERROR(SUMIFS('TRA balance'!AU$5:AU$40,'TRA balance'!$C$5:$C$40,Assumptions!$C29,'TRA balance'!$D$5:$D$40,Assumptions!$B29)*EO29*AX29,"")</f>
        <v>0</v>
      </c>
      <c r="CU29" s="41">
        <f ca="1">IFERROR(SUMIFS('TRA balance'!AV$5:AV$40,'TRA balance'!$C$5:$C$40,Assumptions!$C29,'TRA balance'!$D$5:$D$40,Assumptions!$B29)*EP29*AY29,"")</f>
        <v>0</v>
      </c>
      <c r="CV29" s="41">
        <f ca="1">IFERROR(SUMIFS('TRA balance'!AW$5:AW$40,'TRA balance'!$C$5:$C$40,Assumptions!$C29,'TRA balance'!$D$5:$D$40,Assumptions!$B29)*EQ29*AZ29,"")</f>
        <v>0</v>
      </c>
      <c r="CW29" s="41">
        <f ca="1">IFERROR(SUMIFS('TRA balance'!AX$5:AX$40,'TRA balance'!$C$5:$C$40,Assumptions!$C29,'TRA balance'!$D$5:$D$40,Assumptions!$B29)*ER29*BA29,"")</f>
        <v>0</v>
      </c>
      <c r="CY29" s="40">
        <f ca="1" t="shared" si="2"/>
        <v>0</v>
      </c>
      <c r="CZ29" s="40">
        <f ca="1" t="shared" si="3"/>
        <v>0</v>
      </c>
      <c r="DA29" s="40">
        <f ca="1" t="shared" si="4"/>
        <v>0.1</v>
      </c>
      <c r="DB29" s="40">
        <f ca="1" t="shared" si="5"/>
        <v>0.03</v>
      </c>
      <c r="DC29" s="40">
        <f ca="1" t="shared" si="6"/>
        <v>0.3</v>
      </c>
      <c r="DD29" s="40">
        <f ca="1" t="shared" si="7"/>
        <v>0.03</v>
      </c>
      <c r="DE29" s="40">
        <f ca="1" t="shared" si="8"/>
        <v>0.1</v>
      </c>
      <c r="DF29" s="40">
        <f ca="1" t="shared" si="9"/>
        <v>0.1</v>
      </c>
      <c r="DG29" s="40">
        <f ca="1" t="shared" si="10"/>
        <v>0.1</v>
      </c>
      <c r="DH29" s="40">
        <f ca="1" t="shared" si="11"/>
        <v>0.1</v>
      </c>
      <c r="DI29" s="40">
        <f ca="1" t="shared" si="12"/>
        <v>0.03</v>
      </c>
      <c r="DJ29" s="40">
        <f ca="1" t="shared" si="13"/>
        <v>0.03</v>
      </c>
      <c r="DK29" s="40">
        <f ca="1" t="shared" si="14"/>
        <v>0.03</v>
      </c>
      <c r="DL29" s="40">
        <f ca="1" t="shared" si="15"/>
        <v>0.1</v>
      </c>
      <c r="DM29" s="40">
        <f ca="1" t="shared" si="16"/>
        <v>0.03</v>
      </c>
      <c r="DN29" s="40">
        <f ca="1" t="shared" si="17"/>
        <v>0</v>
      </c>
      <c r="DO29" s="40">
        <f ca="1" t="shared" si="18"/>
        <v>0.03</v>
      </c>
      <c r="DP29" s="40">
        <f ca="1" t="shared" si="19"/>
        <v>0.03</v>
      </c>
      <c r="DQ29" s="40">
        <f ca="1" t="shared" si="20"/>
        <v>0.1</v>
      </c>
      <c r="DR29" s="40">
        <f ca="1" t="shared" si="21"/>
        <v>0.1</v>
      </c>
      <c r="DS29" s="40">
        <f ca="1" t="shared" si="22"/>
        <v>0.3</v>
      </c>
      <c r="DT29" s="40">
        <f ca="1" t="shared" si="23"/>
        <v>0.2</v>
      </c>
      <c r="DU29" s="40">
        <f ca="1" t="shared" si="24"/>
        <v>0.03</v>
      </c>
      <c r="DV29" s="40">
        <f ca="1" t="shared" si="25"/>
        <v>0.1</v>
      </c>
      <c r="DW29" s="40">
        <f ca="1" t="shared" si="26"/>
        <v>0</v>
      </c>
      <c r="DX29" s="40">
        <f ca="1" t="shared" si="27"/>
        <v>0.3</v>
      </c>
      <c r="DY29" s="40">
        <f ca="1" t="shared" si="28"/>
        <v>0.3</v>
      </c>
      <c r="DZ29" s="40">
        <f ca="1" t="shared" si="29"/>
        <v>0</v>
      </c>
      <c r="EA29" s="40">
        <f ca="1" t="shared" si="30"/>
        <v>0.03</v>
      </c>
      <c r="EB29" s="40">
        <f ca="1" t="shared" si="31"/>
        <v>0.03</v>
      </c>
      <c r="EC29" s="40">
        <f ca="1" t="shared" si="32"/>
        <v>0.03</v>
      </c>
      <c r="ED29" s="40">
        <f ca="1" t="shared" si="33"/>
        <v>0.3</v>
      </c>
      <c r="EE29" s="40">
        <f ca="1" t="shared" si="34"/>
        <v>0.03</v>
      </c>
      <c r="EF29" s="40">
        <f ca="1" t="shared" si="35"/>
        <v>0.3</v>
      </c>
      <c r="EG29" s="40">
        <f ca="1" t="shared" si="36"/>
        <v>0.1</v>
      </c>
      <c r="EH29" s="40">
        <f ca="1" t="shared" si="37"/>
        <v>0.2</v>
      </c>
      <c r="EI29" s="40">
        <f ca="1" t="shared" si="38"/>
        <v>0.2</v>
      </c>
      <c r="EJ29" s="40">
        <f ca="1" t="shared" si="39"/>
        <v>0.2</v>
      </c>
      <c r="EK29" s="40">
        <f ca="1" t="shared" si="40"/>
        <v>0.2</v>
      </c>
      <c r="EL29" s="40">
        <f ca="1" t="shared" si="41"/>
        <v>0.2</v>
      </c>
      <c r="EM29" s="40">
        <f ca="1" t="shared" si="42"/>
        <v>0.2</v>
      </c>
      <c r="EN29" s="40">
        <f ca="1" t="shared" si="43"/>
        <v>0.2</v>
      </c>
      <c r="EO29" s="40">
        <f ca="1" t="shared" si="44"/>
        <v>0.2</v>
      </c>
      <c r="EP29" s="40">
        <f ca="1" t="shared" si="45"/>
        <v>0.2</v>
      </c>
      <c r="EQ29" s="40">
        <f ca="1" t="shared" si="46"/>
        <v>0.2</v>
      </c>
      <c r="ER29" s="40">
        <f ca="1" t="shared" si="47"/>
        <v>0.2</v>
      </c>
    </row>
    <row r="30" spans="1:148">
      <c r="A30">
        <v>2</v>
      </c>
      <c r="B30" t="str">
        <f>VLOOKUP(F30,'TRA balance'!$BA$5:$BB$14,2,FALSE)</f>
        <v>TRAGSL</v>
      </c>
      <c r="C30" s="56" t="str">
        <f t="shared" si="48"/>
        <v>TR</v>
      </c>
      <c r="D30" s="57" t="s">
        <v>200</v>
      </c>
      <c r="E30" s="68" t="s">
        <v>216</v>
      </c>
      <c r="F30" s="58" t="str">
        <f t="shared" si="62"/>
        <v>Gasoline</v>
      </c>
      <c r="G30" s="56" t="s">
        <v>217</v>
      </c>
      <c r="H30" s="59">
        <f ca="1">OFFSET(TIAM15_assumptions!$G30,0,MATCH(VLOOKUP(Assumptions!H$2,TIAM15_assumptions!$Y$3:$Z$87,2,FALSE),TIAM15_assumptions!$H$2:$V$2,0))</f>
        <v>0.4</v>
      </c>
      <c r="I30" s="59">
        <f ca="1">OFFSET(TIAM15_assumptions!$G30,0,MATCH(VLOOKUP(Assumptions!I$2,TIAM15_assumptions!$Y$3:$Z$87,2,FALSE),TIAM15_assumptions!$H$2:$V$2,0))</f>
        <v>0.4</v>
      </c>
      <c r="J30" s="59">
        <f ca="1">OFFSET(TIAM15_assumptions!$G30,0,MATCH(VLOOKUP(Assumptions!J$2,TIAM15_assumptions!$Y$3:$Z$87,2,FALSE),TIAM15_assumptions!$H$2:$V$2,0))</f>
        <v>0</v>
      </c>
      <c r="K30" s="59">
        <f ca="1">OFFSET(TIAM15_assumptions!$G30,0,MATCH(VLOOKUP(Assumptions!K$2,TIAM15_assumptions!$Y$3:$Z$87,2,FALSE),TIAM15_assumptions!$H$2:$V$2,0))</f>
        <v>0</v>
      </c>
      <c r="L30" s="59">
        <f ca="1">OFFSET(TIAM15_assumptions!$G30,0,MATCH(VLOOKUP(Assumptions!L$2,TIAM15_assumptions!$Y$3:$Z$87,2,FALSE),TIAM15_assumptions!$H$2:$V$2,0))</f>
        <v>0.4</v>
      </c>
      <c r="M30" s="59">
        <f ca="1">OFFSET(TIAM15_assumptions!$G30,0,MATCH(VLOOKUP(Assumptions!M$2,TIAM15_assumptions!$Y$3:$Z$87,2,FALSE),TIAM15_assumptions!$H$2:$V$2,0))</f>
        <v>0</v>
      </c>
      <c r="N30" s="59">
        <f ca="1">OFFSET(TIAM15_assumptions!$G30,0,MATCH(VLOOKUP(Assumptions!N$2,TIAM15_assumptions!$Y$3:$Z$87,2,FALSE),TIAM15_assumptions!$H$2:$V$2,0))</f>
        <v>0.3</v>
      </c>
      <c r="O30" s="59">
        <f ca="1">OFFSET(TIAM15_assumptions!$G30,0,MATCH(VLOOKUP(Assumptions!O$2,TIAM15_assumptions!$Y$3:$Z$87,2,FALSE),TIAM15_assumptions!$H$2:$V$2,0))</f>
        <v>0.1</v>
      </c>
      <c r="P30" s="59">
        <f ca="1">OFFSET(TIAM15_assumptions!$G30,0,MATCH(VLOOKUP(Assumptions!P$2,TIAM15_assumptions!$Y$3:$Z$87,2,FALSE),TIAM15_assumptions!$H$2:$V$2,0))</f>
        <v>0.4</v>
      </c>
      <c r="Q30" s="59">
        <f ca="1">OFFSET(TIAM15_assumptions!$G30,0,MATCH(VLOOKUP(Assumptions!Q$2,TIAM15_assumptions!$Y$3:$Z$87,2,FALSE),TIAM15_assumptions!$H$2:$V$2,0))</f>
        <v>0.4</v>
      </c>
      <c r="R30" s="59">
        <f ca="1">OFFSET(TIAM15_assumptions!$G30,0,MATCH(VLOOKUP(Assumptions!R$2,TIAM15_assumptions!$Y$3:$Z$87,2,FALSE),TIAM15_assumptions!$H$2:$V$2,0))</f>
        <v>0</v>
      </c>
      <c r="S30" s="59">
        <f ca="1">OFFSET(TIAM15_assumptions!$G30,0,MATCH(VLOOKUP(Assumptions!S$2,TIAM15_assumptions!$Y$3:$Z$87,2,FALSE),TIAM15_assumptions!$H$2:$V$2,0))</f>
        <v>0</v>
      </c>
      <c r="T30" s="59">
        <f ca="1">OFFSET(TIAM15_assumptions!$G30,0,MATCH(VLOOKUP(Assumptions!T$2,TIAM15_assumptions!$Y$3:$Z$87,2,FALSE),TIAM15_assumptions!$H$2:$V$2,0))</f>
        <v>0</v>
      </c>
      <c r="U30" s="59">
        <f ca="1">OFFSET(TIAM15_assumptions!$G30,0,MATCH(VLOOKUP(Assumptions!U$2,TIAM15_assumptions!$Y$3:$Z$87,2,FALSE),TIAM15_assumptions!$H$2:$V$2,0))</f>
        <v>0.4</v>
      </c>
      <c r="V30" s="59">
        <f ca="1">OFFSET(TIAM15_assumptions!$G30,0,MATCH(VLOOKUP(Assumptions!V$2,TIAM15_assumptions!$Y$3:$Z$87,2,FALSE),TIAM15_assumptions!$H$2:$V$2,0))</f>
        <v>0</v>
      </c>
      <c r="W30" s="59">
        <f ca="1">OFFSET(TIAM15_assumptions!$G30,0,MATCH(VLOOKUP(Assumptions!W$2,TIAM15_assumptions!$Y$3:$Z$87,2,FALSE),TIAM15_assumptions!$H$2:$V$2,0))</f>
        <v>0.3</v>
      </c>
      <c r="X30" s="59">
        <f ca="1">OFFSET(TIAM15_assumptions!$G30,0,MATCH(VLOOKUP(Assumptions!X$2,TIAM15_assumptions!$Y$3:$Z$87,2,FALSE),TIAM15_assumptions!$H$2:$V$2,0))</f>
        <v>0</v>
      </c>
      <c r="Y30" s="59">
        <f ca="1">OFFSET(TIAM15_assumptions!$G30,0,MATCH(VLOOKUP(Assumptions!Y$2,TIAM15_assumptions!$Y$3:$Z$87,2,FALSE),TIAM15_assumptions!$H$2:$V$2,0))</f>
        <v>0</v>
      </c>
      <c r="Z30" s="59">
        <f ca="1">OFFSET(TIAM15_assumptions!$G30,0,MATCH(VLOOKUP(Assumptions!Z$2,TIAM15_assumptions!$Y$3:$Z$87,2,FALSE),TIAM15_assumptions!$H$2:$V$2,0))</f>
        <v>0</v>
      </c>
      <c r="AA30" s="59">
        <f ca="1">OFFSET(TIAM15_assumptions!$G30,0,MATCH(VLOOKUP(Assumptions!AA$2,TIAM15_assumptions!$Y$3:$Z$87,2,FALSE),TIAM15_assumptions!$H$2:$V$2,0))</f>
        <v>0.3</v>
      </c>
      <c r="AB30" s="59">
        <f ca="1">OFFSET(TIAM15_assumptions!$G30,0,MATCH(VLOOKUP(Assumptions!AB$2,TIAM15_assumptions!$Y$3:$Z$87,2,FALSE),TIAM15_assumptions!$H$2:$V$2,0))</f>
        <v>0.35</v>
      </c>
      <c r="AC30" s="59">
        <f ca="1">OFFSET(TIAM15_assumptions!$G30,0,MATCH(VLOOKUP(Assumptions!AC$2,TIAM15_assumptions!$Y$3:$Z$87,2,FALSE),TIAM15_assumptions!$H$2:$V$2,0))</f>
        <v>0.3</v>
      </c>
      <c r="AD30" s="59">
        <f ca="1">OFFSET(TIAM15_assumptions!$G30,0,MATCH(VLOOKUP(Assumptions!AD$2,TIAM15_assumptions!$Y$3:$Z$87,2,FALSE),TIAM15_assumptions!$H$2:$V$2,0))</f>
        <v>0</v>
      </c>
      <c r="AE30" s="59">
        <f ca="1">OFFSET(TIAM15_assumptions!$G30,0,MATCH(VLOOKUP(Assumptions!AE$2,TIAM15_assumptions!$Y$3:$Z$87,2,FALSE),TIAM15_assumptions!$H$2:$V$2,0))</f>
        <v>0.4</v>
      </c>
      <c r="AF30" s="59">
        <f ca="1">OFFSET(TIAM15_assumptions!$G30,0,MATCH(VLOOKUP(Assumptions!AF$2,TIAM15_assumptions!$Y$3:$Z$87,2,FALSE),TIAM15_assumptions!$H$2:$V$2,0))</f>
        <v>0.35</v>
      </c>
      <c r="AG30" s="59">
        <f ca="1">OFFSET(TIAM15_assumptions!$G30,0,MATCH(VLOOKUP(Assumptions!AG$2,TIAM15_assumptions!$Y$3:$Z$87,2,FALSE),TIAM15_assumptions!$H$2:$V$2,0))</f>
        <v>0.4</v>
      </c>
      <c r="AH30" s="59">
        <f ca="1">OFFSET(TIAM15_assumptions!$G30,0,MATCH(VLOOKUP(Assumptions!AH$2,TIAM15_assumptions!$Y$3:$Z$87,2,FALSE),TIAM15_assumptions!$H$2:$V$2,0))</f>
        <v>0.35</v>
      </c>
      <c r="AI30" s="59">
        <f ca="1">OFFSET(TIAM15_assumptions!$G30,0,MATCH(VLOOKUP(Assumptions!AI$2,TIAM15_assumptions!$Y$3:$Z$87,2,FALSE),TIAM15_assumptions!$H$2:$V$2,0))</f>
        <v>0.4</v>
      </c>
      <c r="AJ30" s="59">
        <f ca="1">OFFSET(TIAM15_assumptions!$G30,0,MATCH(VLOOKUP(Assumptions!AJ$2,TIAM15_assumptions!$Y$3:$Z$87,2,FALSE),TIAM15_assumptions!$H$2:$V$2,0))</f>
        <v>0</v>
      </c>
      <c r="AK30" s="59">
        <f ca="1">OFFSET(TIAM15_assumptions!$G30,0,MATCH(VLOOKUP(Assumptions!AK$2,TIAM15_assumptions!$Y$3:$Z$87,2,FALSE),TIAM15_assumptions!$H$2:$V$2,0))</f>
        <v>0</v>
      </c>
      <c r="AL30" s="59">
        <f ca="1">OFFSET(TIAM15_assumptions!$G30,0,MATCH(VLOOKUP(Assumptions!AL$2,TIAM15_assumptions!$Y$3:$Z$87,2,FALSE),TIAM15_assumptions!$H$2:$V$2,0))</f>
        <v>0</v>
      </c>
      <c r="AM30" s="59">
        <f ca="1">OFFSET(TIAM15_assumptions!$G30,0,MATCH(VLOOKUP(Assumptions!AM$2,TIAM15_assumptions!$Y$3:$Z$87,2,FALSE),TIAM15_assumptions!$H$2:$V$2,0))</f>
        <v>0.35</v>
      </c>
      <c r="AN30" s="59">
        <f ca="1">OFFSET(TIAM15_assumptions!$G30,0,MATCH(VLOOKUP(Assumptions!AN$2,TIAM15_assumptions!$Y$3:$Z$87,2,FALSE),TIAM15_assumptions!$H$2:$V$2,0))</f>
        <v>0</v>
      </c>
      <c r="AO30" s="59">
        <f ca="1">OFFSET(TIAM15_assumptions!$G30,0,MATCH(VLOOKUP(Assumptions!AO$2,TIAM15_assumptions!$Y$3:$Z$87,2,FALSE),TIAM15_assumptions!$H$2:$V$2,0))</f>
        <v>0.4</v>
      </c>
      <c r="AP30" s="59">
        <f ca="1">OFFSET(TIAM15_assumptions!$G30,0,MATCH(VLOOKUP(Assumptions!AP$2,TIAM15_assumptions!$Y$3:$Z$87,2,FALSE),TIAM15_assumptions!$H$2:$V$2,0))</f>
        <v>0.4</v>
      </c>
      <c r="AQ30" s="59">
        <f ca="1">OFFSET(TIAM15_assumptions!$G30,0,MATCH(VLOOKUP(Assumptions!AQ$2,TIAM15_assumptions!$Y$3:$Z$87,2,FALSE),TIAM15_assumptions!$H$2:$V$2,0))</f>
        <v>0.3</v>
      </c>
      <c r="AR30" s="59">
        <f ca="1">OFFSET(TIAM15_assumptions!$G30,0,MATCH(VLOOKUP(Assumptions!AR$2,TIAM15_assumptions!$Y$3:$Z$87,2,FALSE),TIAM15_assumptions!$H$2:$V$2,0))</f>
        <v>0.3</v>
      </c>
      <c r="AS30" s="59">
        <f ca="1">OFFSET(TIAM15_assumptions!$G30,0,MATCH(VLOOKUP(Assumptions!AS$2,TIAM15_assumptions!$Y$3:$Z$87,2,FALSE),TIAM15_assumptions!$H$2:$V$2,0))</f>
        <v>0.3</v>
      </c>
      <c r="AT30" s="59">
        <f ca="1">OFFSET(TIAM15_assumptions!$G30,0,MATCH(VLOOKUP(Assumptions!AT$2,TIAM15_assumptions!$Y$3:$Z$87,2,FALSE),TIAM15_assumptions!$H$2:$V$2,0))</f>
        <v>0.3</v>
      </c>
      <c r="AU30" s="59">
        <f ca="1">OFFSET(TIAM15_assumptions!$G30,0,MATCH(VLOOKUP(Assumptions!AU$2,TIAM15_assumptions!$Y$3:$Z$87,2,FALSE),TIAM15_assumptions!$H$2:$V$2,0))</f>
        <v>0.3</v>
      </c>
      <c r="AV30" s="59">
        <f ca="1">OFFSET(TIAM15_assumptions!$G30,0,MATCH(VLOOKUP(Assumptions!AV$2,TIAM15_assumptions!$Y$3:$Z$87,2,FALSE),TIAM15_assumptions!$H$2:$V$2,0))</f>
        <v>0.3</v>
      </c>
      <c r="AW30" s="59">
        <f ca="1">OFFSET(TIAM15_assumptions!$G30,0,MATCH(VLOOKUP(Assumptions!AW$2,TIAM15_assumptions!$Y$3:$Z$87,2,FALSE),TIAM15_assumptions!$H$2:$V$2,0))</f>
        <v>0.3</v>
      </c>
      <c r="AX30" s="59">
        <f ca="1">OFFSET(TIAM15_assumptions!$G30,0,MATCH(VLOOKUP(Assumptions!AX$2,TIAM15_assumptions!$Y$3:$Z$87,2,FALSE),TIAM15_assumptions!$H$2:$V$2,0))</f>
        <v>0.3</v>
      </c>
      <c r="AY30" s="59">
        <f ca="1">OFFSET(TIAM15_assumptions!$G30,0,MATCH(VLOOKUP(Assumptions!AY$2,TIAM15_assumptions!$Y$3:$Z$87,2,FALSE),TIAM15_assumptions!$H$2:$V$2,0))</f>
        <v>0.3</v>
      </c>
      <c r="AZ30" s="59">
        <f ca="1">OFFSET(TIAM15_assumptions!$G30,0,MATCH(VLOOKUP(Assumptions!AZ$2,TIAM15_assumptions!$Y$3:$Z$87,2,FALSE),TIAM15_assumptions!$H$2:$V$2,0))</f>
        <v>0.3</v>
      </c>
      <c r="BA30" s="59">
        <f ca="1">OFFSET(TIAM15_assumptions!$G30,0,MATCH(VLOOKUP(Assumptions!BA$2,TIAM15_assumptions!$Y$3:$Z$87,2,FALSE),TIAM15_assumptions!$H$2:$V$2,0))</f>
        <v>0.3</v>
      </c>
      <c r="BD30" s="41">
        <f ca="1">IFERROR(SUMIFS('TRA balance'!E$5:E$40,'TRA balance'!$C$5:$C$40,Assumptions!$C30,'TRA balance'!$D$5:$D$40,Assumptions!$B30)*CY30*H30,"")</f>
        <v>0</v>
      </c>
      <c r="BE30" s="41">
        <f ca="1">IFERROR(SUMIFS('TRA balance'!F$5:F$40,'TRA balance'!$C$5:$C$40,Assumptions!$C30,'TRA balance'!$D$5:$D$40,Assumptions!$B30)*CZ30*I30,"")</f>
        <v>0</v>
      </c>
      <c r="BF30" s="41">
        <f ca="1">IFERROR(SUMIFS('TRA balance'!G$5:G$40,'TRA balance'!$C$5:$C$40,Assumptions!$C30,'TRA balance'!$D$5:$D$40,Assumptions!$B30)*DA30*J30,"")</f>
        <v>0</v>
      </c>
      <c r="BG30" s="41">
        <f ca="1">IFERROR(SUMIFS('TRA balance'!H$5:H$40,'TRA balance'!$C$5:$C$40,Assumptions!$C30,'TRA balance'!$D$5:$D$40,Assumptions!$B30)*DB30*K30,"")</f>
        <v>0</v>
      </c>
      <c r="BH30" s="41">
        <f ca="1">IFERROR(SUMIFS('TRA balance'!I$5:I$40,'TRA balance'!$C$5:$C$40,Assumptions!$C30,'TRA balance'!$D$5:$D$40,Assumptions!$B30)*DC30*L30,"")</f>
        <v>3.469910480784</v>
      </c>
      <c r="BI30" s="41">
        <f ca="1">IFERROR(SUMIFS('TRA balance'!J$5:J$40,'TRA balance'!$C$5:$C$40,Assumptions!$C30,'TRA balance'!$D$5:$D$40,Assumptions!$B30)*DD30*M30,"")</f>
        <v>0</v>
      </c>
      <c r="BJ30" s="41">
        <f ca="1">IFERROR(SUMIFS('TRA balance'!K$5:K$40,'TRA balance'!$C$5:$C$40,Assumptions!$C30,'TRA balance'!$D$5:$D$40,Assumptions!$B30)*DE30*N30,"")</f>
        <v>26.945455211388</v>
      </c>
      <c r="BK30" s="41">
        <f ca="1">IFERROR(SUMIFS('TRA balance'!L$5:L$40,'TRA balance'!$C$5:$C$40,Assumptions!$C30,'TRA balance'!$D$5:$D$40,Assumptions!$B30)*DF30*O30,"")</f>
        <v>60.01894737324</v>
      </c>
      <c r="BL30" s="41">
        <f ca="1">IFERROR(SUMIFS('TRA balance'!M$5:M$40,'TRA balance'!$C$5:$C$40,Assumptions!$C30,'TRA balance'!$D$5:$D$40,Assumptions!$B30)*DG30*P30,"")</f>
        <v>1.503418417776</v>
      </c>
      <c r="BM30" s="41">
        <f ca="1">IFERROR(SUMIFS('TRA balance'!N$5:N$40,'TRA balance'!$C$5:$C$40,Assumptions!$C30,'TRA balance'!$D$5:$D$40,Assumptions!$B30)*DH30*Q30,"")</f>
        <v>3.56400010224</v>
      </c>
      <c r="BN30" s="41">
        <f ca="1">IFERROR(SUMIFS('TRA balance'!O$5:O$40,'TRA balance'!$C$5:$C$40,Assumptions!$C30,'TRA balance'!$D$5:$D$40,Assumptions!$B30)*DI30*R30,"")</f>
        <v>0</v>
      </c>
      <c r="BO30" s="41">
        <f ca="1">IFERROR(SUMIFS('TRA balance'!P$5:P$40,'TRA balance'!$C$5:$C$40,Assumptions!$C30,'TRA balance'!$D$5:$D$40,Assumptions!$B30)*DJ30*S30,"")</f>
        <v>0</v>
      </c>
      <c r="BP30" s="41">
        <f ca="1">IFERROR(SUMIFS('TRA balance'!Q$5:Q$40,'TRA balance'!$C$5:$C$40,Assumptions!$C30,'TRA balance'!$D$5:$D$40,Assumptions!$B30)*DK30*T30,"")</f>
        <v>0</v>
      </c>
      <c r="BQ30" s="41">
        <f ca="1">IFERROR(SUMIFS('TRA balance'!R$5:R$40,'TRA balance'!$C$5:$C$40,Assumptions!$C30,'TRA balance'!$D$5:$D$40,Assumptions!$B30)*DL30*U30,"")</f>
        <v>5.554700912736</v>
      </c>
      <c r="BR30" s="41">
        <f ca="1">IFERROR(SUMIFS('TRA balance'!S$5:S$40,'TRA balance'!$C$5:$C$40,Assumptions!$C30,'TRA balance'!$D$5:$D$40,Assumptions!$B30)*DM30*V30,"")</f>
        <v>0</v>
      </c>
      <c r="BS30" s="41">
        <f ca="1">IFERROR(SUMIFS('TRA balance'!T$5:T$40,'TRA balance'!$C$5:$C$40,Assumptions!$C30,'TRA balance'!$D$5:$D$40,Assumptions!$B30)*DN30*W30,"")</f>
        <v>0</v>
      </c>
      <c r="BT30" s="41">
        <f ca="1">IFERROR(SUMIFS('TRA balance'!U$5:U$40,'TRA balance'!$C$5:$C$40,Assumptions!$C30,'TRA balance'!$D$5:$D$40,Assumptions!$B30)*DO30*X30,"")</f>
        <v>0</v>
      </c>
      <c r="BU30" s="41">
        <f ca="1">IFERROR(SUMIFS('TRA balance'!V$5:V$40,'TRA balance'!$C$5:$C$40,Assumptions!$C30,'TRA balance'!$D$5:$D$40,Assumptions!$B30)*DP30*Y30,"")</f>
        <v>0</v>
      </c>
      <c r="BV30" s="41">
        <f ca="1">IFERROR(SUMIFS('TRA balance'!W$5:W$40,'TRA balance'!$C$5:$C$40,Assumptions!$C30,'TRA balance'!$D$5:$D$40,Assumptions!$B30)*DQ30*Z30,"")</f>
        <v>0</v>
      </c>
      <c r="BW30" s="41">
        <f ca="1">IFERROR(SUMIFS('TRA balance'!X$5:X$40,'TRA balance'!$C$5:$C$40,Assumptions!$C30,'TRA balance'!$D$5:$D$40,Assumptions!$B30)*DR30*AA30,"")</f>
        <v>51.233718488724</v>
      </c>
      <c r="BX30" s="41">
        <f ca="1">IFERROR(SUMIFS('TRA balance'!Y$5:Y$40,'TRA balance'!$C$5:$C$40,Assumptions!$C30,'TRA balance'!$D$5:$D$40,Assumptions!$B30)*DS30*AB30,"")</f>
        <v>247.76050901679</v>
      </c>
      <c r="BY30" s="41">
        <f ca="1">IFERROR(SUMIFS('TRA balance'!Z$5:Z$40,'TRA balance'!$C$5:$C$40,Assumptions!$C30,'TRA balance'!$D$5:$D$40,Assumptions!$B30)*DT30*AC30,"")</f>
        <v>1100.8349585761</v>
      </c>
      <c r="BZ30" s="41">
        <f ca="1">IFERROR(SUMIFS('TRA balance'!AA$5:AA$40,'TRA balance'!$C$5:$C$40,Assumptions!$C30,'TRA balance'!$D$5:$D$40,Assumptions!$B30)*DU30*AD30,"")</f>
        <v>0</v>
      </c>
      <c r="CA30" s="41">
        <f ca="1">IFERROR(SUMIFS('TRA balance'!AB$5:AB$40,'TRA balance'!$C$5:$C$40,Assumptions!$C30,'TRA balance'!$D$5:$D$40,Assumptions!$B30)*DV30*AE30,"")</f>
        <v>7.772675629824</v>
      </c>
      <c r="CB30" s="41">
        <f ca="1">IFERROR(SUMIFS('TRA balance'!AC$5:AC$40,'TRA balance'!$C$5:$C$40,Assumptions!$C30,'TRA balance'!$D$5:$D$40,Assumptions!$B30)*DW30*AF30,"")</f>
        <v>0</v>
      </c>
      <c r="CC30" s="41">
        <f ca="1">IFERROR(SUMIFS('TRA balance'!AD$5:AD$40,'TRA balance'!$C$5:$C$40,Assumptions!$C30,'TRA balance'!$D$5:$D$40,Assumptions!$B30)*DX30*AG30,"")</f>
        <v>185.636035393776</v>
      </c>
      <c r="CD30" s="41">
        <f ca="1">IFERROR(SUMIFS('TRA balance'!AE$5:AE$40,'TRA balance'!$C$5:$C$40,Assumptions!$C30,'TRA balance'!$D$5:$D$40,Assumptions!$B30)*DY30*AH30,"")</f>
        <v>107.033922252684</v>
      </c>
      <c r="CE30" s="41">
        <f ca="1">IFERROR(SUMIFS('TRA balance'!AF$5:AF$40,'TRA balance'!$C$5:$C$40,Assumptions!$C30,'TRA balance'!$D$5:$D$40,Assumptions!$B30)*DZ30*AI30,"")</f>
        <v>0</v>
      </c>
      <c r="CF30" s="41">
        <f ca="1">IFERROR(SUMIFS('TRA balance'!AG$5:AG$40,'TRA balance'!$C$5:$C$40,Assumptions!$C30,'TRA balance'!$D$5:$D$40,Assumptions!$B30)*EA30*AJ30,"")</f>
        <v>0</v>
      </c>
      <c r="CG30" s="41">
        <f ca="1">IFERROR(SUMIFS('TRA balance'!AH$5:AH$40,'TRA balance'!$C$5:$C$40,Assumptions!$C30,'TRA balance'!$D$5:$D$40,Assumptions!$B30)*EB30*AK30,"")</f>
        <v>0</v>
      </c>
      <c r="CH30" s="41">
        <f ca="1">IFERROR(SUMIFS('TRA balance'!AI$5:AI$40,'TRA balance'!$C$5:$C$40,Assumptions!$C30,'TRA balance'!$D$5:$D$40,Assumptions!$B30)*EC30*AL30,"")</f>
        <v>0</v>
      </c>
      <c r="CI30" s="41">
        <f ca="1">IFERROR(SUMIFS('TRA balance'!AJ$5:AJ$40,'TRA balance'!$C$5:$C$40,Assumptions!$C30,'TRA balance'!$D$5:$D$40,Assumptions!$B30)*ED30*AM30,"")</f>
        <v>10.427339867112</v>
      </c>
      <c r="CJ30" s="41">
        <f ca="1">IFERROR(SUMIFS('TRA balance'!AK$5:AK$40,'TRA balance'!$C$5:$C$40,Assumptions!$C30,'TRA balance'!$D$5:$D$40,Assumptions!$B30)*EE30*AN30,"")</f>
        <v>0</v>
      </c>
      <c r="CK30" s="41">
        <f ca="1">IFERROR(SUMIFS('TRA balance'!AL$5:AL$40,'TRA balance'!$C$5:$C$40,Assumptions!$C30,'TRA balance'!$D$5:$D$40,Assumptions!$B30)*EF30*AO30,"")</f>
        <v>9.258057815616</v>
      </c>
      <c r="CL30" s="41">
        <f ca="1">IFERROR(SUMIFS('TRA balance'!AM$5:AM$40,'TRA balance'!$C$5:$C$40,Assumptions!$C30,'TRA balance'!$D$5:$D$40,Assumptions!$B30)*EG30*AP30,"")</f>
        <v>1.564768435536</v>
      </c>
      <c r="CM30" s="41">
        <f ca="1">IFERROR(SUMIFS('TRA balance'!AN$5:AN$40,'TRA balance'!$C$5:$C$40,Assumptions!$C30,'TRA balance'!$D$5:$D$40,Assumptions!$B30)*EH30*AQ30,"")</f>
        <v>0</v>
      </c>
      <c r="CN30" s="41">
        <f ca="1">IFERROR(SUMIFS('TRA balance'!AO$5:AO$40,'TRA balance'!$C$5:$C$40,Assumptions!$C30,'TRA balance'!$D$5:$D$40,Assumptions!$B30)*EI30*AR30,"")</f>
        <v>0</v>
      </c>
      <c r="CO30" s="41">
        <f ca="1">IFERROR(SUMIFS('TRA balance'!AP$5:AP$40,'TRA balance'!$C$5:$C$40,Assumptions!$C30,'TRA balance'!$D$5:$D$40,Assumptions!$B30)*EJ30*AS30,"")</f>
        <v>0</v>
      </c>
      <c r="CP30" s="41">
        <f ca="1">IFERROR(SUMIFS('TRA balance'!AQ$5:AQ$40,'TRA balance'!$C$5:$C$40,Assumptions!$C30,'TRA balance'!$D$5:$D$40,Assumptions!$B30)*EK30*AT30,"")</f>
        <v>0</v>
      </c>
      <c r="CQ30" s="41">
        <f ca="1">IFERROR(SUMIFS('TRA balance'!AR$5:AR$40,'TRA balance'!$C$5:$C$40,Assumptions!$C30,'TRA balance'!$D$5:$D$40,Assumptions!$B30)*EL30*AU30,"")</f>
        <v>0</v>
      </c>
      <c r="CR30" s="41">
        <f ca="1">IFERROR(SUMIFS('TRA balance'!AS$5:AS$40,'TRA balance'!$C$5:$C$40,Assumptions!$C30,'TRA balance'!$D$5:$D$40,Assumptions!$B30)*EM30*AV30,"")</f>
        <v>0</v>
      </c>
      <c r="CS30" s="41">
        <f ca="1">IFERROR(SUMIFS('TRA balance'!AT$5:AT$40,'TRA balance'!$C$5:$C$40,Assumptions!$C30,'TRA balance'!$D$5:$D$40,Assumptions!$B30)*EN30*AW30,"")</f>
        <v>0</v>
      </c>
      <c r="CT30" s="41">
        <f ca="1">IFERROR(SUMIFS('TRA balance'!AU$5:AU$40,'TRA balance'!$C$5:$C$40,Assumptions!$C30,'TRA balance'!$D$5:$D$40,Assumptions!$B30)*EO30*AX30,"")</f>
        <v>0</v>
      </c>
      <c r="CU30" s="41">
        <f ca="1">IFERROR(SUMIFS('TRA balance'!AV$5:AV$40,'TRA balance'!$C$5:$C$40,Assumptions!$C30,'TRA balance'!$D$5:$D$40,Assumptions!$B30)*EP30*AY30,"")</f>
        <v>0</v>
      </c>
      <c r="CV30" s="41">
        <f ca="1">IFERROR(SUMIFS('TRA balance'!AW$5:AW$40,'TRA balance'!$C$5:$C$40,Assumptions!$C30,'TRA balance'!$D$5:$D$40,Assumptions!$B30)*EQ30*AZ30,"")</f>
        <v>0</v>
      </c>
      <c r="CW30" s="41">
        <f ca="1">IFERROR(SUMIFS('TRA balance'!AX$5:AX$40,'TRA balance'!$C$5:$C$40,Assumptions!$C30,'TRA balance'!$D$5:$D$40,Assumptions!$B30)*ER30*BA30,"")</f>
        <v>0</v>
      </c>
      <c r="CY30" s="40">
        <f ca="1" t="shared" si="2"/>
        <v>0</v>
      </c>
      <c r="CZ30" s="40">
        <f ca="1" t="shared" si="3"/>
        <v>0</v>
      </c>
      <c r="DA30" s="40">
        <f ca="1" t="shared" si="4"/>
        <v>0.1</v>
      </c>
      <c r="DB30" s="40">
        <f ca="1" t="shared" si="5"/>
        <v>0.03</v>
      </c>
      <c r="DC30" s="40">
        <f ca="1" t="shared" si="6"/>
        <v>0.3</v>
      </c>
      <c r="DD30" s="40">
        <f ca="1" t="shared" si="7"/>
        <v>0.03</v>
      </c>
      <c r="DE30" s="40">
        <f ca="1" t="shared" si="8"/>
        <v>0.1</v>
      </c>
      <c r="DF30" s="40">
        <f ca="1" t="shared" si="9"/>
        <v>0.1</v>
      </c>
      <c r="DG30" s="40">
        <f ca="1" t="shared" si="10"/>
        <v>0.1</v>
      </c>
      <c r="DH30" s="40">
        <f ca="1" t="shared" si="11"/>
        <v>0.1</v>
      </c>
      <c r="DI30" s="40">
        <f ca="1" t="shared" si="12"/>
        <v>0.03</v>
      </c>
      <c r="DJ30" s="40">
        <f ca="1" t="shared" si="13"/>
        <v>0.03</v>
      </c>
      <c r="DK30" s="40">
        <f ca="1" t="shared" si="14"/>
        <v>0.03</v>
      </c>
      <c r="DL30" s="40">
        <f ca="1" t="shared" si="15"/>
        <v>0.1</v>
      </c>
      <c r="DM30" s="40">
        <f ca="1" t="shared" si="16"/>
        <v>0.03</v>
      </c>
      <c r="DN30" s="40">
        <f ca="1" t="shared" si="17"/>
        <v>0</v>
      </c>
      <c r="DO30" s="40">
        <f ca="1" t="shared" si="18"/>
        <v>0.03</v>
      </c>
      <c r="DP30" s="40">
        <f ca="1" t="shared" si="19"/>
        <v>0.03</v>
      </c>
      <c r="DQ30" s="40">
        <f ca="1" t="shared" si="20"/>
        <v>0.1</v>
      </c>
      <c r="DR30" s="40">
        <f ca="1" t="shared" si="21"/>
        <v>0.1</v>
      </c>
      <c r="DS30" s="40">
        <f ca="1" t="shared" si="22"/>
        <v>0.3</v>
      </c>
      <c r="DT30" s="40">
        <f ca="1" t="shared" si="23"/>
        <v>0.2</v>
      </c>
      <c r="DU30" s="40">
        <f ca="1" t="shared" si="24"/>
        <v>0.03</v>
      </c>
      <c r="DV30" s="40">
        <f ca="1" t="shared" si="25"/>
        <v>0.1</v>
      </c>
      <c r="DW30" s="40">
        <f ca="1" t="shared" si="26"/>
        <v>0</v>
      </c>
      <c r="DX30" s="40">
        <f ca="1" t="shared" si="27"/>
        <v>0.3</v>
      </c>
      <c r="DY30" s="40">
        <f ca="1" t="shared" si="28"/>
        <v>0.3</v>
      </c>
      <c r="DZ30" s="40">
        <f ca="1" t="shared" si="29"/>
        <v>0</v>
      </c>
      <c r="EA30" s="40">
        <f ca="1" t="shared" si="30"/>
        <v>0.03</v>
      </c>
      <c r="EB30" s="40">
        <f ca="1" t="shared" si="31"/>
        <v>0.03</v>
      </c>
      <c r="EC30" s="40">
        <f ca="1" t="shared" si="32"/>
        <v>0.03</v>
      </c>
      <c r="ED30" s="40">
        <f ca="1" t="shared" si="33"/>
        <v>0.3</v>
      </c>
      <c r="EE30" s="40">
        <f ca="1" t="shared" si="34"/>
        <v>0.03</v>
      </c>
      <c r="EF30" s="40">
        <f ca="1" t="shared" si="35"/>
        <v>0.3</v>
      </c>
      <c r="EG30" s="40">
        <f ca="1" t="shared" si="36"/>
        <v>0.1</v>
      </c>
      <c r="EH30" s="40">
        <f ca="1" t="shared" si="37"/>
        <v>0.2</v>
      </c>
      <c r="EI30" s="40">
        <f ca="1" t="shared" si="38"/>
        <v>0.2</v>
      </c>
      <c r="EJ30" s="40">
        <f ca="1" t="shared" si="39"/>
        <v>0.2</v>
      </c>
      <c r="EK30" s="40">
        <f ca="1" t="shared" si="40"/>
        <v>0.2</v>
      </c>
      <c r="EL30" s="40">
        <f ca="1" t="shared" si="41"/>
        <v>0.2</v>
      </c>
      <c r="EM30" s="40">
        <f ca="1" t="shared" si="42"/>
        <v>0.2</v>
      </c>
      <c r="EN30" s="40">
        <f ca="1" t="shared" si="43"/>
        <v>0.2</v>
      </c>
      <c r="EO30" s="40">
        <f ca="1" t="shared" si="44"/>
        <v>0.2</v>
      </c>
      <c r="EP30" s="40">
        <f ca="1" t="shared" si="45"/>
        <v>0.2</v>
      </c>
      <c r="EQ30" s="40">
        <f ca="1" t="shared" si="46"/>
        <v>0.2</v>
      </c>
      <c r="ER30" s="40">
        <f ca="1" t="shared" si="47"/>
        <v>0.2</v>
      </c>
    </row>
    <row r="31" spans="1:148">
      <c r="A31">
        <v>2</v>
      </c>
      <c r="B31" t="str">
        <f>VLOOKUP(F31,'TRA balance'!$BA$5:$BB$14,2,FALSE)</f>
        <v>TRAGSL</v>
      </c>
      <c r="C31" s="56" t="str">
        <f t="shared" si="48"/>
        <v>TR</v>
      </c>
      <c r="D31" s="57" t="s">
        <v>200</v>
      </c>
      <c r="E31" s="68" t="s">
        <v>218</v>
      </c>
      <c r="F31" s="58" t="str">
        <f t="shared" si="62"/>
        <v>Gasoline</v>
      </c>
      <c r="G31" s="56" t="s">
        <v>219</v>
      </c>
      <c r="H31" s="59">
        <f ca="1">OFFSET(TIAM15_assumptions!$G31,0,MATCH(VLOOKUP(Assumptions!H$2,TIAM15_assumptions!$Y$3:$Z$87,2,FALSE),TIAM15_assumptions!$H$2:$V$2,0))</f>
        <v>0.55</v>
      </c>
      <c r="I31" s="59">
        <f ca="1">OFFSET(TIAM15_assumptions!$G31,0,MATCH(VLOOKUP(Assumptions!I$2,TIAM15_assumptions!$Y$3:$Z$87,2,FALSE),TIAM15_assumptions!$H$2:$V$2,0))</f>
        <v>0.55</v>
      </c>
      <c r="J31" s="59">
        <f ca="1">OFFSET(TIAM15_assumptions!$G31,0,MATCH(VLOOKUP(Assumptions!J$2,TIAM15_assumptions!$Y$3:$Z$87,2,FALSE),TIAM15_assumptions!$H$2:$V$2,0))</f>
        <v>0.95</v>
      </c>
      <c r="K31" s="59">
        <f ca="1">OFFSET(TIAM15_assumptions!$G31,0,MATCH(VLOOKUP(Assumptions!K$2,TIAM15_assumptions!$Y$3:$Z$87,2,FALSE),TIAM15_assumptions!$H$2:$V$2,0))</f>
        <v>0.95</v>
      </c>
      <c r="L31" s="59">
        <f ca="1">OFFSET(TIAM15_assumptions!$G31,0,MATCH(VLOOKUP(Assumptions!L$2,TIAM15_assumptions!$Y$3:$Z$87,2,FALSE),TIAM15_assumptions!$H$2:$V$2,0))</f>
        <v>0.55</v>
      </c>
      <c r="M31" s="59">
        <f ca="1">OFFSET(TIAM15_assumptions!$G31,0,MATCH(VLOOKUP(Assumptions!M$2,TIAM15_assumptions!$Y$3:$Z$87,2,FALSE),TIAM15_assumptions!$H$2:$V$2,0))</f>
        <v>0.95</v>
      </c>
      <c r="N31" s="59">
        <f ca="1">OFFSET(TIAM15_assumptions!$G31,0,MATCH(VLOOKUP(Assumptions!N$2,TIAM15_assumptions!$Y$3:$Z$87,2,FALSE),TIAM15_assumptions!$H$2:$V$2,0))</f>
        <v>0.58</v>
      </c>
      <c r="O31" s="59">
        <f ca="1">OFFSET(TIAM15_assumptions!$G31,0,MATCH(VLOOKUP(Assumptions!O$2,TIAM15_assumptions!$Y$3:$Z$87,2,FALSE),TIAM15_assumptions!$H$2:$V$2,0))</f>
        <v>0.8</v>
      </c>
      <c r="P31" s="59">
        <f ca="1">OFFSET(TIAM15_assumptions!$G31,0,MATCH(VLOOKUP(Assumptions!P$2,TIAM15_assumptions!$Y$3:$Z$87,2,FALSE),TIAM15_assumptions!$H$2:$V$2,0))</f>
        <v>0.5</v>
      </c>
      <c r="Q31" s="59">
        <f ca="1">OFFSET(TIAM15_assumptions!$G31,0,MATCH(VLOOKUP(Assumptions!Q$2,TIAM15_assumptions!$Y$3:$Z$87,2,FALSE),TIAM15_assumptions!$H$2:$V$2,0))</f>
        <v>0.5</v>
      </c>
      <c r="R31" s="59">
        <f ca="1">OFFSET(TIAM15_assumptions!$G31,0,MATCH(VLOOKUP(Assumptions!R$2,TIAM15_assumptions!$Y$3:$Z$87,2,FALSE),TIAM15_assumptions!$H$2:$V$2,0))</f>
        <v>0.95</v>
      </c>
      <c r="S31" s="59">
        <f ca="1">OFFSET(TIAM15_assumptions!$G31,0,MATCH(VLOOKUP(Assumptions!S$2,TIAM15_assumptions!$Y$3:$Z$87,2,FALSE),TIAM15_assumptions!$H$2:$V$2,0))</f>
        <v>0.95</v>
      </c>
      <c r="T31" s="59">
        <f ca="1">OFFSET(TIAM15_assumptions!$G31,0,MATCH(VLOOKUP(Assumptions!T$2,TIAM15_assumptions!$Y$3:$Z$87,2,FALSE),TIAM15_assumptions!$H$2:$V$2,0))</f>
        <v>0.95</v>
      </c>
      <c r="U31" s="59">
        <f ca="1">OFFSET(TIAM15_assumptions!$G31,0,MATCH(VLOOKUP(Assumptions!U$2,TIAM15_assumptions!$Y$3:$Z$87,2,FALSE),TIAM15_assumptions!$H$2:$V$2,0))</f>
        <v>0.5</v>
      </c>
      <c r="V31" s="59">
        <f ca="1">OFFSET(TIAM15_assumptions!$G31,0,MATCH(VLOOKUP(Assumptions!V$2,TIAM15_assumptions!$Y$3:$Z$87,2,FALSE),TIAM15_assumptions!$H$2:$V$2,0))</f>
        <v>0.95</v>
      </c>
      <c r="W31" s="59">
        <f ca="1">OFFSET(TIAM15_assumptions!$G31,0,MATCH(VLOOKUP(Assumptions!W$2,TIAM15_assumptions!$Y$3:$Z$87,2,FALSE),TIAM15_assumptions!$H$2:$V$2,0))</f>
        <v>0.7</v>
      </c>
      <c r="X31" s="59">
        <f ca="1">OFFSET(TIAM15_assumptions!$G31,0,MATCH(VLOOKUP(Assumptions!X$2,TIAM15_assumptions!$Y$3:$Z$87,2,FALSE),TIAM15_assumptions!$H$2:$V$2,0))</f>
        <v>0.95</v>
      </c>
      <c r="Y31" s="59">
        <f ca="1">OFFSET(TIAM15_assumptions!$G31,0,MATCH(VLOOKUP(Assumptions!Y$2,TIAM15_assumptions!$Y$3:$Z$87,2,FALSE),TIAM15_assumptions!$H$2:$V$2,0))</f>
        <v>0.95</v>
      </c>
      <c r="Z31" s="59">
        <f ca="1">OFFSET(TIAM15_assumptions!$G31,0,MATCH(VLOOKUP(Assumptions!Z$2,TIAM15_assumptions!$Y$3:$Z$87,2,FALSE),TIAM15_assumptions!$H$2:$V$2,0))</f>
        <v>1</v>
      </c>
      <c r="AA31" s="59">
        <f ca="1">OFFSET(TIAM15_assumptions!$G31,0,MATCH(VLOOKUP(Assumptions!AA$2,TIAM15_assumptions!$Y$3:$Z$87,2,FALSE),TIAM15_assumptions!$H$2:$V$2,0))</f>
        <v>0.58</v>
      </c>
      <c r="AB31" s="59">
        <f ca="1">OFFSET(TIAM15_assumptions!$G31,0,MATCH(VLOOKUP(Assumptions!AB$2,TIAM15_assumptions!$Y$3:$Z$87,2,FALSE),TIAM15_assumptions!$H$2:$V$2,0))</f>
        <v>0.55</v>
      </c>
      <c r="AC31" s="59">
        <f ca="1">OFFSET(TIAM15_assumptions!$G31,0,MATCH(VLOOKUP(Assumptions!AC$2,TIAM15_assumptions!$Y$3:$Z$87,2,FALSE),TIAM15_assumptions!$H$2:$V$2,0))</f>
        <v>0.695</v>
      </c>
      <c r="AD31" s="59">
        <f ca="1">OFFSET(TIAM15_assumptions!$G31,0,MATCH(VLOOKUP(Assumptions!AD$2,TIAM15_assumptions!$Y$3:$Z$87,2,FALSE),TIAM15_assumptions!$H$2:$V$2,0))</f>
        <v>0.95</v>
      </c>
      <c r="AE31" s="59">
        <f ca="1">OFFSET(TIAM15_assumptions!$G31,0,MATCH(VLOOKUP(Assumptions!AE$2,TIAM15_assumptions!$Y$3:$Z$87,2,FALSE),TIAM15_assumptions!$H$2:$V$2,0))</f>
        <v>0.5</v>
      </c>
      <c r="AF31" s="59">
        <f ca="1">OFFSET(TIAM15_assumptions!$G31,0,MATCH(VLOOKUP(Assumptions!AF$2,TIAM15_assumptions!$Y$3:$Z$87,2,FALSE),TIAM15_assumptions!$H$2:$V$2,0))</f>
        <v>0.5</v>
      </c>
      <c r="AG31" s="59">
        <f ca="1">OFFSET(TIAM15_assumptions!$G31,0,MATCH(VLOOKUP(Assumptions!AG$2,TIAM15_assumptions!$Y$3:$Z$87,2,FALSE),TIAM15_assumptions!$H$2:$V$2,0))</f>
        <v>0.55</v>
      </c>
      <c r="AH31" s="59">
        <f ca="1">OFFSET(TIAM15_assumptions!$G31,0,MATCH(VLOOKUP(Assumptions!AH$2,TIAM15_assumptions!$Y$3:$Z$87,2,FALSE),TIAM15_assumptions!$H$2:$V$2,0))</f>
        <v>0.55</v>
      </c>
      <c r="AI31" s="59">
        <f ca="1">OFFSET(TIAM15_assumptions!$G31,0,MATCH(VLOOKUP(Assumptions!AI$2,TIAM15_assumptions!$Y$3:$Z$87,2,FALSE),TIAM15_assumptions!$H$2:$V$2,0))</f>
        <v>0.55</v>
      </c>
      <c r="AJ31" s="59">
        <f ca="1">OFFSET(TIAM15_assumptions!$G31,0,MATCH(VLOOKUP(Assumptions!AJ$2,TIAM15_assumptions!$Y$3:$Z$87,2,FALSE),TIAM15_assumptions!$H$2:$V$2,0))</f>
        <v>0.95</v>
      </c>
      <c r="AK31" s="59">
        <f ca="1">OFFSET(TIAM15_assumptions!$G31,0,MATCH(VLOOKUP(Assumptions!AK$2,TIAM15_assumptions!$Y$3:$Z$87,2,FALSE),TIAM15_assumptions!$H$2:$V$2,0))</f>
        <v>0.95</v>
      </c>
      <c r="AL31" s="59">
        <f ca="1">OFFSET(TIAM15_assumptions!$G31,0,MATCH(VLOOKUP(Assumptions!AL$2,TIAM15_assumptions!$Y$3:$Z$87,2,FALSE),TIAM15_assumptions!$H$2:$V$2,0))</f>
        <v>0.95</v>
      </c>
      <c r="AM31" s="59">
        <f ca="1">OFFSET(TIAM15_assumptions!$G31,0,MATCH(VLOOKUP(Assumptions!AM$2,TIAM15_assumptions!$Y$3:$Z$87,2,FALSE),TIAM15_assumptions!$H$2:$V$2,0))</f>
        <v>0.55</v>
      </c>
      <c r="AN31" s="59">
        <f ca="1">OFFSET(TIAM15_assumptions!$G31,0,MATCH(VLOOKUP(Assumptions!AN$2,TIAM15_assumptions!$Y$3:$Z$87,2,FALSE),TIAM15_assumptions!$H$2:$V$2,0))</f>
        <v>0.95</v>
      </c>
      <c r="AO31" s="59">
        <f ca="1">OFFSET(TIAM15_assumptions!$G31,0,MATCH(VLOOKUP(Assumptions!AO$2,TIAM15_assumptions!$Y$3:$Z$87,2,FALSE),TIAM15_assumptions!$H$2:$V$2,0))</f>
        <v>0.55</v>
      </c>
      <c r="AP31" s="59">
        <f ca="1">OFFSET(TIAM15_assumptions!$G31,0,MATCH(VLOOKUP(Assumptions!AP$2,TIAM15_assumptions!$Y$3:$Z$87,2,FALSE),TIAM15_assumptions!$H$2:$V$2,0))</f>
        <v>0.5</v>
      </c>
      <c r="AQ31" s="59">
        <f ca="1">OFFSET(TIAM15_assumptions!$G31,0,MATCH(VLOOKUP(Assumptions!AQ$2,TIAM15_assumptions!$Y$3:$Z$87,2,FALSE),TIAM15_assumptions!$H$2:$V$2,0))</f>
        <v>0.695</v>
      </c>
      <c r="AR31" s="59">
        <f ca="1">OFFSET(TIAM15_assumptions!$G31,0,MATCH(VLOOKUP(Assumptions!AR$2,TIAM15_assumptions!$Y$3:$Z$87,2,FALSE),TIAM15_assumptions!$H$2:$V$2,0))</f>
        <v>0.695</v>
      </c>
      <c r="AS31" s="59">
        <f ca="1">OFFSET(TIAM15_assumptions!$G31,0,MATCH(VLOOKUP(Assumptions!AS$2,TIAM15_assumptions!$Y$3:$Z$87,2,FALSE),TIAM15_assumptions!$H$2:$V$2,0))</f>
        <v>0.695</v>
      </c>
      <c r="AT31" s="59">
        <f ca="1">OFFSET(TIAM15_assumptions!$G31,0,MATCH(VLOOKUP(Assumptions!AT$2,TIAM15_assumptions!$Y$3:$Z$87,2,FALSE),TIAM15_assumptions!$H$2:$V$2,0))</f>
        <v>0.695</v>
      </c>
      <c r="AU31" s="59">
        <f ca="1">OFFSET(TIAM15_assumptions!$G31,0,MATCH(VLOOKUP(Assumptions!AU$2,TIAM15_assumptions!$Y$3:$Z$87,2,FALSE),TIAM15_assumptions!$H$2:$V$2,0))</f>
        <v>0.695</v>
      </c>
      <c r="AV31" s="59">
        <f ca="1">OFFSET(TIAM15_assumptions!$G31,0,MATCH(VLOOKUP(Assumptions!AV$2,TIAM15_assumptions!$Y$3:$Z$87,2,FALSE),TIAM15_assumptions!$H$2:$V$2,0))</f>
        <v>0.695</v>
      </c>
      <c r="AW31" s="59">
        <f ca="1">OFFSET(TIAM15_assumptions!$G31,0,MATCH(VLOOKUP(Assumptions!AW$2,TIAM15_assumptions!$Y$3:$Z$87,2,FALSE),TIAM15_assumptions!$H$2:$V$2,0))</f>
        <v>0.695</v>
      </c>
      <c r="AX31" s="59">
        <f ca="1">OFFSET(TIAM15_assumptions!$G31,0,MATCH(VLOOKUP(Assumptions!AX$2,TIAM15_assumptions!$Y$3:$Z$87,2,FALSE),TIAM15_assumptions!$H$2:$V$2,0))</f>
        <v>0.695</v>
      </c>
      <c r="AY31" s="59">
        <f ca="1">OFFSET(TIAM15_assumptions!$G31,0,MATCH(VLOOKUP(Assumptions!AY$2,TIAM15_assumptions!$Y$3:$Z$87,2,FALSE),TIAM15_assumptions!$H$2:$V$2,0))</f>
        <v>0.695</v>
      </c>
      <c r="AZ31" s="59">
        <f ca="1">OFFSET(TIAM15_assumptions!$G31,0,MATCH(VLOOKUP(Assumptions!AZ$2,TIAM15_assumptions!$Y$3:$Z$87,2,FALSE),TIAM15_assumptions!$H$2:$V$2,0))</f>
        <v>0.695</v>
      </c>
      <c r="BA31" s="59">
        <f ca="1">OFFSET(TIAM15_assumptions!$G31,0,MATCH(VLOOKUP(Assumptions!BA$2,TIAM15_assumptions!$Y$3:$Z$87,2,FALSE),TIAM15_assumptions!$H$2:$V$2,0))</f>
        <v>0.695</v>
      </c>
      <c r="BD31" s="41">
        <f ca="1">IFERROR(SUMIFS('TRA balance'!E$5:E$40,'TRA balance'!$C$5:$C$40,Assumptions!$C31,'TRA balance'!$D$5:$D$40,Assumptions!$B31)*CY31*H31,"")</f>
        <v>0</v>
      </c>
      <c r="BE31" s="41">
        <f ca="1">IFERROR(SUMIFS('TRA balance'!F$5:F$40,'TRA balance'!$C$5:$C$40,Assumptions!$C31,'TRA balance'!$D$5:$D$40,Assumptions!$B31)*CZ31*I31,"")</f>
        <v>0</v>
      </c>
      <c r="BF31" s="41">
        <f ca="1">IFERROR(SUMIFS('TRA balance'!G$5:G$40,'TRA balance'!$C$5:$C$40,Assumptions!$C31,'TRA balance'!$D$5:$D$40,Assumptions!$B31)*DA31*J31,"")</f>
        <v>54.047574407916</v>
      </c>
      <c r="BG31" s="41">
        <f ca="1">IFERROR(SUMIFS('TRA balance'!H$5:H$40,'TRA balance'!$C$5:$C$40,Assumptions!$C31,'TRA balance'!$D$5:$D$40,Assumptions!$B31)*DB31*K31,"")</f>
        <v>1.9734588605268</v>
      </c>
      <c r="BH31" s="41">
        <f ca="1">IFERROR(SUMIFS('TRA balance'!I$5:I$40,'TRA balance'!$C$5:$C$40,Assumptions!$C31,'TRA balance'!$D$5:$D$40,Assumptions!$B31)*DC31*L31,"")</f>
        <v>4.771126911078</v>
      </c>
      <c r="BI31" s="41">
        <f ca="1">IFERROR(SUMIFS('TRA balance'!J$5:J$40,'TRA balance'!$C$5:$C$40,Assumptions!$C31,'TRA balance'!$D$5:$D$40,Assumptions!$B31)*DD31*M31,"")</f>
        <v>7.63549309094581</v>
      </c>
      <c r="BJ31" s="41">
        <f ca="1">IFERROR(SUMIFS('TRA balance'!K$5:K$40,'TRA balance'!$C$5:$C$40,Assumptions!$C31,'TRA balance'!$D$5:$D$40,Assumptions!$B31)*DE31*N31,"")</f>
        <v>52.0945467420168</v>
      </c>
      <c r="BK31" s="41">
        <f ca="1">IFERROR(SUMIFS('TRA balance'!L$5:L$40,'TRA balance'!$C$5:$C$40,Assumptions!$C31,'TRA balance'!$D$5:$D$40,Assumptions!$B31)*DF31*O31,"")</f>
        <v>480.15157898592</v>
      </c>
      <c r="BL31" s="41">
        <f ca="1">IFERROR(SUMIFS('TRA balance'!M$5:M$40,'TRA balance'!$C$5:$C$40,Assumptions!$C31,'TRA balance'!$D$5:$D$40,Assumptions!$B31)*DG31*P31,"")</f>
        <v>1.87927302222</v>
      </c>
      <c r="BM31" s="41">
        <f ca="1">IFERROR(SUMIFS('TRA balance'!N$5:N$40,'TRA balance'!$C$5:$C$40,Assumptions!$C31,'TRA balance'!$D$5:$D$40,Assumptions!$B31)*DH31*Q31,"")</f>
        <v>4.4550001278</v>
      </c>
      <c r="BN31" s="41">
        <f ca="1">IFERROR(SUMIFS('TRA balance'!O$5:O$40,'TRA balance'!$C$5:$C$40,Assumptions!$C31,'TRA balance'!$D$5:$D$40,Assumptions!$B31)*DI31*R31,"")</f>
        <v>9.37944216807661</v>
      </c>
      <c r="BO31" s="41">
        <f ca="1">IFERROR(SUMIFS('TRA balance'!P$5:P$40,'TRA balance'!$C$5:$C$40,Assumptions!$C31,'TRA balance'!$D$5:$D$40,Assumptions!$B31)*DJ31*S31,"")</f>
        <v>20.5944419935818</v>
      </c>
      <c r="BP31" s="41">
        <f ca="1">IFERROR(SUMIFS('TRA balance'!Q$5:Q$40,'TRA balance'!$C$5:$C$40,Assumptions!$C31,'TRA balance'!$D$5:$D$40,Assumptions!$B31)*DK31*T31,"")</f>
        <v>3.220936567731</v>
      </c>
      <c r="BQ31" s="41">
        <f ca="1">IFERROR(SUMIFS('TRA balance'!R$5:R$40,'TRA balance'!$C$5:$C$40,Assumptions!$C31,'TRA balance'!$D$5:$D$40,Assumptions!$B31)*DL31*U31,"")</f>
        <v>6.94337614092</v>
      </c>
      <c r="BR31" s="41">
        <f ca="1">IFERROR(SUMIFS('TRA balance'!S$5:S$40,'TRA balance'!$C$5:$C$40,Assumptions!$C31,'TRA balance'!$D$5:$D$40,Assumptions!$B31)*DM31*V31,"")</f>
        <v>0.1489050052866</v>
      </c>
      <c r="BS31" s="41">
        <f ca="1">IFERROR(SUMIFS('TRA balance'!T$5:T$40,'TRA balance'!$C$5:$C$40,Assumptions!$C31,'TRA balance'!$D$5:$D$40,Assumptions!$B31)*DN31*W31,"")</f>
        <v>0</v>
      </c>
      <c r="BT31" s="41">
        <f ca="1">IFERROR(SUMIFS('TRA balance'!U$5:U$40,'TRA balance'!$C$5:$C$40,Assumptions!$C31,'TRA balance'!$D$5:$D$40,Assumptions!$B31)*DO31*X31,"")</f>
        <v>0.918631456927201</v>
      </c>
      <c r="BU31" s="41">
        <f ca="1">IFERROR(SUMIFS('TRA balance'!V$5:V$40,'TRA balance'!$C$5:$C$40,Assumptions!$C31,'TRA balance'!$D$5:$D$40,Assumptions!$B31)*DP31*Y31,"")</f>
        <v>9.30467244311101</v>
      </c>
      <c r="BV31" s="41">
        <f ca="1">IFERROR(SUMIFS('TRA balance'!W$5:W$40,'TRA balance'!$C$5:$C$40,Assumptions!$C31,'TRA balance'!$D$5:$D$40,Assumptions!$B31)*DQ31*Z31,"")</f>
        <v>158.45382288072</v>
      </c>
      <c r="BW31" s="41">
        <f ca="1">IFERROR(SUMIFS('TRA balance'!X$5:X$40,'TRA balance'!$C$5:$C$40,Assumptions!$C31,'TRA balance'!$D$5:$D$40,Assumptions!$B31)*DR31*AA31,"")</f>
        <v>99.0518557448664</v>
      </c>
      <c r="BX31" s="41">
        <f ca="1">IFERROR(SUMIFS('TRA balance'!Y$5:Y$40,'TRA balance'!$C$5:$C$40,Assumptions!$C31,'TRA balance'!$D$5:$D$40,Assumptions!$B31)*DS31*AB31,"")</f>
        <v>389.33794274067</v>
      </c>
      <c r="BY31" s="41">
        <f ca="1">IFERROR(SUMIFS('TRA balance'!Z$5:Z$40,'TRA balance'!$C$5:$C$40,Assumptions!$C31,'TRA balance'!$D$5:$D$40,Assumptions!$B31)*DT31*AC31,"")</f>
        <v>2550.26765403462</v>
      </c>
      <c r="BZ31" s="41">
        <f ca="1">IFERROR(SUMIFS('TRA balance'!AA$5:AA$40,'TRA balance'!$C$5:$C$40,Assumptions!$C31,'TRA balance'!$D$5:$D$40,Assumptions!$B31)*DU31*AD31,"")</f>
        <v>0.795032285173201</v>
      </c>
      <c r="CA31" s="41">
        <f ca="1">IFERROR(SUMIFS('TRA balance'!AB$5:AB$40,'TRA balance'!$C$5:$C$40,Assumptions!$C31,'TRA balance'!$D$5:$D$40,Assumptions!$B31)*DV31*AE31,"")</f>
        <v>9.71584453728</v>
      </c>
      <c r="CB31" s="41">
        <f ca="1">IFERROR(SUMIFS('TRA balance'!AC$5:AC$40,'TRA balance'!$C$5:$C$40,Assumptions!$C31,'TRA balance'!$D$5:$D$40,Assumptions!$B31)*DW31*AF31,"")</f>
        <v>0</v>
      </c>
      <c r="CC31" s="41">
        <f ca="1">IFERROR(SUMIFS('TRA balance'!AD$5:AD$40,'TRA balance'!$C$5:$C$40,Assumptions!$C31,'TRA balance'!$D$5:$D$40,Assumptions!$B31)*DX31*AG31,"")</f>
        <v>255.249548666442</v>
      </c>
      <c r="CD31" s="41">
        <f ca="1">IFERROR(SUMIFS('TRA balance'!AE$5:AE$40,'TRA balance'!$C$5:$C$40,Assumptions!$C31,'TRA balance'!$D$5:$D$40,Assumptions!$B31)*DY31*AH31,"")</f>
        <v>168.196163539932</v>
      </c>
      <c r="CE31" s="41">
        <f ca="1">IFERROR(SUMIFS('TRA balance'!AF$5:AF$40,'TRA balance'!$C$5:$C$40,Assumptions!$C31,'TRA balance'!$D$5:$D$40,Assumptions!$B31)*DZ31*AI31,"")</f>
        <v>0</v>
      </c>
      <c r="CF31" s="41">
        <f ca="1">IFERROR(SUMIFS('TRA balance'!AG$5:AG$40,'TRA balance'!$C$5:$C$40,Assumptions!$C31,'TRA balance'!$D$5:$D$40,Assumptions!$B31)*EA31*AJ31,"")</f>
        <v>7.72745272186321</v>
      </c>
      <c r="CG31" s="41">
        <f ca="1">IFERROR(SUMIFS('TRA balance'!AH$5:AH$40,'TRA balance'!$C$5:$C$40,Assumptions!$C31,'TRA balance'!$D$5:$D$40,Assumptions!$B31)*EB31*AK31,"")</f>
        <v>5.419647619146</v>
      </c>
      <c r="CH31" s="41">
        <f ca="1">IFERROR(SUMIFS('TRA balance'!AI$5:AI$40,'TRA balance'!$C$5:$C$40,Assumptions!$C31,'TRA balance'!$D$5:$D$40,Assumptions!$B31)*EC31*AL31,"")</f>
        <v>2.8463894213778</v>
      </c>
      <c r="CI31" s="41">
        <f ca="1">IFERROR(SUMIFS('TRA balance'!AJ$5:AJ$40,'TRA balance'!$C$5:$C$40,Assumptions!$C31,'TRA balance'!$D$5:$D$40,Assumptions!$B31)*ED31*AM31,"")</f>
        <v>16.385819791176</v>
      </c>
      <c r="CJ31" s="41">
        <f ca="1">IFERROR(SUMIFS('TRA balance'!AK$5:AK$40,'TRA balance'!$C$5:$C$40,Assumptions!$C31,'TRA balance'!$D$5:$D$40,Assumptions!$B31)*EE31*AN31,"")</f>
        <v>14.6886411721428</v>
      </c>
      <c r="CK31" s="41">
        <f ca="1">IFERROR(SUMIFS('TRA balance'!AL$5:AL$40,'TRA balance'!$C$5:$C$40,Assumptions!$C31,'TRA balance'!$D$5:$D$40,Assumptions!$B31)*EF31*AO31,"")</f>
        <v>12.729829496472</v>
      </c>
      <c r="CL31" s="41">
        <f ca="1">IFERROR(SUMIFS('TRA balance'!AM$5:AM$40,'TRA balance'!$C$5:$C$40,Assumptions!$C31,'TRA balance'!$D$5:$D$40,Assumptions!$B31)*EG31*AP31,"")</f>
        <v>1.95596054442</v>
      </c>
      <c r="CM31" s="41">
        <f ca="1">IFERROR(SUMIFS('TRA balance'!AN$5:AN$40,'TRA balance'!$C$5:$C$40,Assumptions!$C31,'TRA balance'!$D$5:$D$40,Assumptions!$B31)*EH31*AQ31,"")</f>
        <v>0</v>
      </c>
      <c r="CN31" s="41">
        <f ca="1">IFERROR(SUMIFS('TRA balance'!AO$5:AO$40,'TRA balance'!$C$5:$C$40,Assumptions!$C31,'TRA balance'!$D$5:$D$40,Assumptions!$B31)*EI31*AR31,"")</f>
        <v>0</v>
      </c>
      <c r="CO31" s="41">
        <f ca="1">IFERROR(SUMIFS('TRA balance'!AP$5:AP$40,'TRA balance'!$C$5:$C$40,Assumptions!$C31,'TRA balance'!$D$5:$D$40,Assumptions!$B31)*EJ31*AS31,"")</f>
        <v>0</v>
      </c>
      <c r="CP31" s="41">
        <f ca="1">IFERROR(SUMIFS('TRA balance'!AQ$5:AQ$40,'TRA balance'!$C$5:$C$40,Assumptions!$C31,'TRA balance'!$D$5:$D$40,Assumptions!$B31)*EK31*AT31,"")</f>
        <v>0</v>
      </c>
      <c r="CQ31" s="41">
        <f ca="1">IFERROR(SUMIFS('TRA balance'!AR$5:AR$40,'TRA balance'!$C$5:$C$40,Assumptions!$C31,'TRA balance'!$D$5:$D$40,Assumptions!$B31)*EL31*AU31,"")</f>
        <v>0</v>
      </c>
      <c r="CR31" s="41">
        <f ca="1">IFERROR(SUMIFS('TRA balance'!AS$5:AS$40,'TRA balance'!$C$5:$C$40,Assumptions!$C31,'TRA balance'!$D$5:$D$40,Assumptions!$B31)*EM31*AV31,"")</f>
        <v>0</v>
      </c>
      <c r="CS31" s="41">
        <f ca="1">IFERROR(SUMIFS('TRA balance'!AT$5:AT$40,'TRA balance'!$C$5:$C$40,Assumptions!$C31,'TRA balance'!$D$5:$D$40,Assumptions!$B31)*EN31*AW31,"")</f>
        <v>0</v>
      </c>
      <c r="CT31" s="41">
        <f ca="1">IFERROR(SUMIFS('TRA balance'!AU$5:AU$40,'TRA balance'!$C$5:$C$40,Assumptions!$C31,'TRA balance'!$D$5:$D$40,Assumptions!$B31)*EO31*AX31,"")</f>
        <v>0</v>
      </c>
      <c r="CU31" s="41">
        <f ca="1">IFERROR(SUMIFS('TRA balance'!AV$5:AV$40,'TRA balance'!$C$5:$C$40,Assumptions!$C31,'TRA balance'!$D$5:$D$40,Assumptions!$B31)*EP31*AY31,"")</f>
        <v>0</v>
      </c>
      <c r="CV31" s="41">
        <f ca="1">IFERROR(SUMIFS('TRA balance'!AW$5:AW$40,'TRA balance'!$C$5:$C$40,Assumptions!$C31,'TRA balance'!$D$5:$D$40,Assumptions!$B31)*EQ31*AZ31,"")</f>
        <v>0</v>
      </c>
      <c r="CW31" s="41">
        <f ca="1">IFERROR(SUMIFS('TRA balance'!AX$5:AX$40,'TRA balance'!$C$5:$C$40,Assumptions!$C31,'TRA balance'!$D$5:$D$40,Assumptions!$B31)*ER31*BA31,"")</f>
        <v>0</v>
      </c>
      <c r="CY31" s="40">
        <f ca="1" t="shared" si="2"/>
        <v>0</v>
      </c>
      <c r="CZ31" s="40">
        <f ca="1" t="shared" si="3"/>
        <v>0</v>
      </c>
      <c r="DA31" s="40">
        <f ca="1" t="shared" si="4"/>
        <v>0.1</v>
      </c>
      <c r="DB31" s="40">
        <f ca="1" t="shared" si="5"/>
        <v>0.03</v>
      </c>
      <c r="DC31" s="40">
        <f ca="1" t="shared" si="6"/>
        <v>0.3</v>
      </c>
      <c r="DD31" s="40">
        <f ca="1" t="shared" si="7"/>
        <v>0.03</v>
      </c>
      <c r="DE31" s="40">
        <f ca="1" t="shared" si="8"/>
        <v>0.1</v>
      </c>
      <c r="DF31" s="40">
        <f ca="1" t="shared" si="9"/>
        <v>0.1</v>
      </c>
      <c r="DG31" s="40">
        <f ca="1" t="shared" si="10"/>
        <v>0.1</v>
      </c>
      <c r="DH31" s="40">
        <f ca="1" t="shared" si="11"/>
        <v>0.1</v>
      </c>
      <c r="DI31" s="40">
        <f ca="1" t="shared" si="12"/>
        <v>0.03</v>
      </c>
      <c r="DJ31" s="40">
        <f ca="1" t="shared" si="13"/>
        <v>0.03</v>
      </c>
      <c r="DK31" s="40">
        <f ca="1" t="shared" si="14"/>
        <v>0.03</v>
      </c>
      <c r="DL31" s="40">
        <f ca="1" t="shared" si="15"/>
        <v>0.1</v>
      </c>
      <c r="DM31" s="40">
        <f ca="1" t="shared" si="16"/>
        <v>0.03</v>
      </c>
      <c r="DN31" s="40">
        <f ca="1" t="shared" si="17"/>
        <v>0</v>
      </c>
      <c r="DO31" s="40">
        <f ca="1" t="shared" si="18"/>
        <v>0.03</v>
      </c>
      <c r="DP31" s="40">
        <f ca="1" t="shared" si="19"/>
        <v>0.03</v>
      </c>
      <c r="DQ31" s="40">
        <f ca="1" t="shared" si="20"/>
        <v>0.1</v>
      </c>
      <c r="DR31" s="40">
        <f ca="1" t="shared" si="21"/>
        <v>0.1</v>
      </c>
      <c r="DS31" s="40">
        <f ca="1" t="shared" si="22"/>
        <v>0.3</v>
      </c>
      <c r="DT31" s="40">
        <f ca="1" t="shared" si="23"/>
        <v>0.2</v>
      </c>
      <c r="DU31" s="40">
        <f ca="1" t="shared" si="24"/>
        <v>0.03</v>
      </c>
      <c r="DV31" s="40">
        <f ca="1" t="shared" si="25"/>
        <v>0.1</v>
      </c>
      <c r="DW31" s="40">
        <f ca="1" t="shared" si="26"/>
        <v>0</v>
      </c>
      <c r="DX31" s="40">
        <f ca="1" t="shared" si="27"/>
        <v>0.3</v>
      </c>
      <c r="DY31" s="40">
        <f ca="1" t="shared" si="28"/>
        <v>0.3</v>
      </c>
      <c r="DZ31" s="40">
        <f ca="1" t="shared" si="29"/>
        <v>0</v>
      </c>
      <c r="EA31" s="40">
        <f ca="1" t="shared" si="30"/>
        <v>0.03</v>
      </c>
      <c r="EB31" s="40">
        <f ca="1" t="shared" si="31"/>
        <v>0.03</v>
      </c>
      <c r="EC31" s="40">
        <f ca="1" t="shared" si="32"/>
        <v>0.03</v>
      </c>
      <c r="ED31" s="40">
        <f ca="1" t="shared" si="33"/>
        <v>0.3</v>
      </c>
      <c r="EE31" s="40">
        <f ca="1" t="shared" si="34"/>
        <v>0.03</v>
      </c>
      <c r="EF31" s="40">
        <f ca="1" t="shared" si="35"/>
        <v>0.3</v>
      </c>
      <c r="EG31" s="40">
        <f ca="1" t="shared" si="36"/>
        <v>0.1</v>
      </c>
      <c r="EH31" s="40">
        <f ca="1" t="shared" si="37"/>
        <v>0.2</v>
      </c>
      <c r="EI31" s="40">
        <f ca="1" t="shared" si="38"/>
        <v>0.2</v>
      </c>
      <c r="EJ31" s="40">
        <f ca="1" t="shared" si="39"/>
        <v>0.2</v>
      </c>
      <c r="EK31" s="40">
        <f ca="1" t="shared" si="40"/>
        <v>0.2</v>
      </c>
      <c r="EL31" s="40">
        <f ca="1" t="shared" si="41"/>
        <v>0.2</v>
      </c>
      <c r="EM31" s="40">
        <f ca="1" t="shared" si="42"/>
        <v>0.2</v>
      </c>
      <c r="EN31" s="40">
        <f ca="1" t="shared" si="43"/>
        <v>0.2</v>
      </c>
      <c r="EO31" s="40">
        <f ca="1" t="shared" si="44"/>
        <v>0.2</v>
      </c>
      <c r="EP31" s="40">
        <f ca="1" t="shared" si="45"/>
        <v>0.2</v>
      </c>
      <c r="EQ31" s="40">
        <f ca="1" t="shared" si="46"/>
        <v>0.2</v>
      </c>
      <c r="ER31" s="40">
        <f ca="1" t="shared" si="47"/>
        <v>0.2</v>
      </c>
    </row>
    <row r="32" spans="1:148">
      <c r="A32">
        <v>1</v>
      </c>
      <c r="B32" t="str">
        <f>VLOOKUP(F32,'TRA balance'!$BA$5:$BB$14,2,FALSE)</f>
        <v>TRAGSL</v>
      </c>
      <c r="C32" s="56" t="str">
        <f t="shared" si="48"/>
        <v/>
      </c>
      <c r="D32" s="57"/>
      <c r="E32" s="69" t="s">
        <v>220</v>
      </c>
      <c r="F32" s="58" t="str">
        <f t="shared" si="62"/>
        <v>Gasoline</v>
      </c>
      <c r="G32" s="56"/>
      <c r="H32" s="71" t="str">
        <f ca="1">IF(SUM(H28:H31)=1,"-","&lt;&gt;1!!")</f>
        <v>-</v>
      </c>
      <c r="I32" s="71" t="str">
        <f ca="1" t="shared" ref="I32:BA32" si="63">IF(SUM(I28:I31)=1,"-","&lt;&gt;1!!")</f>
        <v>-</v>
      </c>
      <c r="J32" s="71" t="str">
        <f ca="1" t="shared" si="63"/>
        <v>-</v>
      </c>
      <c r="K32" s="71" t="str">
        <f ca="1" t="shared" si="63"/>
        <v>-</v>
      </c>
      <c r="L32" s="71" t="str">
        <f ca="1" t="shared" si="63"/>
        <v>-</v>
      </c>
      <c r="M32" s="71" t="str">
        <f ca="1" t="shared" si="63"/>
        <v>-</v>
      </c>
      <c r="N32" s="71" t="str">
        <f ca="1" t="shared" si="63"/>
        <v>-</v>
      </c>
      <c r="O32" s="71" t="str">
        <f ca="1" t="shared" si="63"/>
        <v>-</v>
      </c>
      <c r="P32" s="71" t="str">
        <f ca="1" t="shared" si="63"/>
        <v>-</v>
      </c>
      <c r="Q32" s="71" t="str">
        <f ca="1" t="shared" si="63"/>
        <v>-</v>
      </c>
      <c r="R32" s="71" t="str">
        <f ca="1" t="shared" si="63"/>
        <v>-</v>
      </c>
      <c r="S32" s="71" t="str">
        <f ca="1" t="shared" si="63"/>
        <v>-</v>
      </c>
      <c r="T32" s="71" t="str">
        <f ca="1" t="shared" si="63"/>
        <v>-</v>
      </c>
      <c r="U32" s="71" t="str">
        <f ca="1" t="shared" si="63"/>
        <v>-</v>
      </c>
      <c r="V32" s="71" t="str">
        <f ca="1" t="shared" si="63"/>
        <v>-</v>
      </c>
      <c r="W32" s="71" t="str">
        <f ca="1" t="shared" si="63"/>
        <v>-</v>
      </c>
      <c r="X32" s="71" t="str">
        <f ca="1" t="shared" si="63"/>
        <v>-</v>
      </c>
      <c r="Y32" s="71" t="str">
        <f ca="1" t="shared" si="63"/>
        <v>-</v>
      </c>
      <c r="Z32" s="71" t="str">
        <f ca="1" t="shared" si="63"/>
        <v>-</v>
      </c>
      <c r="AA32" s="71" t="str">
        <f ca="1" t="shared" si="63"/>
        <v>-</v>
      </c>
      <c r="AB32" s="71" t="str">
        <f ca="1" t="shared" si="63"/>
        <v>-</v>
      </c>
      <c r="AC32" s="71" t="str">
        <f ca="1" t="shared" si="63"/>
        <v>-</v>
      </c>
      <c r="AD32" s="71" t="str">
        <f ca="1" t="shared" si="63"/>
        <v>-</v>
      </c>
      <c r="AE32" s="71" t="str">
        <f ca="1" t="shared" si="63"/>
        <v>-</v>
      </c>
      <c r="AF32" s="71" t="str">
        <f ca="1" t="shared" si="63"/>
        <v>-</v>
      </c>
      <c r="AG32" s="71" t="str">
        <f ca="1" t="shared" si="63"/>
        <v>-</v>
      </c>
      <c r="AH32" s="71" t="str">
        <f ca="1" t="shared" si="63"/>
        <v>-</v>
      </c>
      <c r="AI32" s="71" t="str">
        <f ca="1" t="shared" si="63"/>
        <v>-</v>
      </c>
      <c r="AJ32" s="71" t="str">
        <f ca="1" t="shared" si="63"/>
        <v>-</v>
      </c>
      <c r="AK32" s="71" t="str">
        <f ca="1" t="shared" si="63"/>
        <v>-</v>
      </c>
      <c r="AL32" s="71" t="str">
        <f ca="1" t="shared" si="63"/>
        <v>-</v>
      </c>
      <c r="AM32" s="71" t="str">
        <f ca="1" t="shared" si="63"/>
        <v>-</v>
      </c>
      <c r="AN32" s="71" t="str">
        <f ca="1" t="shared" si="63"/>
        <v>-</v>
      </c>
      <c r="AO32" s="71" t="str">
        <f ca="1" t="shared" si="63"/>
        <v>-</v>
      </c>
      <c r="AP32" s="71" t="str">
        <f ca="1" t="shared" si="63"/>
        <v>-</v>
      </c>
      <c r="AQ32" s="71" t="str">
        <f ca="1" t="shared" si="63"/>
        <v>-</v>
      </c>
      <c r="AR32" s="71" t="str">
        <f ca="1" t="shared" si="63"/>
        <v>-</v>
      </c>
      <c r="AS32" s="71" t="str">
        <f ca="1" t="shared" si="63"/>
        <v>-</v>
      </c>
      <c r="AT32" s="71" t="str">
        <f ca="1" t="shared" si="63"/>
        <v>-</v>
      </c>
      <c r="AU32" s="71" t="str">
        <f ca="1" t="shared" si="63"/>
        <v>-</v>
      </c>
      <c r="AV32" s="71" t="str">
        <f ca="1" t="shared" si="63"/>
        <v>-</v>
      </c>
      <c r="AW32" s="71" t="str">
        <f ca="1" t="shared" si="63"/>
        <v>-</v>
      </c>
      <c r="AX32" s="71" t="str">
        <f ca="1" t="shared" si="63"/>
        <v>-</v>
      </c>
      <c r="AY32" s="71" t="str">
        <f ca="1" t="shared" si="63"/>
        <v>-</v>
      </c>
      <c r="AZ32" s="71" t="str">
        <f ca="1" t="shared" si="63"/>
        <v>-</v>
      </c>
      <c r="BA32" s="71" t="str">
        <f ca="1" t="shared" si="63"/>
        <v>-</v>
      </c>
      <c r="BD32" s="41" t="str">
        <f ca="1">IFERROR(SUMIFS('TRA balance'!E$5:E$40,'TRA balance'!$C$5:$C$40,Assumptions!$C32,'TRA balance'!$D$5:$D$40,Assumptions!$B32)*CY32*H32,"")</f>
        <v/>
      </c>
      <c r="BE32" s="41" t="str">
        <f ca="1">IFERROR(SUMIFS('TRA balance'!F$5:F$40,'TRA balance'!$C$5:$C$40,Assumptions!$C32,'TRA balance'!$D$5:$D$40,Assumptions!$B32)*CZ32*I32,"")</f>
        <v/>
      </c>
      <c r="BF32" s="41" t="str">
        <f ca="1">IFERROR(SUMIFS('TRA balance'!G$5:G$40,'TRA balance'!$C$5:$C$40,Assumptions!$C32,'TRA balance'!$D$5:$D$40,Assumptions!$B32)*DA32*J32,"")</f>
        <v/>
      </c>
      <c r="BG32" s="41" t="str">
        <f ca="1">IFERROR(SUMIFS('TRA balance'!H$5:H$40,'TRA balance'!$C$5:$C$40,Assumptions!$C32,'TRA balance'!$D$5:$D$40,Assumptions!$B32)*DB32*K32,"")</f>
        <v/>
      </c>
      <c r="BH32" s="41" t="str">
        <f ca="1">IFERROR(SUMIFS('TRA balance'!I$5:I$40,'TRA balance'!$C$5:$C$40,Assumptions!$C32,'TRA balance'!$D$5:$D$40,Assumptions!$B32)*DC32*L32,"")</f>
        <v/>
      </c>
      <c r="BI32" s="41" t="str">
        <f ca="1">IFERROR(SUMIFS('TRA balance'!J$5:J$40,'TRA balance'!$C$5:$C$40,Assumptions!$C32,'TRA balance'!$D$5:$D$40,Assumptions!$B32)*DD32*M32,"")</f>
        <v/>
      </c>
      <c r="BJ32" s="41" t="str">
        <f ca="1">IFERROR(SUMIFS('TRA balance'!K$5:K$40,'TRA balance'!$C$5:$C$40,Assumptions!$C32,'TRA balance'!$D$5:$D$40,Assumptions!$B32)*DE32*N32,"")</f>
        <v/>
      </c>
      <c r="BK32" s="41" t="str">
        <f ca="1">IFERROR(SUMIFS('TRA balance'!L$5:L$40,'TRA balance'!$C$5:$C$40,Assumptions!$C32,'TRA balance'!$D$5:$D$40,Assumptions!$B32)*DF32*O32,"")</f>
        <v/>
      </c>
      <c r="BL32" s="41" t="str">
        <f ca="1">IFERROR(SUMIFS('TRA balance'!M$5:M$40,'TRA balance'!$C$5:$C$40,Assumptions!$C32,'TRA balance'!$D$5:$D$40,Assumptions!$B32)*DG32*P32,"")</f>
        <v/>
      </c>
      <c r="BM32" s="41" t="str">
        <f ca="1">IFERROR(SUMIFS('TRA balance'!N$5:N$40,'TRA balance'!$C$5:$C$40,Assumptions!$C32,'TRA balance'!$D$5:$D$40,Assumptions!$B32)*DH32*Q32,"")</f>
        <v/>
      </c>
      <c r="BN32" s="41" t="str">
        <f ca="1">IFERROR(SUMIFS('TRA balance'!O$5:O$40,'TRA balance'!$C$5:$C$40,Assumptions!$C32,'TRA balance'!$D$5:$D$40,Assumptions!$B32)*DI32*R32,"")</f>
        <v/>
      </c>
      <c r="BO32" s="41" t="str">
        <f ca="1">IFERROR(SUMIFS('TRA balance'!P$5:P$40,'TRA balance'!$C$5:$C$40,Assumptions!$C32,'TRA balance'!$D$5:$D$40,Assumptions!$B32)*DJ32*S32,"")</f>
        <v/>
      </c>
      <c r="BP32" s="41" t="str">
        <f ca="1">IFERROR(SUMIFS('TRA balance'!Q$5:Q$40,'TRA balance'!$C$5:$C$40,Assumptions!$C32,'TRA balance'!$D$5:$D$40,Assumptions!$B32)*DK32*T32,"")</f>
        <v/>
      </c>
      <c r="BQ32" s="41" t="str">
        <f ca="1">IFERROR(SUMIFS('TRA balance'!R$5:R$40,'TRA balance'!$C$5:$C$40,Assumptions!$C32,'TRA balance'!$D$5:$D$40,Assumptions!$B32)*DL32*U32,"")</f>
        <v/>
      </c>
      <c r="BR32" s="41" t="str">
        <f ca="1">IFERROR(SUMIFS('TRA balance'!S$5:S$40,'TRA balance'!$C$5:$C$40,Assumptions!$C32,'TRA balance'!$D$5:$D$40,Assumptions!$B32)*DM32*V32,"")</f>
        <v/>
      </c>
      <c r="BS32" s="41" t="str">
        <f ca="1">IFERROR(SUMIFS('TRA balance'!T$5:T$40,'TRA balance'!$C$5:$C$40,Assumptions!$C32,'TRA balance'!$D$5:$D$40,Assumptions!$B32)*DN32*W32,"")</f>
        <v/>
      </c>
      <c r="BT32" s="41" t="str">
        <f ca="1">IFERROR(SUMIFS('TRA balance'!U$5:U$40,'TRA balance'!$C$5:$C$40,Assumptions!$C32,'TRA balance'!$D$5:$D$40,Assumptions!$B32)*DO32*X32,"")</f>
        <v/>
      </c>
      <c r="BU32" s="41" t="str">
        <f ca="1">IFERROR(SUMIFS('TRA balance'!V$5:V$40,'TRA balance'!$C$5:$C$40,Assumptions!$C32,'TRA balance'!$D$5:$D$40,Assumptions!$B32)*DP32*Y32,"")</f>
        <v/>
      </c>
      <c r="BV32" s="41" t="str">
        <f ca="1">IFERROR(SUMIFS('TRA balance'!W$5:W$40,'TRA balance'!$C$5:$C$40,Assumptions!$C32,'TRA balance'!$D$5:$D$40,Assumptions!$B32)*DQ32*Z32,"")</f>
        <v/>
      </c>
      <c r="BW32" s="41" t="str">
        <f ca="1">IFERROR(SUMIFS('TRA balance'!X$5:X$40,'TRA balance'!$C$5:$C$40,Assumptions!$C32,'TRA balance'!$D$5:$D$40,Assumptions!$B32)*DR32*AA32,"")</f>
        <v/>
      </c>
      <c r="BX32" s="41" t="str">
        <f ca="1">IFERROR(SUMIFS('TRA balance'!Y$5:Y$40,'TRA balance'!$C$5:$C$40,Assumptions!$C32,'TRA balance'!$D$5:$D$40,Assumptions!$B32)*DS32*AB32,"")</f>
        <v/>
      </c>
      <c r="BY32" s="41" t="str">
        <f ca="1">IFERROR(SUMIFS('TRA balance'!Z$5:Z$40,'TRA balance'!$C$5:$C$40,Assumptions!$C32,'TRA balance'!$D$5:$D$40,Assumptions!$B32)*DT32*AC32,"")</f>
        <v/>
      </c>
      <c r="BZ32" s="41" t="str">
        <f ca="1">IFERROR(SUMIFS('TRA balance'!AA$5:AA$40,'TRA balance'!$C$5:$C$40,Assumptions!$C32,'TRA balance'!$D$5:$D$40,Assumptions!$B32)*DU32*AD32,"")</f>
        <v/>
      </c>
      <c r="CA32" s="41" t="str">
        <f ca="1">IFERROR(SUMIFS('TRA balance'!AB$5:AB$40,'TRA balance'!$C$5:$C$40,Assumptions!$C32,'TRA balance'!$D$5:$D$40,Assumptions!$B32)*DV32*AE32,"")</f>
        <v/>
      </c>
      <c r="CB32" s="41" t="str">
        <f ca="1">IFERROR(SUMIFS('TRA balance'!AC$5:AC$40,'TRA balance'!$C$5:$C$40,Assumptions!$C32,'TRA balance'!$D$5:$D$40,Assumptions!$B32)*DW32*AF32,"")</f>
        <v/>
      </c>
      <c r="CC32" s="41" t="str">
        <f ca="1">IFERROR(SUMIFS('TRA balance'!AD$5:AD$40,'TRA balance'!$C$5:$C$40,Assumptions!$C32,'TRA balance'!$D$5:$D$40,Assumptions!$B32)*DX32*AG32,"")</f>
        <v/>
      </c>
      <c r="CD32" s="41" t="str">
        <f ca="1">IFERROR(SUMIFS('TRA balance'!AE$5:AE$40,'TRA balance'!$C$5:$C$40,Assumptions!$C32,'TRA balance'!$D$5:$D$40,Assumptions!$B32)*DY32*AH32,"")</f>
        <v/>
      </c>
      <c r="CE32" s="41" t="str">
        <f ca="1">IFERROR(SUMIFS('TRA balance'!AF$5:AF$40,'TRA balance'!$C$5:$C$40,Assumptions!$C32,'TRA balance'!$D$5:$D$40,Assumptions!$B32)*DZ32*AI32,"")</f>
        <v/>
      </c>
      <c r="CF32" s="41" t="str">
        <f ca="1">IFERROR(SUMIFS('TRA balance'!AG$5:AG$40,'TRA balance'!$C$5:$C$40,Assumptions!$C32,'TRA balance'!$D$5:$D$40,Assumptions!$B32)*EA32*AJ32,"")</f>
        <v/>
      </c>
      <c r="CG32" s="41" t="str">
        <f ca="1">IFERROR(SUMIFS('TRA balance'!AH$5:AH$40,'TRA balance'!$C$5:$C$40,Assumptions!$C32,'TRA balance'!$D$5:$D$40,Assumptions!$B32)*EB32*AK32,"")</f>
        <v/>
      </c>
      <c r="CH32" s="41" t="str">
        <f ca="1">IFERROR(SUMIFS('TRA balance'!AI$5:AI$40,'TRA balance'!$C$5:$C$40,Assumptions!$C32,'TRA balance'!$D$5:$D$40,Assumptions!$B32)*EC32*AL32,"")</f>
        <v/>
      </c>
      <c r="CI32" s="41" t="str">
        <f ca="1">IFERROR(SUMIFS('TRA balance'!AJ$5:AJ$40,'TRA balance'!$C$5:$C$40,Assumptions!$C32,'TRA balance'!$D$5:$D$40,Assumptions!$B32)*ED32*AM32,"")</f>
        <v/>
      </c>
      <c r="CJ32" s="41" t="str">
        <f ca="1">IFERROR(SUMIFS('TRA balance'!AK$5:AK$40,'TRA balance'!$C$5:$C$40,Assumptions!$C32,'TRA balance'!$D$5:$D$40,Assumptions!$B32)*EE32*AN32,"")</f>
        <v/>
      </c>
      <c r="CK32" s="41" t="str">
        <f ca="1">IFERROR(SUMIFS('TRA balance'!AL$5:AL$40,'TRA balance'!$C$5:$C$40,Assumptions!$C32,'TRA balance'!$D$5:$D$40,Assumptions!$B32)*EF32*AO32,"")</f>
        <v/>
      </c>
      <c r="CL32" s="41" t="str">
        <f ca="1">IFERROR(SUMIFS('TRA balance'!AM$5:AM$40,'TRA balance'!$C$5:$C$40,Assumptions!$C32,'TRA balance'!$D$5:$D$40,Assumptions!$B32)*EG32*AP32,"")</f>
        <v/>
      </c>
      <c r="CM32" s="41" t="str">
        <f ca="1">IFERROR(SUMIFS('TRA balance'!AN$5:AN$40,'TRA balance'!$C$5:$C$40,Assumptions!$C32,'TRA balance'!$D$5:$D$40,Assumptions!$B32)*EH32*AQ32,"")</f>
        <v/>
      </c>
      <c r="CN32" s="41" t="str">
        <f ca="1">IFERROR(SUMIFS('TRA balance'!AO$5:AO$40,'TRA balance'!$C$5:$C$40,Assumptions!$C32,'TRA balance'!$D$5:$D$40,Assumptions!$B32)*EI32*AR32,"")</f>
        <v/>
      </c>
      <c r="CO32" s="41" t="str">
        <f ca="1">IFERROR(SUMIFS('TRA balance'!AP$5:AP$40,'TRA balance'!$C$5:$C$40,Assumptions!$C32,'TRA balance'!$D$5:$D$40,Assumptions!$B32)*EJ32*AS32,"")</f>
        <v/>
      </c>
      <c r="CP32" s="41" t="str">
        <f ca="1">IFERROR(SUMIFS('TRA balance'!AQ$5:AQ$40,'TRA balance'!$C$5:$C$40,Assumptions!$C32,'TRA balance'!$D$5:$D$40,Assumptions!$B32)*EK32*AT32,"")</f>
        <v/>
      </c>
      <c r="CQ32" s="41" t="str">
        <f ca="1">IFERROR(SUMIFS('TRA balance'!AR$5:AR$40,'TRA balance'!$C$5:$C$40,Assumptions!$C32,'TRA balance'!$D$5:$D$40,Assumptions!$B32)*EL32*AU32,"")</f>
        <v/>
      </c>
      <c r="CR32" s="41" t="str">
        <f ca="1">IFERROR(SUMIFS('TRA balance'!AS$5:AS$40,'TRA balance'!$C$5:$C$40,Assumptions!$C32,'TRA balance'!$D$5:$D$40,Assumptions!$B32)*EM32*AV32,"")</f>
        <v/>
      </c>
      <c r="CS32" s="41" t="str">
        <f ca="1">IFERROR(SUMIFS('TRA balance'!AT$5:AT$40,'TRA balance'!$C$5:$C$40,Assumptions!$C32,'TRA balance'!$D$5:$D$40,Assumptions!$B32)*EN32*AW32,"")</f>
        <v/>
      </c>
      <c r="CT32" s="41" t="str">
        <f ca="1">IFERROR(SUMIFS('TRA balance'!AU$5:AU$40,'TRA balance'!$C$5:$C$40,Assumptions!$C32,'TRA balance'!$D$5:$D$40,Assumptions!$B32)*EO32*AX32,"")</f>
        <v/>
      </c>
      <c r="CU32" s="41" t="str">
        <f ca="1">IFERROR(SUMIFS('TRA balance'!AV$5:AV$40,'TRA balance'!$C$5:$C$40,Assumptions!$C32,'TRA balance'!$D$5:$D$40,Assumptions!$B32)*EP32*AY32,"")</f>
        <v/>
      </c>
      <c r="CV32" s="41" t="str">
        <f ca="1">IFERROR(SUMIFS('TRA balance'!AW$5:AW$40,'TRA balance'!$C$5:$C$40,Assumptions!$C32,'TRA balance'!$D$5:$D$40,Assumptions!$B32)*EQ32*AZ32,"")</f>
        <v/>
      </c>
      <c r="CW32" s="41" t="str">
        <f ca="1">IFERROR(SUMIFS('TRA balance'!AX$5:AX$40,'TRA balance'!$C$5:$C$40,Assumptions!$C32,'TRA balance'!$D$5:$D$40,Assumptions!$B32)*ER32*BA32,"")</f>
        <v/>
      </c>
      <c r="CY32" s="40">
        <f ca="1" t="shared" si="2"/>
        <v>1</v>
      </c>
      <c r="CZ32" s="40">
        <f ca="1" t="shared" si="3"/>
        <v>1</v>
      </c>
      <c r="DA32" s="40">
        <f ca="1" t="shared" si="4"/>
        <v>1</v>
      </c>
      <c r="DB32" s="40">
        <f ca="1" t="shared" si="5"/>
        <v>1</v>
      </c>
      <c r="DC32" s="40">
        <f ca="1" t="shared" si="6"/>
        <v>1</v>
      </c>
      <c r="DD32" s="40">
        <f ca="1" t="shared" si="7"/>
        <v>1</v>
      </c>
      <c r="DE32" s="40">
        <f ca="1" t="shared" si="8"/>
        <v>1</v>
      </c>
      <c r="DF32" s="40">
        <f ca="1" t="shared" si="9"/>
        <v>1</v>
      </c>
      <c r="DG32" s="40">
        <f ca="1" t="shared" si="10"/>
        <v>1</v>
      </c>
      <c r="DH32" s="40">
        <f ca="1" t="shared" si="11"/>
        <v>1</v>
      </c>
      <c r="DI32" s="40">
        <f ca="1" t="shared" si="12"/>
        <v>1</v>
      </c>
      <c r="DJ32" s="40">
        <f ca="1" t="shared" si="13"/>
        <v>1</v>
      </c>
      <c r="DK32" s="40">
        <f ca="1" t="shared" si="14"/>
        <v>1</v>
      </c>
      <c r="DL32" s="40">
        <f ca="1" t="shared" si="15"/>
        <v>1</v>
      </c>
      <c r="DM32" s="40">
        <f ca="1" t="shared" si="16"/>
        <v>1</v>
      </c>
      <c r="DN32" s="40">
        <f ca="1" t="shared" si="17"/>
        <v>1</v>
      </c>
      <c r="DO32" s="40">
        <f ca="1" t="shared" si="18"/>
        <v>1</v>
      </c>
      <c r="DP32" s="40">
        <f ca="1" t="shared" si="19"/>
        <v>1</v>
      </c>
      <c r="DQ32" s="40">
        <f ca="1" t="shared" si="20"/>
        <v>1</v>
      </c>
      <c r="DR32" s="40">
        <f ca="1" t="shared" si="21"/>
        <v>1</v>
      </c>
      <c r="DS32" s="40">
        <f ca="1" t="shared" si="22"/>
        <v>1</v>
      </c>
      <c r="DT32" s="40">
        <f ca="1" t="shared" si="23"/>
        <v>1</v>
      </c>
      <c r="DU32" s="40">
        <f ca="1" t="shared" si="24"/>
        <v>1</v>
      </c>
      <c r="DV32" s="40">
        <f ca="1" t="shared" si="25"/>
        <v>1</v>
      </c>
      <c r="DW32" s="40">
        <f ca="1" t="shared" si="26"/>
        <v>1</v>
      </c>
      <c r="DX32" s="40">
        <f ca="1" t="shared" si="27"/>
        <v>1</v>
      </c>
      <c r="DY32" s="40">
        <f ca="1" t="shared" si="28"/>
        <v>1</v>
      </c>
      <c r="DZ32" s="40">
        <f ca="1" t="shared" si="29"/>
        <v>1</v>
      </c>
      <c r="EA32" s="40">
        <f ca="1" t="shared" si="30"/>
        <v>1</v>
      </c>
      <c r="EB32" s="40">
        <f ca="1" t="shared" si="31"/>
        <v>1</v>
      </c>
      <c r="EC32" s="40">
        <f ca="1" t="shared" si="32"/>
        <v>1</v>
      </c>
      <c r="ED32" s="40">
        <f ca="1" t="shared" si="33"/>
        <v>1</v>
      </c>
      <c r="EE32" s="40">
        <f ca="1" t="shared" si="34"/>
        <v>1</v>
      </c>
      <c r="EF32" s="40">
        <f ca="1" t="shared" si="35"/>
        <v>1</v>
      </c>
      <c r="EG32" s="40">
        <f ca="1" t="shared" si="36"/>
        <v>1</v>
      </c>
      <c r="EH32" s="40">
        <f ca="1" t="shared" si="37"/>
        <v>1</v>
      </c>
      <c r="EI32" s="40">
        <f ca="1" t="shared" si="38"/>
        <v>1</v>
      </c>
      <c r="EJ32" s="40">
        <f ca="1" t="shared" si="39"/>
        <v>1</v>
      </c>
      <c r="EK32" s="40">
        <f ca="1" t="shared" si="40"/>
        <v>1</v>
      </c>
      <c r="EL32" s="40">
        <f ca="1" t="shared" si="41"/>
        <v>1</v>
      </c>
      <c r="EM32" s="40">
        <f ca="1" t="shared" si="42"/>
        <v>1</v>
      </c>
      <c r="EN32" s="40">
        <f ca="1" t="shared" si="43"/>
        <v>1</v>
      </c>
      <c r="EO32" s="40">
        <f ca="1" t="shared" si="44"/>
        <v>1</v>
      </c>
      <c r="EP32" s="40">
        <f ca="1" t="shared" si="45"/>
        <v>1</v>
      </c>
      <c r="EQ32" s="40">
        <f ca="1" t="shared" si="46"/>
        <v>1</v>
      </c>
      <c r="ER32" s="40">
        <f ca="1" t="shared" si="47"/>
        <v>1</v>
      </c>
    </row>
    <row r="33" spans="1:148">
      <c r="A33">
        <v>1</v>
      </c>
      <c r="B33" t="str">
        <f>VLOOKUP(F33,'TRA balance'!$BA$5:$BB$14,2,FALSE)</f>
        <v>TRAGSL</v>
      </c>
      <c r="C33" s="56" t="str">
        <f t="shared" si="48"/>
        <v>TT</v>
      </c>
      <c r="D33" s="57" t="s">
        <v>192</v>
      </c>
      <c r="E33" s="57" t="s">
        <v>193</v>
      </c>
      <c r="F33" s="58" t="str">
        <f t="shared" si="62"/>
        <v>Gasoline</v>
      </c>
      <c r="G33" s="56" t="s">
        <v>194</v>
      </c>
      <c r="H33" s="59">
        <f ca="1">OFFSET(TIAM15_assumptions!$G33,0,MATCH(VLOOKUP(Assumptions!H$2,TIAM15_assumptions!$Y$3:$Z$87,2,FALSE),TIAM15_assumptions!$H$2:$V$2,0))</f>
        <v>0.5</v>
      </c>
      <c r="I33" s="59">
        <f ca="1">OFFSET(TIAM15_assumptions!$G33,0,MATCH(VLOOKUP(Assumptions!I$2,TIAM15_assumptions!$Y$3:$Z$87,2,FALSE),TIAM15_assumptions!$H$2:$V$2,0))</f>
        <v>0.5</v>
      </c>
      <c r="J33" s="59">
        <f ca="1">OFFSET(TIAM15_assumptions!$G33,0,MATCH(VLOOKUP(Assumptions!J$2,TIAM15_assumptions!$Y$3:$Z$87,2,FALSE),TIAM15_assumptions!$H$2:$V$2,0))</f>
        <v>0.5</v>
      </c>
      <c r="K33" s="59">
        <f ca="1">OFFSET(TIAM15_assumptions!$G33,0,MATCH(VLOOKUP(Assumptions!K$2,TIAM15_assumptions!$Y$3:$Z$87,2,FALSE),TIAM15_assumptions!$H$2:$V$2,0))</f>
        <v>1</v>
      </c>
      <c r="L33" s="59">
        <f ca="1">OFFSET(TIAM15_assumptions!$G33,0,MATCH(VLOOKUP(Assumptions!L$2,TIAM15_assumptions!$Y$3:$Z$87,2,FALSE),TIAM15_assumptions!$H$2:$V$2,0))</f>
        <v>0.5</v>
      </c>
      <c r="M33" s="59">
        <f ca="1">OFFSET(TIAM15_assumptions!$G33,0,MATCH(VLOOKUP(Assumptions!M$2,TIAM15_assumptions!$Y$3:$Z$87,2,FALSE),TIAM15_assumptions!$H$2:$V$2,0))</f>
        <v>1</v>
      </c>
      <c r="N33" s="59">
        <f ca="1">OFFSET(TIAM15_assumptions!$G33,0,MATCH(VLOOKUP(Assumptions!N$2,TIAM15_assumptions!$Y$3:$Z$87,2,FALSE),TIAM15_assumptions!$H$2:$V$2,0))</f>
        <v>1</v>
      </c>
      <c r="O33" s="59">
        <f ca="1">OFFSET(TIAM15_assumptions!$G33,0,MATCH(VLOOKUP(Assumptions!O$2,TIAM15_assumptions!$Y$3:$Z$87,2,FALSE),TIAM15_assumptions!$H$2:$V$2,0))</f>
        <v>0.5</v>
      </c>
      <c r="P33" s="59">
        <f ca="1">OFFSET(TIAM15_assumptions!$G33,0,MATCH(VLOOKUP(Assumptions!P$2,TIAM15_assumptions!$Y$3:$Z$87,2,FALSE),TIAM15_assumptions!$H$2:$V$2,0))</f>
        <v>1</v>
      </c>
      <c r="Q33" s="59">
        <f ca="1">OFFSET(TIAM15_assumptions!$G33,0,MATCH(VLOOKUP(Assumptions!Q$2,TIAM15_assumptions!$Y$3:$Z$87,2,FALSE),TIAM15_assumptions!$H$2:$V$2,0))</f>
        <v>1</v>
      </c>
      <c r="R33" s="59">
        <f ca="1">OFFSET(TIAM15_assumptions!$G33,0,MATCH(VLOOKUP(Assumptions!R$2,TIAM15_assumptions!$Y$3:$Z$87,2,FALSE),TIAM15_assumptions!$H$2:$V$2,0))</f>
        <v>1</v>
      </c>
      <c r="S33" s="59">
        <f ca="1">OFFSET(TIAM15_assumptions!$G33,0,MATCH(VLOOKUP(Assumptions!S$2,TIAM15_assumptions!$Y$3:$Z$87,2,FALSE),TIAM15_assumptions!$H$2:$V$2,0))</f>
        <v>1</v>
      </c>
      <c r="T33" s="59">
        <f ca="1">OFFSET(TIAM15_assumptions!$G33,0,MATCH(VLOOKUP(Assumptions!T$2,TIAM15_assumptions!$Y$3:$Z$87,2,FALSE),TIAM15_assumptions!$H$2:$V$2,0))</f>
        <v>1</v>
      </c>
      <c r="U33" s="59">
        <f ca="1">OFFSET(TIAM15_assumptions!$G33,0,MATCH(VLOOKUP(Assumptions!U$2,TIAM15_assumptions!$Y$3:$Z$87,2,FALSE),TIAM15_assumptions!$H$2:$V$2,0))</f>
        <v>1</v>
      </c>
      <c r="V33" s="59">
        <f ca="1">OFFSET(TIAM15_assumptions!$G33,0,MATCH(VLOOKUP(Assumptions!V$2,TIAM15_assumptions!$Y$3:$Z$87,2,FALSE),TIAM15_assumptions!$H$2:$V$2,0))</f>
        <v>1</v>
      </c>
      <c r="W33" s="59">
        <f ca="1">OFFSET(TIAM15_assumptions!$G33,0,MATCH(VLOOKUP(Assumptions!W$2,TIAM15_assumptions!$Y$3:$Z$87,2,FALSE),TIAM15_assumptions!$H$2:$V$2,0))</f>
        <v>1</v>
      </c>
      <c r="X33" s="59">
        <f ca="1">OFFSET(TIAM15_assumptions!$G33,0,MATCH(VLOOKUP(Assumptions!X$2,TIAM15_assumptions!$Y$3:$Z$87,2,FALSE),TIAM15_assumptions!$H$2:$V$2,0))</f>
        <v>1</v>
      </c>
      <c r="Y33" s="59">
        <f ca="1">OFFSET(TIAM15_assumptions!$G33,0,MATCH(VLOOKUP(Assumptions!Y$2,TIAM15_assumptions!$Y$3:$Z$87,2,FALSE),TIAM15_assumptions!$H$2:$V$2,0))</f>
        <v>1</v>
      </c>
      <c r="Z33" s="59">
        <f ca="1">OFFSET(TIAM15_assumptions!$G33,0,MATCH(VLOOKUP(Assumptions!Z$2,TIAM15_assumptions!$Y$3:$Z$87,2,FALSE),TIAM15_assumptions!$H$2:$V$2,0))</f>
        <v>0.07</v>
      </c>
      <c r="AA33" s="59">
        <f ca="1">OFFSET(TIAM15_assumptions!$G33,0,MATCH(VLOOKUP(Assumptions!AA$2,TIAM15_assumptions!$Y$3:$Z$87,2,FALSE),TIAM15_assumptions!$H$2:$V$2,0))</f>
        <v>1</v>
      </c>
      <c r="AB33" s="59">
        <f ca="1">OFFSET(TIAM15_assumptions!$G33,0,MATCH(VLOOKUP(Assumptions!AB$2,TIAM15_assumptions!$Y$3:$Z$87,2,FALSE),TIAM15_assumptions!$H$2:$V$2,0))</f>
        <v>1</v>
      </c>
      <c r="AC33" s="59">
        <f ca="1">OFFSET(TIAM15_assumptions!$G33,0,MATCH(VLOOKUP(Assumptions!AC$2,TIAM15_assumptions!$Y$3:$Z$87,2,FALSE),TIAM15_assumptions!$H$2:$V$2,0))</f>
        <v>0.5</v>
      </c>
      <c r="AD33" s="59">
        <f ca="1">OFFSET(TIAM15_assumptions!$G33,0,MATCH(VLOOKUP(Assumptions!AD$2,TIAM15_assumptions!$Y$3:$Z$87,2,FALSE),TIAM15_assumptions!$H$2:$V$2,0))</f>
        <v>1</v>
      </c>
      <c r="AE33" s="59">
        <f ca="1">OFFSET(TIAM15_assumptions!$G33,0,MATCH(VLOOKUP(Assumptions!AE$2,TIAM15_assumptions!$Y$3:$Z$87,2,FALSE),TIAM15_assumptions!$H$2:$V$2,0))</f>
        <v>1</v>
      </c>
      <c r="AF33" s="59">
        <f ca="1">OFFSET(TIAM15_assumptions!$G33,0,MATCH(VLOOKUP(Assumptions!AF$2,TIAM15_assumptions!$Y$3:$Z$87,2,FALSE),TIAM15_assumptions!$H$2:$V$2,0))</f>
        <v>0.5</v>
      </c>
      <c r="AG33" s="59">
        <f ca="1">OFFSET(TIAM15_assumptions!$G33,0,MATCH(VLOOKUP(Assumptions!AG$2,TIAM15_assumptions!$Y$3:$Z$87,2,FALSE),TIAM15_assumptions!$H$2:$V$2,0))</f>
        <v>0.5</v>
      </c>
      <c r="AH33" s="59">
        <f ca="1">OFFSET(TIAM15_assumptions!$G33,0,MATCH(VLOOKUP(Assumptions!AH$2,TIAM15_assumptions!$Y$3:$Z$87,2,FALSE),TIAM15_assumptions!$H$2:$V$2,0))</f>
        <v>1</v>
      </c>
      <c r="AI33" s="59">
        <f ca="1">OFFSET(TIAM15_assumptions!$G33,0,MATCH(VLOOKUP(Assumptions!AI$2,TIAM15_assumptions!$Y$3:$Z$87,2,FALSE),TIAM15_assumptions!$H$2:$V$2,0))</f>
        <v>0.5</v>
      </c>
      <c r="AJ33" s="59">
        <f ca="1">OFFSET(TIAM15_assumptions!$G33,0,MATCH(VLOOKUP(Assumptions!AJ$2,TIAM15_assumptions!$Y$3:$Z$87,2,FALSE),TIAM15_assumptions!$H$2:$V$2,0))</f>
        <v>1</v>
      </c>
      <c r="AK33" s="59">
        <f ca="1">OFFSET(TIAM15_assumptions!$G33,0,MATCH(VLOOKUP(Assumptions!AK$2,TIAM15_assumptions!$Y$3:$Z$87,2,FALSE),TIAM15_assumptions!$H$2:$V$2,0))</f>
        <v>1</v>
      </c>
      <c r="AL33" s="59">
        <f ca="1">OFFSET(TIAM15_assumptions!$G33,0,MATCH(VLOOKUP(Assumptions!AL$2,TIAM15_assumptions!$Y$3:$Z$87,2,FALSE),TIAM15_assumptions!$H$2:$V$2,0))</f>
        <v>1</v>
      </c>
      <c r="AM33" s="59">
        <f ca="1">OFFSET(TIAM15_assumptions!$G33,0,MATCH(VLOOKUP(Assumptions!AM$2,TIAM15_assumptions!$Y$3:$Z$87,2,FALSE),TIAM15_assumptions!$H$2:$V$2,0))</f>
        <v>1</v>
      </c>
      <c r="AN33" s="59">
        <f ca="1">OFFSET(TIAM15_assumptions!$G33,0,MATCH(VLOOKUP(Assumptions!AN$2,TIAM15_assumptions!$Y$3:$Z$87,2,FALSE),TIAM15_assumptions!$H$2:$V$2,0))</f>
        <v>1</v>
      </c>
      <c r="AO33" s="59">
        <f ca="1">OFFSET(TIAM15_assumptions!$G33,0,MATCH(VLOOKUP(Assumptions!AO$2,TIAM15_assumptions!$Y$3:$Z$87,2,FALSE),TIAM15_assumptions!$H$2:$V$2,0))</f>
        <v>0.5</v>
      </c>
      <c r="AP33" s="59">
        <f ca="1">OFFSET(TIAM15_assumptions!$G33,0,MATCH(VLOOKUP(Assumptions!AP$2,TIAM15_assumptions!$Y$3:$Z$87,2,FALSE),TIAM15_assumptions!$H$2:$V$2,0))</f>
        <v>1</v>
      </c>
      <c r="AQ33" s="59">
        <f ca="1">OFFSET(TIAM15_assumptions!$G33,0,MATCH(VLOOKUP(Assumptions!AQ$2,TIAM15_assumptions!$Y$3:$Z$87,2,FALSE),TIAM15_assumptions!$H$2:$V$2,0))</f>
        <v>0.5</v>
      </c>
      <c r="AR33" s="59">
        <f ca="1">OFFSET(TIAM15_assumptions!$G33,0,MATCH(VLOOKUP(Assumptions!AR$2,TIAM15_assumptions!$Y$3:$Z$87,2,FALSE),TIAM15_assumptions!$H$2:$V$2,0))</f>
        <v>0.5</v>
      </c>
      <c r="AS33" s="59">
        <f ca="1">OFFSET(TIAM15_assumptions!$G33,0,MATCH(VLOOKUP(Assumptions!AS$2,TIAM15_assumptions!$Y$3:$Z$87,2,FALSE),TIAM15_assumptions!$H$2:$V$2,0))</f>
        <v>0.5</v>
      </c>
      <c r="AT33" s="59">
        <f ca="1">OFFSET(TIAM15_assumptions!$G33,0,MATCH(VLOOKUP(Assumptions!AT$2,TIAM15_assumptions!$Y$3:$Z$87,2,FALSE),TIAM15_assumptions!$H$2:$V$2,0))</f>
        <v>0.5</v>
      </c>
      <c r="AU33" s="59">
        <f ca="1">OFFSET(TIAM15_assumptions!$G33,0,MATCH(VLOOKUP(Assumptions!AU$2,TIAM15_assumptions!$Y$3:$Z$87,2,FALSE),TIAM15_assumptions!$H$2:$V$2,0))</f>
        <v>0.5</v>
      </c>
      <c r="AV33" s="59">
        <f ca="1">OFFSET(TIAM15_assumptions!$G33,0,MATCH(VLOOKUP(Assumptions!AV$2,TIAM15_assumptions!$Y$3:$Z$87,2,FALSE),TIAM15_assumptions!$H$2:$V$2,0))</f>
        <v>0.5</v>
      </c>
      <c r="AW33" s="59">
        <f ca="1">OFFSET(TIAM15_assumptions!$G33,0,MATCH(VLOOKUP(Assumptions!AW$2,TIAM15_assumptions!$Y$3:$Z$87,2,FALSE),TIAM15_assumptions!$H$2:$V$2,0))</f>
        <v>0.5</v>
      </c>
      <c r="AX33" s="59">
        <f ca="1">OFFSET(TIAM15_assumptions!$G33,0,MATCH(VLOOKUP(Assumptions!AX$2,TIAM15_assumptions!$Y$3:$Z$87,2,FALSE),TIAM15_assumptions!$H$2:$V$2,0))</f>
        <v>0.5</v>
      </c>
      <c r="AY33" s="59">
        <f ca="1">OFFSET(TIAM15_assumptions!$G33,0,MATCH(VLOOKUP(Assumptions!AY$2,TIAM15_assumptions!$Y$3:$Z$87,2,FALSE),TIAM15_assumptions!$H$2:$V$2,0))</f>
        <v>0.5</v>
      </c>
      <c r="AZ33" s="59">
        <f ca="1">OFFSET(TIAM15_assumptions!$G33,0,MATCH(VLOOKUP(Assumptions!AZ$2,TIAM15_assumptions!$Y$3:$Z$87,2,FALSE),TIAM15_assumptions!$H$2:$V$2,0))</f>
        <v>0.5</v>
      </c>
      <c r="BA33" s="59">
        <f ca="1">OFFSET(TIAM15_assumptions!$G33,0,MATCH(VLOOKUP(Assumptions!BA$2,TIAM15_assumptions!$Y$3:$Z$87,2,FALSE),TIAM15_assumptions!$H$2:$V$2,0))</f>
        <v>0.5</v>
      </c>
      <c r="BD33" s="41">
        <f ca="1">IFERROR(SUMIFS('TRA balance'!E$5:E$40,'TRA balance'!$C$5:$C$40,Assumptions!$C33,'TRA balance'!$D$5:$D$40,Assumptions!$B33)*CY33*H33,"")</f>
        <v>0</v>
      </c>
      <c r="BE33" s="41">
        <f ca="1">IFERROR(SUMIFS('TRA balance'!F$5:F$40,'TRA balance'!$C$5:$C$40,Assumptions!$C33,'TRA balance'!$D$5:$D$40,Assumptions!$B33)*CZ33*I33,"")</f>
        <v>0</v>
      </c>
      <c r="BF33" s="41">
        <f ca="1">IFERROR(SUMIFS('TRA balance'!G$5:G$40,'TRA balance'!$C$5:$C$40,Assumptions!$C33,'TRA balance'!$D$5:$D$40,Assumptions!$B33)*DA33*J33,"")</f>
        <v>0.0222779628</v>
      </c>
      <c r="BG33" s="41">
        <f ca="1">IFERROR(SUMIFS('TRA balance'!H$5:H$40,'TRA balance'!$C$5:$C$40,Assumptions!$C33,'TRA balance'!$D$5:$D$40,Assumptions!$B33)*DB33*K33,"")</f>
        <v>0</v>
      </c>
      <c r="BH33" s="41">
        <f ca="1">IFERROR(SUMIFS('TRA balance'!I$5:I$40,'TRA balance'!$C$5:$C$40,Assumptions!$C33,'TRA balance'!$D$5:$D$40,Assumptions!$B33)*DC33*L33,"")</f>
        <v>0</v>
      </c>
      <c r="BI33" s="41">
        <f ca="1">IFERROR(SUMIFS('TRA balance'!J$5:J$40,'TRA balance'!$C$5:$C$40,Assumptions!$C33,'TRA balance'!$D$5:$D$40,Assumptions!$B33)*DD33*M33,"")</f>
        <v>0</v>
      </c>
      <c r="BJ33" s="41">
        <f ca="1">IFERROR(SUMIFS('TRA balance'!K$5:K$40,'TRA balance'!$C$5:$C$40,Assumptions!$C33,'TRA balance'!$D$5:$D$40,Assumptions!$B33)*DE33*N33,"")</f>
        <v>0</v>
      </c>
      <c r="BK33" s="41">
        <f ca="1">IFERROR(SUMIFS('TRA balance'!L$5:L$40,'TRA balance'!$C$5:$C$40,Assumptions!$C33,'TRA balance'!$D$5:$D$40,Assumptions!$B33)*DF33*O33,"")</f>
        <v>0</v>
      </c>
      <c r="BL33" s="41">
        <f ca="1">IFERROR(SUMIFS('TRA balance'!M$5:M$40,'TRA balance'!$C$5:$C$40,Assumptions!$C33,'TRA balance'!$D$5:$D$40,Assumptions!$B33)*DG33*P33,"")</f>
        <v>0</v>
      </c>
      <c r="BM33" s="41">
        <f ca="1">IFERROR(SUMIFS('TRA balance'!N$5:N$40,'TRA balance'!$C$5:$C$40,Assumptions!$C33,'TRA balance'!$D$5:$D$40,Assumptions!$B33)*DH33*Q33,"")</f>
        <v>0</v>
      </c>
      <c r="BN33" s="41">
        <f ca="1">IFERROR(SUMIFS('TRA balance'!O$5:O$40,'TRA balance'!$C$5:$C$40,Assumptions!$C33,'TRA balance'!$D$5:$D$40,Assumptions!$B33)*DI33*R33,"")</f>
        <v>0</v>
      </c>
      <c r="BO33" s="41">
        <f ca="1">IFERROR(SUMIFS('TRA balance'!P$5:P$40,'TRA balance'!$C$5:$C$40,Assumptions!$C33,'TRA balance'!$D$5:$D$40,Assumptions!$B33)*DJ33*S33,"")</f>
        <v>0</v>
      </c>
      <c r="BP33" s="41">
        <f ca="1">IFERROR(SUMIFS('TRA balance'!Q$5:Q$40,'TRA balance'!$C$5:$C$40,Assumptions!$C33,'TRA balance'!$D$5:$D$40,Assumptions!$B33)*DK33*T33,"")</f>
        <v>0.010111122</v>
      </c>
      <c r="BQ33" s="41">
        <f ca="1">IFERROR(SUMIFS('TRA balance'!R$5:R$40,'TRA balance'!$C$5:$C$40,Assumptions!$C33,'TRA balance'!$D$5:$D$40,Assumptions!$B33)*DL33*U33,"")</f>
        <v>0</v>
      </c>
      <c r="BR33" s="41">
        <f ca="1">IFERROR(SUMIFS('TRA balance'!S$5:S$40,'TRA balance'!$C$5:$C$40,Assumptions!$C33,'TRA balance'!$D$5:$D$40,Assumptions!$B33)*DM33*V33,"")</f>
        <v>0</v>
      </c>
      <c r="BS33" s="41">
        <f ca="1">IFERROR(SUMIFS('TRA balance'!T$5:T$40,'TRA balance'!$C$5:$C$40,Assumptions!$C33,'TRA balance'!$D$5:$D$40,Assumptions!$B33)*DN33*W33,"")</f>
        <v>0</v>
      </c>
      <c r="BT33" s="41">
        <f ca="1">IFERROR(SUMIFS('TRA balance'!U$5:U$40,'TRA balance'!$C$5:$C$40,Assumptions!$C33,'TRA balance'!$D$5:$D$40,Assumptions!$B33)*DO33*X33,"")</f>
        <v>0</v>
      </c>
      <c r="BU33" s="41">
        <f ca="1">IFERROR(SUMIFS('TRA balance'!V$5:V$40,'TRA balance'!$C$5:$C$40,Assumptions!$C33,'TRA balance'!$D$5:$D$40,Assumptions!$B33)*DP33*Y33,"")</f>
        <v>0</v>
      </c>
      <c r="BV33" s="41">
        <f ca="1">IFERROR(SUMIFS('TRA balance'!W$5:W$40,'TRA balance'!$C$5:$C$40,Assumptions!$C33,'TRA balance'!$D$5:$D$40,Assumptions!$B33)*DQ33*Z33,"")</f>
        <v>0</v>
      </c>
      <c r="BW33" s="41">
        <f ca="1">IFERROR(SUMIFS('TRA balance'!X$5:X$40,'TRA balance'!$C$5:$C$40,Assumptions!$C33,'TRA balance'!$D$5:$D$40,Assumptions!$B33)*DR33*AA33,"")</f>
        <v>0.0222193476</v>
      </c>
      <c r="BX33" s="41">
        <f ca="1">IFERROR(SUMIFS('TRA balance'!Y$5:Y$40,'TRA balance'!$C$5:$C$40,Assumptions!$C33,'TRA balance'!$D$5:$D$40,Assumptions!$B33)*DS33*AB33,"")</f>
        <v>0</v>
      </c>
      <c r="BY33" s="41">
        <f ca="1">IFERROR(SUMIFS('TRA balance'!Z$5:Z$40,'TRA balance'!$C$5:$C$40,Assumptions!$C33,'TRA balance'!$D$5:$D$40,Assumptions!$B33)*DT33*AC33,"")</f>
        <v>0</v>
      </c>
      <c r="BZ33" s="41">
        <f ca="1">IFERROR(SUMIFS('TRA balance'!AA$5:AA$40,'TRA balance'!$C$5:$C$40,Assumptions!$C33,'TRA balance'!$D$5:$D$40,Assumptions!$B33)*DU33*AD33,"")</f>
        <v>0</v>
      </c>
      <c r="CA33" s="41">
        <f ca="1">IFERROR(SUMIFS('TRA balance'!AB$5:AB$40,'TRA balance'!$C$5:$C$40,Assumptions!$C33,'TRA balance'!$D$5:$D$40,Assumptions!$B33)*DV33*AE33,"")</f>
        <v>0</v>
      </c>
      <c r="CB33" s="41">
        <f ca="1">IFERROR(SUMIFS('TRA balance'!AC$5:AC$40,'TRA balance'!$C$5:$C$40,Assumptions!$C33,'TRA balance'!$D$5:$D$40,Assumptions!$B33)*DW33*AF33,"")</f>
        <v>0.0413383698</v>
      </c>
      <c r="CC33" s="41">
        <f ca="1">IFERROR(SUMIFS('TRA balance'!AD$5:AD$40,'TRA balance'!$C$5:$C$40,Assumptions!$C33,'TRA balance'!$D$5:$D$40,Assumptions!$B33)*DX33*AG33,"")</f>
        <v>0.5984004834</v>
      </c>
      <c r="CD33" s="41">
        <f ca="1">IFERROR(SUMIFS('TRA balance'!AE$5:AE$40,'TRA balance'!$C$5:$C$40,Assumptions!$C33,'TRA balance'!$D$5:$D$40,Assumptions!$B33)*DY33*AH33,"")</f>
        <v>0</v>
      </c>
      <c r="CE33" s="41">
        <f ca="1">IFERROR(SUMIFS('TRA balance'!AF$5:AF$40,'TRA balance'!$C$5:$C$40,Assumptions!$C33,'TRA balance'!$D$5:$D$40,Assumptions!$B33)*DZ33*AI33,"")</f>
        <v>0.6686026524</v>
      </c>
      <c r="CF33" s="41">
        <f ca="1">IFERROR(SUMIFS('TRA balance'!AG$5:AG$40,'TRA balance'!$C$5:$C$40,Assumptions!$C33,'TRA balance'!$D$5:$D$40,Assumptions!$B33)*EA33*AJ33,"")</f>
        <v>0</v>
      </c>
      <c r="CG33" s="41">
        <f ca="1">IFERROR(SUMIFS('TRA balance'!AH$5:AH$40,'TRA balance'!$C$5:$C$40,Assumptions!$C33,'TRA balance'!$D$5:$D$40,Assumptions!$B33)*EB33*AK33,"")</f>
        <v>8.79228e-5</v>
      </c>
      <c r="CH33" s="41">
        <f ca="1">IFERROR(SUMIFS('TRA balance'!AI$5:AI$40,'TRA balance'!$C$5:$C$40,Assumptions!$C33,'TRA balance'!$D$5:$D$40,Assumptions!$B33)*EC33*AL33,"")</f>
        <v>0</v>
      </c>
      <c r="CI33" s="41">
        <f ca="1">IFERROR(SUMIFS('TRA balance'!AJ$5:AJ$40,'TRA balance'!$C$5:$C$40,Assumptions!$C33,'TRA balance'!$D$5:$D$40,Assumptions!$B33)*ED33*AM33,"")</f>
        <v>0</v>
      </c>
      <c r="CJ33" s="41">
        <f ca="1">IFERROR(SUMIFS('TRA balance'!AK$5:AK$40,'TRA balance'!$C$5:$C$40,Assumptions!$C33,'TRA balance'!$D$5:$D$40,Assumptions!$B33)*EE33*AN33,"")</f>
        <v>0</v>
      </c>
      <c r="CK33" s="41">
        <f ca="1">IFERROR(SUMIFS('TRA balance'!AL$5:AL$40,'TRA balance'!$C$5:$C$40,Assumptions!$C33,'TRA balance'!$D$5:$D$40,Assumptions!$B33)*EF33*AO33,"")</f>
        <v>0</v>
      </c>
      <c r="CL33" s="41">
        <f ca="1">IFERROR(SUMIFS('TRA balance'!AM$5:AM$40,'TRA balance'!$C$5:$C$40,Assumptions!$C33,'TRA balance'!$D$5:$D$40,Assumptions!$B33)*EG33*AP33,"")</f>
        <v>0</v>
      </c>
      <c r="CM33" s="41">
        <f ca="1">IFERROR(SUMIFS('TRA balance'!AN$5:AN$40,'TRA balance'!$C$5:$C$40,Assumptions!$C33,'TRA balance'!$D$5:$D$40,Assumptions!$B33)*EH33*AQ33,"")</f>
        <v>0</v>
      </c>
      <c r="CN33" s="41">
        <f ca="1">IFERROR(SUMIFS('TRA balance'!AO$5:AO$40,'TRA balance'!$C$5:$C$40,Assumptions!$C33,'TRA balance'!$D$5:$D$40,Assumptions!$B33)*EI33*AR33,"")</f>
        <v>0</v>
      </c>
      <c r="CO33" s="41">
        <f ca="1">IFERROR(SUMIFS('TRA balance'!AP$5:AP$40,'TRA balance'!$C$5:$C$40,Assumptions!$C33,'TRA balance'!$D$5:$D$40,Assumptions!$B33)*EJ33*AS33,"")</f>
        <v>0</v>
      </c>
      <c r="CP33" s="41">
        <f ca="1">IFERROR(SUMIFS('TRA balance'!AQ$5:AQ$40,'TRA balance'!$C$5:$C$40,Assumptions!$C33,'TRA balance'!$D$5:$D$40,Assumptions!$B33)*EK33*AT33,"")</f>
        <v>0</v>
      </c>
      <c r="CQ33" s="41">
        <f ca="1">IFERROR(SUMIFS('TRA balance'!AR$5:AR$40,'TRA balance'!$C$5:$C$40,Assumptions!$C33,'TRA balance'!$D$5:$D$40,Assumptions!$B33)*EL33*AU33,"")</f>
        <v>0</v>
      </c>
      <c r="CR33" s="41">
        <f ca="1">IFERROR(SUMIFS('TRA balance'!AS$5:AS$40,'TRA balance'!$C$5:$C$40,Assumptions!$C33,'TRA balance'!$D$5:$D$40,Assumptions!$B33)*EM33*AV33,"")</f>
        <v>0</v>
      </c>
      <c r="CS33" s="41">
        <f ca="1">IFERROR(SUMIFS('TRA balance'!AT$5:AT$40,'TRA balance'!$C$5:$C$40,Assumptions!$C33,'TRA balance'!$D$5:$D$40,Assumptions!$B33)*EN33*AW33,"")</f>
        <v>0</v>
      </c>
      <c r="CT33" s="41">
        <f ca="1">IFERROR(SUMIFS('TRA balance'!AU$5:AU$40,'TRA balance'!$C$5:$C$40,Assumptions!$C33,'TRA balance'!$D$5:$D$40,Assumptions!$B33)*EO33*AX33,"")</f>
        <v>0</v>
      </c>
      <c r="CU33" s="41">
        <f ca="1">IFERROR(SUMIFS('TRA balance'!AV$5:AV$40,'TRA balance'!$C$5:$C$40,Assumptions!$C33,'TRA balance'!$D$5:$D$40,Assumptions!$B33)*EP33*AY33,"")</f>
        <v>0</v>
      </c>
      <c r="CV33" s="41">
        <f ca="1">IFERROR(SUMIFS('TRA balance'!AW$5:AW$40,'TRA balance'!$C$5:$C$40,Assumptions!$C33,'TRA balance'!$D$5:$D$40,Assumptions!$B33)*EQ33*AZ33,"")</f>
        <v>0</v>
      </c>
      <c r="CW33" s="41">
        <f ca="1">IFERROR(SUMIFS('TRA balance'!AX$5:AX$40,'TRA balance'!$C$5:$C$40,Assumptions!$C33,'TRA balance'!$D$5:$D$40,Assumptions!$B33)*ER33*BA33,"")</f>
        <v>0</v>
      </c>
      <c r="CY33" s="40">
        <f ca="1" t="shared" si="2"/>
        <v>1</v>
      </c>
      <c r="CZ33" s="40">
        <f ca="1" t="shared" si="3"/>
        <v>1</v>
      </c>
      <c r="DA33" s="40">
        <f ca="1" t="shared" si="4"/>
        <v>1</v>
      </c>
      <c r="DB33" s="40">
        <f ca="1" t="shared" si="5"/>
        <v>1</v>
      </c>
      <c r="DC33" s="40">
        <f ca="1" t="shared" si="6"/>
        <v>1</v>
      </c>
      <c r="DD33" s="40">
        <f ca="1" t="shared" si="7"/>
        <v>1</v>
      </c>
      <c r="DE33" s="40">
        <f ca="1" t="shared" si="8"/>
        <v>1</v>
      </c>
      <c r="DF33" s="40">
        <f ca="1" t="shared" si="9"/>
        <v>1</v>
      </c>
      <c r="DG33" s="40">
        <f ca="1" t="shared" si="10"/>
        <v>1</v>
      </c>
      <c r="DH33" s="40">
        <f ca="1" t="shared" si="11"/>
        <v>1</v>
      </c>
      <c r="DI33" s="40">
        <f ca="1" t="shared" si="12"/>
        <v>1</v>
      </c>
      <c r="DJ33" s="40">
        <f ca="1" t="shared" si="13"/>
        <v>1</v>
      </c>
      <c r="DK33" s="40">
        <f ca="1" t="shared" si="14"/>
        <v>1</v>
      </c>
      <c r="DL33" s="40">
        <f ca="1" t="shared" si="15"/>
        <v>1</v>
      </c>
      <c r="DM33" s="40">
        <f ca="1" t="shared" si="16"/>
        <v>1</v>
      </c>
      <c r="DN33" s="40">
        <f ca="1" t="shared" si="17"/>
        <v>1</v>
      </c>
      <c r="DO33" s="40">
        <f ca="1" t="shared" si="18"/>
        <v>1</v>
      </c>
      <c r="DP33" s="40">
        <f ca="1" t="shared" si="19"/>
        <v>1</v>
      </c>
      <c r="DQ33" s="40">
        <f ca="1" t="shared" si="20"/>
        <v>1</v>
      </c>
      <c r="DR33" s="40">
        <f ca="1" t="shared" si="21"/>
        <v>1</v>
      </c>
      <c r="DS33" s="40">
        <f ca="1" t="shared" si="22"/>
        <v>1</v>
      </c>
      <c r="DT33" s="40">
        <f ca="1" t="shared" si="23"/>
        <v>1</v>
      </c>
      <c r="DU33" s="40">
        <f ca="1" t="shared" si="24"/>
        <v>1</v>
      </c>
      <c r="DV33" s="40">
        <f ca="1" t="shared" si="25"/>
        <v>1</v>
      </c>
      <c r="DW33" s="40">
        <f ca="1" t="shared" si="26"/>
        <v>1</v>
      </c>
      <c r="DX33" s="40">
        <f ca="1" t="shared" si="27"/>
        <v>1</v>
      </c>
      <c r="DY33" s="40">
        <f ca="1" t="shared" si="28"/>
        <v>1</v>
      </c>
      <c r="DZ33" s="40">
        <f ca="1" t="shared" si="29"/>
        <v>1</v>
      </c>
      <c r="EA33" s="40">
        <f ca="1" t="shared" si="30"/>
        <v>1</v>
      </c>
      <c r="EB33" s="40">
        <f ca="1" t="shared" si="31"/>
        <v>1</v>
      </c>
      <c r="EC33" s="40">
        <f ca="1" t="shared" si="32"/>
        <v>1</v>
      </c>
      <c r="ED33" s="40">
        <f ca="1" t="shared" si="33"/>
        <v>1</v>
      </c>
      <c r="EE33" s="40">
        <f ca="1" t="shared" si="34"/>
        <v>1</v>
      </c>
      <c r="EF33" s="40">
        <f ca="1" t="shared" si="35"/>
        <v>1</v>
      </c>
      <c r="EG33" s="40">
        <f ca="1" t="shared" si="36"/>
        <v>1</v>
      </c>
      <c r="EH33" s="40">
        <f ca="1" t="shared" si="37"/>
        <v>1</v>
      </c>
      <c r="EI33" s="40">
        <f ca="1" t="shared" si="38"/>
        <v>1</v>
      </c>
      <c r="EJ33" s="40">
        <f ca="1" t="shared" si="39"/>
        <v>1</v>
      </c>
      <c r="EK33" s="40">
        <f ca="1" t="shared" si="40"/>
        <v>1</v>
      </c>
      <c r="EL33" s="40">
        <f ca="1" t="shared" si="41"/>
        <v>1</v>
      </c>
      <c r="EM33" s="40">
        <f ca="1" t="shared" si="42"/>
        <v>1</v>
      </c>
      <c r="EN33" s="40">
        <f ca="1" t="shared" si="43"/>
        <v>1</v>
      </c>
      <c r="EO33" s="40">
        <f ca="1" t="shared" si="44"/>
        <v>1</v>
      </c>
      <c r="EP33" s="40">
        <f ca="1" t="shared" si="45"/>
        <v>1</v>
      </c>
      <c r="EQ33" s="40">
        <f ca="1" t="shared" si="46"/>
        <v>1</v>
      </c>
      <c r="ER33" s="40">
        <f ca="1" t="shared" si="47"/>
        <v>1</v>
      </c>
    </row>
    <row r="34" spans="1:148">
      <c r="A34">
        <v>1</v>
      </c>
      <c r="B34" t="str">
        <f>VLOOKUP(F34,'TRA balance'!$BA$5:$BB$14,2,FALSE)</f>
        <v>TRAGSL</v>
      </c>
      <c r="C34" s="56" t="str">
        <f t="shared" si="48"/>
        <v>TT</v>
      </c>
      <c r="D34" s="57" t="s">
        <v>192</v>
      </c>
      <c r="E34" s="57" t="s">
        <v>197</v>
      </c>
      <c r="F34" s="58" t="str">
        <f t="shared" si="62"/>
        <v>Gasoline</v>
      </c>
      <c r="G34" s="56" t="s">
        <v>198</v>
      </c>
      <c r="H34" s="59">
        <f ca="1">OFFSET(TIAM15_assumptions!$G34,0,MATCH(VLOOKUP(Assumptions!H$2,TIAM15_assumptions!$Y$3:$Z$87,2,FALSE),TIAM15_assumptions!$H$2:$V$2,0))</f>
        <v>0.5</v>
      </c>
      <c r="I34" s="59">
        <f ca="1">OFFSET(TIAM15_assumptions!$G34,0,MATCH(VLOOKUP(Assumptions!I$2,TIAM15_assumptions!$Y$3:$Z$87,2,FALSE),TIAM15_assumptions!$H$2:$V$2,0))</f>
        <v>0.5</v>
      </c>
      <c r="J34" s="59">
        <f ca="1">OFFSET(TIAM15_assumptions!$G34,0,MATCH(VLOOKUP(Assumptions!J$2,TIAM15_assumptions!$Y$3:$Z$87,2,FALSE),TIAM15_assumptions!$H$2:$V$2,0))</f>
        <v>0.5</v>
      </c>
      <c r="K34" s="59">
        <f ca="1">OFFSET(TIAM15_assumptions!$G34,0,MATCH(VLOOKUP(Assumptions!K$2,TIAM15_assumptions!$Y$3:$Z$87,2,FALSE),TIAM15_assumptions!$H$2:$V$2,0))</f>
        <v>0</v>
      </c>
      <c r="L34" s="59">
        <f ca="1">OFFSET(TIAM15_assumptions!$G34,0,MATCH(VLOOKUP(Assumptions!L$2,TIAM15_assumptions!$Y$3:$Z$87,2,FALSE),TIAM15_assumptions!$H$2:$V$2,0))</f>
        <v>0.5</v>
      </c>
      <c r="M34" s="59">
        <f ca="1">OFFSET(TIAM15_assumptions!$G34,0,MATCH(VLOOKUP(Assumptions!M$2,TIAM15_assumptions!$Y$3:$Z$87,2,FALSE),TIAM15_assumptions!$H$2:$V$2,0))</f>
        <v>0</v>
      </c>
      <c r="N34" s="59">
        <f ca="1">OFFSET(TIAM15_assumptions!$G34,0,MATCH(VLOOKUP(Assumptions!N$2,TIAM15_assumptions!$Y$3:$Z$87,2,FALSE),TIAM15_assumptions!$H$2:$V$2,0))</f>
        <v>0</v>
      </c>
      <c r="O34" s="59">
        <f ca="1">OFFSET(TIAM15_assumptions!$G34,0,MATCH(VLOOKUP(Assumptions!O$2,TIAM15_assumptions!$Y$3:$Z$87,2,FALSE),TIAM15_assumptions!$H$2:$V$2,0))</f>
        <v>0.5</v>
      </c>
      <c r="P34" s="59">
        <f ca="1">OFFSET(TIAM15_assumptions!$G34,0,MATCH(VLOOKUP(Assumptions!P$2,TIAM15_assumptions!$Y$3:$Z$87,2,FALSE),TIAM15_assumptions!$H$2:$V$2,0))</f>
        <v>0</v>
      </c>
      <c r="Q34" s="59">
        <f ca="1">OFFSET(TIAM15_assumptions!$G34,0,MATCH(VLOOKUP(Assumptions!Q$2,TIAM15_assumptions!$Y$3:$Z$87,2,FALSE),TIAM15_assumptions!$H$2:$V$2,0))</f>
        <v>0</v>
      </c>
      <c r="R34" s="59">
        <f ca="1">OFFSET(TIAM15_assumptions!$G34,0,MATCH(VLOOKUP(Assumptions!R$2,TIAM15_assumptions!$Y$3:$Z$87,2,FALSE),TIAM15_assumptions!$H$2:$V$2,0))</f>
        <v>0</v>
      </c>
      <c r="S34" s="59">
        <f ca="1">OFFSET(TIAM15_assumptions!$G34,0,MATCH(VLOOKUP(Assumptions!S$2,TIAM15_assumptions!$Y$3:$Z$87,2,FALSE),TIAM15_assumptions!$H$2:$V$2,0))</f>
        <v>0</v>
      </c>
      <c r="T34" s="59">
        <f ca="1">OFFSET(TIAM15_assumptions!$G34,0,MATCH(VLOOKUP(Assumptions!T$2,TIAM15_assumptions!$Y$3:$Z$87,2,FALSE),TIAM15_assumptions!$H$2:$V$2,0))</f>
        <v>0</v>
      </c>
      <c r="U34" s="59">
        <f ca="1">OFFSET(TIAM15_assumptions!$G34,0,MATCH(VLOOKUP(Assumptions!U$2,TIAM15_assumptions!$Y$3:$Z$87,2,FALSE),TIAM15_assumptions!$H$2:$V$2,0))</f>
        <v>0</v>
      </c>
      <c r="V34" s="59">
        <f ca="1">OFFSET(TIAM15_assumptions!$G34,0,MATCH(VLOOKUP(Assumptions!V$2,TIAM15_assumptions!$Y$3:$Z$87,2,FALSE),TIAM15_assumptions!$H$2:$V$2,0))</f>
        <v>0</v>
      </c>
      <c r="W34" s="59">
        <f ca="1">OFFSET(TIAM15_assumptions!$G34,0,MATCH(VLOOKUP(Assumptions!W$2,TIAM15_assumptions!$Y$3:$Z$87,2,FALSE),TIAM15_assumptions!$H$2:$V$2,0))</f>
        <v>0</v>
      </c>
      <c r="X34" s="59">
        <f ca="1">OFFSET(TIAM15_assumptions!$G34,0,MATCH(VLOOKUP(Assumptions!X$2,TIAM15_assumptions!$Y$3:$Z$87,2,FALSE),TIAM15_assumptions!$H$2:$V$2,0))</f>
        <v>0</v>
      </c>
      <c r="Y34" s="59">
        <f ca="1">OFFSET(TIAM15_assumptions!$G34,0,MATCH(VLOOKUP(Assumptions!Y$2,TIAM15_assumptions!$Y$3:$Z$87,2,FALSE),TIAM15_assumptions!$H$2:$V$2,0))</f>
        <v>0</v>
      </c>
      <c r="Z34" s="59">
        <f ca="1">OFFSET(TIAM15_assumptions!$G34,0,MATCH(VLOOKUP(Assumptions!Z$2,TIAM15_assumptions!$Y$3:$Z$87,2,FALSE),TIAM15_assumptions!$H$2:$V$2,0))</f>
        <v>0.93</v>
      </c>
      <c r="AA34" s="59">
        <f ca="1">OFFSET(TIAM15_assumptions!$G34,0,MATCH(VLOOKUP(Assumptions!AA$2,TIAM15_assumptions!$Y$3:$Z$87,2,FALSE),TIAM15_assumptions!$H$2:$V$2,0))</f>
        <v>0</v>
      </c>
      <c r="AB34" s="59">
        <f ca="1">OFFSET(TIAM15_assumptions!$G34,0,MATCH(VLOOKUP(Assumptions!AB$2,TIAM15_assumptions!$Y$3:$Z$87,2,FALSE),TIAM15_assumptions!$H$2:$V$2,0))</f>
        <v>0</v>
      </c>
      <c r="AC34" s="59">
        <f ca="1">OFFSET(TIAM15_assumptions!$G34,0,MATCH(VLOOKUP(Assumptions!AC$2,TIAM15_assumptions!$Y$3:$Z$87,2,FALSE),TIAM15_assumptions!$H$2:$V$2,0))</f>
        <v>0.5</v>
      </c>
      <c r="AD34" s="59">
        <f ca="1">OFFSET(TIAM15_assumptions!$G34,0,MATCH(VLOOKUP(Assumptions!AD$2,TIAM15_assumptions!$Y$3:$Z$87,2,FALSE),TIAM15_assumptions!$H$2:$V$2,0))</f>
        <v>0</v>
      </c>
      <c r="AE34" s="59">
        <f ca="1">OFFSET(TIAM15_assumptions!$G34,0,MATCH(VLOOKUP(Assumptions!AE$2,TIAM15_assumptions!$Y$3:$Z$87,2,FALSE),TIAM15_assumptions!$H$2:$V$2,0))</f>
        <v>0</v>
      </c>
      <c r="AF34" s="59">
        <f ca="1">OFFSET(TIAM15_assumptions!$G34,0,MATCH(VLOOKUP(Assumptions!AF$2,TIAM15_assumptions!$Y$3:$Z$87,2,FALSE),TIAM15_assumptions!$H$2:$V$2,0))</f>
        <v>0.5</v>
      </c>
      <c r="AG34" s="59">
        <f ca="1">OFFSET(TIAM15_assumptions!$G34,0,MATCH(VLOOKUP(Assumptions!AG$2,TIAM15_assumptions!$Y$3:$Z$87,2,FALSE),TIAM15_assumptions!$H$2:$V$2,0))</f>
        <v>0.5</v>
      </c>
      <c r="AH34" s="59">
        <f ca="1">OFFSET(TIAM15_assumptions!$G34,0,MATCH(VLOOKUP(Assumptions!AH$2,TIAM15_assumptions!$Y$3:$Z$87,2,FALSE),TIAM15_assumptions!$H$2:$V$2,0))</f>
        <v>0</v>
      </c>
      <c r="AI34" s="59">
        <f ca="1">OFFSET(TIAM15_assumptions!$G34,0,MATCH(VLOOKUP(Assumptions!AI$2,TIAM15_assumptions!$Y$3:$Z$87,2,FALSE),TIAM15_assumptions!$H$2:$V$2,0))</f>
        <v>0.5</v>
      </c>
      <c r="AJ34" s="59">
        <f ca="1">OFFSET(TIAM15_assumptions!$G34,0,MATCH(VLOOKUP(Assumptions!AJ$2,TIAM15_assumptions!$Y$3:$Z$87,2,FALSE),TIAM15_assumptions!$H$2:$V$2,0))</f>
        <v>0</v>
      </c>
      <c r="AK34" s="59">
        <f ca="1">OFFSET(TIAM15_assumptions!$G34,0,MATCH(VLOOKUP(Assumptions!AK$2,TIAM15_assumptions!$Y$3:$Z$87,2,FALSE),TIAM15_assumptions!$H$2:$V$2,0))</f>
        <v>0</v>
      </c>
      <c r="AL34" s="59">
        <f ca="1">OFFSET(TIAM15_assumptions!$G34,0,MATCH(VLOOKUP(Assumptions!AL$2,TIAM15_assumptions!$Y$3:$Z$87,2,FALSE),TIAM15_assumptions!$H$2:$V$2,0))</f>
        <v>0</v>
      </c>
      <c r="AM34" s="59">
        <f ca="1">OFFSET(TIAM15_assumptions!$G34,0,MATCH(VLOOKUP(Assumptions!AM$2,TIAM15_assumptions!$Y$3:$Z$87,2,FALSE),TIAM15_assumptions!$H$2:$V$2,0))</f>
        <v>0</v>
      </c>
      <c r="AN34" s="59">
        <f ca="1">OFFSET(TIAM15_assumptions!$G34,0,MATCH(VLOOKUP(Assumptions!AN$2,TIAM15_assumptions!$Y$3:$Z$87,2,FALSE),TIAM15_assumptions!$H$2:$V$2,0))</f>
        <v>0</v>
      </c>
      <c r="AO34" s="59">
        <f ca="1">OFFSET(TIAM15_assumptions!$G34,0,MATCH(VLOOKUP(Assumptions!AO$2,TIAM15_assumptions!$Y$3:$Z$87,2,FALSE),TIAM15_assumptions!$H$2:$V$2,0))</f>
        <v>0.5</v>
      </c>
      <c r="AP34" s="59">
        <f ca="1">OFFSET(TIAM15_assumptions!$G34,0,MATCH(VLOOKUP(Assumptions!AP$2,TIAM15_assumptions!$Y$3:$Z$87,2,FALSE),TIAM15_assumptions!$H$2:$V$2,0))</f>
        <v>0</v>
      </c>
      <c r="AQ34" s="59">
        <f ca="1">OFFSET(TIAM15_assumptions!$G34,0,MATCH(VLOOKUP(Assumptions!AQ$2,TIAM15_assumptions!$Y$3:$Z$87,2,FALSE),TIAM15_assumptions!$H$2:$V$2,0))</f>
        <v>0.5</v>
      </c>
      <c r="AR34" s="59">
        <f ca="1">OFFSET(TIAM15_assumptions!$G34,0,MATCH(VLOOKUP(Assumptions!AR$2,TIAM15_assumptions!$Y$3:$Z$87,2,FALSE),TIAM15_assumptions!$H$2:$V$2,0))</f>
        <v>0.5</v>
      </c>
      <c r="AS34" s="59">
        <f ca="1">OFFSET(TIAM15_assumptions!$G34,0,MATCH(VLOOKUP(Assumptions!AS$2,TIAM15_assumptions!$Y$3:$Z$87,2,FALSE),TIAM15_assumptions!$H$2:$V$2,0))</f>
        <v>0.5</v>
      </c>
      <c r="AT34" s="59">
        <f ca="1">OFFSET(TIAM15_assumptions!$G34,0,MATCH(VLOOKUP(Assumptions!AT$2,TIAM15_assumptions!$Y$3:$Z$87,2,FALSE),TIAM15_assumptions!$H$2:$V$2,0))</f>
        <v>0.5</v>
      </c>
      <c r="AU34" s="59">
        <f ca="1">OFFSET(TIAM15_assumptions!$G34,0,MATCH(VLOOKUP(Assumptions!AU$2,TIAM15_assumptions!$Y$3:$Z$87,2,FALSE),TIAM15_assumptions!$H$2:$V$2,0))</f>
        <v>0.5</v>
      </c>
      <c r="AV34" s="59">
        <f ca="1">OFFSET(TIAM15_assumptions!$G34,0,MATCH(VLOOKUP(Assumptions!AV$2,TIAM15_assumptions!$Y$3:$Z$87,2,FALSE),TIAM15_assumptions!$H$2:$V$2,0))</f>
        <v>0.5</v>
      </c>
      <c r="AW34" s="59">
        <f ca="1">OFFSET(TIAM15_assumptions!$G34,0,MATCH(VLOOKUP(Assumptions!AW$2,TIAM15_assumptions!$Y$3:$Z$87,2,FALSE),TIAM15_assumptions!$H$2:$V$2,0))</f>
        <v>0.5</v>
      </c>
      <c r="AX34" s="59">
        <f ca="1">OFFSET(TIAM15_assumptions!$G34,0,MATCH(VLOOKUP(Assumptions!AX$2,TIAM15_assumptions!$Y$3:$Z$87,2,FALSE),TIAM15_assumptions!$H$2:$V$2,0))</f>
        <v>0.5</v>
      </c>
      <c r="AY34" s="59">
        <f ca="1">OFFSET(TIAM15_assumptions!$G34,0,MATCH(VLOOKUP(Assumptions!AY$2,TIAM15_assumptions!$Y$3:$Z$87,2,FALSE),TIAM15_assumptions!$H$2:$V$2,0))</f>
        <v>0.5</v>
      </c>
      <c r="AZ34" s="59">
        <f ca="1">OFFSET(TIAM15_assumptions!$G34,0,MATCH(VLOOKUP(Assumptions!AZ$2,TIAM15_assumptions!$Y$3:$Z$87,2,FALSE),TIAM15_assumptions!$H$2:$V$2,0))</f>
        <v>0.5</v>
      </c>
      <c r="BA34" s="59">
        <f ca="1">OFFSET(TIAM15_assumptions!$G34,0,MATCH(VLOOKUP(Assumptions!BA$2,TIAM15_assumptions!$Y$3:$Z$87,2,FALSE),TIAM15_assumptions!$H$2:$V$2,0))</f>
        <v>0.5</v>
      </c>
      <c r="BD34" s="41">
        <f ca="1">IFERROR(SUMIFS('TRA balance'!E$5:E$40,'TRA balance'!$C$5:$C$40,Assumptions!$C34,'TRA balance'!$D$5:$D$40,Assumptions!$B34)*CY34*H34,"")</f>
        <v>0</v>
      </c>
      <c r="BE34" s="41">
        <f ca="1">IFERROR(SUMIFS('TRA balance'!F$5:F$40,'TRA balance'!$C$5:$C$40,Assumptions!$C34,'TRA balance'!$D$5:$D$40,Assumptions!$B34)*CZ34*I34,"")</f>
        <v>0</v>
      </c>
      <c r="BF34" s="41">
        <f ca="1">IFERROR(SUMIFS('TRA balance'!G$5:G$40,'TRA balance'!$C$5:$C$40,Assumptions!$C34,'TRA balance'!$D$5:$D$40,Assumptions!$B34)*DA34*J34,"")</f>
        <v>0.0222779628</v>
      </c>
      <c r="BG34" s="41">
        <f ca="1">IFERROR(SUMIFS('TRA balance'!H$5:H$40,'TRA balance'!$C$5:$C$40,Assumptions!$C34,'TRA balance'!$D$5:$D$40,Assumptions!$B34)*DB34*K34,"")</f>
        <v>0</v>
      </c>
      <c r="BH34" s="41">
        <f ca="1">IFERROR(SUMIFS('TRA balance'!I$5:I$40,'TRA balance'!$C$5:$C$40,Assumptions!$C34,'TRA balance'!$D$5:$D$40,Assumptions!$B34)*DC34*L34,"")</f>
        <v>0</v>
      </c>
      <c r="BI34" s="41">
        <f ca="1">IFERROR(SUMIFS('TRA balance'!J$5:J$40,'TRA balance'!$C$5:$C$40,Assumptions!$C34,'TRA balance'!$D$5:$D$40,Assumptions!$B34)*DD34*M34,"")</f>
        <v>0</v>
      </c>
      <c r="BJ34" s="41">
        <f ca="1">IFERROR(SUMIFS('TRA balance'!K$5:K$40,'TRA balance'!$C$5:$C$40,Assumptions!$C34,'TRA balance'!$D$5:$D$40,Assumptions!$B34)*DE34*N34,"")</f>
        <v>0</v>
      </c>
      <c r="BK34" s="41">
        <f ca="1">IFERROR(SUMIFS('TRA balance'!L$5:L$40,'TRA balance'!$C$5:$C$40,Assumptions!$C34,'TRA balance'!$D$5:$D$40,Assumptions!$B34)*DF34*O34,"")</f>
        <v>0</v>
      </c>
      <c r="BL34" s="41">
        <f ca="1">IFERROR(SUMIFS('TRA balance'!M$5:M$40,'TRA balance'!$C$5:$C$40,Assumptions!$C34,'TRA balance'!$D$5:$D$40,Assumptions!$B34)*DG34*P34,"")</f>
        <v>0</v>
      </c>
      <c r="BM34" s="41">
        <f ca="1">IFERROR(SUMIFS('TRA balance'!N$5:N$40,'TRA balance'!$C$5:$C$40,Assumptions!$C34,'TRA balance'!$D$5:$D$40,Assumptions!$B34)*DH34*Q34,"")</f>
        <v>0</v>
      </c>
      <c r="BN34" s="41">
        <f ca="1">IFERROR(SUMIFS('TRA balance'!O$5:O$40,'TRA balance'!$C$5:$C$40,Assumptions!$C34,'TRA balance'!$D$5:$D$40,Assumptions!$B34)*DI34*R34,"")</f>
        <v>0</v>
      </c>
      <c r="BO34" s="41">
        <f ca="1">IFERROR(SUMIFS('TRA balance'!P$5:P$40,'TRA balance'!$C$5:$C$40,Assumptions!$C34,'TRA balance'!$D$5:$D$40,Assumptions!$B34)*DJ34*S34,"")</f>
        <v>0</v>
      </c>
      <c r="BP34" s="41">
        <f ca="1">IFERROR(SUMIFS('TRA balance'!Q$5:Q$40,'TRA balance'!$C$5:$C$40,Assumptions!$C34,'TRA balance'!$D$5:$D$40,Assumptions!$B34)*DK34*T34,"")</f>
        <v>0</v>
      </c>
      <c r="BQ34" s="41">
        <f ca="1">IFERROR(SUMIFS('TRA balance'!R$5:R$40,'TRA balance'!$C$5:$C$40,Assumptions!$C34,'TRA balance'!$D$5:$D$40,Assumptions!$B34)*DL34*U34,"")</f>
        <v>0</v>
      </c>
      <c r="BR34" s="41">
        <f ca="1">IFERROR(SUMIFS('TRA balance'!S$5:S$40,'TRA balance'!$C$5:$C$40,Assumptions!$C34,'TRA balance'!$D$5:$D$40,Assumptions!$B34)*DM34*V34,"")</f>
        <v>0</v>
      </c>
      <c r="BS34" s="41">
        <f ca="1">IFERROR(SUMIFS('TRA balance'!T$5:T$40,'TRA balance'!$C$5:$C$40,Assumptions!$C34,'TRA balance'!$D$5:$D$40,Assumptions!$B34)*DN34*W34,"")</f>
        <v>0</v>
      </c>
      <c r="BT34" s="41">
        <f ca="1">IFERROR(SUMIFS('TRA balance'!U$5:U$40,'TRA balance'!$C$5:$C$40,Assumptions!$C34,'TRA balance'!$D$5:$D$40,Assumptions!$B34)*DO34*X34,"")</f>
        <v>0</v>
      </c>
      <c r="BU34" s="41">
        <f ca="1">IFERROR(SUMIFS('TRA balance'!V$5:V$40,'TRA balance'!$C$5:$C$40,Assumptions!$C34,'TRA balance'!$D$5:$D$40,Assumptions!$B34)*DP34*Y34,"")</f>
        <v>0</v>
      </c>
      <c r="BV34" s="41">
        <f ca="1">IFERROR(SUMIFS('TRA balance'!W$5:W$40,'TRA balance'!$C$5:$C$40,Assumptions!$C34,'TRA balance'!$D$5:$D$40,Assumptions!$B34)*DQ34*Z34,"")</f>
        <v>0</v>
      </c>
      <c r="BW34" s="41">
        <f ca="1">IFERROR(SUMIFS('TRA balance'!X$5:X$40,'TRA balance'!$C$5:$C$40,Assumptions!$C34,'TRA balance'!$D$5:$D$40,Assumptions!$B34)*DR34*AA34,"")</f>
        <v>0</v>
      </c>
      <c r="BX34" s="41">
        <f ca="1">IFERROR(SUMIFS('TRA balance'!Y$5:Y$40,'TRA balance'!$C$5:$C$40,Assumptions!$C34,'TRA balance'!$D$5:$D$40,Assumptions!$B34)*DS34*AB34,"")</f>
        <v>0</v>
      </c>
      <c r="BY34" s="41">
        <f ca="1">IFERROR(SUMIFS('TRA balance'!Z$5:Z$40,'TRA balance'!$C$5:$C$40,Assumptions!$C34,'TRA balance'!$D$5:$D$40,Assumptions!$B34)*DT34*AC34,"")</f>
        <v>0</v>
      </c>
      <c r="BZ34" s="41">
        <f ca="1">IFERROR(SUMIFS('TRA balance'!AA$5:AA$40,'TRA balance'!$C$5:$C$40,Assumptions!$C34,'TRA balance'!$D$5:$D$40,Assumptions!$B34)*DU34*AD34,"")</f>
        <v>0</v>
      </c>
      <c r="CA34" s="41">
        <f ca="1">IFERROR(SUMIFS('TRA balance'!AB$5:AB$40,'TRA balance'!$C$5:$C$40,Assumptions!$C34,'TRA balance'!$D$5:$D$40,Assumptions!$B34)*DV34*AE34,"")</f>
        <v>0</v>
      </c>
      <c r="CB34" s="41">
        <f ca="1">IFERROR(SUMIFS('TRA balance'!AC$5:AC$40,'TRA balance'!$C$5:$C$40,Assumptions!$C34,'TRA balance'!$D$5:$D$40,Assumptions!$B34)*DW34*AF34,"")</f>
        <v>0.0413383698</v>
      </c>
      <c r="CC34" s="41">
        <f ca="1">IFERROR(SUMIFS('TRA balance'!AD$5:AD$40,'TRA balance'!$C$5:$C$40,Assumptions!$C34,'TRA balance'!$D$5:$D$40,Assumptions!$B34)*DX34*AG34,"")</f>
        <v>0.5984004834</v>
      </c>
      <c r="CD34" s="41">
        <f ca="1">IFERROR(SUMIFS('TRA balance'!AE$5:AE$40,'TRA balance'!$C$5:$C$40,Assumptions!$C34,'TRA balance'!$D$5:$D$40,Assumptions!$B34)*DY34*AH34,"")</f>
        <v>0</v>
      </c>
      <c r="CE34" s="41">
        <f ca="1">IFERROR(SUMIFS('TRA balance'!AF$5:AF$40,'TRA balance'!$C$5:$C$40,Assumptions!$C34,'TRA balance'!$D$5:$D$40,Assumptions!$B34)*DZ34*AI34,"")</f>
        <v>0.6686026524</v>
      </c>
      <c r="CF34" s="41">
        <f ca="1">IFERROR(SUMIFS('TRA balance'!AG$5:AG$40,'TRA balance'!$C$5:$C$40,Assumptions!$C34,'TRA balance'!$D$5:$D$40,Assumptions!$B34)*EA34*AJ34,"")</f>
        <v>0</v>
      </c>
      <c r="CG34" s="41">
        <f ca="1">IFERROR(SUMIFS('TRA balance'!AH$5:AH$40,'TRA balance'!$C$5:$C$40,Assumptions!$C34,'TRA balance'!$D$5:$D$40,Assumptions!$B34)*EB34*AK34,"")</f>
        <v>0</v>
      </c>
      <c r="CH34" s="41">
        <f ca="1">IFERROR(SUMIFS('TRA balance'!AI$5:AI$40,'TRA balance'!$C$5:$C$40,Assumptions!$C34,'TRA balance'!$D$5:$D$40,Assumptions!$B34)*EC34*AL34,"")</f>
        <v>0</v>
      </c>
      <c r="CI34" s="41">
        <f ca="1">IFERROR(SUMIFS('TRA balance'!AJ$5:AJ$40,'TRA balance'!$C$5:$C$40,Assumptions!$C34,'TRA balance'!$D$5:$D$40,Assumptions!$B34)*ED34*AM34,"")</f>
        <v>0</v>
      </c>
      <c r="CJ34" s="41">
        <f ca="1">IFERROR(SUMIFS('TRA balance'!AK$5:AK$40,'TRA balance'!$C$5:$C$40,Assumptions!$C34,'TRA balance'!$D$5:$D$40,Assumptions!$B34)*EE34*AN34,"")</f>
        <v>0</v>
      </c>
      <c r="CK34" s="41">
        <f ca="1">IFERROR(SUMIFS('TRA balance'!AL$5:AL$40,'TRA balance'!$C$5:$C$40,Assumptions!$C34,'TRA balance'!$D$5:$D$40,Assumptions!$B34)*EF34*AO34,"")</f>
        <v>0</v>
      </c>
      <c r="CL34" s="41">
        <f ca="1">IFERROR(SUMIFS('TRA balance'!AM$5:AM$40,'TRA balance'!$C$5:$C$40,Assumptions!$C34,'TRA balance'!$D$5:$D$40,Assumptions!$B34)*EG34*AP34,"")</f>
        <v>0</v>
      </c>
      <c r="CM34" s="41">
        <f ca="1">IFERROR(SUMIFS('TRA balance'!AN$5:AN$40,'TRA balance'!$C$5:$C$40,Assumptions!$C34,'TRA balance'!$D$5:$D$40,Assumptions!$B34)*EH34*AQ34,"")</f>
        <v>0</v>
      </c>
      <c r="CN34" s="41">
        <f ca="1">IFERROR(SUMIFS('TRA balance'!AO$5:AO$40,'TRA balance'!$C$5:$C$40,Assumptions!$C34,'TRA balance'!$D$5:$D$40,Assumptions!$B34)*EI34*AR34,"")</f>
        <v>0</v>
      </c>
      <c r="CO34" s="41">
        <f ca="1">IFERROR(SUMIFS('TRA balance'!AP$5:AP$40,'TRA balance'!$C$5:$C$40,Assumptions!$C34,'TRA balance'!$D$5:$D$40,Assumptions!$B34)*EJ34*AS34,"")</f>
        <v>0</v>
      </c>
      <c r="CP34" s="41">
        <f ca="1">IFERROR(SUMIFS('TRA balance'!AQ$5:AQ$40,'TRA balance'!$C$5:$C$40,Assumptions!$C34,'TRA balance'!$D$5:$D$40,Assumptions!$B34)*EK34*AT34,"")</f>
        <v>0</v>
      </c>
      <c r="CQ34" s="41">
        <f ca="1">IFERROR(SUMIFS('TRA balance'!AR$5:AR$40,'TRA balance'!$C$5:$C$40,Assumptions!$C34,'TRA balance'!$D$5:$D$40,Assumptions!$B34)*EL34*AU34,"")</f>
        <v>0</v>
      </c>
      <c r="CR34" s="41">
        <f ca="1">IFERROR(SUMIFS('TRA balance'!AS$5:AS$40,'TRA balance'!$C$5:$C$40,Assumptions!$C34,'TRA balance'!$D$5:$D$40,Assumptions!$B34)*EM34*AV34,"")</f>
        <v>0</v>
      </c>
      <c r="CS34" s="41">
        <f ca="1">IFERROR(SUMIFS('TRA balance'!AT$5:AT$40,'TRA balance'!$C$5:$C$40,Assumptions!$C34,'TRA balance'!$D$5:$D$40,Assumptions!$B34)*EN34*AW34,"")</f>
        <v>0</v>
      </c>
      <c r="CT34" s="41">
        <f ca="1">IFERROR(SUMIFS('TRA balance'!AU$5:AU$40,'TRA balance'!$C$5:$C$40,Assumptions!$C34,'TRA balance'!$D$5:$D$40,Assumptions!$B34)*EO34*AX34,"")</f>
        <v>0</v>
      </c>
      <c r="CU34" s="41">
        <f ca="1">IFERROR(SUMIFS('TRA balance'!AV$5:AV$40,'TRA balance'!$C$5:$C$40,Assumptions!$C34,'TRA balance'!$D$5:$D$40,Assumptions!$B34)*EP34*AY34,"")</f>
        <v>0</v>
      </c>
      <c r="CV34" s="41">
        <f ca="1">IFERROR(SUMIFS('TRA balance'!AW$5:AW$40,'TRA balance'!$C$5:$C$40,Assumptions!$C34,'TRA balance'!$D$5:$D$40,Assumptions!$B34)*EQ34*AZ34,"")</f>
        <v>0</v>
      </c>
      <c r="CW34" s="41">
        <f ca="1">IFERROR(SUMIFS('TRA balance'!AX$5:AX$40,'TRA balance'!$C$5:$C$40,Assumptions!$C34,'TRA balance'!$D$5:$D$40,Assumptions!$B34)*ER34*BA34,"")</f>
        <v>0</v>
      </c>
      <c r="CY34" s="40">
        <f ca="1" t="shared" si="2"/>
        <v>1</v>
      </c>
      <c r="CZ34" s="40">
        <f ca="1" t="shared" si="3"/>
        <v>1</v>
      </c>
      <c r="DA34" s="40">
        <f ca="1" t="shared" si="4"/>
        <v>1</v>
      </c>
      <c r="DB34" s="40">
        <f ca="1" t="shared" si="5"/>
        <v>1</v>
      </c>
      <c r="DC34" s="40">
        <f ca="1" t="shared" si="6"/>
        <v>1</v>
      </c>
      <c r="DD34" s="40">
        <f ca="1" t="shared" si="7"/>
        <v>1</v>
      </c>
      <c r="DE34" s="40">
        <f ca="1" t="shared" si="8"/>
        <v>1</v>
      </c>
      <c r="DF34" s="40">
        <f ca="1" t="shared" si="9"/>
        <v>1</v>
      </c>
      <c r="DG34" s="40">
        <f ca="1" t="shared" si="10"/>
        <v>1</v>
      </c>
      <c r="DH34" s="40">
        <f ca="1" t="shared" si="11"/>
        <v>1</v>
      </c>
      <c r="DI34" s="40">
        <f ca="1" t="shared" si="12"/>
        <v>1</v>
      </c>
      <c r="DJ34" s="40">
        <f ca="1" t="shared" si="13"/>
        <v>1</v>
      </c>
      <c r="DK34" s="40">
        <f ca="1" t="shared" si="14"/>
        <v>1</v>
      </c>
      <c r="DL34" s="40">
        <f ca="1" t="shared" si="15"/>
        <v>1</v>
      </c>
      <c r="DM34" s="40">
        <f ca="1" t="shared" si="16"/>
        <v>1</v>
      </c>
      <c r="DN34" s="40">
        <f ca="1" t="shared" si="17"/>
        <v>1</v>
      </c>
      <c r="DO34" s="40">
        <f ca="1" t="shared" si="18"/>
        <v>1</v>
      </c>
      <c r="DP34" s="40">
        <f ca="1" t="shared" si="19"/>
        <v>1</v>
      </c>
      <c r="DQ34" s="40">
        <f ca="1" t="shared" si="20"/>
        <v>1</v>
      </c>
      <c r="DR34" s="40">
        <f ca="1" t="shared" si="21"/>
        <v>1</v>
      </c>
      <c r="DS34" s="40">
        <f ca="1" t="shared" si="22"/>
        <v>1</v>
      </c>
      <c r="DT34" s="40">
        <f ca="1" t="shared" si="23"/>
        <v>1</v>
      </c>
      <c r="DU34" s="40">
        <f ca="1" t="shared" si="24"/>
        <v>1</v>
      </c>
      <c r="DV34" s="40">
        <f ca="1" t="shared" si="25"/>
        <v>1</v>
      </c>
      <c r="DW34" s="40">
        <f ca="1" t="shared" si="26"/>
        <v>1</v>
      </c>
      <c r="DX34" s="40">
        <f ca="1" t="shared" si="27"/>
        <v>1</v>
      </c>
      <c r="DY34" s="40">
        <f ca="1" t="shared" si="28"/>
        <v>1</v>
      </c>
      <c r="DZ34" s="40">
        <f ca="1" t="shared" si="29"/>
        <v>1</v>
      </c>
      <c r="EA34" s="40">
        <f ca="1" t="shared" si="30"/>
        <v>1</v>
      </c>
      <c r="EB34" s="40">
        <f ca="1" t="shared" si="31"/>
        <v>1</v>
      </c>
      <c r="EC34" s="40">
        <f ca="1" t="shared" si="32"/>
        <v>1</v>
      </c>
      <c r="ED34" s="40">
        <f ca="1" t="shared" si="33"/>
        <v>1</v>
      </c>
      <c r="EE34" s="40">
        <f ca="1" t="shared" si="34"/>
        <v>1</v>
      </c>
      <c r="EF34" s="40">
        <f ca="1" t="shared" si="35"/>
        <v>1</v>
      </c>
      <c r="EG34" s="40">
        <f ca="1" t="shared" si="36"/>
        <v>1</v>
      </c>
      <c r="EH34" s="40">
        <f ca="1" t="shared" si="37"/>
        <v>1</v>
      </c>
      <c r="EI34" s="40">
        <f ca="1" t="shared" si="38"/>
        <v>1</v>
      </c>
      <c r="EJ34" s="40">
        <f ca="1" t="shared" si="39"/>
        <v>1</v>
      </c>
      <c r="EK34" s="40">
        <f ca="1" t="shared" si="40"/>
        <v>1</v>
      </c>
      <c r="EL34" s="40">
        <f ca="1" t="shared" si="41"/>
        <v>1</v>
      </c>
      <c r="EM34" s="40">
        <f ca="1" t="shared" si="42"/>
        <v>1</v>
      </c>
      <c r="EN34" s="40">
        <f ca="1" t="shared" si="43"/>
        <v>1</v>
      </c>
      <c r="EO34" s="40">
        <f ca="1" t="shared" si="44"/>
        <v>1</v>
      </c>
      <c r="EP34" s="40">
        <f ca="1" t="shared" si="45"/>
        <v>1</v>
      </c>
      <c r="EQ34" s="40">
        <f ca="1" t="shared" si="46"/>
        <v>1</v>
      </c>
      <c r="ER34" s="40">
        <f ca="1" t="shared" si="47"/>
        <v>1</v>
      </c>
    </row>
    <row r="35" spans="1:148">
      <c r="A35">
        <v>1</v>
      </c>
      <c r="B35" t="str">
        <f>VLOOKUP(F35,'TRA balance'!$BA$5:$BB$14,2,FALSE)</f>
        <v>TRAGSL</v>
      </c>
      <c r="C35" s="60"/>
      <c r="D35" s="60"/>
      <c r="E35" s="61" t="s">
        <v>199</v>
      </c>
      <c r="F35" s="62" t="str">
        <f t="shared" si="62"/>
        <v>Gasoline</v>
      </c>
      <c r="G35" s="60"/>
      <c r="H35" s="61" t="str">
        <f ca="1" t="shared" ref="H35" si="64">IF(SUM(H33:H34)=1,"-","&lt;&gt;1!!")</f>
        <v>-</v>
      </c>
      <c r="I35" s="61" t="str">
        <f ca="1" t="shared" ref="I35:BA35" si="65">IF(SUM(I33:I34)=1,"-","&lt;&gt;1!!")</f>
        <v>-</v>
      </c>
      <c r="J35" s="61" t="str">
        <f ca="1" t="shared" si="65"/>
        <v>-</v>
      </c>
      <c r="K35" s="61" t="str">
        <f ca="1" t="shared" si="65"/>
        <v>-</v>
      </c>
      <c r="L35" s="61" t="str">
        <f ca="1" t="shared" si="65"/>
        <v>-</v>
      </c>
      <c r="M35" s="61" t="str">
        <f ca="1" t="shared" si="65"/>
        <v>-</v>
      </c>
      <c r="N35" s="61" t="str">
        <f ca="1" t="shared" si="65"/>
        <v>-</v>
      </c>
      <c r="O35" s="61" t="str">
        <f ca="1" t="shared" si="65"/>
        <v>-</v>
      </c>
      <c r="P35" s="61" t="str">
        <f ca="1" t="shared" si="65"/>
        <v>-</v>
      </c>
      <c r="Q35" s="61" t="str">
        <f ca="1" t="shared" si="65"/>
        <v>-</v>
      </c>
      <c r="R35" s="61" t="str">
        <f ca="1" t="shared" si="65"/>
        <v>-</v>
      </c>
      <c r="S35" s="61" t="str">
        <f ca="1" t="shared" si="65"/>
        <v>-</v>
      </c>
      <c r="T35" s="61" t="str">
        <f ca="1" t="shared" si="65"/>
        <v>-</v>
      </c>
      <c r="U35" s="61" t="str">
        <f ca="1" t="shared" si="65"/>
        <v>-</v>
      </c>
      <c r="V35" s="61" t="str">
        <f ca="1" t="shared" si="65"/>
        <v>-</v>
      </c>
      <c r="W35" s="61" t="str">
        <f ca="1" t="shared" si="65"/>
        <v>-</v>
      </c>
      <c r="X35" s="61" t="str">
        <f ca="1" t="shared" si="65"/>
        <v>-</v>
      </c>
      <c r="Y35" s="61" t="str">
        <f ca="1" t="shared" si="65"/>
        <v>-</v>
      </c>
      <c r="Z35" s="61" t="str">
        <f ca="1" t="shared" si="65"/>
        <v>-</v>
      </c>
      <c r="AA35" s="61" t="str">
        <f ca="1" t="shared" si="65"/>
        <v>-</v>
      </c>
      <c r="AB35" s="61" t="str">
        <f ca="1" t="shared" si="65"/>
        <v>-</v>
      </c>
      <c r="AC35" s="61" t="str">
        <f ca="1" t="shared" si="65"/>
        <v>-</v>
      </c>
      <c r="AD35" s="61" t="str">
        <f ca="1" t="shared" si="65"/>
        <v>-</v>
      </c>
      <c r="AE35" s="61" t="str">
        <f ca="1" t="shared" si="65"/>
        <v>-</v>
      </c>
      <c r="AF35" s="61" t="str">
        <f ca="1" t="shared" si="65"/>
        <v>-</v>
      </c>
      <c r="AG35" s="61" t="str">
        <f ca="1" t="shared" si="65"/>
        <v>-</v>
      </c>
      <c r="AH35" s="61" t="str">
        <f ca="1" t="shared" si="65"/>
        <v>-</v>
      </c>
      <c r="AI35" s="61" t="str">
        <f ca="1" t="shared" si="65"/>
        <v>-</v>
      </c>
      <c r="AJ35" s="61" t="str">
        <f ca="1" t="shared" si="65"/>
        <v>-</v>
      </c>
      <c r="AK35" s="61" t="str">
        <f ca="1" t="shared" si="65"/>
        <v>-</v>
      </c>
      <c r="AL35" s="61" t="str">
        <f ca="1" t="shared" si="65"/>
        <v>-</v>
      </c>
      <c r="AM35" s="61" t="str">
        <f ca="1" t="shared" si="65"/>
        <v>-</v>
      </c>
      <c r="AN35" s="61" t="str">
        <f ca="1" t="shared" si="65"/>
        <v>-</v>
      </c>
      <c r="AO35" s="61" t="str">
        <f ca="1" t="shared" si="65"/>
        <v>-</v>
      </c>
      <c r="AP35" s="61" t="str">
        <f ca="1" t="shared" si="65"/>
        <v>-</v>
      </c>
      <c r="AQ35" s="61" t="str">
        <f ca="1" t="shared" si="65"/>
        <v>-</v>
      </c>
      <c r="AR35" s="61" t="str">
        <f ca="1" t="shared" si="65"/>
        <v>-</v>
      </c>
      <c r="AS35" s="61" t="str">
        <f ca="1" t="shared" si="65"/>
        <v>-</v>
      </c>
      <c r="AT35" s="61" t="str">
        <f ca="1" t="shared" si="65"/>
        <v>-</v>
      </c>
      <c r="AU35" s="61" t="str">
        <f ca="1" t="shared" si="65"/>
        <v>-</v>
      </c>
      <c r="AV35" s="61" t="str">
        <f ca="1" t="shared" si="65"/>
        <v>-</v>
      </c>
      <c r="AW35" s="61" t="str">
        <f ca="1" t="shared" si="65"/>
        <v>-</v>
      </c>
      <c r="AX35" s="61" t="str">
        <f ca="1" t="shared" si="65"/>
        <v>-</v>
      </c>
      <c r="AY35" s="61" t="str">
        <f ca="1" t="shared" si="65"/>
        <v>-</v>
      </c>
      <c r="AZ35" s="61" t="str">
        <f ca="1" t="shared" si="65"/>
        <v>-</v>
      </c>
      <c r="BA35" s="61" t="str">
        <f ca="1" t="shared" si="65"/>
        <v>-</v>
      </c>
      <c r="BD35" s="41" t="str">
        <f ca="1">IFERROR(SUMIFS('TRA balance'!E$5:E$40,'TRA balance'!$C$5:$C$40,Assumptions!$C35,'TRA balance'!$D$5:$D$40,Assumptions!$B35)*CY35*H35,"")</f>
        <v/>
      </c>
      <c r="BE35" s="41" t="str">
        <f ca="1">IFERROR(SUMIFS('TRA balance'!F$5:F$40,'TRA balance'!$C$5:$C$40,Assumptions!$C35,'TRA balance'!$D$5:$D$40,Assumptions!$B35)*CZ35*I35,"")</f>
        <v/>
      </c>
      <c r="BF35" s="41" t="str">
        <f ca="1">IFERROR(SUMIFS('TRA balance'!G$5:G$40,'TRA balance'!$C$5:$C$40,Assumptions!$C35,'TRA balance'!$D$5:$D$40,Assumptions!$B35)*DA35*J35,"")</f>
        <v/>
      </c>
      <c r="BG35" s="41" t="str">
        <f ca="1">IFERROR(SUMIFS('TRA balance'!H$5:H$40,'TRA balance'!$C$5:$C$40,Assumptions!$C35,'TRA balance'!$D$5:$D$40,Assumptions!$B35)*DB35*K35,"")</f>
        <v/>
      </c>
      <c r="BH35" s="41" t="str">
        <f ca="1">IFERROR(SUMIFS('TRA balance'!I$5:I$40,'TRA balance'!$C$5:$C$40,Assumptions!$C35,'TRA balance'!$D$5:$D$40,Assumptions!$B35)*DC35*L35,"")</f>
        <v/>
      </c>
      <c r="BI35" s="41" t="str">
        <f ca="1">IFERROR(SUMIFS('TRA balance'!J$5:J$40,'TRA balance'!$C$5:$C$40,Assumptions!$C35,'TRA balance'!$D$5:$D$40,Assumptions!$B35)*DD35*M35,"")</f>
        <v/>
      </c>
      <c r="BJ35" s="41" t="str">
        <f ca="1">IFERROR(SUMIFS('TRA balance'!K$5:K$40,'TRA balance'!$C$5:$C$40,Assumptions!$C35,'TRA balance'!$D$5:$D$40,Assumptions!$B35)*DE35*N35,"")</f>
        <v/>
      </c>
      <c r="BK35" s="41" t="str">
        <f ca="1">IFERROR(SUMIFS('TRA balance'!L$5:L$40,'TRA balance'!$C$5:$C$40,Assumptions!$C35,'TRA balance'!$D$5:$D$40,Assumptions!$B35)*DF35*O35,"")</f>
        <v/>
      </c>
      <c r="BL35" s="41" t="str">
        <f ca="1">IFERROR(SUMIFS('TRA balance'!M$5:M$40,'TRA balance'!$C$5:$C$40,Assumptions!$C35,'TRA balance'!$D$5:$D$40,Assumptions!$B35)*DG35*P35,"")</f>
        <v/>
      </c>
      <c r="BM35" s="41" t="str">
        <f ca="1">IFERROR(SUMIFS('TRA balance'!N$5:N$40,'TRA balance'!$C$5:$C$40,Assumptions!$C35,'TRA balance'!$D$5:$D$40,Assumptions!$B35)*DH35*Q35,"")</f>
        <v/>
      </c>
      <c r="BN35" s="41" t="str">
        <f ca="1">IFERROR(SUMIFS('TRA balance'!O$5:O$40,'TRA balance'!$C$5:$C$40,Assumptions!$C35,'TRA balance'!$D$5:$D$40,Assumptions!$B35)*DI35*R35,"")</f>
        <v/>
      </c>
      <c r="BO35" s="41" t="str">
        <f ca="1">IFERROR(SUMIFS('TRA balance'!P$5:P$40,'TRA balance'!$C$5:$C$40,Assumptions!$C35,'TRA balance'!$D$5:$D$40,Assumptions!$B35)*DJ35*S35,"")</f>
        <v/>
      </c>
      <c r="BP35" s="41" t="str">
        <f ca="1">IFERROR(SUMIFS('TRA balance'!Q$5:Q$40,'TRA balance'!$C$5:$C$40,Assumptions!$C35,'TRA balance'!$D$5:$D$40,Assumptions!$B35)*DK35*T35,"")</f>
        <v/>
      </c>
      <c r="BQ35" s="41" t="str">
        <f ca="1">IFERROR(SUMIFS('TRA balance'!R$5:R$40,'TRA balance'!$C$5:$C$40,Assumptions!$C35,'TRA balance'!$D$5:$D$40,Assumptions!$B35)*DL35*U35,"")</f>
        <v/>
      </c>
      <c r="BR35" s="41" t="str">
        <f ca="1">IFERROR(SUMIFS('TRA balance'!S$5:S$40,'TRA balance'!$C$5:$C$40,Assumptions!$C35,'TRA balance'!$D$5:$D$40,Assumptions!$B35)*DM35*V35,"")</f>
        <v/>
      </c>
      <c r="BS35" s="41" t="str">
        <f ca="1">IFERROR(SUMIFS('TRA balance'!T$5:T$40,'TRA balance'!$C$5:$C$40,Assumptions!$C35,'TRA balance'!$D$5:$D$40,Assumptions!$B35)*DN35*W35,"")</f>
        <v/>
      </c>
      <c r="BT35" s="41" t="str">
        <f ca="1">IFERROR(SUMIFS('TRA balance'!U$5:U$40,'TRA balance'!$C$5:$C$40,Assumptions!$C35,'TRA balance'!$D$5:$D$40,Assumptions!$B35)*DO35*X35,"")</f>
        <v/>
      </c>
      <c r="BU35" s="41" t="str">
        <f ca="1">IFERROR(SUMIFS('TRA balance'!V$5:V$40,'TRA balance'!$C$5:$C$40,Assumptions!$C35,'TRA balance'!$D$5:$D$40,Assumptions!$B35)*DP35*Y35,"")</f>
        <v/>
      </c>
      <c r="BV35" s="41" t="str">
        <f ca="1">IFERROR(SUMIFS('TRA balance'!W$5:W$40,'TRA balance'!$C$5:$C$40,Assumptions!$C35,'TRA balance'!$D$5:$D$40,Assumptions!$B35)*DQ35*Z35,"")</f>
        <v/>
      </c>
      <c r="BW35" s="41" t="str">
        <f ca="1">IFERROR(SUMIFS('TRA balance'!X$5:X$40,'TRA balance'!$C$5:$C$40,Assumptions!$C35,'TRA balance'!$D$5:$D$40,Assumptions!$B35)*DR35*AA35,"")</f>
        <v/>
      </c>
      <c r="BX35" s="41" t="str">
        <f ca="1">IFERROR(SUMIFS('TRA balance'!Y$5:Y$40,'TRA balance'!$C$5:$C$40,Assumptions!$C35,'TRA balance'!$D$5:$D$40,Assumptions!$B35)*DS35*AB35,"")</f>
        <v/>
      </c>
      <c r="BY35" s="41" t="str">
        <f ca="1">IFERROR(SUMIFS('TRA balance'!Z$5:Z$40,'TRA balance'!$C$5:$C$40,Assumptions!$C35,'TRA balance'!$D$5:$D$40,Assumptions!$B35)*DT35*AC35,"")</f>
        <v/>
      </c>
      <c r="BZ35" s="41" t="str">
        <f ca="1">IFERROR(SUMIFS('TRA balance'!AA$5:AA$40,'TRA balance'!$C$5:$C$40,Assumptions!$C35,'TRA balance'!$D$5:$D$40,Assumptions!$B35)*DU35*AD35,"")</f>
        <v/>
      </c>
      <c r="CA35" s="41" t="str">
        <f ca="1">IFERROR(SUMIFS('TRA balance'!AB$5:AB$40,'TRA balance'!$C$5:$C$40,Assumptions!$C35,'TRA balance'!$D$5:$D$40,Assumptions!$B35)*DV35*AE35,"")</f>
        <v/>
      </c>
      <c r="CB35" s="41" t="str">
        <f ca="1">IFERROR(SUMIFS('TRA balance'!AC$5:AC$40,'TRA balance'!$C$5:$C$40,Assumptions!$C35,'TRA balance'!$D$5:$D$40,Assumptions!$B35)*DW35*AF35,"")</f>
        <v/>
      </c>
      <c r="CC35" s="41" t="str">
        <f ca="1">IFERROR(SUMIFS('TRA balance'!AD$5:AD$40,'TRA balance'!$C$5:$C$40,Assumptions!$C35,'TRA balance'!$D$5:$D$40,Assumptions!$B35)*DX35*AG35,"")</f>
        <v/>
      </c>
      <c r="CD35" s="41" t="str">
        <f ca="1">IFERROR(SUMIFS('TRA balance'!AE$5:AE$40,'TRA balance'!$C$5:$C$40,Assumptions!$C35,'TRA balance'!$D$5:$D$40,Assumptions!$B35)*DY35*AH35,"")</f>
        <v/>
      </c>
      <c r="CE35" s="41" t="str">
        <f ca="1">IFERROR(SUMIFS('TRA balance'!AF$5:AF$40,'TRA balance'!$C$5:$C$40,Assumptions!$C35,'TRA balance'!$D$5:$D$40,Assumptions!$B35)*DZ35*AI35,"")</f>
        <v/>
      </c>
      <c r="CF35" s="41" t="str">
        <f ca="1">IFERROR(SUMIFS('TRA balance'!AG$5:AG$40,'TRA balance'!$C$5:$C$40,Assumptions!$C35,'TRA balance'!$D$5:$D$40,Assumptions!$B35)*EA35*AJ35,"")</f>
        <v/>
      </c>
      <c r="CG35" s="41" t="str">
        <f ca="1">IFERROR(SUMIFS('TRA balance'!AH$5:AH$40,'TRA balance'!$C$5:$C$40,Assumptions!$C35,'TRA balance'!$D$5:$D$40,Assumptions!$B35)*EB35*AK35,"")</f>
        <v/>
      </c>
      <c r="CH35" s="41" t="str">
        <f ca="1">IFERROR(SUMIFS('TRA balance'!AI$5:AI$40,'TRA balance'!$C$5:$C$40,Assumptions!$C35,'TRA balance'!$D$5:$D$40,Assumptions!$B35)*EC35*AL35,"")</f>
        <v/>
      </c>
      <c r="CI35" s="41" t="str">
        <f ca="1">IFERROR(SUMIFS('TRA balance'!AJ$5:AJ$40,'TRA balance'!$C$5:$C$40,Assumptions!$C35,'TRA balance'!$D$5:$D$40,Assumptions!$B35)*ED35*AM35,"")</f>
        <v/>
      </c>
      <c r="CJ35" s="41" t="str">
        <f ca="1">IFERROR(SUMIFS('TRA balance'!AK$5:AK$40,'TRA balance'!$C$5:$C$40,Assumptions!$C35,'TRA balance'!$D$5:$D$40,Assumptions!$B35)*EE35*AN35,"")</f>
        <v/>
      </c>
      <c r="CK35" s="41" t="str">
        <f ca="1">IFERROR(SUMIFS('TRA balance'!AL$5:AL$40,'TRA balance'!$C$5:$C$40,Assumptions!$C35,'TRA balance'!$D$5:$D$40,Assumptions!$B35)*EF35*AO35,"")</f>
        <v/>
      </c>
      <c r="CL35" s="41" t="str">
        <f ca="1">IFERROR(SUMIFS('TRA balance'!AM$5:AM$40,'TRA balance'!$C$5:$C$40,Assumptions!$C35,'TRA balance'!$D$5:$D$40,Assumptions!$B35)*EG35*AP35,"")</f>
        <v/>
      </c>
      <c r="CM35" s="41" t="str">
        <f ca="1">IFERROR(SUMIFS('TRA balance'!AN$5:AN$40,'TRA balance'!$C$5:$C$40,Assumptions!$C35,'TRA balance'!$D$5:$D$40,Assumptions!$B35)*EH35*AQ35,"")</f>
        <v/>
      </c>
      <c r="CN35" s="41" t="str">
        <f ca="1">IFERROR(SUMIFS('TRA balance'!AO$5:AO$40,'TRA balance'!$C$5:$C$40,Assumptions!$C35,'TRA balance'!$D$5:$D$40,Assumptions!$B35)*EI35*AR35,"")</f>
        <v/>
      </c>
      <c r="CO35" s="41" t="str">
        <f ca="1">IFERROR(SUMIFS('TRA balance'!AP$5:AP$40,'TRA balance'!$C$5:$C$40,Assumptions!$C35,'TRA balance'!$D$5:$D$40,Assumptions!$B35)*EJ35*AS35,"")</f>
        <v/>
      </c>
      <c r="CP35" s="41" t="str">
        <f ca="1">IFERROR(SUMIFS('TRA balance'!AQ$5:AQ$40,'TRA balance'!$C$5:$C$40,Assumptions!$C35,'TRA balance'!$D$5:$D$40,Assumptions!$B35)*EK35*AT35,"")</f>
        <v/>
      </c>
      <c r="CQ35" s="41" t="str">
        <f ca="1">IFERROR(SUMIFS('TRA balance'!AR$5:AR$40,'TRA balance'!$C$5:$C$40,Assumptions!$C35,'TRA balance'!$D$5:$D$40,Assumptions!$B35)*EL35*AU35,"")</f>
        <v/>
      </c>
      <c r="CR35" s="41" t="str">
        <f ca="1">IFERROR(SUMIFS('TRA balance'!AS$5:AS$40,'TRA balance'!$C$5:$C$40,Assumptions!$C35,'TRA balance'!$D$5:$D$40,Assumptions!$B35)*EM35*AV35,"")</f>
        <v/>
      </c>
      <c r="CS35" s="41" t="str">
        <f ca="1">IFERROR(SUMIFS('TRA balance'!AT$5:AT$40,'TRA balance'!$C$5:$C$40,Assumptions!$C35,'TRA balance'!$D$5:$D$40,Assumptions!$B35)*EN35*AW35,"")</f>
        <v/>
      </c>
      <c r="CT35" s="41" t="str">
        <f ca="1">IFERROR(SUMIFS('TRA balance'!AU$5:AU$40,'TRA balance'!$C$5:$C$40,Assumptions!$C35,'TRA balance'!$D$5:$D$40,Assumptions!$B35)*EO35*AX35,"")</f>
        <v/>
      </c>
      <c r="CU35" s="41" t="str">
        <f ca="1">IFERROR(SUMIFS('TRA balance'!AV$5:AV$40,'TRA balance'!$C$5:$C$40,Assumptions!$C35,'TRA balance'!$D$5:$D$40,Assumptions!$B35)*EP35*AY35,"")</f>
        <v/>
      </c>
      <c r="CV35" s="41" t="str">
        <f ca="1">IFERROR(SUMIFS('TRA balance'!AW$5:AW$40,'TRA balance'!$C$5:$C$40,Assumptions!$C35,'TRA balance'!$D$5:$D$40,Assumptions!$B35)*EQ35*AZ35,"")</f>
        <v/>
      </c>
      <c r="CW35" s="41" t="str">
        <f ca="1">IFERROR(SUMIFS('TRA balance'!AX$5:AX$40,'TRA balance'!$C$5:$C$40,Assumptions!$C35,'TRA balance'!$D$5:$D$40,Assumptions!$B35)*ER35*BA35,"")</f>
        <v/>
      </c>
      <c r="CY35" s="40">
        <f ca="1" t="shared" ref="CY35:CY66" si="66">IF($C35="TR",SUMIFS(H$3:H$103,$B$3:$B$103,$B35,$C$3:$C$103,$A35),1)</f>
        <v>1</v>
      </c>
      <c r="CZ35" s="40">
        <f ca="1" t="shared" si="3"/>
        <v>1</v>
      </c>
      <c r="DA35" s="40">
        <f ca="1" t="shared" si="4"/>
        <v>1</v>
      </c>
      <c r="DB35" s="40">
        <f ca="1" t="shared" si="5"/>
        <v>1</v>
      </c>
      <c r="DC35" s="40">
        <f ca="1" t="shared" si="6"/>
        <v>1</v>
      </c>
      <c r="DD35" s="40">
        <f ca="1" t="shared" si="7"/>
        <v>1</v>
      </c>
      <c r="DE35" s="40">
        <f ca="1" t="shared" si="8"/>
        <v>1</v>
      </c>
      <c r="DF35" s="40">
        <f ca="1" t="shared" si="9"/>
        <v>1</v>
      </c>
      <c r="DG35" s="40">
        <f ca="1" t="shared" si="10"/>
        <v>1</v>
      </c>
      <c r="DH35" s="40">
        <f ca="1" t="shared" si="11"/>
        <v>1</v>
      </c>
      <c r="DI35" s="40">
        <f ca="1" t="shared" si="12"/>
        <v>1</v>
      </c>
      <c r="DJ35" s="40">
        <f ca="1" t="shared" si="13"/>
        <v>1</v>
      </c>
      <c r="DK35" s="40">
        <f ca="1" t="shared" si="14"/>
        <v>1</v>
      </c>
      <c r="DL35" s="40">
        <f ca="1" t="shared" si="15"/>
        <v>1</v>
      </c>
      <c r="DM35" s="40">
        <f ca="1" t="shared" si="16"/>
        <v>1</v>
      </c>
      <c r="DN35" s="40">
        <f ca="1" t="shared" si="17"/>
        <v>1</v>
      </c>
      <c r="DO35" s="40">
        <f ca="1" t="shared" si="18"/>
        <v>1</v>
      </c>
      <c r="DP35" s="40">
        <f ca="1" t="shared" si="19"/>
        <v>1</v>
      </c>
      <c r="DQ35" s="40">
        <f ca="1" t="shared" si="20"/>
        <v>1</v>
      </c>
      <c r="DR35" s="40">
        <f ca="1" t="shared" si="21"/>
        <v>1</v>
      </c>
      <c r="DS35" s="40">
        <f ca="1" t="shared" si="22"/>
        <v>1</v>
      </c>
      <c r="DT35" s="40">
        <f ca="1" t="shared" si="23"/>
        <v>1</v>
      </c>
      <c r="DU35" s="40">
        <f ca="1" t="shared" si="24"/>
        <v>1</v>
      </c>
      <c r="DV35" s="40">
        <f ca="1" t="shared" si="25"/>
        <v>1</v>
      </c>
      <c r="DW35" s="40">
        <f ca="1" t="shared" si="26"/>
        <v>1</v>
      </c>
      <c r="DX35" s="40">
        <f ca="1" t="shared" si="27"/>
        <v>1</v>
      </c>
      <c r="DY35" s="40">
        <f ca="1" t="shared" si="28"/>
        <v>1</v>
      </c>
      <c r="DZ35" s="40">
        <f ca="1" t="shared" si="29"/>
        <v>1</v>
      </c>
      <c r="EA35" s="40">
        <f ca="1" t="shared" si="30"/>
        <v>1</v>
      </c>
      <c r="EB35" s="40">
        <f ca="1" t="shared" si="31"/>
        <v>1</v>
      </c>
      <c r="EC35" s="40">
        <f ca="1" t="shared" si="32"/>
        <v>1</v>
      </c>
      <c r="ED35" s="40">
        <f ca="1" t="shared" si="33"/>
        <v>1</v>
      </c>
      <c r="EE35" s="40">
        <f ca="1" t="shared" si="34"/>
        <v>1</v>
      </c>
      <c r="EF35" s="40">
        <f ca="1" t="shared" si="35"/>
        <v>1</v>
      </c>
      <c r="EG35" s="40">
        <f ca="1" t="shared" si="36"/>
        <v>1</v>
      </c>
      <c r="EH35" s="40">
        <f ca="1" t="shared" si="37"/>
        <v>1</v>
      </c>
      <c r="EI35" s="40">
        <f ca="1" t="shared" si="38"/>
        <v>1</v>
      </c>
      <c r="EJ35" s="40">
        <f ca="1" t="shared" si="39"/>
        <v>1</v>
      </c>
      <c r="EK35" s="40">
        <f ca="1" t="shared" si="40"/>
        <v>1</v>
      </c>
      <c r="EL35" s="40">
        <f ca="1" t="shared" si="41"/>
        <v>1</v>
      </c>
      <c r="EM35" s="40">
        <f ca="1" t="shared" si="42"/>
        <v>1</v>
      </c>
      <c r="EN35" s="40">
        <f ca="1" t="shared" si="43"/>
        <v>1</v>
      </c>
      <c r="EO35" s="40">
        <f ca="1" t="shared" si="44"/>
        <v>1</v>
      </c>
      <c r="EP35" s="40">
        <f ca="1" t="shared" si="45"/>
        <v>1</v>
      </c>
      <c r="EQ35" s="40">
        <f ca="1" t="shared" si="46"/>
        <v>1</v>
      </c>
      <c r="ER35" s="40">
        <f ca="1" t="shared" si="47"/>
        <v>1</v>
      </c>
    </row>
    <row r="36" spans="1:148">
      <c r="A36">
        <v>1</v>
      </c>
      <c r="B36" t="str">
        <f>VLOOKUP(F36,'TRA balance'!$BA$5:$BB$14,2,FALSE)</f>
        <v>TRAHFO</v>
      </c>
      <c r="C36" s="56" t="str">
        <f t="shared" si="48"/>
        <v>TT</v>
      </c>
      <c r="D36" s="57" t="s">
        <v>192</v>
      </c>
      <c r="E36" s="57" t="s">
        <v>193</v>
      </c>
      <c r="F36" s="58" t="s">
        <v>70</v>
      </c>
      <c r="G36" s="56" t="s">
        <v>194</v>
      </c>
      <c r="H36" s="59">
        <f ca="1">OFFSET(TIAM15_assumptions!$G36,0,MATCH(VLOOKUP(Assumptions!H$2,TIAM15_assumptions!$Y$3:$Z$87,2,FALSE),TIAM15_assumptions!$H$2:$V$2,0))</f>
        <v>0.7</v>
      </c>
      <c r="I36" s="59">
        <f ca="1">OFFSET(TIAM15_assumptions!$G36,0,MATCH(VLOOKUP(Assumptions!I$2,TIAM15_assumptions!$Y$3:$Z$87,2,FALSE),TIAM15_assumptions!$H$2:$V$2,0))</f>
        <v>0.7</v>
      </c>
      <c r="J36" s="59">
        <f ca="1">OFFSET(TIAM15_assumptions!$G36,0,MATCH(VLOOKUP(Assumptions!J$2,TIAM15_assumptions!$Y$3:$Z$87,2,FALSE),TIAM15_assumptions!$H$2:$V$2,0))</f>
        <v>1</v>
      </c>
      <c r="K36" s="59">
        <f ca="1">OFFSET(TIAM15_assumptions!$G36,0,MATCH(VLOOKUP(Assumptions!K$2,TIAM15_assumptions!$Y$3:$Z$87,2,FALSE),TIAM15_assumptions!$H$2:$V$2,0))</f>
        <v>0.9</v>
      </c>
      <c r="L36" s="59">
        <f ca="1">OFFSET(TIAM15_assumptions!$G36,0,MATCH(VLOOKUP(Assumptions!L$2,TIAM15_assumptions!$Y$3:$Z$87,2,FALSE),TIAM15_assumptions!$H$2:$V$2,0))</f>
        <v>0.9</v>
      </c>
      <c r="M36" s="59">
        <f ca="1">OFFSET(TIAM15_assumptions!$G36,0,MATCH(VLOOKUP(Assumptions!M$2,TIAM15_assumptions!$Y$3:$Z$87,2,FALSE),TIAM15_assumptions!$H$2:$V$2,0))</f>
        <v>0.9</v>
      </c>
      <c r="N36" s="59">
        <f ca="1">OFFSET(TIAM15_assumptions!$G36,0,MATCH(VLOOKUP(Assumptions!N$2,TIAM15_assumptions!$Y$3:$Z$87,2,FALSE),TIAM15_assumptions!$H$2:$V$2,0))</f>
        <v>1</v>
      </c>
      <c r="O36" s="59">
        <f ca="1">OFFSET(TIAM15_assumptions!$G36,0,MATCH(VLOOKUP(Assumptions!O$2,TIAM15_assumptions!$Y$3:$Z$87,2,FALSE),TIAM15_assumptions!$H$2:$V$2,0))</f>
        <v>0.6</v>
      </c>
      <c r="P36" s="59">
        <f ca="1">OFFSET(TIAM15_assumptions!$G36,0,MATCH(VLOOKUP(Assumptions!P$2,TIAM15_assumptions!$Y$3:$Z$87,2,FALSE),TIAM15_assumptions!$H$2:$V$2,0))</f>
        <v>0.9</v>
      </c>
      <c r="Q36" s="59">
        <f ca="1">OFFSET(TIAM15_assumptions!$G36,0,MATCH(VLOOKUP(Assumptions!Q$2,TIAM15_assumptions!$Y$3:$Z$87,2,FALSE),TIAM15_assumptions!$H$2:$V$2,0))</f>
        <v>0.9</v>
      </c>
      <c r="R36" s="59">
        <f ca="1">OFFSET(TIAM15_assumptions!$G36,0,MATCH(VLOOKUP(Assumptions!R$2,TIAM15_assumptions!$Y$3:$Z$87,2,FALSE),TIAM15_assumptions!$H$2:$V$2,0))</f>
        <v>0.9</v>
      </c>
      <c r="S36" s="59">
        <f ca="1">OFFSET(TIAM15_assumptions!$G36,0,MATCH(VLOOKUP(Assumptions!S$2,TIAM15_assumptions!$Y$3:$Z$87,2,FALSE),TIAM15_assumptions!$H$2:$V$2,0))</f>
        <v>0.9</v>
      </c>
      <c r="T36" s="59">
        <f ca="1">OFFSET(TIAM15_assumptions!$G36,0,MATCH(VLOOKUP(Assumptions!T$2,TIAM15_assumptions!$Y$3:$Z$87,2,FALSE),TIAM15_assumptions!$H$2:$V$2,0))</f>
        <v>0.9</v>
      </c>
      <c r="U36" s="59">
        <f ca="1">OFFSET(TIAM15_assumptions!$G36,0,MATCH(VLOOKUP(Assumptions!U$2,TIAM15_assumptions!$Y$3:$Z$87,2,FALSE),TIAM15_assumptions!$H$2:$V$2,0))</f>
        <v>0.9</v>
      </c>
      <c r="V36" s="59">
        <f ca="1">OFFSET(TIAM15_assumptions!$G36,0,MATCH(VLOOKUP(Assumptions!V$2,TIAM15_assumptions!$Y$3:$Z$87,2,FALSE),TIAM15_assumptions!$H$2:$V$2,0))</f>
        <v>0.9</v>
      </c>
      <c r="W36" s="59">
        <f ca="1">OFFSET(TIAM15_assumptions!$G36,0,MATCH(VLOOKUP(Assumptions!W$2,TIAM15_assumptions!$Y$3:$Z$87,2,FALSE),TIAM15_assumptions!$H$2:$V$2,0))</f>
        <v>0.5</v>
      </c>
      <c r="X36" s="59">
        <f ca="1">OFFSET(TIAM15_assumptions!$G36,0,MATCH(VLOOKUP(Assumptions!X$2,TIAM15_assumptions!$Y$3:$Z$87,2,FALSE),TIAM15_assumptions!$H$2:$V$2,0))</f>
        <v>0.9</v>
      </c>
      <c r="Y36" s="59">
        <f ca="1">OFFSET(TIAM15_assumptions!$G36,0,MATCH(VLOOKUP(Assumptions!Y$2,TIAM15_assumptions!$Y$3:$Z$87,2,FALSE),TIAM15_assumptions!$H$2:$V$2,0))</f>
        <v>0.9</v>
      </c>
      <c r="Z36" s="59">
        <f ca="1">OFFSET(TIAM15_assumptions!$G36,0,MATCH(VLOOKUP(Assumptions!Z$2,TIAM15_assumptions!$Y$3:$Z$87,2,FALSE),TIAM15_assumptions!$H$2:$V$2,0))</f>
        <v>0.9</v>
      </c>
      <c r="AA36" s="59">
        <f ca="1">OFFSET(TIAM15_assumptions!$G36,0,MATCH(VLOOKUP(Assumptions!AA$2,TIAM15_assumptions!$Y$3:$Z$87,2,FALSE),TIAM15_assumptions!$H$2:$V$2,0))</f>
        <v>1</v>
      </c>
      <c r="AB36" s="59">
        <f ca="1">OFFSET(TIAM15_assumptions!$G36,0,MATCH(VLOOKUP(Assumptions!AB$2,TIAM15_assumptions!$Y$3:$Z$87,2,FALSE),TIAM15_assumptions!$H$2:$V$2,0))</f>
        <v>0.7</v>
      </c>
      <c r="AC36" s="59">
        <f ca="1">OFFSET(TIAM15_assumptions!$G36,0,MATCH(VLOOKUP(Assumptions!AC$2,TIAM15_assumptions!$Y$3:$Z$87,2,FALSE),TIAM15_assumptions!$H$2:$V$2,0))</f>
        <v>0.9</v>
      </c>
      <c r="AD36" s="59">
        <f ca="1">OFFSET(TIAM15_assumptions!$G36,0,MATCH(VLOOKUP(Assumptions!AD$2,TIAM15_assumptions!$Y$3:$Z$87,2,FALSE),TIAM15_assumptions!$H$2:$V$2,0))</f>
        <v>0.9</v>
      </c>
      <c r="AE36" s="59">
        <f ca="1">OFFSET(TIAM15_assumptions!$G36,0,MATCH(VLOOKUP(Assumptions!AE$2,TIAM15_assumptions!$Y$3:$Z$87,2,FALSE),TIAM15_assumptions!$H$2:$V$2,0))</f>
        <v>0.9</v>
      </c>
      <c r="AF36" s="59">
        <f ca="1">OFFSET(TIAM15_assumptions!$G36,0,MATCH(VLOOKUP(Assumptions!AF$2,TIAM15_assumptions!$Y$3:$Z$87,2,FALSE),TIAM15_assumptions!$H$2:$V$2,0))</f>
        <v>0.9</v>
      </c>
      <c r="AG36" s="59">
        <f ca="1">OFFSET(TIAM15_assumptions!$G36,0,MATCH(VLOOKUP(Assumptions!AG$2,TIAM15_assumptions!$Y$3:$Z$87,2,FALSE),TIAM15_assumptions!$H$2:$V$2,0))</f>
        <v>0.9</v>
      </c>
      <c r="AH36" s="59">
        <f ca="1">OFFSET(TIAM15_assumptions!$G36,0,MATCH(VLOOKUP(Assumptions!AH$2,TIAM15_assumptions!$Y$3:$Z$87,2,FALSE),TIAM15_assumptions!$H$2:$V$2,0))</f>
        <v>0.7</v>
      </c>
      <c r="AI36" s="59">
        <f ca="1">OFFSET(TIAM15_assumptions!$G36,0,MATCH(VLOOKUP(Assumptions!AI$2,TIAM15_assumptions!$Y$3:$Z$87,2,FALSE),TIAM15_assumptions!$H$2:$V$2,0))</f>
        <v>0.7</v>
      </c>
      <c r="AJ36" s="59">
        <f ca="1">OFFSET(TIAM15_assumptions!$G36,0,MATCH(VLOOKUP(Assumptions!AJ$2,TIAM15_assumptions!$Y$3:$Z$87,2,FALSE),TIAM15_assumptions!$H$2:$V$2,0))</f>
        <v>0.9</v>
      </c>
      <c r="AK36" s="59">
        <f ca="1">OFFSET(TIAM15_assumptions!$G36,0,MATCH(VLOOKUP(Assumptions!AK$2,TIAM15_assumptions!$Y$3:$Z$87,2,FALSE),TIAM15_assumptions!$H$2:$V$2,0))</f>
        <v>0.9</v>
      </c>
      <c r="AL36" s="59">
        <f ca="1">OFFSET(TIAM15_assumptions!$G36,0,MATCH(VLOOKUP(Assumptions!AL$2,TIAM15_assumptions!$Y$3:$Z$87,2,FALSE),TIAM15_assumptions!$H$2:$V$2,0))</f>
        <v>0.9</v>
      </c>
      <c r="AM36" s="59">
        <f ca="1">OFFSET(TIAM15_assumptions!$G36,0,MATCH(VLOOKUP(Assumptions!AM$2,TIAM15_assumptions!$Y$3:$Z$87,2,FALSE),TIAM15_assumptions!$H$2:$V$2,0))</f>
        <v>0.7</v>
      </c>
      <c r="AN36" s="59">
        <f ca="1">OFFSET(TIAM15_assumptions!$G36,0,MATCH(VLOOKUP(Assumptions!AN$2,TIAM15_assumptions!$Y$3:$Z$87,2,FALSE),TIAM15_assumptions!$H$2:$V$2,0))</f>
        <v>0.9</v>
      </c>
      <c r="AO36" s="59">
        <f ca="1">OFFSET(TIAM15_assumptions!$G36,0,MATCH(VLOOKUP(Assumptions!AO$2,TIAM15_assumptions!$Y$3:$Z$87,2,FALSE),TIAM15_assumptions!$H$2:$V$2,0))</f>
        <v>0.9</v>
      </c>
      <c r="AP36" s="59">
        <f ca="1">OFFSET(TIAM15_assumptions!$G36,0,MATCH(VLOOKUP(Assumptions!AP$2,TIAM15_assumptions!$Y$3:$Z$87,2,FALSE),TIAM15_assumptions!$H$2:$V$2,0))</f>
        <v>0.9</v>
      </c>
      <c r="AQ36" s="59">
        <f ca="1">OFFSET(TIAM15_assumptions!$G36,0,MATCH(VLOOKUP(Assumptions!AQ$2,TIAM15_assumptions!$Y$3:$Z$87,2,FALSE),TIAM15_assumptions!$H$2:$V$2,0))</f>
        <v>0.9</v>
      </c>
      <c r="AR36" s="59">
        <f ca="1">OFFSET(TIAM15_assumptions!$G36,0,MATCH(VLOOKUP(Assumptions!AR$2,TIAM15_assumptions!$Y$3:$Z$87,2,FALSE),TIAM15_assumptions!$H$2:$V$2,0))</f>
        <v>0.9</v>
      </c>
      <c r="AS36" s="59">
        <f ca="1">OFFSET(TIAM15_assumptions!$G36,0,MATCH(VLOOKUP(Assumptions!AS$2,TIAM15_assumptions!$Y$3:$Z$87,2,FALSE),TIAM15_assumptions!$H$2:$V$2,0))</f>
        <v>0.9</v>
      </c>
      <c r="AT36" s="59">
        <f ca="1">OFFSET(TIAM15_assumptions!$G36,0,MATCH(VLOOKUP(Assumptions!AT$2,TIAM15_assumptions!$Y$3:$Z$87,2,FALSE),TIAM15_assumptions!$H$2:$V$2,0))</f>
        <v>0.9</v>
      </c>
      <c r="AU36" s="59">
        <f ca="1">OFFSET(TIAM15_assumptions!$G36,0,MATCH(VLOOKUP(Assumptions!AU$2,TIAM15_assumptions!$Y$3:$Z$87,2,FALSE),TIAM15_assumptions!$H$2:$V$2,0))</f>
        <v>0.9</v>
      </c>
      <c r="AV36" s="59">
        <f ca="1">OFFSET(TIAM15_assumptions!$G36,0,MATCH(VLOOKUP(Assumptions!AV$2,TIAM15_assumptions!$Y$3:$Z$87,2,FALSE),TIAM15_assumptions!$H$2:$V$2,0))</f>
        <v>0.9</v>
      </c>
      <c r="AW36" s="59">
        <f ca="1">OFFSET(TIAM15_assumptions!$G36,0,MATCH(VLOOKUP(Assumptions!AW$2,TIAM15_assumptions!$Y$3:$Z$87,2,FALSE),TIAM15_assumptions!$H$2:$V$2,0))</f>
        <v>0.9</v>
      </c>
      <c r="AX36" s="59">
        <f ca="1">OFFSET(TIAM15_assumptions!$G36,0,MATCH(VLOOKUP(Assumptions!AX$2,TIAM15_assumptions!$Y$3:$Z$87,2,FALSE),TIAM15_assumptions!$H$2:$V$2,0))</f>
        <v>0.9</v>
      </c>
      <c r="AY36" s="59">
        <f ca="1">OFFSET(TIAM15_assumptions!$G36,0,MATCH(VLOOKUP(Assumptions!AY$2,TIAM15_assumptions!$Y$3:$Z$87,2,FALSE),TIAM15_assumptions!$H$2:$V$2,0))</f>
        <v>0.9</v>
      </c>
      <c r="AZ36" s="59">
        <f ca="1">OFFSET(TIAM15_assumptions!$G36,0,MATCH(VLOOKUP(Assumptions!AZ$2,TIAM15_assumptions!$Y$3:$Z$87,2,FALSE),TIAM15_assumptions!$H$2:$V$2,0))</f>
        <v>0.9</v>
      </c>
      <c r="BA36" s="59">
        <f ca="1">OFFSET(TIAM15_assumptions!$G36,0,MATCH(VLOOKUP(Assumptions!BA$2,TIAM15_assumptions!$Y$3:$Z$87,2,FALSE),TIAM15_assumptions!$H$2:$V$2,0))</f>
        <v>0.9</v>
      </c>
      <c r="BD36" s="41">
        <f ca="1">IFERROR(SUMIFS('TRA balance'!E$5:E$40,'TRA balance'!$C$5:$C$40,Assumptions!$C36,'TRA balance'!$D$5:$D$40,Assumptions!$B36)*CY36*H36,"")</f>
        <v>2.96800116732</v>
      </c>
      <c r="BE36" s="41">
        <f ca="1">IFERROR(SUMIFS('TRA balance'!F$5:F$40,'TRA balance'!$C$5:$C$40,Assumptions!$C36,'TRA balance'!$D$5:$D$40,Assumptions!$B36)*CZ36*I36,"")</f>
        <v>0</v>
      </c>
      <c r="BF36" s="41">
        <f ca="1">IFERROR(SUMIFS('TRA balance'!G$5:G$40,'TRA balance'!$C$5:$C$40,Assumptions!$C36,'TRA balance'!$D$5:$D$40,Assumptions!$B36)*DA36*J36,"")</f>
        <v>0.0017040276</v>
      </c>
      <c r="BG36" s="41">
        <f ca="1">IFERROR(SUMIFS('TRA balance'!H$5:H$40,'TRA balance'!$C$5:$C$40,Assumptions!$C36,'TRA balance'!$D$5:$D$40,Assumptions!$B36)*DB36*K36,"")</f>
        <v>0</v>
      </c>
      <c r="BH36" s="41">
        <f ca="1">IFERROR(SUMIFS('TRA balance'!I$5:I$40,'TRA balance'!$C$5:$C$40,Assumptions!$C36,'TRA balance'!$D$5:$D$40,Assumptions!$B36)*DC36*L36,"")</f>
        <v>0</v>
      </c>
      <c r="BI36" s="41">
        <f ca="1">IFERROR(SUMIFS('TRA balance'!J$5:J$40,'TRA balance'!$C$5:$C$40,Assumptions!$C36,'TRA balance'!$D$5:$D$40,Assumptions!$B36)*DD36*M36,"")</f>
        <v>0</v>
      </c>
      <c r="BJ36" s="41">
        <f ca="1">IFERROR(SUMIFS('TRA balance'!K$5:K$40,'TRA balance'!$C$5:$C$40,Assumptions!$C36,'TRA balance'!$D$5:$D$40,Assumptions!$B36)*DE36*N36,"")</f>
        <v>0</v>
      </c>
      <c r="BK36" s="41">
        <f ca="1">IFERROR(SUMIFS('TRA balance'!L$5:L$40,'TRA balance'!$C$5:$C$40,Assumptions!$C36,'TRA balance'!$D$5:$D$40,Assumptions!$B36)*DF36*O36,"")</f>
        <v>0</v>
      </c>
      <c r="BL36" s="41">
        <f ca="1">IFERROR(SUMIFS('TRA balance'!M$5:M$40,'TRA balance'!$C$5:$C$40,Assumptions!$C36,'TRA balance'!$D$5:$D$40,Assumptions!$B36)*DG36*P36,"")</f>
        <v>0</v>
      </c>
      <c r="BM36" s="41">
        <f ca="1">IFERROR(SUMIFS('TRA balance'!N$5:N$40,'TRA balance'!$C$5:$C$40,Assumptions!$C36,'TRA balance'!$D$5:$D$40,Assumptions!$B36)*DH36*Q36,"")</f>
        <v>0</v>
      </c>
      <c r="BN36" s="41">
        <f ca="1">IFERROR(SUMIFS('TRA balance'!O$5:O$40,'TRA balance'!$C$5:$C$40,Assumptions!$C36,'TRA balance'!$D$5:$D$40,Assumptions!$B36)*DI36*R36,"")</f>
        <v>0</v>
      </c>
      <c r="BO36" s="41">
        <f ca="1">IFERROR(SUMIFS('TRA balance'!P$5:P$40,'TRA balance'!$C$5:$C$40,Assumptions!$C36,'TRA balance'!$D$5:$D$40,Assumptions!$B36)*DJ36*S36,"")</f>
        <v>0</v>
      </c>
      <c r="BP36" s="41">
        <f ca="1">IFERROR(SUMIFS('TRA balance'!Q$5:Q$40,'TRA balance'!$C$5:$C$40,Assumptions!$C36,'TRA balance'!$D$5:$D$40,Assumptions!$B36)*DK36*T36,"")</f>
        <v>0</v>
      </c>
      <c r="BQ36" s="41">
        <f ca="1">IFERROR(SUMIFS('TRA balance'!R$5:R$40,'TRA balance'!$C$5:$C$40,Assumptions!$C36,'TRA balance'!$D$5:$D$40,Assumptions!$B36)*DL36*U36,"")</f>
        <v>0</v>
      </c>
      <c r="BR36" s="41">
        <f ca="1">IFERROR(SUMIFS('TRA balance'!S$5:S$40,'TRA balance'!$C$5:$C$40,Assumptions!$C36,'TRA balance'!$D$5:$D$40,Assumptions!$B36)*DM36*V36,"")</f>
        <v>0</v>
      </c>
      <c r="BS36" s="41">
        <f ca="1">IFERROR(SUMIFS('TRA balance'!T$5:T$40,'TRA balance'!$C$5:$C$40,Assumptions!$C36,'TRA balance'!$D$5:$D$40,Assumptions!$B36)*DN36*W36,"")</f>
        <v>0</v>
      </c>
      <c r="BT36" s="41">
        <f ca="1">IFERROR(SUMIFS('TRA balance'!U$5:U$40,'TRA balance'!$C$5:$C$40,Assumptions!$C36,'TRA balance'!$D$5:$D$40,Assumptions!$B36)*DO36*X36,"")</f>
        <v>0</v>
      </c>
      <c r="BU36" s="41">
        <f ca="1">IFERROR(SUMIFS('TRA balance'!V$5:V$40,'TRA balance'!$C$5:$C$40,Assumptions!$C36,'TRA balance'!$D$5:$D$40,Assumptions!$B36)*DP36*Y36,"")</f>
        <v>0</v>
      </c>
      <c r="BV36" s="41">
        <f ca="1">IFERROR(SUMIFS('TRA balance'!W$5:W$40,'TRA balance'!$C$5:$C$40,Assumptions!$C36,'TRA balance'!$D$5:$D$40,Assumptions!$B36)*DQ36*Z36,"")</f>
        <v>0</v>
      </c>
      <c r="BW36" s="41">
        <f ca="1">IFERROR(SUMIFS('TRA balance'!X$5:X$40,'TRA balance'!$C$5:$C$40,Assumptions!$C36,'TRA balance'!$D$5:$D$40,Assumptions!$B36)*DR36*AA36,"")</f>
        <v>0</v>
      </c>
      <c r="BX36" s="41">
        <f ca="1">IFERROR(SUMIFS('TRA balance'!Y$5:Y$40,'TRA balance'!$C$5:$C$40,Assumptions!$C36,'TRA balance'!$D$5:$D$40,Assumptions!$B36)*DS36*AB36,"")</f>
        <v>0</v>
      </c>
      <c r="BY36" s="41">
        <f ca="1">IFERROR(SUMIFS('TRA balance'!Z$5:Z$40,'TRA balance'!$C$5:$C$40,Assumptions!$C36,'TRA balance'!$D$5:$D$40,Assumptions!$B36)*DT36*AC36,"")</f>
        <v>0</v>
      </c>
      <c r="BZ36" s="41">
        <f ca="1">IFERROR(SUMIFS('TRA balance'!AA$5:AA$40,'TRA balance'!$C$5:$C$40,Assumptions!$C36,'TRA balance'!$D$5:$D$40,Assumptions!$B36)*DU36*AD36,"")</f>
        <v>0</v>
      </c>
      <c r="CA36" s="41">
        <f ca="1">IFERROR(SUMIFS('TRA balance'!AB$5:AB$40,'TRA balance'!$C$5:$C$40,Assumptions!$C36,'TRA balance'!$D$5:$D$40,Assumptions!$B36)*DV36*AE36,"")</f>
        <v>0</v>
      </c>
      <c r="CB36" s="41">
        <f ca="1">IFERROR(SUMIFS('TRA balance'!AC$5:AC$40,'TRA balance'!$C$5:$C$40,Assumptions!$C36,'TRA balance'!$D$5:$D$40,Assumptions!$B36)*DW36*AF36,"")</f>
        <v>0.02007277524</v>
      </c>
      <c r="CC36" s="41">
        <f ca="1">IFERROR(SUMIFS('TRA balance'!AD$5:AD$40,'TRA balance'!$C$5:$C$40,Assumptions!$C36,'TRA balance'!$D$5:$D$40,Assumptions!$B36)*DX36*AG36,"")</f>
        <v>0.07847863524</v>
      </c>
      <c r="CD36" s="41">
        <f ca="1">IFERROR(SUMIFS('TRA balance'!AE$5:AE$40,'TRA balance'!$C$5:$C$40,Assumptions!$C36,'TRA balance'!$D$5:$D$40,Assumptions!$B36)*DY36*AH36,"")</f>
        <v>0</v>
      </c>
      <c r="CE36" s="41">
        <f ca="1">IFERROR(SUMIFS('TRA balance'!AF$5:AF$40,'TRA balance'!$C$5:$C$40,Assumptions!$C36,'TRA balance'!$D$5:$D$40,Assumptions!$B36)*DZ36*AI36,"")</f>
        <v>2.16319102524</v>
      </c>
      <c r="CF36" s="41">
        <f ca="1">IFERROR(SUMIFS('TRA balance'!AG$5:AG$40,'TRA balance'!$C$5:$C$40,Assumptions!$C36,'TRA balance'!$D$5:$D$40,Assumptions!$B36)*EA36*AJ36,"")</f>
        <v>0</v>
      </c>
      <c r="CG36" s="41">
        <f ca="1">IFERROR(SUMIFS('TRA balance'!AH$5:AH$40,'TRA balance'!$C$5:$C$40,Assumptions!$C36,'TRA balance'!$D$5:$D$40,Assumptions!$B36)*EB36*AK36,"")</f>
        <v>0</v>
      </c>
      <c r="CH36" s="41">
        <f ca="1">IFERROR(SUMIFS('TRA balance'!AI$5:AI$40,'TRA balance'!$C$5:$C$40,Assumptions!$C36,'TRA balance'!$D$5:$D$40,Assumptions!$B36)*EC36*AL36,"")</f>
        <v>0</v>
      </c>
      <c r="CI36" s="41">
        <f ca="1">IFERROR(SUMIFS('TRA balance'!AJ$5:AJ$40,'TRA balance'!$C$5:$C$40,Assumptions!$C36,'TRA balance'!$D$5:$D$40,Assumptions!$B36)*ED36*AM36,"")</f>
        <v>0</v>
      </c>
      <c r="CJ36" s="41">
        <f ca="1">IFERROR(SUMIFS('TRA balance'!AK$5:AK$40,'TRA balance'!$C$5:$C$40,Assumptions!$C36,'TRA balance'!$D$5:$D$40,Assumptions!$B36)*EE36*AN36,"")</f>
        <v>0</v>
      </c>
      <c r="CK36" s="41">
        <f ca="1">IFERROR(SUMIFS('TRA balance'!AL$5:AL$40,'TRA balance'!$C$5:$C$40,Assumptions!$C36,'TRA balance'!$D$5:$D$40,Assumptions!$B36)*EF36*AO36,"")</f>
        <v>0</v>
      </c>
      <c r="CL36" s="41">
        <f ca="1">IFERROR(SUMIFS('TRA balance'!AM$5:AM$40,'TRA balance'!$C$5:$C$40,Assumptions!$C36,'TRA balance'!$D$5:$D$40,Assumptions!$B36)*EG36*AP36,"")</f>
        <v>0</v>
      </c>
      <c r="CM36" s="41">
        <f ca="1">IFERROR(SUMIFS('TRA balance'!AN$5:AN$40,'TRA balance'!$C$5:$C$40,Assumptions!$C36,'TRA balance'!$D$5:$D$40,Assumptions!$B36)*EH36*AQ36,"")</f>
        <v>0</v>
      </c>
      <c r="CN36" s="41">
        <f ca="1">IFERROR(SUMIFS('TRA balance'!AO$5:AO$40,'TRA balance'!$C$5:$C$40,Assumptions!$C36,'TRA balance'!$D$5:$D$40,Assumptions!$B36)*EI36*AR36,"")</f>
        <v>0</v>
      </c>
      <c r="CO36" s="41">
        <f ca="1">IFERROR(SUMIFS('TRA balance'!AP$5:AP$40,'TRA balance'!$C$5:$C$40,Assumptions!$C36,'TRA balance'!$D$5:$D$40,Assumptions!$B36)*EJ36*AS36,"")</f>
        <v>0</v>
      </c>
      <c r="CP36" s="41">
        <f ca="1">IFERROR(SUMIFS('TRA balance'!AQ$5:AQ$40,'TRA balance'!$C$5:$C$40,Assumptions!$C36,'TRA balance'!$D$5:$D$40,Assumptions!$B36)*EK36*AT36,"")</f>
        <v>0</v>
      </c>
      <c r="CQ36" s="41">
        <f ca="1">IFERROR(SUMIFS('TRA balance'!AR$5:AR$40,'TRA balance'!$C$5:$C$40,Assumptions!$C36,'TRA balance'!$D$5:$D$40,Assumptions!$B36)*EL36*AU36,"")</f>
        <v>0</v>
      </c>
      <c r="CR36" s="41">
        <f ca="1">IFERROR(SUMIFS('TRA balance'!AS$5:AS$40,'TRA balance'!$C$5:$C$40,Assumptions!$C36,'TRA balance'!$D$5:$D$40,Assumptions!$B36)*EM36*AV36,"")</f>
        <v>0</v>
      </c>
      <c r="CS36" s="41">
        <f ca="1">IFERROR(SUMIFS('TRA balance'!AT$5:AT$40,'TRA balance'!$C$5:$C$40,Assumptions!$C36,'TRA balance'!$D$5:$D$40,Assumptions!$B36)*EN36*AW36,"")</f>
        <v>0</v>
      </c>
      <c r="CT36" s="41">
        <f ca="1">IFERROR(SUMIFS('TRA balance'!AU$5:AU$40,'TRA balance'!$C$5:$C$40,Assumptions!$C36,'TRA balance'!$D$5:$D$40,Assumptions!$B36)*EO36*AX36,"")</f>
        <v>0</v>
      </c>
      <c r="CU36" s="41">
        <f ca="1">IFERROR(SUMIFS('TRA balance'!AV$5:AV$40,'TRA balance'!$C$5:$C$40,Assumptions!$C36,'TRA balance'!$D$5:$D$40,Assumptions!$B36)*EP36*AY36,"")</f>
        <v>0</v>
      </c>
      <c r="CV36" s="41">
        <f ca="1">IFERROR(SUMIFS('TRA balance'!AW$5:AW$40,'TRA balance'!$C$5:$C$40,Assumptions!$C36,'TRA balance'!$D$5:$D$40,Assumptions!$B36)*EQ36*AZ36,"")</f>
        <v>0</v>
      </c>
      <c r="CW36" s="41">
        <f ca="1">IFERROR(SUMIFS('TRA balance'!AX$5:AX$40,'TRA balance'!$C$5:$C$40,Assumptions!$C36,'TRA balance'!$D$5:$D$40,Assumptions!$B36)*ER36*BA36,"")</f>
        <v>0</v>
      </c>
      <c r="CY36" s="40">
        <f ca="1" t="shared" si="66"/>
        <v>1</v>
      </c>
      <c r="CZ36" s="40">
        <f ca="1" t="shared" si="3"/>
        <v>1</v>
      </c>
      <c r="DA36" s="40">
        <f ca="1" t="shared" si="4"/>
        <v>1</v>
      </c>
      <c r="DB36" s="40">
        <f ca="1" t="shared" si="5"/>
        <v>1</v>
      </c>
      <c r="DC36" s="40">
        <f ca="1" t="shared" si="6"/>
        <v>1</v>
      </c>
      <c r="DD36" s="40">
        <f ca="1" t="shared" si="7"/>
        <v>1</v>
      </c>
      <c r="DE36" s="40">
        <f ca="1" t="shared" si="8"/>
        <v>1</v>
      </c>
      <c r="DF36" s="40">
        <f ca="1" t="shared" si="9"/>
        <v>1</v>
      </c>
      <c r="DG36" s="40">
        <f ca="1" t="shared" si="10"/>
        <v>1</v>
      </c>
      <c r="DH36" s="40">
        <f ca="1" t="shared" si="11"/>
        <v>1</v>
      </c>
      <c r="DI36" s="40">
        <f ca="1" t="shared" si="12"/>
        <v>1</v>
      </c>
      <c r="DJ36" s="40">
        <f ca="1" t="shared" si="13"/>
        <v>1</v>
      </c>
      <c r="DK36" s="40">
        <f ca="1" t="shared" si="14"/>
        <v>1</v>
      </c>
      <c r="DL36" s="40">
        <f ca="1" t="shared" si="15"/>
        <v>1</v>
      </c>
      <c r="DM36" s="40">
        <f ca="1" t="shared" si="16"/>
        <v>1</v>
      </c>
      <c r="DN36" s="40">
        <f ca="1" t="shared" si="17"/>
        <v>1</v>
      </c>
      <c r="DO36" s="40">
        <f ca="1" t="shared" si="18"/>
        <v>1</v>
      </c>
      <c r="DP36" s="40">
        <f ca="1" t="shared" si="19"/>
        <v>1</v>
      </c>
      <c r="DQ36" s="40">
        <f ca="1" t="shared" si="20"/>
        <v>1</v>
      </c>
      <c r="DR36" s="40">
        <f ca="1" t="shared" si="21"/>
        <v>1</v>
      </c>
      <c r="DS36" s="40">
        <f ca="1" t="shared" si="22"/>
        <v>1</v>
      </c>
      <c r="DT36" s="40">
        <f ca="1" t="shared" si="23"/>
        <v>1</v>
      </c>
      <c r="DU36" s="40">
        <f ca="1" t="shared" si="24"/>
        <v>1</v>
      </c>
      <c r="DV36" s="40">
        <f ca="1" t="shared" si="25"/>
        <v>1</v>
      </c>
      <c r="DW36" s="40">
        <f ca="1" t="shared" si="26"/>
        <v>1</v>
      </c>
      <c r="DX36" s="40">
        <f ca="1" t="shared" si="27"/>
        <v>1</v>
      </c>
      <c r="DY36" s="40">
        <f ca="1" t="shared" si="28"/>
        <v>1</v>
      </c>
      <c r="DZ36" s="40">
        <f ca="1" t="shared" si="29"/>
        <v>1</v>
      </c>
      <c r="EA36" s="40">
        <f ca="1" t="shared" si="30"/>
        <v>1</v>
      </c>
      <c r="EB36" s="40">
        <f ca="1" t="shared" si="31"/>
        <v>1</v>
      </c>
      <c r="EC36" s="40">
        <f ca="1" t="shared" si="32"/>
        <v>1</v>
      </c>
      <c r="ED36" s="40">
        <f ca="1" t="shared" si="33"/>
        <v>1</v>
      </c>
      <c r="EE36" s="40">
        <f ca="1" t="shared" si="34"/>
        <v>1</v>
      </c>
      <c r="EF36" s="40">
        <f ca="1" t="shared" si="35"/>
        <v>1</v>
      </c>
      <c r="EG36" s="40">
        <f ca="1" t="shared" si="36"/>
        <v>1</v>
      </c>
      <c r="EH36" s="40">
        <f ca="1" t="shared" si="37"/>
        <v>1</v>
      </c>
      <c r="EI36" s="40">
        <f ca="1" t="shared" si="38"/>
        <v>1</v>
      </c>
      <c r="EJ36" s="40">
        <f ca="1" t="shared" si="39"/>
        <v>1</v>
      </c>
      <c r="EK36" s="40">
        <f ca="1" t="shared" si="40"/>
        <v>1</v>
      </c>
      <c r="EL36" s="40">
        <f ca="1" t="shared" si="41"/>
        <v>1</v>
      </c>
      <c r="EM36" s="40">
        <f ca="1" t="shared" si="42"/>
        <v>1</v>
      </c>
      <c r="EN36" s="40">
        <f ca="1" t="shared" si="43"/>
        <v>1</v>
      </c>
      <c r="EO36" s="40">
        <f ca="1" t="shared" si="44"/>
        <v>1</v>
      </c>
      <c r="EP36" s="40">
        <f ca="1" t="shared" si="45"/>
        <v>1</v>
      </c>
      <c r="EQ36" s="40">
        <f ca="1" t="shared" si="46"/>
        <v>1</v>
      </c>
      <c r="ER36" s="40">
        <f ca="1" t="shared" si="47"/>
        <v>1</v>
      </c>
    </row>
    <row r="37" spans="1:148">
      <c r="A37">
        <v>1</v>
      </c>
      <c r="B37" t="str">
        <f>VLOOKUP(F37,'TRA balance'!$BA$5:$BB$14,2,FALSE)</f>
        <v>TRAHFO</v>
      </c>
      <c r="C37" s="56" t="str">
        <f t="shared" si="48"/>
        <v>TT</v>
      </c>
      <c r="D37" s="57" t="s">
        <v>192</v>
      </c>
      <c r="E37" s="57" t="s">
        <v>197</v>
      </c>
      <c r="F37" s="58" t="str">
        <f t="shared" ref="F37:F38" si="67">F36</f>
        <v>Heavy Fuel Oil</v>
      </c>
      <c r="G37" s="56" t="s">
        <v>198</v>
      </c>
      <c r="H37" s="59">
        <f ca="1">OFFSET(TIAM15_assumptions!$G37,0,MATCH(VLOOKUP(Assumptions!H$2,TIAM15_assumptions!$Y$3:$Z$87,2,FALSE),TIAM15_assumptions!$H$2:$V$2,0))</f>
        <v>0.3</v>
      </c>
      <c r="I37" s="59">
        <f ca="1">OFFSET(TIAM15_assumptions!$G37,0,MATCH(VLOOKUP(Assumptions!I$2,TIAM15_assumptions!$Y$3:$Z$87,2,FALSE),TIAM15_assumptions!$H$2:$V$2,0))</f>
        <v>0.3</v>
      </c>
      <c r="J37" s="59">
        <f ca="1">OFFSET(TIAM15_assumptions!$G37,0,MATCH(VLOOKUP(Assumptions!J$2,TIAM15_assumptions!$Y$3:$Z$87,2,FALSE),TIAM15_assumptions!$H$2:$V$2,0))</f>
        <v>0</v>
      </c>
      <c r="K37" s="59">
        <f ca="1">OFFSET(TIAM15_assumptions!$G37,0,MATCH(VLOOKUP(Assumptions!K$2,TIAM15_assumptions!$Y$3:$Z$87,2,FALSE),TIAM15_assumptions!$H$2:$V$2,0))</f>
        <v>0.1</v>
      </c>
      <c r="L37" s="59">
        <f ca="1">OFFSET(TIAM15_assumptions!$G37,0,MATCH(VLOOKUP(Assumptions!L$2,TIAM15_assumptions!$Y$3:$Z$87,2,FALSE),TIAM15_assumptions!$H$2:$V$2,0))</f>
        <v>0.1</v>
      </c>
      <c r="M37" s="59">
        <f ca="1">OFFSET(TIAM15_assumptions!$G37,0,MATCH(VLOOKUP(Assumptions!M$2,TIAM15_assumptions!$Y$3:$Z$87,2,FALSE),TIAM15_assumptions!$H$2:$V$2,0))</f>
        <v>0.1</v>
      </c>
      <c r="N37" s="59">
        <f ca="1">OFFSET(TIAM15_assumptions!$G37,0,MATCH(VLOOKUP(Assumptions!N$2,TIAM15_assumptions!$Y$3:$Z$87,2,FALSE),TIAM15_assumptions!$H$2:$V$2,0))</f>
        <v>0</v>
      </c>
      <c r="O37" s="59">
        <f ca="1">OFFSET(TIAM15_assumptions!$G37,0,MATCH(VLOOKUP(Assumptions!O$2,TIAM15_assumptions!$Y$3:$Z$87,2,FALSE),TIAM15_assumptions!$H$2:$V$2,0))</f>
        <v>0.4</v>
      </c>
      <c r="P37" s="59">
        <f ca="1">OFFSET(TIAM15_assumptions!$G37,0,MATCH(VLOOKUP(Assumptions!P$2,TIAM15_assumptions!$Y$3:$Z$87,2,FALSE),TIAM15_assumptions!$H$2:$V$2,0))</f>
        <v>0.1</v>
      </c>
      <c r="Q37" s="59">
        <f ca="1">OFFSET(TIAM15_assumptions!$G37,0,MATCH(VLOOKUP(Assumptions!Q$2,TIAM15_assumptions!$Y$3:$Z$87,2,FALSE),TIAM15_assumptions!$H$2:$V$2,0))</f>
        <v>0.1</v>
      </c>
      <c r="R37" s="59">
        <f ca="1">OFFSET(TIAM15_assumptions!$G37,0,MATCH(VLOOKUP(Assumptions!R$2,TIAM15_assumptions!$Y$3:$Z$87,2,FALSE),TIAM15_assumptions!$H$2:$V$2,0))</f>
        <v>0.1</v>
      </c>
      <c r="S37" s="59">
        <f ca="1">OFFSET(TIAM15_assumptions!$G37,0,MATCH(VLOOKUP(Assumptions!S$2,TIAM15_assumptions!$Y$3:$Z$87,2,FALSE),TIAM15_assumptions!$H$2:$V$2,0))</f>
        <v>0.1</v>
      </c>
      <c r="T37" s="59">
        <f ca="1">OFFSET(TIAM15_assumptions!$G37,0,MATCH(VLOOKUP(Assumptions!T$2,TIAM15_assumptions!$Y$3:$Z$87,2,FALSE),TIAM15_assumptions!$H$2:$V$2,0))</f>
        <v>0.1</v>
      </c>
      <c r="U37" s="59">
        <f ca="1">OFFSET(TIAM15_assumptions!$G37,0,MATCH(VLOOKUP(Assumptions!U$2,TIAM15_assumptions!$Y$3:$Z$87,2,FALSE),TIAM15_assumptions!$H$2:$V$2,0))</f>
        <v>0.1</v>
      </c>
      <c r="V37" s="59">
        <f ca="1">OFFSET(TIAM15_assumptions!$G37,0,MATCH(VLOOKUP(Assumptions!V$2,TIAM15_assumptions!$Y$3:$Z$87,2,FALSE),TIAM15_assumptions!$H$2:$V$2,0))</f>
        <v>0.1</v>
      </c>
      <c r="W37" s="59">
        <f ca="1">OFFSET(TIAM15_assumptions!$G37,0,MATCH(VLOOKUP(Assumptions!W$2,TIAM15_assumptions!$Y$3:$Z$87,2,FALSE),TIAM15_assumptions!$H$2:$V$2,0))</f>
        <v>0.5</v>
      </c>
      <c r="X37" s="59">
        <f ca="1">OFFSET(TIAM15_assumptions!$G37,0,MATCH(VLOOKUP(Assumptions!X$2,TIAM15_assumptions!$Y$3:$Z$87,2,FALSE),TIAM15_assumptions!$H$2:$V$2,0))</f>
        <v>0.1</v>
      </c>
      <c r="Y37" s="59">
        <f ca="1">OFFSET(TIAM15_assumptions!$G37,0,MATCH(VLOOKUP(Assumptions!Y$2,TIAM15_assumptions!$Y$3:$Z$87,2,FALSE),TIAM15_assumptions!$H$2:$V$2,0))</f>
        <v>0.1</v>
      </c>
      <c r="Z37" s="59">
        <f ca="1">OFFSET(TIAM15_assumptions!$G37,0,MATCH(VLOOKUP(Assumptions!Z$2,TIAM15_assumptions!$Y$3:$Z$87,2,FALSE),TIAM15_assumptions!$H$2:$V$2,0))</f>
        <v>0.1</v>
      </c>
      <c r="AA37" s="59">
        <f ca="1">OFFSET(TIAM15_assumptions!$G37,0,MATCH(VLOOKUP(Assumptions!AA$2,TIAM15_assumptions!$Y$3:$Z$87,2,FALSE),TIAM15_assumptions!$H$2:$V$2,0))</f>
        <v>0</v>
      </c>
      <c r="AB37" s="59">
        <f ca="1">OFFSET(TIAM15_assumptions!$G37,0,MATCH(VLOOKUP(Assumptions!AB$2,TIAM15_assumptions!$Y$3:$Z$87,2,FALSE),TIAM15_assumptions!$H$2:$V$2,0))</f>
        <v>0.3</v>
      </c>
      <c r="AC37" s="59">
        <f ca="1">OFFSET(TIAM15_assumptions!$G37,0,MATCH(VLOOKUP(Assumptions!AC$2,TIAM15_assumptions!$Y$3:$Z$87,2,FALSE),TIAM15_assumptions!$H$2:$V$2,0))</f>
        <v>0.1</v>
      </c>
      <c r="AD37" s="59">
        <f ca="1">OFFSET(TIAM15_assumptions!$G37,0,MATCH(VLOOKUP(Assumptions!AD$2,TIAM15_assumptions!$Y$3:$Z$87,2,FALSE),TIAM15_assumptions!$H$2:$V$2,0))</f>
        <v>0.1</v>
      </c>
      <c r="AE37" s="59">
        <f ca="1">OFFSET(TIAM15_assumptions!$G37,0,MATCH(VLOOKUP(Assumptions!AE$2,TIAM15_assumptions!$Y$3:$Z$87,2,FALSE),TIAM15_assumptions!$H$2:$V$2,0))</f>
        <v>0.1</v>
      </c>
      <c r="AF37" s="59">
        <f ca="1">OFFSET(TIAM15_assumptions!$G37,0,MATCH(VLOOKUP(Assumptions!AF$2,TIAM15_assumptions!$Y$3:$Z$87,2,FALSE),TIAM15_assumptions!$H$2:$V$2,0))</f>
        <v>0.1</v>
      </c>
      <c r="AG37" s="59">
        <f ca="1">OFFSET(TIAM15_assumptions!$G37,0,MATCH(VLOOKUP(Assumptions!AG$2,TIAM15_assumptions!$Y$3:$Z$87,2,FALSE),TIAM15_assumptions!$H$2:$V$2,0))</f>
        <v>0.1</v>
      </c>
      <c r="AH37" s="59">
        <f ca="1">OFFSET(TIAM15_assumptions!$G37,0,MATCH(VLOOKUP(Assumptions!AH$2,TIAM15_assumptions!$Y$3:$Z$87,2,FALSE),TIAM15_assumptions!$H$2:$V$2,0))</f>
        <v>0.3</v>
      </c>
      <c r="AI37" s="59">
        <f ca="1">OFFSET(TIAM15_assumptions!$G37,0,MATCH(VLOOKUP(Assumptions!AI$2,TIAM15_assumptions!$Y$3:$Z$87,2,FALSE),TIAM15_assumptions!$H$2:$V$2,0))</f>
        <v>0.3</v>
      </c>
      <c r="AJ37" s="59">
        <f ca="1">OFFSET(TIAM15_assumptions!$G37,0,MATCH(VLOOKUP(Assumptions!AJ$2,TIAM15_assumptions!$Y$3:$Z$87,2,FALSE),TIAM15_assumptions!$H$2:$V$2,0))</f>
        <v>0.1</v>
      </c>
      <c r="AK37" s="59">
        <f ca="1">OFFSET(TIAM15_assumptions!$G37,0,MATCH(VLOOKUP(Assumptions!AK$2,TIAM15_assumptions!$Y$3:$Z$87,2,FALSE),TIAM15_assumptions!$H$2:$V$2,0))</f>
        <v>0.1</v>
      </c>
      <c r="AL37" s="59">
        <f ca="1">OFFSET(TIAM15_assumptions!$G37,0,MATCH(VLOOKUP(Assumptions!AL$2,TIAM15_assumptions!$Y$3:$Z$87,2,FALSE),TIAM15_assumptions!$H$2:$V$2,0))</f>
        <v>0.1</v>
      </c>
      <c r="AM37" s="59">
        <f ca="1">OFFSET(TIAM15_assumptions!$G37,0,MATCH(VLOOKUP(Assumptions!AM$2,TIAM15_assumptions!$Y$3:$Z$87,2,FALSE),TIAM15_assumptions!$H$2:$V$2,0))</f>
        <v>0.3</v>
      </c>
      <c r="AN37" s="59">
        <f ca="1">OFFSET(TIAM15_assumptions!$G37,0,MATCH(VLOOKUP(Assumptions!AN$2,TIAM15_assumptions!$Y$3:$Z$87,2,FALSE),TIAM15_assumptions!$H$2:$V$2,0))</f>
        <v>0.1</v>
      </c>
      <c r="AO37" s="59">
        <f ca="1">OFFSET(TIAM15_assumptions!$G37,0,MATCH(VLOOKUP(Assumptions!AO$2,TIAM15_assumptions!$Y$3:$Z$87,2,FALSE),TIAM15_assumptions!$H$2:$V$2,0))</f>
        <v>0.1</v>
      </c>
      <c r="AP37" s="59">
        <f ca="1">OFFSET(TIAM15_assumptions!$G37,0,MATCH(VLOOKUP(Assumptions!AP$2,TIAM15_assumptions!$Y$3:$Z$87,2,FALSE),TIAM15_assumptions!$H$2:$V$2,0))</f>
        <v>0.1</v>
      </c>
      <c r="AQ37" s="59">
        <f ca="1">OFFSET(TIAM15_assumptions!$G37,0,MATCH(VLOOKUP(Assumptions!AQ$2,TIAM15_assumptions!$Y$3:$Z$87,2,FALSE),TIAM15_assumptions!$H$2:$V$2,0))</f>
        <v>0.1</v>
      </c>
      <c r="AR37" s="59">
        <f ca="1">OFFSET(TIAM15_assumptions!$G37,0,MATCH(VLOOKUP(Assumptions!AR$2,TIAM15_assumptions!$Y$3:$Z$87,2,FALSE),TIAM15_assumptions!$H$2:$V$2,0))</f>
        <v>0.1</v>
      </c>
      <c r="AS37" s="59">
        <f ca="1">OFFSET(TIAM15_assumptions!$G37,0,MATCH(VLOOKUP(Assumptions!AS$2,TIAM15_assumptions!$Y$3:$Z$87,2,FALSE),TIAM15_assumptions!$H$2:$V$2,0))</f>
        <v>0.1</v>
      </c>
      <c r="AT37" s="59">
        <f ca="1">OFFSET(TIAM15_assumptions!$G37,0,MATCH(VLOOKUP(Assumptions!AT$2,TIAM15_assumptions!$Y$3:$Z$87,2,FALSE),TIAM15_assumptions!$H$2:$V$2,0))</f>
        <v>0.1</v>
      </c>
      <c r="AU37" s="59">
        <f ca="1">OFFSET(TIAM15_assumptions!$G37,0,MATCH(VLOOKUP(Assumptions!AU$2,TIAM15_assumptions!$Y$3:$Z$87,2,FALSE),TIAM15_assumptions!$H$2:$V$2,0))</f>
        <v>0.1</v>
      </c>
      <c r="AV37" s="59">
        <f ca="1">OFFSET(TIAM15_assumptions!$G37,0,MATCH(VLOOKUP(Assumptions!AV$2,TIAM15_assumptions!$Y$3:$Z$87,2,FALSE),TIAM15_assumptions!$H$2:$V$2,0))</f>
        <v>0.1</v>
      </c>
      <c r="AW37" s="59">
        <f ca="1">OFFSET(TIAM15_assumptions!$G37,0,MATCH(VLOOKUP(Assumptions!AW$2,TIAM15_assumptions!$Y$3:$Z$87,2,FALSE),TIAM15_assumptions!$H$2:$V$2,0))</f>
        <v>0.1</v>
      </c>
      <c r="AX37" s="59">
        <f ca="1">OFFSET(TIAM15_assumptions!$G37,0,MATCH(VLOOKUP(Assumptions!AX$2,TIAM15_assumptions!$Y$3:$Z$87,2,FALSE),TIAM15_assumptions!$H$2:$V$2,0))</f>
        <v>0.1</v>
      </c>
      <c r="AY37" s="59">
        <f ca="1">OFFSET(TIAM15_assumptions!$G37,0,MATCH(VLOOKUP(Assumptions!AY$2,TIAM15_assumptions!$Y$3:$Z$87,2,FALSE),TIAM15_assumptions!$H$2:$V$2,0))</f>
        <v>0.1</v>
      </c>
      <c r="AZ37" s="59">
        <f ca="1">OFFSET(TIAM15_assumptions!$G37,0,MATCH(VLOOKUP(Assumptions!AZ$2,TIAM15_assumptions!$Y$3:$Z$87,2,FALSE),TIAM15_assumptions!$H$2:$V$2,0))</f>
        <v>0.1</v>
      </c>
      <c r="BA37" s="59">
        <f ca="1">OFFSET(TIAM15_assumptions!$G37,0,MATCH(VLOOKUP(Assumptions!BA$2,TIAM15_assumptions!$Y$3:$Z$87,2,FALSE),TIAM15_assumptions!$H$2:$V$2,0))</f>
        <v>0.1</v>
      </c>
      <c r="BD37" s="41">
        <f ca="1">IFERROR(SUMIFS('TRA balance'!E$5:E$40,'TRA balance'!$C$5:$C$40,Assumptions!$C37,'TRA balance'!$D$5:$D$40,Assumptions!$B37)*CY37*H37,"")</f>
        <v>1.27200050028</v>
      </c>
      <c r="BE37" s="41">
        <f ca="1">IFERROR(SUMIFS('TRA balance'!F$5:F$40,'TRA balance'!$C$5:$C$40,Assumptions!$C37,'TRA balance'!$D$5:$D$40,Assumptions!$B37)*CZ37*I37,"")</f>
        <v>0</v>
      </c>
      <c r="BF37" s="41">
        <f ca="1">IFERROR(SUMIFS('TRA balance'!G$5:G$40,'TRA balance'!$C$5:$C$40,Assumptions!$C37,'TRA balance'!$D$5:$D$40,Assumptions!$B37)*DA37*J37,"")</f>
        <v>0</v>
      </c>
      <c r="BG37" s="41">
        <f ca="1">IFERROR(SUMIFS('TRA balance'!H$5:H$40,'TRA balance'!$C$5:$C$40,Assumptions!$C37,'TRA balance'!$D$5:$D$40,Assumptions!$B37)*DB37*K37,"")</f>
        <v>0</v>
      </c>
      <c r="BH37" s="41">
        <f ca="1">IFERROR(SUMIFS('TRA balance'!I$5:I$40,'TRA balance'!$C$5:$C$40,Assumptions!$C37,'TRA balance'!$D$5:$D$40,Assumptions!$B37)*DC37*L37,"")</f>
        <v>0</v>
      </c>
      <c r="BI37" s="41">
        <f ca="1">IFERROR(SUMIFS('TRA balance'!J$5:J$40,'TRA balance'!$C$5:$C$40,Assumptions!$C37,'TRA balance'!$D$5:$D$40,Assumptions!$B37)*DD37*M37,"")</f>
        <v>0</v>
      </c>
      <c r="BJ37" s="41">
        <f ca="1">IFERROR(SUMIFS('TRA balance'!K$5:K$40,'TRA balance'!$C$5:$C$40,Assumptions!$C37,'TRA balance'!$D$5:$D$40,Assumptions!$B37)*DE37*N37,"")</f>
        <v>0</v>
      </c>
      <c r="BK37" s="41">
        <f ca="1">IFERROR(SUMIFS('TRA balance'!L$5:L$40,'TRA balance'!$C$5:$C$40,Assumptions!$C37,'TRA balance'!$D$5:$D$40,Assumptions!$B37)*DF37*O37,"")</f>
        <v>0</v>
      </c>
      <c r="BL37" s="41">
        <f ca="1">IFERROR(SUMIFS('TRA balance'!M$5:M$40,'TRA balance'!$C$5:$C$40,Assumptions!$C37,'TRA balance'!$D$5:$D$40,Assumptions!$B37)*DG37*P37,"")</f>
        <v>0</v>
      </c>
      <c r="BM37" s="41">
        <f ca="1">IFERROR(SUMIFS('TRA balance'!N$5:N$40,'TRA balance'!$C$5:$C$40,Assumptions!$C37,'TRA balance'!$D$5:$D$40,Assumptions!$B37)*DH37*Q37,"")</f>
        <v>0</v>
      </c>
      <c r="BN37" s="41">
        <f ca="1">IFERROR(SUMIFS('TRA balance'!O$5:O$40,'TRA balance'!$C$5:$C$40,Assumptions!$C37,'TRA balance'!$D$5:$D$40,Assumptions!$B37)*DI37*R37,"")</f>
        <v>0</v>
      </c>
      <c r="BO37" s="41">
        <f ca="1">IFERROR(SUMIFS('TRA balance'!P$5:P$40,'TRA balance'!$C$5:$C$40,Assumptions!$C37,'TRA balance'!$D$5:$D$40,Assumptions!$B37)*DJ37*S37,"")</f>
        <v>0</v>
      </c>
      <c r="BP37" s="41">
        <f ca="1">IFERROR(SUMIFS('TRA balance'!Q$5:Q$40,'TRA balance'!$C$5:$C$40,Assumptions!$C37,'TRA balance'!$D$5:$D$40,Assumptions!$B37)*DK37*T37,"")</f>
        <v>0</v>
      </c>
      <c r="BQ37" s="41">
        <f ca="1">IFERROR(SUMIFS('TRA balance'!R$5:R$40,'TRA balance'!$C$5:$C$40,Assumptions!$C37,'TRA balance'!$D$5:$D$40,Assumptions!$B37)*DL37*U37,"")</f>
        <v>0</v>
      </c>
      <c r="BR37" s="41">
        <f ca="1">IFERROR(SUMIFS('TRA balance'!S$5:S$40,'TRA balance'!$C$5:$C$40,Assumptions!$C37,'TRA balance'!$D$5:$D$40,Assumptions!$B37)*DM37*V37,"")</f>
        <v>0</v>
      </c>
      <c r="BS37" s="41">
        <f ca="1">IFERROR(SUMIFS('TRA balance'!T$5:T$40,'TRA balance'!$C$5:$C$40,Assumptions!$C37,'TRA balance'!$D$5:$D$40,Assumptions!$B37)*DN37*W37,"")</f>
        <v>0</v>
      </c>
      <c r="BT37" s="41">
        <f ca="1">IFERROR(SUMIFS('TRA balance'!U$5:U$40,'TRA balance'!$C$5:$C$40,Assumptions!$C37,'TRA balance'!$D$5:$D$40,Assumptions!$B37)*DO37*X37,"")</f>
        <v>0</v>
      </c>
      <c r="BU37" s="41">
        <f ca="1">IFERROR(SUMIFS('TRA balance'!V$5:V$40,'TRA balance'!$C$5:$C$40,Assumptions!$C37,'TRA balance'!$D$5:$D$40,Assumptions!$B37)*DP37*Y37,"")</f>
        <v>0</v>
      </c>
      <c r="BV37" s="41">
        <f ca="1">IFERROR(SUMIFS('TRA balance'!W$5:W$40,'TRA balance'!$C$5:$C$40,Assumptions!$C37,'TRA balance'!$D$5:$D$40,Assumptions!$B37)*DQ37*Z37,"")</f>
        <v>0</v>
      </c>
      <c r="BW37" s="41">
        <f ca="1">IFERROR(SUMIFS('TRA balance'!X$5:X$40,'TRA balance'!$C$5:$C$40,Assumptions!$C37,'TRA balance'!$D$5:$D$40,Assumptions!$B37)*DR37*AA37,"")</f>
        <v>0</v>
      </c>
      <c r="BX37" s="41">
        <f ca="1">IFERROR(SUMIFS('TRA balance'!Y$5:Y$40,'TRA balance'!$C$5:$C$40,Assumptions!$C37,'TRA balance'!$D$5:$D$40,Assumptions!$B37)*DS37*AB37,"")</f>
        <v>0</v>
      </c>
      <c r="BY37" s="41">
        <f ca="1">IFERROR(SUMIFS('TRA balance'!Z$5:Z$40,'TRA balance'!$C$5:$C$40,Assumptions!$C37,'TRA balance'!$D$5:$D$40,Assumptions!$B37)*DT37*AC37,"")</f>
        <v>0</v>
      </c>
      <c r="BZ37" s="41">
        <f ca="1">IFERROR(SUMIFS('TRA balance'!AA$5:AA$40,'TRA balance'!$C$5:$C$40,Assumptions!$C37,'TRA balance'!$D$5:$D$40,Assumptions!$B37)*DU37*AD37,"")</f>
        <v>0</v>
      </c>
      <c r="CA37" s="41">
        <f ca="1">IFERROR(SUMIFS('TRA balance'!AB$5:AB$40,'TRA balance'!$C$5:$C$40,Assumptions!$C37,'TRA balance'!$D$5:$D$40,Assumptions!$B37)*DV37*AE37,"")</f>
        <v>0</v>
      </c>
      <c r="CB37" s="41">
        <f ca="1">IFERROR(SUMIFS('TRA balance'!AC$5:AC$40,'TRA balance'!$C$5:$C$40,Assumptions!$C37,'TRA balance'!$D$5:$D$40,Assumptions!$B37)*DW37*AF37,"")</f>
        <v>0.00223030836</v>
      </c>
      <c r="CC37" s="41">
        <f ca="1">IFERROR(SUMIFS('TRA balance'!AD$5:AD$40,'TRA balance'!$C$5:$C$40,Assumptions!$C37,'TRA balance'!$D$5:$D$40,Assumptions!$B37)*DX37*AG37,"")</f>
        <v>0.00871984836</v>
      </c>
      <c r="CD37" s="41">
        <f ca="1">IFERROR(SUMIFS('TRA balance'!AE$5:AE$40,'TRA balance'!$C$5:$C$40,Assumptions!$C37,'TRA balance'!$D$5:$D$40,Assumptions!$B37)*DY37*AH37,"")</f>
        <v>0</v>
      </c>
      <c r="CE37" s="41">
        <f ca="1">IFERROR(SUMIFS('TRA balance'!AF$5:AF$40,'TRA balance'!$C$5:$C$40,Assumptions!$C37,'TRA balance'!$D$5:$D$40,Assumptions!$B37)*DZ37*AI37,"")</f>
        <v>0.92708186796</v>
      </c>
      <c r="CF37" s="41">
        <f ca="1">IFERROR(SUMIFS('TRA balance'!AG$5:AG$40,'TRA balance'!$C$5:$C$40,Assumptions!$C37,'TRA balance'!$D$5:$D$40,Assumptions!$B37)*EA37*AJ37,"")</f>
        <v>0</v>
      </c>
      <c r="CG37" s="41">
        <f ca="1">IFERROR(SUMIFS('TRA balance'!AH$5:AH$40,'TRA balance'!$C$5:$C$40,Assumptions!$C37,'TRA balance'!$D$5:$D$40,Assumptions!$B37)*EB37*AK37,"")</f>
        <v>0</v>
      </c>
      <c r="CH37" s="41">
        <f ca="1">IFERROR(SUMIFS('TRA balance'!AI$5:AI$40,'TRA balance'!$C$5:$C$40,Assumptions!$C37,'TRA balance'!$D$5:$D$40,Assumptions!$B37)*EC37*AL37,"")</f>
        <v>0</v>
      </c>
      <c r="CI37" s="41">
        <f ca="1">IFERROR(SUMIFS('TRA balance'!AJ$5:AJ$40,'TRA balance'!$C$5:$C$40,Assumptions!$C37,'TRA balance'!$D$5:$D$40,Assumptions!$B37)*ED37*AM37,"")</f>
        <v>0</v>
      </c>
      <c r="CJ37" s="41">
        <f ca="1">IFERROR(SUMIFS('TRA balance'!AK$5:AK$40,'TRA balance'!$C$5:$C$40,Assumptions!$C37,'TRA balance'!$D$5:$D$40,Assumptions!$B37)*EE37*AN37,"")</f>
        <v>0</v>
      </c>
      <c r="CK37" s="41">
        <f ca="1">IFERROR(SUMIFS('TRA balance'!AL$5:AL$40,'TRA balance'!$C$5:$C$40,Assumptions!$C37,'TRA balance'!$D$5:$D$40,Assumptions!$B37)*EF37*AO37,"")</f>
        <v>0</v>
      </c>
      <c r="CL37" s="41">
        <f ca="1">IFERROR(SUMIFS('TRA balance'!AM$5:AM$40,'TRA balance'!$C$5:$C$40,Assumptions!$C37,'TRA balance'!$D$5:$D$40,Assumptions!$B37)*EG37*AP37,"")</f>
        <v>0</v>
      </c>
      <c r="CM37" s="41">
        <f ca="1">IFERROR(SUMIFS('TRA balance'!AN$5:AN$40,'TRA balance'!$C$5:$C$40,Assumptions!$C37,'TRA balance'!$D$5:$D$40,Assumptions!$B37)*EH37*AQ37,"")</f>
        <v>0</v>
      </c>
      <c r="CN37" s="41">
        <f ca="1">IFERROR(SUMIFS('TRA balance'!AO$5:AO$40,'TRA balance'!$C$5:$C$40,Assumptions!$C37,'TRA balance'!$D$5:$D$40,Assumptions!$B37)*EI37*AR37,"")</f>
        <v>0</v>
      </c>
      <c r="CO37" s="41">
        <f ca="1">IFERROR(SUMIFS('TRA balance'!AP$5:AP$40,'TRA balance'!$C$5:$C$40,Assumptions!$C37,'TRA balance'!$D$5:$D$40,Assumptions!$B37)*EJ37*AS37,"")</f>
        <v>0</v>
      </c>
      <c r="CP37" s="41">
        <f ca="1">IFERROR(SUMIFS('TRA balance'!AQ$5:AQ$40,'TRA balance'!$C$5:$C$40,Assumptions!$C37,'TRA balance'!$D$5:$D$40,Assumptions!$B37)*EK37*AT37,"")</f>
        <v>0</v>
      </c>
      <c r="CQ37" s="41">
        <f ca="1">IFERROR(SUMIFS('TRA balance'!AR$5:AR$40,'TRA balance'!$C$5:$C$40,Assumptions!$C37,'TRA balance'!$D$5:$D$40,Assumptions!$B37)*EL37*AU37,"")</f>
        <v>0</v>
      </c>
      <c r="CR37" s="41">
        <f ca="1">IFERROR(SUMIFS('TRA balance'!AS$5:AS$40,'TRA balance'!$C$5:$C$40,Assumptions!$C37,'TRA balance'!$D$5:$D$40,Assumptions!$B37)*EM37*AV37,"")</f>
        <v>0</v>
      </c>
      <c r="CS37" s="41">
        <f ca="1">IFERROR(SUMIFS('TRA balance'!AT$5:AT$40,'TRA balance'!$C$5:$C$40,Assumptions!$C37,'TRA balance'!$D$5:$D$40,Assumptions!$B37)*EN37*AW37,"")</f>
        <v>0</v>
      </c>
      <c r="CT37" s="41">
        <f ca="1">IFERROR(SUMIFS('TRA balance'!AU$5:AU$40,'TRA balance'!$C$5:$C$40,Assumptions!$C37,'TRA balance'!$D$5:$D$40,Assumptions!$B37)*EO37*AX37,"")</f>
        <v>0</v>
      </c>
      <c r="CU37" s="41">
        <f ca="1">IFERROR(SUMIFS('TRA balance'!AV$5:AV$40,'TRA balance'!$C$5:$C$40,Assumptions!$C37,'TRA balance'!$D$5:$D$40,Assumptions!$B37)*EP37*AY37,"")</f>
        <v>0</v>
      </c>
      <c r="CV37" s="41">
        <f ca="1">IFERROR(SUMIFS('TRA balance'!AW$5:AW$40,'TRA balance'!$C$5:$C$40,Assumptions!$C37,'TRA balance'!$D$5:$D$40,Assumptions!$B37)*EQ37*AZ37,"")</f>
        <v>0</v>
      </c>
      <c r="CW37" s="41">
        <f ca="1">IFERROR(SUMIFS('TRA balance'!AX$5:AX$40,'TRA balance'!$C$5:$C$40,Assumptions!$C37,'TRA balance'!$D$5:$D$40,Assumptions!$B37)*ER37*BA37,"")</f>
        <v>0</v>
      </c>
      <c r="CY37" s="40">
        <f ca="1" t="shared" si="66"/>
        <v>1</v>
      </c>
      <c r="CZ37" s="40">
        <f ca="1" t="shared" si="3"/>
        <v>1</v>
      </c>
      <c r="DA37" s="40">
        <f ca="1" t="shared" si="4"/>
        <v>1</v>
      </c>
      <c r="DB37" s="40">
        <f ca="1" t="shared" si="5"/>
        <v>1</v>
      </c>
      <c r="DC37" s="40">
        <f ca="1" t="shared" si="6"/>
        <v>1</v>
      </c>
      <c r="DD37" s="40">
        <f ca="1" t="shared" si="7"/>
        <v>1</v>
      </c>
      <c r="DE37" s="40">
        <f ca="1" t="shared" si="8"/>
        <v>1</v>
      </c>
      <c r="DF37" s="40">
        <f ca="1" t="shared" si="9"/>
        <v>1</v>
      </c>
      <c r="DG37" s="40">
        <f ca="1" t="shared" si="10"/>
        <v>1</v>
      </c>
      <c r="DH37" s="40">
        <f ca="1" t="shared" si="11"/>
        <v>1</v>
      </c>
      <c r="DI37" s="40">
        <f ca="1" t="shared" si="12"/>
        <v>1</v>
      </c>
      <c r="DJ37" s="40">
        <f ca="1" t="shared" si="13"/>
        <v>1</v>
      </c>
      <c r="DK37" s="40">
        <f ca="1" t="shared" si="14"/>
        <v>1</v>
      </c>
      <c r="DL37" s="40">
        <f ca="1" t="shared" si="15"/>
        <v>1</v>
      </c>
      <c r="DM37" s="40">
        <f ca="1" t="shared" si="16"/>
        <v>1</v>
      </c>
      <c r="DN37" s="40">
        <f ca="1" t="shared" si="17"/>
        <v>1</v>
      </c>
      <c r="DO37" s="40">
        <f ca="1" t="shared" si="18"/>
        <v>1</v>
      </c>
      <c r="DP37" s="40">
        <f ca="1" t="shared" si="19"/>
        <v>1</v>
      </c>
      <c r="DQ37" s="40">
        <f ca="1" t="shared" si="20"/>
        <v>1</v>
      </c>
      <c r="DR37" s="40">
        <f ca="1" t="shared" si="21"/>
        <v>1</v>
      </c>
      <c r="DS37" s="40">
        <f ca="1" t="shared" si="22"/>
        <v>1</v>
      </c>
      <c r="DT37" s="40">
        <f ca="1" t="shared" si="23"/>
        <v>1</v>
      </c>
      <c r="DU37" s="40">
        <f ca="1" t="shared" si="24"/>
        <v>1</v>
      </c>
      <c r="DV37" s="40">
        <f ca="1" t="shared" si="25"/>
        <v>1</v>
      </c>
      <c r="DW37" s="40">
        <f ca="1" t="shared" si="26"/>
        <v>1</v>
      </c>
      <c r="DX37" s="40">
        <f ca="1" t="shared" si="27"/>
        <v>1</v>
      </c>
      <c r="DY37" s="40">
        <f ca="1" t="shared" si="28"/>
        <v>1</v>
      </c>
      <c r="DZ37" s="40">
        <f ca="1" t="shared" si="29"/>
        <v>1</v>
      </c>
      <c r="EA37" s="40">
        <f ca="1" t="shared" si="30"/>
        <v>1</v>
      </c>
      <c r="EB37" s="40">
        <f ca="1" t="shared" si="31"/>
        <v>1</v>
      </c>
      <c r="EC37" s="40">
        <f ca="1" t="shared" si="32"/>
        <v>1</v>
      </c>
      <c r="ED37" s="40">
        <f ca="1" t="shared" si="33"/>
        <v>1</v>
      </c>
      <c r="EE37" s="40">
        <f ca="1" t="shared" si="34"/>
        <v>1</v>
      </c>
      <c r="EF37" s="40">
        <f ca="1" t="shared" si="35"/>
        <v>1</v>
      </c>
      <c r="EG37" s="40">
        <f ca="1" t="shared" si="36"/>
        <v>1</v>
      </c>
      <c r="EH37" s="40">
        <f ca="1" t="shared" si="37"/>
        <v>1</v>
      </c>
      <c r="EI37" s="40">
        <f ca="1" t="shared" si="38"/>
        <v>1</v>
      </c>
      <c r="EJ37" s="40">
        <f ca="1" t="shared" si="39"/>
        <v>1</v>
      </c>
      <c r="EK37" s="40">
        <f ca="1" t="shared" si="40"/>
        <v>1</v>
      </c>
      <c r="EL37" s="40">
        <f ca="1" t="shared" si="41"/>
        <v>1</v>
      </c>
      <c r="EM37" s="40">
        <f ca="1" t="shared" si="42"/>
        <v>1</v>
      </c>
      <c r="EN37" s="40">
        <f ca="1" t="shared" si="43"/>
        <v>1</v>
      </c>
      <c r="EO37" s="40">
        <f ca="1" t="shared" si="44"/>
        <v>1</v>
      </c>
      <c r="EP37" s="40">
        <f ca="1" t="shared" si="45"/>
        <v>1</v>
      </c>
      <c r="EQ37" s="40">
        <f ca="1" t="shared" si="46"/>
        <v>1</v>
      </c>
      <c r="ER37" s="40">
        <f ca="1" t="shared" si="47"/>
        <v>1</v>
      </c>
    </row>
    <row r="38" spans="1:148">
      <c r="A38">
        <v>1</v>
      </c>
      <c r="B38" t="str">
        <f>VLOOKUP(F38,'TRA balance'!$BA$5:$BB$14,2,FALSE)</f>
        <v>TRAHFO</v>
      </c>
      <c r="C38" s="60"/>
      <c r="D38" s="60"/>
      <c r="E38" s="61" t="s">
        <v>199</v>
      </c>
      <c r="F38" s="62" t="str">
        <f t="shared" si="67"/>
        <v>Heavy Fuel Oil</v>
      </c>
      <c r="G38" s="60"/>
      <c r="H38" s="61" t="str">
        <f ca="1" t="shared" ref="H38" si="68">IF(SUM(H36:H37)=1,"-","&lt;&gt;1!!")</f>
        <v>-</v>
      </c>
      <c r="I38" s="61" t="str">
        <f ca="1" t="shared" ref="I38:BA38" si="69">IF(SUM(I36:I37)=1,"-","&lt;&gt;1!!")</f>
        <v>-</v>
      </c>
      <c r="J38" s="61" t="str">
        <f ca="1" t="shared" si="69"/>
        <v>-</v>
      </c>
      <c r="K38" s="61" t="str">
        <f ca="1" t="shared" si="69"/>
        <v>-</v>
      </c>
      <c r="L38" s="61" t="str">
        <f ca="1" t="shared" si="69"/>
        <v>-</v>
      </c>
      <c r="M38" s="61" t="str">
        <f ca="1" t="shared" si="69"/>
        <v>-</v>
      </c>
      <c r="N38" s="61" t="str">
        <f ca="1" t="shared" si="69"/>
        <v>-</v>
      </c>
      <c r="O38" s="61" t="str">
        <f ca="1" t="shared" si="69"/>
        <v>-</v>
      </c>
      <c r="P38" s="61" t="str">
        <f ca="1" t="shared" si="69"/>
        <v>-</v>
      </c>
      <c r="Q38" s="61" t="str">
        <f ca="1" t="shared" si="69"/>
        <v>-</v>
      </c>
      <c r="R38" s="61" t="str">
        <f ca="1" t="shared" si="69"/>
        <v>-</v>
      </c>
      <c r="S38" s="61" t="str">
        <f ca="1" t="shared" si="69"/>
        <v>-</v>
      </c>
      <c r="T38" s="61" t="str">
        <f ca="1" t="shared" si="69"/>
        <v>-</v>
      </c>
      <c r="U38" s="61" t="str">
        <f ca="1" t="shared" si="69"/>
        <v>-</v>
      </c>
      <c r="V38" s="61" t="str">
        <f ca="1" t="shared" si="69"/>
        <v>-</v>
      </c>
      <c r="W38" s="61" t="str">
        <f ca="1" t="shared" si="69"/>
        <v>-</v>
      </c>
      <c r="X38" s="61" t="str">
        <f ca="1" t="shared" si="69"/>
        <v>-</v>
      </c>
      <c r="Y38" s="61" t="str">
        <f ca="1" t="shared" si="69"/>
        <v>-</v>
      </c>
      <c r="Z38" s="61" t="str">
        <f ca="1" t="shared" si="69"/>
        <v>-</v>
      </c>
      <c r="AA38" s="61" t="str">
        <f ca="1" t="shared" si="69"/>
        <v>-</v>
      </c>
      <c r="AB38" s="61" t="str">
        <f ca="1" t="shared" si="69"/>
        <v>-</v>
      </c>
      <c r="AC38" s="61" t="str">
        <f ca="1" t="shared" si="69"/>
        <v>-</v>
      </c>
      <c r="AD38" s="61" t="str">
        <f ca="1" t="shared" si="69"/>
        <v>-</v>
      </c>
      <c r="AE38" s="61" t="str">
        <f ca="1" t="shared" si="69"/>
        <v>-</v>
      </c>
      <c r="AF38" s="61" t="str">
        <f ca="1" t="shared" si="69"/>
        <v>-</v>
      </c>
      <c r="AG38" s="61" t="str">
        <f ca="1" t="shared" si="69"/>
        <v>-</v>
      </c>
      <c r="AH38" s="61" t="str">
        <f ca="1" t="shared" si="69"/>
        <v>-</v>
      </c>
      <c r="AI38" s="61" t="str">
        <f ca="1" t="shared" si="69"/>
        <v>-</v>
      </c>
      <c r="AJ38" s="61" t="str">
        <f ca="1" t="shared" si="69"/>
        <v>-</v>
      </c>
      <c r="AK38" s="61" t="str">
        <f ca="1" t="shared" si="69"/>
        <v>-</v>
      </c>
      <c r="AL38" s="61" t="str">
        <f ca="1" t="shared" si="69"/>
        <v>-</v>
      </c>
      <c r="AM38" s="61" t="str">
        <f ca="1" t="shared" si="69"/>
        <v>-</v>
      </c>
      <c r="AN38" s="61" t="str">
        <f ca="1" t="shared" si="69"/>
        <v>-</v>
      </c>
      <c r="AO38" s="61" t="str">
        <f ca="1" t="shared" si="69"/>
        <v>-</v>
      </c>
      <c r="AP38" s="61" t="str">
        <f ca="1" t="shared" si="69"/>
        <v>-</v>
      </c>
      <c r="AQ38" s="61" t="str">
        <f ca="1" t="shared" si="69"/>
        <v>-</v>
      </c>
      <c r="AR38" s="61" t="str">
        <f ca="1" t="shared" si="69"/>
        <v>-</v>
      </c>
      <c r="AS38" s="61" t="str">
        <f ca="1" t="shared" si="69"/>
        <v>-</v>
      </c>
      <c r="AT38" s="61" t="str">
        <f ca="1" t="shared" si="69"/>
        <v>-</v>
      </c>
      <c r="AU38" s="61" t="str">
        <f ca="1" t="shared" si="69"/>
        <v>-</v>
      </c>
      <c r="AV38" s="61" t="str">
        <f ca="1" t="shared" si="69"/>
        <v>-</v>
      </c>
      <c r="AW38" s="61" t="str">
        <f ca="1" t="shared" si="69"/>
        <v>-</v>
      </c>
      <c r="AX38" s="61" t="str">
        <f ca="1" t="shared" si="69"/>
        <v>-</v>
      </c>
      <c r="AY38" s="61" t="str">
        <f ca="1" t="shared" si="69"/>
        <v>-</v>
      </c>
      <c r="AZ38" s="61" t="str">
        <f ca="1" t="shared" si="69"/>
        <v>-</v>
      </c>
      <c r="BA38" s="61" t="str">
        <f ca="1" t="shared" si="69"/>
        <v>-</v>
      </c>
      <c r="BD38" s="41" t="str">
        <f ca="1">IFERROR(SUMIFS('TRA balance'!E$5:E$40,'TRA balance'!$C$5:$C$40,Assumptions!$C38,'TRA balance'!$D$5:$D$40,Assumptions!$B38)*CY38*H38,"")</f>
        <v/>
      </c>
      <c r="BE38" s="41" t="str">
        <f ca="1">IFERROR(SUMIFS('TRA balance'!F$5:F$40,'TRA balance'!$C$5:$C$40,Assumptions!$C38,'TRA balance'!$D$5:$D$40,Assumptions!$B38)*CZ38*I38,"")</f>
        <v/>
      </c>
      <c r="BF38" s="41" t="str">
        <f ca="1">IFERROR(SUMIFS('TRA balance'!G$5:G$40,'TRA balance'!$C$5:$C$40,Assumptions!$C38,'TRA balance'!$D$5:$D$40,Assumptions!$B38)*DA38*J38,"")</f>
        <v/>
      </c>
      <c r="BG38" s="41" t="str">
        <f ca="1">IFERROR(SUMIFS('TRA balance'!H$5:H$40,'TRA balance'!$C$5:$C$40,Assumptions!$C38,'TRA balance'!$D$5:$D$40,Assumptions!$B38)*DB38*K38,"")</f>
        <v/>
      </c>
      <c r="BH38" s="41" t="str">
        <f ca="1">IFERROR(SUMIFS('TRA balance'!I$5:I$40,'TRA balance'!$C$5:$C$40,Assumptions!$C38,'TRA balance'!$D$5:$D$40,Assumptions!$B38)*DC38*L38,"")</f>
        <v/>
      </c>
      <c r="BI38" s="41" t="str">
        <f ca="1">IFERROR(SUMIFS('TRA balance'!J$5:J$40,'TRA balance'!$C$5:$C$40,Assumptions!$C38,'TRA balance'!$D$5:$D$40,Assumptions!$B38)*DD38*M38,"")</f>
        <v/>
      </c>
      <c r="BJ38" s="41" t="str">
        <f ca="1">IFERROR(SUMIFS('TRA balance'!K$5:K$40,'TRA balance'!$C$5:$C$40,Assumptions!$C38,'TRA balance'!$D$5:$D$40,Assumptions!$B38)*DE38*N38,"")</f>
        <v/>
      </c>
      <c r="BK38" s="41" t="str">
        <f ca="1">IFERROR(SUMIFS('TRA balance'!L$5:L$40,'TRA balance'!$C$5:$C$40,Assumptions!$C38,'TRA balance'!$D$5:$D$40,Assumptions!$B38)*DF38*O38,"")</f>
        <v/>
      </c>
      <c r="BL38" s="41" t="str">
        <f ca="1">IFERROR(SUMIFS('TRA balance'!M$5:M$40,'TRA balance'!$C$5:$C$40,Assumptions!$C38,'TRA balance'!$D$5:$D$40,Assumptions!$B38)*DG38*P38,"")</f>
        <v/>
      </c>
      <c r="BM38" s="41" t="str">
        <f ca="1">IFERROR(SUMIFS('TRA balance'!N$5:N$40,'TRA balance'!$C$5:$C$40,Assumptions!$C38,'TRA balance'!$D$5:$D$40,Assumptions!$B38)*DH38*Q38,"")</f>
        <v/>
      </c>
      <c r="BN38" s="41" t="str">
        <f ca="1">IFERROR(SUMIFS('TRA balance'!O$5:O$40,'TRA balance'!$C$5:$C$40,Assumptions!$C38,'TRA balance'!$D$5:$D$40,Assumptions!$B38)*DI38*R38,"")</f>
        <v/>
      </c>
      <c r="BO38" s="41" t="str">
        <f ca="1">IFERROR(SUMIFS('TRA balance'!P$5:P$40,'TRA balance'!$C$5:$C$40,Assumptions!$C38,'TRA balance'!$D$5:$D$40,Assumptions!$B38)*DJ38*S38,"")</f>
        <v/>
      </c>
      <c r="BP38" s="41" t="str">
        <f ca="1">IFERROR(SUMIFS('TRA balance'!Q$5:Q$40,'TRA balance'!$C$5:$C$40,Assumptions!$C38,'TRA balance'!$D$5:$D$40,Assumptions!$B38)*DK38*T38,"")</f>
        <v/>
      </c>
      <c r="BQ38" s="41" t="str">
        <f ca="1">IFERROR(SUMIFS('TRA balance'!R$5:R$40,'TRA balance'!$C$5:$C$40,Assumptions!$C38,'TRA balance'!$D$5:$D$40,Assumptions!$B38)*DL38*U38,"")</f>
        <v/>
      </c>
      <c r="BR38" s="41" t="str">
        <f ca="1">IFERROR(SUMIFS('TRA balance'!S$5:S$40,'TRA balance'!$C$5:$C$40,Assumptions!$C38,'TRA balance'!$D$5:$D$40,Assumptions!$B38)*DM38*V38,"")</f>
        <v/>
      </c>
      <c r="BS38" s="41" t="str">
        <f ca="1">IFERROR(SUMIFS('TRA balance'!T$5:T$40,'TRA balance'!$C$5:$C$40,Assumptions!$C38,'TRA balance'!$D$5:$D$40,Assumptions!$B38)*DN38*W38,"")</f>
        <v/>
      </c>
      <c r="BT38" s="41" t="str">
        <f ca="1">IFERROR(SUMIFS('TRA balance'!U$5:U$40,'TRA balance'!$C$5:$C$40,Assumptions!$C38,'TRA balance'!$D$5:$D$40,Assumptions!$B38)*DO38*X38,"")</f>
        <v/>
      </c>
      <c r="BU38" s="41" t="str">
        <f ca="1">IFERROR(SUMIFS('TRA balance'!V$5:V$40,'TRA balance'!$C$5:$C$40,Assumptions!$C38,'TRA balance'!$D$5:$D$40,Assumptions!$B38)*DP38*Y38,"")</f>
        <v/>
      </c>
      <c r="BV38" s="41" t="str">
        <f ca="1">IFERROR(SUMIFS('TRA balance'!W$5:W$40,'TRA balance'!$C$5:$C$40,Assumptions!$C38,'TRA balance'!$D$5:$D$40,Assumptions!$B38)*DQ38*Z38,"")</f>
        <v/>
      </c>
      <c r="BW38" s="41" t="str">
        <f ca="1">IFERROR(SUMIFS('TRA balance'!X$5:X$40,'TRA balance'!$C$5:$C$40,Assumptions!$C38,'TRA balance'!$D$5:$D$40,Assumptions!$B38)*DR38*AA38,"")</f>
        <v/>
      </c>
      <c r="BX38" s="41" t="str">
        <f ca="1">IFERROR(SUMIFS('TRA balance'!Y$5:Y$40,'TRA balance'!$C$5:$C$40,Assumptions!$C38,'TRA balance'!$D$5:$D$40,Assumptions!$B38)*DS38*AB38,"")</f>
        <v/>
      </c>
      <c r="BY38" s="41" t="str">
        <f ca="1">IFERROR(SUMIFS('TRA balance'!Z$5:Z$40,'TRA balance'!$C$5:$C$40,Assumptions!$C38,'TRA balance'!$D$5:$D$40,Assumptions!$B38)*DT38*AC38,"")</f>
        <v/>
      </c>
      <c r="BZ38" s="41" t="str">
        <f ca="1">IFERROR(SUMIFS('TRA balance'!AA$5:AA$40,'TRA balance'!$C$5:$C$40,Assumptions!$C38,'TRA balance'!$D$5:$D$40,Assumptions!$B38)*DU38*AD38,"")</f>
        <v/>
      </c>
      <c r="CA38" s="41" t="str">
        <f ca="1">IFERROR(SUMIFS('TRA balance'!AB$5:AB$40,'TRA balance'!$C$5:$C$40,Assumptions!$C38,'TRA balance'!$D$5:$D$40,Assumptions!$B38)*DV38*AE38,"")</f>
        <v/>
      </c>
      <c r="CB38" s="41" t="str">
        <f ca="1">IFERROR(SUMIFS('TRA balance'!AC$5:AC$40,'TRA balance'!$C$5:$C$40,Assumptions!$C38,'TRA balance'!$D$5:$D$40,Assumptions!$B38)*DW38*AF38,"")</f>
        <v/>
      </c>
      <c r="CC38" s="41" t="str">
        <f ca="1">IFERROR(SUMIFS('TRA balance'!AD$5:AD$40,'TRA balance'!$C$5:$C$40,Assumptions!$C38,'TRA balance'!$D$5:$D$40,Assumptions!$B38)*DX38*AG38,"")</f>
        <v/>
      </c>
      <c r="CD38" s="41" t="str">
        <f ca="1">IFERROR(SUMIFS('TRA balance'!AE$5:AE$40,'TRA balance'!$C$5:$C$40,Assumptions!$C38,'TRA balance'!$D$5:$D$40,Assumptions!$B38)*DY38*AH38,"")</f>
        <v/>
      </c>
      <c r="CE38" s="41" t="str">
        <f ca="1">IFERROR(SUMIFS('TRA balance'!AF$5:AF$40,'TRA balance'!$C$5:$C$40,Assumptions!$C38,'TRA balance'!$D$5:$D$40,Assumptions!$B38)*DZ38*AI38,"")</f>
        <v/>
      </c>
      <c r="CF38" s="41" t="str">
        <f ca="1">IFERROR(SUMIFS('TRA balance'!AG$5:AG$40,'TRA balance'!$C$5:$C$40,Assumptions!$C38,'TRA balance'!$D$5:$D$40,Assumptions!$B38)*EA38*AJ38,"")</f>
        <v/>
      </c>
      <c r="CG38" s="41" t="str">
        <f ca="1">IFERROR(SUMIFS('TRA balance'!AH$5:AH$40,'TRA balance'!$C$5:$C$40,Assumptions!$C38,'TRA balance'!$D$5:$D$40,Assumptions!$B38)*EB38*AK38,"")</f>
        <v/>
      </c>
      <c r="CH38" s="41" t="str">
        <f ca="1">IFERROR(SUMIFS('TRA balance'!AI$5:AI$40,'TRA balance'!$C$5:$C$40,Assumptions!$C38,'TRA balance'!$D$5:$D$40,Assumptions!$B38)*EC38*AL38,"")</f>
        <v/>
      </c>
      <c r="CI38" s="41" t="str">
        <f ca="1">IFERROR(SUMIFS('TRA balance'!AJ$5:AJ$40,'TRA balance'!$C$5:$C$40,Assumptions!$C38,'TRA balance'!$D$5:$D$40,Assumptions!$B38)*ED38*AM38,"")</f>
        <v/>
      </c>
      <c r="CJ38" s="41" t="str">
        <f ca="1">IFERROR(SUMIFS('TRA balance'!AK$5:AK$40,'TRA balance'!$C$5:$C$40,Assumptions!$C38,'TRA balance'!$D$5:$D$40,Assumptions!$B38)*EE38*AN38,"")</f>
        <v/>
      </c>
      <c r="CK38" s="41" t="str">
        <f ca="1">IFERROR(SUMIFS('TRA balance'!AL$5:AL$40,'TRA balance'!$C$5:$C$40,Assumptions!$C38,'TRA balance'!$D$5:$D$40,Assumptions!$B38)*EF38*AO38,"")</f>
        <v/>
      </c>
      <c r="CL38" s="41" t="str">
        <f ca="1">IFERROR(SUMIFS('TRA balance'!AM$5:AM$40,'TRA balance'!$C$5:$C$40,Assumptions!$C38,'TRA balance'!$D$5:$D$40,Assumptions!$B38)*EG38*AP38,"")</f>
        <v/>
      </c>
      <c r="CM38" s="41" t="str">
        <f ca="1">IFERROR(SUMIFS('TRA balance'!AN$5:AN$40,'TRA balance'!$C$5:$C$40,Assumptions!$C38,'TRA balance'!$D$5:$D$40,Assumptions!$B38)*EH38*AQ38,"")</f>
        <v/>
      </c>
      <c r="CN38" s="41" t="str">
        <f ca="1">IFERROR(SUMIFS('TRA balance'!AO$5:AO$40,'TRA balance'!$C$5:$C$40,Assumptions!$C38,'TRA balance'!$D$5:$D$40,Assumptions!$B38)*EI38*AR38,"")</f>
        <v/>
      </c>
      <c r="CO38" s="41" t="str">
        <f ca="1">IFERROR(SUMIFS('TRA balance'!AP$5:AP$40,'TRA balance'!$C$5:$C$40,Assumptions!$C38,'TRA balance'!$D$5:$D$40,Assumptions!$B38)*EJ38*AS38,"")</f>
        <v/>
      </c>
      <c r="CP38" s="41" t="str">
        <f ca="1">IFERROR(SUMIFS('TRA balance'!AQ$5:AQ$40,'TRA balance'!$C$5:$C$40,Assumptions!$C38,'TRA balance'!$D$5:$D$40,Assumptions!$B38)*EK38*AT38,"")</f>
        <v/>
      </c>
      <c r="CQ38" s="41" t="str">
        <f ca="1">IFERROR(SUMIFS('TRA balance'!AR$5:AR$40,'TRA balance'!$C$5:$C$40,Assumptions!$C38,'TRA balance'!$D$5:$D$40,Assumptions!$B38)*EL38*AU38,"")</f>
        <v/>
      </c>
      <c r="CR38" s="41" t="str">
        <f ca="1">IFERROR(SUMIFS('TRA balance'!AS$5:AS$40,'TRA balance'!$C$5:$C$40,Assumptions!$C38,'TRA balance'!$D$5:$D$40,Assumptions!$B38)*EM38*AV38,"")</f>
        <v/>
      </c>
      <c r="CS38" s="41" t="str">
        <f ca="1">IFERROR(SUMIFS('TRA balance'!AT$5:AT$40,'TRA balance'!$C$5:$C$40,Assumptions!$C38,'TRA balance'!$D$5:$D$40,Assumptions!$B38)*EN38*AW38,"")</f>
        <v/>
      </c>
      <c r="CT38" s="41" t="str">
        <f ca="1">IFERROR(SUMIFS('TRA balance'!AU$5:AU$40,'TRA balance'!$C$5:$C$40,Assumptions!$C38,'TRA balance'!$D$5:$D$40,Assumptions!$B38)*EO38*AX38,"")</f>
        <v/>
      </c>
      <c r="CU38" s="41" t="str">
        <f ca="1">IFERROR(SUMIFS('TRA balance'!AV$5:AV$40,'TRA balance'!$C$5:$C$40,Assumptions!$C38,'TRA balance'!$D$5:$D$40,Assumptions!$B38)*EP38*AY38,"")</f>
        <v/>
      </c>
      <c r="CV38" s="41" t="str">
        <f ca="1">IFERROR(SUMIFS('TRA balance'!AW$5:AW$40,'TRA balance'!$C$5:$C$40,Assumptions!$C38,'TRA balance'!$D$5:$D$40,Assumptions!$B38)*EQ38*AZ38,"")</f>
        <v/>
      </c>
      <c r="CW38" s="41" t="str">
        <f ca="1">IFERROR(SUMIFS('TRA balance'!AX$5:AX$40,'TRA balance'!$C$5:$C$40,Assumptions!$C38,'TRA balance'!$D$5:$D$40,Assumptions!$B38)*ER38*BA38,"")</f>
        <v/>
      </c>
      <c r="CY38" s="40">
        <f ca="1" t="shared" si="66"/>
        <v>1</v>
      </c>
      <c r="CZ38" s="40">
        <f ca="1" t="shared" si="3"/>
        <v>1</v>
      </c>
      <c r="DA38" s="40">
        <f ca="1" t="shared" si="4"/>
        <v>1</v>
      </c>
      <c r="DB38" s="40">
        <f ca="1" t="shared" si="5"/>
        <v>1</v>
      </c>
      <c r="DC38" s="40">
        <f ca="1" t="shared" si="6"/>
        <v>1</v>
      </c>
      <c r="DD38" s="40">
        <f ca="1" t="shared" si="7"/>
        <v>1</v>
      </c>
      <c r="DE38" s="40">
        <f ca="1" t="shared" si="8"/>
        <v>1</v>
      </c>
      <c r="DF38" s="40">
        <f ca="1" t="shared" si="9"/>
        <v>1</v>
      </c>
      <c r="DG38" s="40">
        <f ca="1" t="shared" si="10"/>
        <v>1</v>
      </c>
      <c r="DH38" s="40">
        <f ca="1" t="shared" si="11"/>
        <v>1</v>
      </c>
      <c r="DI38" s="40">
        <f ca="1" t="shared" si="12"/>
        <v>1</v>
      </c>
      <c r="DJ38" s="40">
        <f ca="1" t="shared" si="13"/>
        <v>1</v>
      </c>
      <c r="DK38" s="40">
        <f ca="1" t="shared" si="14"/>
        <v>1</v>
      </c>
      <c r="DL38" s="40">
        <f ca="1" t="shared" si="15"/>
        <v>1</v>
      </c>
      <c r="DM38" s="40">
        <f ca="1" t="shared" si="16"/>
        <v>1</v>
      </c>
      <c r="DN38" s="40">
        <f ca="1" t="shared" si="17"/>
        <v>1</v>
      </c>
      <c r="DO38" s="40">
        <f ca="1" t="shared" si="18"/>
        <v>1</v>
      </c>
      <c r="DP38" s="40">
        <f ca="1" t="shared" si="19"/>
        <v>1</v>
      </c>
      <c r="DQ38" s="40">
        <f ca="1" t="shared" si="20"/>
        <v>1</v>
      </c>
      <c r="DR38" s="40">
        <f ca="1" t="shared" si="21"/>
        <v>1</v>
      </c>
      <c r="DS38" s="40">
        <f ca="1" t="shared" si="22"/>
        <v>1</v>
      </c>
      <c r="DT38" s="40">
        <f ca="1" t="shared" si="23"/>
        <v>1</v>
      </c>
      <c r="DU38" s="40">
        <f ca="1" t="shared" si="24"/>
        <v>1</v>
      </c>
      <c r="DV38" s="40">
        <f ca="1" t="shared" si="25"/>
        <v>1</v>
      </c>
      <c r="DW38" s="40">
        <f ca="1" t="shared" si="26"/>
        <v>1</v>
      </c>
      <c r="DX38" s="40">
        <f ca="1" t="shared" si="27"/>
        <v>1</v>
      </c>
      <c r="DY38" s="40">
        <f ca="1" t="shared" si="28"/>
        <v>1</v>
      </c>
      <c r="DZ38" s="40">
        <f ca="1" t="shared" si="29"/>
        <v>1</v>
      </c>
      <c r="EA38" s="40">
        <f ca="1" t="shared" si="30"/>
        <v>1</v>
      </c>
      <c r="EB38" s="40">
        <f ca="1" t="shared" si="31"/>
        <v>1</v>
      </c>
      <c r="EC38" s="40">
        <f ca="1" t="shared" si="32"/>
        <v>1</v>
      </c>
      <c r="ED38" s="40">
        <f ca="1" t="shared" si="33"/>
        <v>1</v>
      </c>
      <c r="EE38" s="40">
        <f ca="1" t="shared" si="34"/>
        <v>1</v>
      </c>
      <c r="EF38" s="40">
        <f ca="1" t="shared" si="35"/>
        <v>1</v>
      </c>
      <c r="EG38" s="40">
        <f ca="1" t="shared" si="36"/>
        <v>1</v>
      </c>
      <c r="EH38" s="40">
        <f ca="1" t="shared" si="37"/>
        <v>1</v>
      </c>
      <c r="EI38" s="40">
        <f ca="1" t="shared" si="38"/>
        <v>1</v>
      </c>
      <c r="EJ38" s="40">
        <f ca="1" t="shared" si="39"/>
        <v>1</v>
      </c>
      <c r="EK38" s="40">
        <f ca="1" t="shared" si="40"/>
        <v>1</v>
      </c>
      <c r="EL38" s="40">
        <f ca="1" t="shared" si="41"/>
        <v>1</v>
      </c>
      <c r="EM38" s="40">
        <f ca="1" t="shared" si="42"/>
        <v>1</v>
      </c>
      <c r="EN38" s="40">
        <f ca="1" t="shared" si="43"/>
        <v>1</v>
      </c>
      <c r="EO38" s="40">
        <f ca="1" t="shared" si="44"/>
        <v>1</v>
      </c>
      <c r="EP38" s="40">
        <f ca="1" t="shared" si="45"/>
        <v>1</v>
      </c>
      <c r="EQ38" s="40">
        <f ca="1" t="shared" si="46"/>
        <v>1</v>
      </c>
      <c r="ER38" s="40">
        <f ca="1" t="shared" si="47"/>
        <v>1</v>
      </c>
    </row>
    <row r="39" spans="1:148">
      <c r="A39">
        <v>1</v>
      </c>
      <c r="B39" t="str">
        <f>VLOOKUP(F39,'TRA balance'!$BA$5:$BB$14,2,FALSE)</f>
        <v>TRALPG</v>
      </c>
      <c r="C39" s="64">
        <v>1</v>
      </c>
      <c r="D39" s="65" t="s">
        <v>200</v>
      </c>
      <c r="E39" s="65" t="s">
        <v>201</v>
      </c>
      <c r="F39" s="66" t="s">
        <v>73</v>
      </c>
      <c r="G39" s="64"/>
      <c r="H39" s="59">
        <f ca="1">OFFSET(TIAM15_assumptions!$G39,0,MATCH(VLOOKUP(Assumptions!H$2,TIAM15_assumptions!$Y$3:$Z$87,2,FALSE),TIAM15_assumptions!$H$2:$V$2,0))</f>
        <v>0.6</v>
      </c>
      <c r="I39" s="59">
        <f ca="1">OFFSET(TIAM15_assumptions!$G39,0,MATCH(VLOOKUP(Assumptions!I$2,TIAM15_assumptions!$Y$3:$Z$87,2,FALSE),TIAM15_assumptions!$H$2:$V$2,0))</f>
        <v>0.6</v>
      </c>
      <c r="J39" s="59">
        <f ca="1">OFFSET(TIAM15_assumptions!$G39,0,MATCH(VLOOKUP(Assumptions!J$2,TIAM15_assumptions!$Y$3:$Z$87,2,FALSE),TIAM15_assumptions!$H$2:$V$2,0))</f>
        <v>0.25</v>
      </c>
      <c r="K39" s="59">
        <f ca="1">OFFSET(TIAM15_assumptions!$G39,0,MATCH(VLOOKUP(Assumptions!K$2,TIAM15_assumptions!$Y$3:$Z$87,2,FALSE),TIAM15_assumptions!$H$2:$V$2,0))</f>
        <v>0.75</v>
      </c>
      <c r="L39" s="59">
        <f ca="1">OFFSET(TIAM15_assumptions!$G39,0,MATCH(VLOOKUP(Assumptions!L$2,TIAM15_assumptions!$Y$3:$Z$87,2,FALSE),TIAM15_assumptions!$H$2:$V$2,0))</f>
        <v>0.57</v>
      </c>
      <c r="M39" s="59">
        <f ca="1">OFFSET(TIAM15_assumptions!$G39,0,MATCH(VLOOKUP(Assumptions!M$2,TIAM15_assumptions!$Y$3:$Z$87,2,FALSE),TIAM15_assumptions!$H$2:$V$2,0))</f>
        <v>0.75</v>
      </c>
      <c r="N39" s="59">
        <f ca="1">OFFSET(TIAM15_assumptions!$G39,0,MATCH(VLOOKUP(Assumptions!N$2,TIAM15_assumptions!$Y$3:$Z$87,2,FALSE),TIAM15_assumptions!$H$2:$V$2,0))</f>
        <v>0.5</v>
      </c>
      <c r="O39" s="59">
        <f ca="1">OFFSET(TIAM15_assumptions!$G39,0,MATCH(VLOOKUP(Assumptions!O$2,TIAM15_assumptions!$Y$3:$Z$87,2,FALSE),TIAM15_assumptions!$H$2:$V$2,0))</f>
        <v>0.4</v>
      </c>
      <c r="P39" s="59">
        <f ca="1">OFFSET(TIAM15_assumptions!$G39,0,MATCH(VLOOKUP(Assumptions!P$2,TIAM15_assumptions!$Y$3:$Z$87,2,FALSE),TIAM15_assumptions!$H$2:$V$2,0))</f>
        <v>0.57</v>
      </c>
      <c r="Q39" s="59">
        <f ca="1">OFFSET(TIAM15_assumptions!$G39,0,MATCH(VLOOKUP(Assumptions!Q$2,TIAM15_assumptions!$Y$3:$Z$87,2,FALSE),TIAM15_assumptions!$H$2:$V$2,0))</f>
        <v>0.57</v>
      </c>
      <c r="R39" s="59">
        <f ca="1">OFFSET(TIAM15_assumptions!$G39,0,MATCH(VLOOKUP(Assumptions!R$2,TIAM15_assumptions!$Y$3:$Z$87,2,FALSE),TIAM15_assumptions!$H$2:$V$2,0))</f>
        <v>0.75</v>
      </c>
      <c r="S39" s="59">
        <f ca="1">OFFSET(TIAM15_assumptions!$G39,0,MATCH(VLOOKUP(Assumptions!S$2,TIAM15_assumptions!$Y$3:$Z$87,2,FALSE),TIAM15_assumptions!$H$2:$V$2,0))</f>
        <v>0.75</v>
      </c>
      <c r="T39" s="59">
        <f ca="1">OFFSET(TIAM15_assumptions!$G39,0,MATCH(VLOOKUP(Assumptions!T$2,TIAM15_assumptions!$Y$3:$Z$87,2,FALSE),TIAM15_assumptions!$H$2:$V$2,0))</f>
        <v>0.75</v>
      </c>
      <c r="U39" s="59">
        <f ca="1">OFFSET(TIAM15_assumptions!$G39,0,MATCH(VLOOKUP(Assumptions!U$2,TIAM15_assumptions!$Y$3:$Z$87,2,FALSE),TIAM15_assumptions!$H$2:$V$2,0))</f>
        <v>0.57</v>
      </c>
      <c r="V39" s="59">
        <f ca="1">OFFSET(TIAM15_assumptions!$G39,0,MATCH(VLOOKUP(Assumptions!V$2,TIAM15_assumptions!$Y$3:$Z$87,2,FALSE),TIAM15_assumptions!$H$2:$V$2,0))</f>
        <v>0.75</v>
      </c>
      <c r="W39" s="59">
        <f ca="1">OFFSET(TIAM15_assumptions!$G39,0,MATCH(VLOOKUP(Assumptions!W$2,TIAM15_assumptions!$Y$3:$Z$87,2,FALSE),TIAM15_assumptions!$H$2:$V$2,0))</f>
        <v>0.25</v>
      </c>
      <c r="X39" s="59">
        <f ca="1">OFFSET(TIAM15_assumptions!$G39,0,MATCH(VLOOKUP(Assumptions!X$2,TIAM15_assumptions!$Y$3:$Z$87,2,FALSE),TIAM15_assumptions!$H$2:$V$2,0))</f>
        <v>0.75</v>
      </c>
      <c r="Y39" s="59">
        <f ca="1">OFFSET(TIAM15_assumptions!$G39,0,MATCH(VLOOKUP(Assumptions!Y$2,TIAM15_assumptions!$Y$3:$Z$87,2,FALSE),TIAM15_assumptions!$H$2:$V$2,0))</f>
        <v>0.75</v>
      </c>
      <c r="Z39" s="59">
        <f ca="1">OFFSET(TIAM15_assumptions!$G39,0,MATCH(VLOOKUP(Assumptions!Z$2,TIAM15_assumptions!$Y$3:$Z$87,2,FALSE),TIAM15_assumptions!$H$2:$V$2,0))</f>
        <v>0.57</v>
      </c>
      <c r="AA39" s="59">
        <f ca="1">OFFSET(TIAM15_assumptions!$G39,0,MATCH(VLOOKUP(Assumptions!AA$2,TIAM15_assumptions!$Y$3:$Z$87,2,FALSE),TIAM15_assumptions!$H$2:$V$2,0))</f>
        <v>0.5</v>
      </c>
      <c r="AB39" s="59">
        <f ca="1">OFFSET(TIAM15_assumptions!$G39,0,MATCH(VLOOKUP(Assumptions!AB$2,TIAM15_assumptions!$Y$3:$Z$87,2,FALSE),TIAM15_assumptions!$H$2:$V$2,0))</f>
        <v>0.6</v>
      </c>
      <c r="AC39" s="59">
        <f ca="1">OFFSET(TIAM15_assumptions!$G39,0,MATCH(VLOOKUP(Assumptions!AC$2,TIAM15_assumptions!$Y$3:$Z$87,2,FALSE),TIAM15_assumptions!$H$2:$V$2,0))</f>
        <v>0.719214717155623</v>
      </c>
      <c r="AD39" s="59">
        <f ca="1">OFFSET(TIAM15_assumptions!$G39,0,MATCH(VLOOKUP(Assumptions!AD$2,TIAM15_assumptions!$Y$3:$Z$87,2,FALSE),TIAM15_assumptions!$H$2:$V$2,0))</f>
        <v>0.75</v>
      </c>
      <c r="AE39" s="59">
        <f ca="1">OFFSET(TIAM15_assumptions!$G39,0,MATCH(VLOOKUP(Assumptions!AE$2,TIAM15_assumptions!$Y$3:$Z$87,2,FALSE),TIAM15_assumptions!$H$2:$V$2,0))</f>
        <v>0.57</v>
      </c>
      <c r="AF39" s="59">
        <f ca="1">OFFSET(TIAM15_assumptions!$G39,0,MATCH(VLOOKUP(Assumptions!AF$2,TIAM15_assumptions!$Y$3:$Z$87,2,FALSE),TIAM15_assumptions!$H$2:$V$2,0))</f>
        <v>0.7</v>
      </c>
      <c r="AG39" s="59">
        <f ca="1">OFFSET(TIAM15_assumptions!$G39,0,MATCH(VLOOKUP(Assumptions!AG$2,TIAM15_assumptions!$Y$3:$Z$87,2,FALSE),TIAM15_assumptions!$H$2:$V$2,0))</f>
        <v>0.57</v>
      </c>
      <c r="AH39" s="59">
        <f ca="1">OFFSET(TIAM15_assumptions!$G39,0,MATCH(VLOOKUP(Assumptions!AH$2,TIAM15_assumptions!$Y$3:$Z$87,2,FALSE),TIAM15_assumptions!$H$2:$V$2,0))</f>
        <v>0.6</v>
      </c>
      <c r="AI39" s="59">
        <f ca="1">OFFSET(TIAM15_assumptions!$G39,0,MATCH(VLOOKUP(Assumptions!AI$2,TIAM15_assumptions!$Y$3:$Z$87,2,FALSE),TIAM15_assumptions!$H$2:$V$2,0))</f>
        <v>0.6</v>
      </c>
      <c r="AJ39" s="59">
        <f ca="1">OFFSET(TIAM15_assumptions!$G39,0,MATCH(VLOOKUP(Assumptions!AJ$2,TIAM15_assumptions!$Y$3:$Z$87,2,FALSE),TIAM15_assumptions!$H$2:$V$2,0))</f>
        <v>0.75</v>
      </c>
      <c r="AK39" s="59">
        <f ca="1">OFFSET(TIAM15_assumptions!$G39,0,MATCH(VLOOKUP(Assumptions!AK$2,TIAM15_assumptions!$Y$3:$Z$87,2,FALSE),TIAM15_assumptions!$H$2:$V$2,0))</f>
        <v>0.75</v>
      </c>
      <c r="AL39" s="59">
        <f ca="1">OFFSET(TIAM15_assumptions!$G39,0,MATCH(VLOOKUP(Assumptions!AL$2,TIAM15_assumptions!$Y$3:$Z$87,2,FALSE),TIAM15_assumptions!$H$2:$V$2,0))</f>
        <v>0.75</v>
      </c>
      <c r="AM39" s="59">
        <f ca="1">OFFSET(TIAM15_assumptions!$G39,0,MATCH(VLOOKUP(Assumptions!AM$2,TIAM15_assumptions!$Y$3:$Z$87,2,FALSE),TIAM15_assumptions!$H$2:$V$2,0))</f>
        <v>0.6</v>
      </c>
      <c r="AN39" s="59">
        <f ca="1">OFFSET(TIAM15_assumptions!$G39,0,MATCH(VLOOKUP(Assumptions!AN$2,TIAM15_assumptions!$Y$3:$Z$87,2,FALSE),TIAM15_assumptions!$H$2:$V$2,0))</f>
        <v>0.75</v>
      </c>
      <c r="AO39" s="59">
        <f ca="1">OFFSET(TIAM15_assumptions!$G39,0,MATCH(VLOOKUP(Assumptions!AO$2,TIAM15_assumptions!$Y$3:$Z$87,2,FALSE),TIAM15_assumptions!$H$2:$V$2,0))</f>
        <v>0.57</v>
      </c>
      <c r="AP39" s="59">
        <f ca="1">OFFSET(TIAM15_assumptions!$G39,0,MATCH(VLOOKUP(Assumptions!AP$2,TIAM15_assumptions!$Y$3:$Z$87,2,FALSE),TIAM15_assumptions!$H$2:$V$2,0))</f>
        <v>0.57</v>
      </c>
      <c r="AQ39" s="59">
        <f ca="1">OFFSET(TIAM15_assumptions!$G39,0,MATCH(VLOOKUP(Assumptions!AQ$2,TIAM15_assumptions!$Y$3:$Z$87,2,FALSE),TIAM15_assumptions!$H$2:$V$2,0))</f>
        <v>0.719214717155623</v>
      </c>
      <c r="AR39" s="59">
        <f ca="1">OFFSET(TIAM15_assumptions!$G39,0,MATCH(VLOOKUP(Assumptions!AR$2,TIAM15_assumptions!$Y$3:$Z$87,2,FALSE),TIAM15_assumptions!$H$2:$V$2,0))</f>
        <v>0.719214717155623</v>
      </c>
      <c r="AS39" s="59">
        <f ca="1">OFFSET(TIAM15_assumptions!$G39,0,MATCH(VLOOKUP(Assumptions!AS$2,TIAM15_assumptions!$Y$3:$Z$87,2,FALSE),TIAM15_assumptions!$H$2:$V$2,0))</f>
        <v>0.719214717155623</v>
      </c>
      <c r="AT39" s="59">
        <f ca="1">OFFSET(TIAM15_assumptions!$G39,0,MATCH(VLOOKUP(Assumptions!AT$2,TIAM15_assumptions!$Y$3:$Z$87,2,FALSE),TIAM15_assumptions!$H$2:$V$2,0))</f>
        <v>0.719214717155623</v>
      </c>
      <c r="AU39" s="59">
        <f ca="1">OFFSET(TIAM15_assumptions!$G39,0,MATCH(VLOOKUP(Assumptions!AU$2,TIAM15_assumptions!$Y$3:$Z$87,2,FALSE),TIAM15_assumptions!$H$2:$V$2,0))</f>
        <v>0.719214717155623</v>
      </c>
      <c r="AV39" s="59">
        <f ca="1">OFFSET(TIAM15_assumptions!$G39,0,MATCH(VLOOKUP(Assumptions!AV$2,TIAM15_assumptions!$Y$3:$Z$87,2,FALSE),TIAM15_assumptions!$H$2:$V$2,0))</f>
        <v>0.719214717155623</v>
      </c>
      <c r="AW39" s="59">
        <f ca="1">OFFSET(TIAM15_assumptions!$G39,0,MATCH(VLOOKUP(Assumptions!AW$2,TIAM15_assumptions!$Y$3:$Z$87,2,FALSE),TIAM15_assumptions!$H$2:$V$2,0))</f>
        <v>0.719214717155623</v>
      </c>
      <c r="AX39" s="59">
        <f ca="1">OFFSET(TIAM15_assumptions!$G39,0,MATCH(VLOOKUP(Assumptions!AX$2,TIAM15_assumptions!$Y$3:$Z$87,2,FALSE),TIAM15_assumptions!$H$2:$V$2,0))</f>
        <v>0.719214717155623</v>
      </c>
      <c r="AY39" s="59">
        <f ca="1">OFFSET(TIAM15_assumptions!$G39,0,MATCH(VLOOKUP(Assumptions!AY$2,TIAM15_assumptions!$Y$3:$Z$87,2,FALSE),TIAM15_assumptions!$H$2:$V$2,0))</f>
        <v>0.719214717155623</v>
      </c>
      <c r="AZ39" s="59">
        <f ca="1">OFFSET(TIAM15_assumptions!$G39,0,MATCH(VLOOKUP(Assumptions!AZ$2,TIAM15_assumptions!$Y$3:$Z$87,2,FALSE),TIAM15_assumptions!$H$2:$V$2,0))</f>
        <v>0.719214717155623</v>
      </c>
      <c r="BA39" s="59">
        <f ca="1">OFFSET(TIAM15_assumptions!$G39,0,MATCH(VLOOKUP(Assumptions!BA$2,TIAM15_assumptions!$Y$3:$Z$87,2,FALSE),TIAM15_assumptions!$H$2:$V$2,0))</f>
        <v>0.719214717155623</v>
      </c>
      <c r="BD39" s="41">
        <f ca="1">IFERROR(SUMIFS('TRA balance'!E$5:E$40,'TRA balance'!$C$5:$C$40,Assumptions!$C39,'TRA balance'!$D$5:$D$40,Assumptions!$B39)*CY39*H39,"")</f>
        <v>0</v>
      </c>
      <c r="BE39" s="41">
        <f ca="1">IFERROR(SUMIFS('TRA balance'!F$5:F$40,'TRA balance'!$C$5:$C$40,Assumptions!$C39,'TRA balance'!$D$5:$D$40,Assumptions!$B39)*CZ39*I39,"")</f>
        <v>0</v>
      </c>
      <c r="BF39" s="41">
        <f ca="1">IFERROR(SUMIFS('TRA balance'!G$5:G$40,'TRA balance'!$C$5:$C$40,Assumptions!$C39,'TRA balance'!$D$5:$D$40,Assumptions!$B39)*DA39*J39,"")</f>
        <v>0</v>
      </c>
      <c r="BG39" s="41">
        <f ca="1">IFERROR(SUMIFS('TRA balance'!H$5:H$40,'TRA balance'!$C$5:$C$40,Assumptions!$C39,'TRA balance'!$D$5:$D$40,Assumptions!$B39)*DB39*K39,"")</f>
        <v>0</v>
      </c>
      <c r="BH39" s="41">
        <f ca="1">IFERROR(SUMIFS('TRA balance'!I$5:I$40,'TRA balance'!$C$5:$C$40,Assumptions!$C39,'TRA balance'!$D$5:$D$40,Assumptions!$B39)*DC39*L39,"")</f>
        <v>0</v>
      </c>
      <c r="BI39" s="41">
        <f ca="1">IFERROR(SUMIFS('TRA balance'!J$5:J$40,'TRA balance'!$C$5:$C$40,Assumptions!$C39,'TRA balance'!$D$5:$D$40,Assumptions!$B39)*DD39*M39,"")</f>
        <v>0</v>
      </c>
      <c r="BJ39" s="41">
        <f ca="1">IFERROR(SUMIFS('TRA balance'!K$5:K$40,'TRA balance'!$C$5:$C$40,Assumptions!$C39,'TRA balance'!$D$5:$D$40,Assumptions!$B39)*DE39*N39,"")</f>
        <v>0</v>
      </c>
      <c r="BK39" s="41">
        <f ca="1">IFERROR(SUMIFS('TRA balance'!L$5:L$40,'TRA balance'!$C$5:$C$40,Assumptions!$C39,'TRA balance'!$D$5:$D$40,Assumptions!$B39)*DF39*O39,"")</f>
        <v>0</v>
      </c>
      <c r="BL39" s="41">
        <f ca="1">IFERROR(SUMIFS('TRA balance'!M$5:M$40,'TRA balance'!$C$5:$C$40,Assumptions!$C39,'TRA balance'!$D$5:$D$40,Assumptions!$B39)*DG39*P39,"")</f>
        <v>0</v>
      </c>
      <c r="BM39" s="41">
        <f ca="1">IFERROR(SUMIFS('TRA balance'!N$5:N$40,'TRA balance'!$C$5:$C$40,Assumptions!$C39,'TRA balance'!$D$5:$D$40,Assumptions!$B39)*DH39*Q39,"")</f>
        <v>0</v>
      </c>
      <c r="BN39" s="41">
        <f ca="1">IFERROR(SUMIFS('TRA balance'!O$5:O$40,'TRA balance'!$C$5:$C$40,Assumptions!$C39,'TRA balance'!$D$5:$D$40,Assumptions!$B39)*DI39*R39,"")</f>
        <v>0</v>
      </c>
      <c r="BO39" s="41">
        <f ca="1">IFERROR(SUMIFS('TRA balance'!P$5:P$40,'TRA balance'!$C$5:$C$40,Assumptions!$C39,'TRA balance'!$D$5:$D$40,Assumptions!$B39)*DJ39*S39,"")</f>
        <v>0</v>
      </c>
      <c r="BP39" s="41">
        <f ca="1">IFERROR(SUMIFS('TRA balance'!Q$5:Q$40,'TRA balance'!$C$5:$C$40,Assumptions!$C39,'TRA balance'!$D$5:$D$40,Assumptions!$B39)*DK39*T39,"")</f>
        <v>0</v>
      </c>
      <c r="BQ39" s="41">
        <f ca="1">IFERROR(SUMIFS('TRA balance'!R$5:R$40,'TRA balance'!$C$5:$C$40,Assumptions!$C39,'TRA balance'!$D$5:$D$40,Assumptions!$B39)*DL39*U39,"")</f>
        <v>0</v>
      </c>
      <c r="BR39" s="41">
        <f ca="1">IFERROR(SUMIFS('TRA balance'!S$5:S$40,'TRA balance'!$C$5:$C$40,Assumptions!$C39,'TRA balance'!$D$5:$D$40,Assumptions!$B39)*DM39*V39,"")</f>
        <v>0</v>
      </c>
      <c r="BS39" s="41">
        <f ca="1">IFERROR(SUMIFS('TRA balance'!T$5:T$40,'TRA balance'!$C$5:$C$40,Assumptions!$C39,'TRA balance'!$D$5:$D$40,Assumptions!$B39)*DN39*W39,"")</f>
        <v>0</v>
      </c>
      <c r="BT39" s="41">
        <f ca="1">IFERROR(SUMIFS('TRA balance'!U$5:U$40,'TRA balance'!$C$5:$C$40,Assumptions!$C39,'TRA balance'!$D$5:$D$40,Assumptions!$B39)*DO39*X39,"")</f>
        <v>0</v>
      </c>
      <c r="BU39" s="41">
        <f ca="1">IFERROR(SUMIFS('TRA balance'!V$5:V$40,'TRA balance'!$C$5:$C$40,Assumptions!$C39,'TRA balance'!$D$5:$D$40,Assumptions!$B39)*DP39*Y39,"")</f>
        <v>0</v>
      </c>
      <c r="BV39" s="41">
        <f ca="1">IFERROR(SUMIFS('TRA balance'!W$5:W$40,'TRA balance'!$C$5:$C$40,Assumptions!$C39,'TRA balance'!$D$5:$D$40,Assumptions!$B39)*DQ39*Z39,"")</f>
        <v>0</v>
      </c>
      <c r="BW39" s="41">
        <f ca="1">IFERROR(SUMIFS('TRA balance'!X$5:X$40,'TRA balance'!$C$5:$C$40,Assumptions!$C39,'TRA balance'!$D$5:$D$40,Assumptions!$B39)*DR39*AA39,"")</f>
        <v>0</v>
      </c>
      <c r="BX39" s="41">
        <f ca="1">IFERROR(SUMIFS('TRA balance'!Y$5:Y$40,'TRA balance'!$C$5:$C$40,Assumptions!$C39,'TRA balance'!$D$5:$D$40,Assumptions!$B39)*DS39*AB39,"")</f>
        <v>0</v>
      </c>
      <c r="BY39" s="41">
        <f ca="1">IFERROR(SUMIFS('TRA balance'!Z$5:Z$40,'TRA balance'!$C$5:$C$40,Assumptions!$C39,'TRA balance'!$D$5:$D$40,Assumptions!$B39)*DT39*AC39,"")</f>
        <v>0</v>
      </c>
      <c r="BZ39" s="41">
        <f ca="1">IFERROR(SUMIFS('TRA balance'!AA$5:AA$40,'TRA balance'!$C$5:$C$40,Assumptions!$C39,'TRA balance'!$D$5:$D$40,Assumptions!$B39)*DU39*AD39,"")</f>
        <v>0</v>
      </c>
      <c r="CA39" s="41">
        <f ca="1">IFERROR(SUMIFS('TRA balance'!AB$5:AB$40,'TRA balance'!$C$5:$C$40,Assumptions!$C39,'TRA balance'!$D$5:$D$40,Assumptions!$B39)*DV39*AE39,"")</f>
        <v>0</v>
      </c>
      <c r="CB39" s="41">
        <f ca="1">IFERROR(SUMIFS('TRA balance'!AC$5:AC$40,'TRA balance'!$C$5:$C$40,Assumptions!$C39,'TRA balance'!$D$5:$D$40,Assumptions!$B39)*DW39*AF39,"")</f>
        <v>0</v>
      </c>
      <c r="CC39" s="41">
        <f ca="1">IFERROR(SUMIFS('TRA balance'!AD$5:AD$40,'TRA balance'!$C$5:$C$40,Assumptions!$C39,'TRA balance'!$D$5:$D$40,Assumptions!$B39)*DX39*AG39,"")</f>
        <v>0</v>
      </c>
      <c r="CD39" s="41">
        <f ca="1">IFERROR(SUMIFS('TRA balance'!AE$5:AE$40,'TRA balance'!$C$5:$C$40,Assumptions!$C39,'TRA balance'!$D$5:$D$40,Assumptions!$B39)*DY39*AH39,"")</f>
        <v>0</v>
      </c>
      <c r="CE39" s="41">
        <f ca="1">IFERROR(SUMIFS('TRA balance'!AF$5:AF$40,'TRA balance'!$C$5:$C$40,Assumptions!$C39,'TRA balance'!$D$5:$D$40,Assumptions!$B39)*DZ39*AI39,"")</f>
        <v>0</v>
      </c>
      <c r="CF39" s="41">
        <f ca="1">IFERROR(SUMIFS('TRA balance'!AG$5:AG$40,'TRA balance'!$C$5:$C$40,Assumptions!$C39,'TRA balance'!$D$5:$D$40,Assumptions!$B39)*EA39*AJ39,"")</f>
        <v>0</v>
      </c>
      <c r="CG39" s="41">
        <f ca="1">IFERROR(SUMIFS('TRA balance'!AH$5:AH$40,'TRA balance'!$C$5:$C$40,Assumptions!$C39,'TRA balance'!$D$5:$D$40,Assumptions!$B39)*EB39*AK39,"")</f>
        <v>0</v>
      </c>
      <c r="CH39" s="41">
        <f ca="1">IFERROR(SUMIFS('TRA balance'!AI$5:AI$40,'TRA balance'!$C$5:$C$40,Assumptions!$C39,'TRA balance'!$D$5:$D$40,Assumptions!$B39)*EC39*AL39,"")</f>
        <v>0</v>
      </c>
      <c r="CI39" s="41">
        <f ca="1">IFERROR(SUMIFS('TRA balance'!AJ$5:AJ$40,'TRA balance'!$C$5:$C$40,Assumptions!$C39,'TRA balance'!$D$5:$D$40,Assumptions!$B39)*ED39*AM39,"")</f>
        <v>0</v>
      </c>
      <c r="CJ39" s="41">
        <f ca="1">IFERROR(SUMIFS('TRA balance'!AK$5:AK$40,'TRA balance'!$C$5:$C$40,Assumptions!$C39,'TRA balance'!$D$5:$D$40,Assumptions!$B39)*EE39*AN39,"")</f>
        <v>0</v>
      </c>
      <c r="CK39" s="41">
        <f ca="1">IFERROR(SUMIFS('TRA balance'!AL$5:AL$40,'TRA balance'!$C$5:$C$40,Assumptions!$C39,'TRA balance'!$D$5:$D$40,Assumptions!$B39)*EF39*AO39,"")</f>
        <v>0</v>
      </c>
      <c r="CL39" s="41">
        <f ca="1">IFERROR(SUMIFS('TRA balance'!AM$5:AM$40,'TRA balance'!$C$5:$C$40,Assumptions!$C39,'TRA balance'!$D$5:$D$40,Assumptions!$B39)*EG39*AP39,"")</f>
        <v>0</v>
      </c>
      <c r="CM39" s="41">
        <f ca="1">IFERROR(SUMIFS('TRA balance'!AN$5:AN$40,'TRA balance'!$C$5:$C$40,Assumptions!$C39,'TRA balance'!$D$5:$D$40,Assumptions!$B39)*EH39*AQ39,"")</f>
        <v>0</v>
      </c>
      <c r="CN39" s="41">
        <f ca="1">IFERROR(SUMIFS('TRA balance'!AO$5:AO$40,'TRA balance'!$C$5:$C$40,Assumptions!$C39,'TRA balance'!$D$5:$D$40,Assumptions!$B39)*EI39*AR39,"")</f>
        <v>0</v>
      </c>
      <c r="CO39" s="41">
        <f ca="1">IFERROR(SUMIFS('TRA balance'!AP$5:AP$40,'TRA balance'!$C$5:$C$40,Assumptions!$C39,'TRA balance'!$D$5:$D$40,Assumptions!$B39)*EJ39*AS39,"")</f>
        <v>0</v>
      </c>
      <c r="CP39" s="41">
        <f ca="1">IFERROR(SUMIFS('TRA balance'!AQ$5:AQ$40,'TRA balance'!$C$5:$C$40,Assumptions!$C39,'TRA balance'!$D$5:$D$40,Assumptions!$B39)*EK39*AT39,"")</f>
        <v>0</v>
      </c>
      <c r="CQ39" s="41">
        <f ca="1">IFERROR(SUMIFS('TRA balance'!AR$5:AR$40,'TRA balance'!$C$5:$C$40,Assumptions!$C39,'TRA balance'!$D$5:$D$40,Assumptions!$B39)*EL39*AU39,"")</f>
        <v>0</v>
      </c>
      <c r="CR39" s="41">
        <f ca="1">IFERROR(SUMIFS('TRA balance'!AS$5:AS$40,'TRA balance'!$C$5:$C$40,Assumptions!$C39,'TRA balance'!$D$5:$D$40,Assumptions!$B39)*EM39*AV39,"")</f>
        <v>0</v>
      </c>
      <c r="CS39" s="41">
        <f ca="1">IFERROR(SUMIFS('TRA balance'!AT$5:AT$40,'TRA balance'!$C$5:$C$40,Assumptions!$C39,'TRA balance'!$D$5:$D$40,Assumptions!$B39)*EN39*AW39,"")</f>
        <v>0</v>
      </c>
      <c r="CT39" s="41">
        <f ca="1">IFERROR(SUMIFS('TRA balance'!AU$5:AU$40,'TRA balance'!$C$5:$C$40,Assumptions!$C39,'TRA balance'!$D$5:$D$40,Assumptions!$B39)*EO39*AX39,"")</f>
        <v>0</v>
      </c>
      <c r="CU39" s="41">
        <f ca="1">IFERROR(SUMIFS('TRA balance'!AV$5:AV$40,'TRA balance'!$C$5:$C$40,Assumptions!$C39,'TRA balance'!$D$5:$D$40,Assumptions!$B39)*EP39*AY39,"")</f>
        <v>0</v>
      </c>
      <c r="CV39" s="41">
        <f ca="1">IFERROR(SUMIFS('TRA balance'!AW$5:AW$40,'TRA balance'!$C$5:$C$40,Assumptions!$C39,'TRA balance'!$D$5:$D$40,Assumptions!$B39)*EQ39*AZ39,"")</f>
        <v>0</v>
      </c>
      <c r="CW39" s="41">
        <f ca="1">IFERROR(SUMIFS('TRA balance'!AX$5:AX$40,'TRA balance'!$C$5:$C$40,Assumptions!$C39,'TRA balance'!$D$5:$D$40,Assumptions!$B39)*ER39*BA39,"")</f>
        <v>0</v>
      </c>
      <c r="CY39" s="40">
        <f ca="1" t="shared" si="66"/>
        <v>1</v>
      </c>
      <c r="CZ39" s="40">
        <f ca="1" t="shared" si="3"/>
        <v>1</v>
      </c>
      <c r="DA39" s="40">
        <f ca="1" t="shared" si="4"/>
        <v>1</v>
      </c>
      <c r="DB39" s="40">
        <f ca="1" t="shared" si="5"/>
        <v>1</v>
      </c>
      <c r="DC39" s="40">
        <f ca="1" t="shared" si="6"/>
        <v>1</v>
      </c>
      <c r="DD39" s="40">
        <f ca="1" t="shared" si="7"/>
        <v>1</v>
      </c>
      <c r="DE39" s="40">
        <f ca="1" t="shared" si="8"/>
        <v>1</v>
      </c>
      <c r="DF39" s="40">
        <f ca="1" t="shared" si="9"/>
        <v>1</v>
      </c>
      <c r="DG39" s="40">
        <f ca="1" t="shared" si="10"/>
        <v>1</v>
      </c>
      <c r="DH39" s="40">
        <f ca="1" t="shared" si="11"/>
        <v>1</v>
      </c>
      <c r="DI39" s="40">
        <f ca="1" t="shared" si="12"/>
        <v>1</v>
      </c>
      <c r="DJ39" s="40">
        <f ca="1" t="shared" si="13"/>
        <v>1</v>
      </c>
      <c r="DK39" s="40">
        <f ca="1" t="shared" si="14"/>
        <v>1</v>
      </c>
      <c r="DL39" s="40">
        <f ca="1" t="shared" si="15"/>
        <v>1</v>
      </c>
      <c r="DM39" s="40">
        <f ca="1" t="shared" si="16"/>
        <v>1</v>
      </c>
      <c r="DN39" s="40">
        <f ca="1" t="shared" si="17"/>
        <v>1</v>
      </c>
      <c r="DO39" s="40">
        <f ca="1" t="shared" si="18"/>
        <v>1</v>
      </c>
      <c r="DP39" s="40">
        <f ca="1" t="shared" si="19"/>
        <v>1</v>
      </c>
      <c r="DQ39" s="40">
        <f ca="1" t="shared" si="20"/>
        <v>1</v>
      </c>
      <c r="DR39" s="40">
        <f ca="1" t="shared" si="21"/>
        <v>1</v>
      </c>
      <c r="DS39" s="40">
        <f ca="1" t="shared" si="22"/>
        <v>1</v>
      </c>
      <c r="DT39" s="40">
        <f ca="1" t="shared" si="23"/>
        <v>1</v>
      </c>
      <c r="DU39" s="40">
        <f ca="1" t="shared" si="24"/>
        <v>1</v>
      </c>
      <c r="DV39" s="40">
        <f ca="1" t="shared" si="25"/>
        <v>1</v>
      </c>
      <c r="DW39" s="40">
        <f ca="1" t="shared" si="26"/>
        <v>1</v>
      </c>
      <c r="DX39" s="40">
        <f ca="1" t="shared" si="27"/>
        <v>1</v>
      </c>
      <c r="DY39" s="40">
        <f ca="1" t="shared" si="28"/>
        <v>1</v>
      </c>
      <c r="DZ39" s="40">
        <f ca="1" t="shared" si="29"/>
        <v>1</v>
      </c>
      <c r="EA39" s="40">
        <f ca="1" t="shared" si="30"/>
        <v>1</v>
      </c>
      <c r="EB39" s="40">
        <f ca="1" t="shared" si="31"/>
        <v>1</v>
      </c>
      <c r="EC39" s="40">
        <f ca="1" t="shared" si="32"/>
        <v>1</v>
      </c>
      <c r="ED39" s="40">
        <f ca="1" t="shared" si="33"/>
        <v>1</v>
      </c>
      <c r="EE39" s="40">
        <f ca="1" t="shared" si="34"/>
        <v>1</v>
      </c>
      <c r="EF39" s="40">
        <f ca="1" t="shared" si="35"/>
        <v>1</v>
      </c>
      <c r="EG39" s="40">
        <f ca="1" t="shared" si="36"/>
        <v>1</v>
      </c>
      <c r="EH39" s="40">
        <f ca="1" t="shared" si="37"/>
        <v>1</v>
      </c>
      <c r="EI39" s="40">
        <f ca="1" t="shared" si="38"/>
        <v>1</v>
      </c>
      <c r="EJ39" s="40">
        <f ca="1" t="shared" si="39"/>
        <v>1</v>
      </c>
      <c r="EK39" s="40">
        <f ca="1" t="shared" si="40"/>
        <v>1</v>
      </c>
      <c r="EL39" s="40">
        <f ca="1" t="shared" si="41"/>
        <v>1</v>
      </c>
      <c r="EM39" s="40">
        <f ca="1" t="shared" si="42"/>
        <v>1</v>
      </c>
      <c r="EN39" s="40">
        <f ca="1" t="shared" si="43"/>
        <v>1</v>
      </c>
      <c r="EO39" s="40">
        <f ca="1" t="shared" si="44"/>
        <v>1</v>
      </c>
      <c r="EP39" s="40">
        <f ca="1" t="shared" si="45"/>
        <v>1</v>
      </c>
      <c r="EQ39" s="40">
        <f ca="1" t="shared" si="46"/>
        <v>1</v>
      </c>
      <c r="ER39" s="40">
        <f ca="1" t="shared" si="47"/>
        <v>1</v>
      </c>
    </row>
    <row r="40" spans="1:148">
      <c r="A40">
        <v>1</v>
      </c>
      <c r="B40" t="str">
        <f>VLOOKUP(F40,'TRA balance'!$BA$5:$BB$14,2,FALSE)</f>
        <v>TRALPG</v>
      </c>
      <c r="C40" s="56" t="str">
        <f t="shared" si="48"/>
        <v>TR</v>
      </c>
      <c r="D40" s="57" t="s">
        <v>200</v>
      </c>
      <c r="E40" s="68" t="s">
        <v>202</v>
      </c>
      <c r="F40" s="58" t="str">
        <f>F39</f>
        <v>Liquified Petroleum Gases</v>
      </c>
      <c r="G40" s="56" t="s">
        <v>203</v>
      </c>
      <c r="H40" s="59">
        <f ca="1">OFFSET(TIAM15_assumptions!$G40,0,MATCH(VLOOKUP(Assumptions!H$2,TIAM15_assumptions!$Y$3:$Z$87,2,FALSE),TIAM15_assumptions!$H$2:$V$2,0))</f>
        <v>0.7</v>
      </c>
      <c r="I40" s="59">
        <f ca="1">OFFSET(TIAM15_assumptions!$G40,0,MATCH(VLOOKUP(Assumptions!I$2,TIAM15_assumptions!$Y$3:$Z$87,2,FALSE),TIAM15_assumptions!$H$2:$V$2,0))</f>
        <v>0.7</v>
      </c>
      <c r="J40" s="59">
        <f ca="1">OFFSET(TIAM15_assumptions!$G40,0,MATCH(VLOOKUP(Assumptions!J$2,TIAM15_assumptions!$Y$3:$Z$87,2,FALSE),TIAM15_assumptions!$H$2:$V$2,0))</f>
        <v>0.5</v>
      </c>
      <c r="K40" s="59">
        <f ca="1">OFFSET(TIAM15_assumptions!$G40,0,MATCH(VLOOKUP(Assumptions!K$2,TIAM15_assumptions!$Y$3:$Z$87,2,FALSE),TIAM15_assumptions!$H$2:$V$2,0))</f>
        <v>0.626</v>
      </c>
      <c r="L40" s="59">
        <f ca="1">OFFSET(TIAM15_assumptions!$G40,0,MATCH(VLOOKUP(Assumptions!L$2,TIAM15_assumptions!$Y$3:$Z$87,2,FALSE),TIAM15_assumptions!$H$2:$V$2,0))</f>
        <v>0.67</v>
      </c>
      <c r="M40" s="59">
        <f ca="1">OFFSET(TIAM15_assumptions!$G40,0,MATCH(VLOOKUP(Assumptions!M$2,TIAM15_assumptions!$Y$3:$Z$87,2,FALSE),TIAM15_assumptions!$H$2:$V$2,0))</f>
        <v>0.626</v>
      </c>
      <c r="N40" s="59">
        <f ca="1">OFFSET(TIAM15_assumptions!$G40,0,MATCH(VLOOKUP(Assumptions!N$2,TIAM15_assumptions!$Y$3:$Z$87,2,FALSE),TIAM15_assumptions!$H$2:$V$2,0))</f>
        <v>0.67</v>
      </c>
      <c r="O40" s="59">
        <f ca="1">OFFSET(TIAM15_assumptions!$G40,0,MATCH(VLOOKUP(Assumptions!O$2,TIAM15_assumptions!$Y$3:$Z$87,2,FALSE),TIAM15_assumptions!$H$2:$V$2,0))</f>
        <v>0.67</v>
      </c>
      <c r="P40" s="59">
        <f ca="1">OFFSET(TIAM15_assumptions!$G40,0,MATCH(VLOOKUP(Assumptions!P$2,TIAM15_assumptions!$Y$3:$Z$87,2,FALSE),TIAM15_assumptions!$H$2:$V$2,0))</f>
        <v>0.67</v>
      </c>
      <c r="Q40" s="59">
        <f ca="1">OFFSET(TIAM15_assumptions!$G40,0,MATCH(VLOOKUP(Assumptions!Q$2,TIAM15_assumptions!$Y$3:$Z$87,2,FALSE),TIAM15_assumptions!$H$2:$V$2,0))</f>
        <v>0.67</v>
      </c>
      <c r="R40" s="59">
        <f ca="1">OFFSET(TIAM15_assumptions!$G40,0,MATCH(VLOOKUP(Assumptions!R$2,TIAM15_assumptions!$Y$3:$Z$87,2,FALSE),TIAM15_assumptions!$H$2:$V$2,0))</f>
        <v>0.626</v>
      </c>
      <c r="S40" s="59">
        <f ca="1">OFFSET(TIAM15_assumptions!$G40,0,MATCH(VLOOKUP(Assumptions!S$2,TIAM15_assumptions!$Y$3:$Z$87,2,FALSE),TIAM15_assumptions!$H$2:$V$2,0))</f>
        <v>0.626</v>
      </c>
      <c r="T40" s="59">
        <f ca="1">OFFSET(TIAM15_assumptions!$G40,0,MATCH(VLOOKUP(Assumptions!T$2,TIAM15_assumptions!$Y$3:$Z$87,2,FALSE),TIAM15_assumptions!$H$2:$V$2,0))</f>
        <v>0.626</v>
      </c>
      <c r="U40" s="59">
        <f ca="1">OFFSET(TIAM15_assumptions!$G40,0,MATCH(VLOOKUP(Assumptions!U$2,TIAM15_assumptions!$Y$3:$Z$87,2,FALSE),TIAM15_assumptions!$H$2:$V$2,0))</f>
        <v>0.67</v>
      </c>
      <c r="V40" s="59">
        <f ca="1">OFFSET(TIAM15_assumptions!$G40,0,MATCH(VLOOKUP(Assumptions!V$2,TIAM15_assumptions!$Y$3:$Z$87,2,FALSE),TIAM15_assumptions!$H$2:$V$2,0))</f>
        <v>0.626</v>
      </c>
      <c r="W40" s="59">
        <f ca="1">OFFSET(TIAM15_assumptions!$G40,0,MATCH(VLOOKUP(Assumptions!W$2,TIAM15_assumptions!$Y$3:$Z$87,2,FALSE),TIAM15_assumptions!$H$2:$V$2,0))</f>
        <v>0.5</v>
      </c>
      <c r="X40" s="59">
        <f ca="1">OFFSET(TIAM15_assumptions!$G40,0,MATCH(VLOOKUP(Assumptions!X$2,TIAM15_assumptions!$Y$3:$Z$87,2,FALSE),TIAM15_assumptions!$H$2:$V$2,0))</f>
        <v>0.626</v>
      </c>
      <c r="Y40" s="59">
        <f ca="1">OFFSET(TIAM15_assumptions!$G40,0,MATCH(VLOOKUP(Assumptions!Y$2,TIAM15_assumptions!$Y$3:$Z$87,2,FALSE),TIAM15_assumptions!$H$2:$V$2,0))</f>
        <v>0.626</v>
      </c>
      <c r="Z40" s="59">
        <f ca="1">OFFSET(TIAM15_assumptions!$G40,0,MATCH(VLOOKUP(Assumptions!Z$2,TIAM15_assumptions!$Y$3:$Z$87,2,FALSE),TIAM15_assumptions!$H$2:$V$2,0))</f>
        <v>0.67</v>
      </c>
      <c r="AA40" s="59">
        <f ca="1">OFFSET(TIAM15_assumptions!$G40,0,MATCH(VLOOKUP(Assumptions!AA$2,TIAM15_assumptions!$Y$3:$Z$87,2,FALSE),TIAM15_assumptions!$H$2:$V$2,0))</f>
        <v>0.67</v>
      </c>
      <c r="AB40" s="59">
        <f ca="1">OFFSET(TIAM15_assumptions!$G40,0,MATCH(VLOOKUP(Assumptions!AB$2,TIAM15_assumptions!$Y$3:$Z$87,2,FALSE),TIAM15_assumptions!$H$2:$V$2,0))</f>
        <v>0.7</v>
      </c>
      <c r="AC40" s="59">
        <f ca="1">OFFSET(TIAM15_assumptions!$G40,0,MATCH(VLOOKUP(Assumptions!AC$2,TIAM15_assumptions!$Y$3:$Z$87,2,FALSE),TIAM15_assumptions!$H$2:$V$2,0))</f>
        <v>0.349711576769288</v>
      </c>
      <c r="AD40" s="59">
        <f ca="1">OFFSET(TIAM15_assumptions!$G40,0,MATCH(VLOOKUP(Assumptions!AD$2,TIAM15_assumptions!$Y$3:$Z$87,2,FALSE),TIAM15_assumptions!$H$2:$V$2,0))</f>
        <v>0.626</v>
      </c>
      <c r="AE40" s="59">
        <f ca="1">OFFSET(TIAM15_assumptions!$G40,0,MATCH(VLOOKUP(Assumptions!AE$2,TIAM15_assumptions!$Y$3:$Z$87,2,FALSE),TIAM15_assumptions!$H$2:$V$2,0))</f>
        <v>0.67</v>
      </c>
      <c r="AF40" s="59">
        <f ca="1">OFFSET(TIAM15_assumptions!$G40,0,MATCH(VLOOKUP(Assumptions!AF$2,TIAM15_assumptions!$Y$3:$Z$87,2,FALSE),TIAM15_assumptions!$H$2:$V$2,0))</f>
        <v>0.67</v>
      </c>
      <c r="AG40" s="59">
        <f ca="1">OFFSET(TIAM15_assumptions!$G40,0,MATCH(VLOOKUP(Assumptions!AG$2,TIAM15_assumptions!$Y$3:$Z$87,2,FALSE),TIAM15_assumptions!$H$2:$V$2,0))</f>
        <v>0.67</v>
      </c>
      <c r="AH40" s="59">
        <f ca="1">OFFSET(TIAM15_assumptions!$G40,0,MATCH(VLOOKUP(Assumptions!AH$2,TIAM15_assumptions!$Y$3:$Z$87,2,FALSE),TIAM15_assumptions!$H$2:$V$2,0))</f>
        <v>0.7</v>
      </c>
      <c r="AI40" s="59">
        <f ca="1">OFFSET(TIAM15_assumptions!$G40,0,MATCH(VLOOKUP(Assumptions!AI$2,TIAM15_assumptions!$Y$3:$Z$87,2,FALSE),TIAM15_assumptions!$H$2:$V$2,0))</f>
        <v>0.7</v>
      </c>
      <c r="AJ40" s="59">
        <f ca="1">OFFSET(TIAM15_assumptions!$G40,0,MATCH(VLOOKUP(Assumptions!AJ$2,TIAM15_assumptions!$Y$3:$Z$87,2,FALSE),TIAM15_assumptions!$H$2:$V$2,0))</f>
        <v>0.626</v>
      </c>
      <c r="AK40" s="59">
        <f ca="1">OFFSET(TIAM15_assumptions!$G40,0,MATCH(VLOOKUP(Assumptions!AK$2,TIAM15_assumptions!$Y$3:$Z$87,2,FALSE),TIAM15_assumptions!$H$2:$V$2,0))</f>
        <v>0.626</v>
      </c>
      <c r="AL40" s="59">
        <f ca="1">OFFSET(TIAM15_assumptions!$G40,0,MATCH(VLOOKUP(Assumptions!AL$2,TIAM15_assumptions!$Y$3:$Z$87,2,FALSE),TIAM15_assumptions!$H$2:$V$2,0))</f>
        <v>0.626</v>
      </c>
      <c r="AM40" s="59">
        <f ca="1">OFFSET(TIAM15_assumptions!$G40,0,MATCH(VLOOKUP(Assumptions!AM$2,TIAM15_assumptions!$Y$3:$Z$87,2,FALSE),TIAM15_assumptions!$H$2:$V$2,0))</f>
        <v>0.7</v>
      </c>
      <c r="AN40" s="59">
        <f ca="1">OFFSET(TIAM15_assumptions!$G40,0,MATCH(VLOOKUP(Assumptions!AN$2,TIAM15_assumptions!$Y$3:$Z$87,2,FALSE),TIAM15_assumptions!$H$2:$V$2,0))</f>
        <v>0.626</v>
      </c>
      <c r="AO40" s="59">
        <f ca="1">OFFSET(TIAM15_assumptions!$G40,0,MATCH(VLOOKUP(Assumptions!AO$2,TIAM15_assumptions!$Y$3:$Z$87,2,FALSE),TIAM15_assumptions!$H$2:$V$2,0))</f>
        <v>0.67</v>
      </c>
      <c r="AP40" s="59">
        <f ca="1">OFFSET(TIAM15_assumptions!$G40,0,MATCH(VLOOKUP(Assumptions!AP$2,TIAM15_assumptions!$Y$3:$Z$87,2,FALSE),TIAM15_assumptions!$H$2:$V$2,0))</f>
        <v>0.67</v>
      </c>
      <c r="AQ40" s="59">
        <f ca="1">OFFSET(TIAM15_assumptions!$G40,0,MATCH(VLOOKUP(Assumptions!AQ$2,TIAM15_assumptions!$Y$3:$Z$87,2,FALSE),TIAM15_assumptions!$H$2:$V$2,0))</f>
        <v>0.349711576769288</v>
      </c>
      <c r="AR40" s="59">
        <f ca="1">OFFSET(TIAM15_assumptions!$G40,0,MATCH(VLOOKUP(Assumptions!AR$2,TIAM15_assumptions!$Y$3:$Z$87,2,FALSE),TIAM15_assumptions!$H$2:$V$2,0))</f>
        <v>0.349711576769288</v>
      </c>
      <c r="AS40" s="59">
        <f ca="1">OFFSET(TIAM15_assumptions!$G40,0,MATCH(VLOOKUP(Assumptions!AS$2,TIAM15_assumptions!$Y$3:$Z$87,2,FALSE),TIAM15_assumptions!$H$2:$V$2,0))</f>
        <v>0.349711576769288</v>
      </c>
      <c r="AT40" s="59">
        <f ca="1">OFFSET(TIAM15_assumptions!$G40,0,MATCH(VLOOKUP(Assumptions!AT$2,TIAM15_assumptions!$Y$3:$Z$87,2,FALSE),TIAM15_assumptions!$H$2:$V$2,0))</f>
        <v>0.349711576769288</v>
      </c>
      <c r="AU40" s="59">
        <f ca="1">OFFSET(TIAM15_assumptions!$G40,0,MATCH(VLOOKUP(Assumptions!AU$2,TIAM15_assumptions!$Y$3:$Z$87,2,FALSE),TIAM15_assumptions!$H$2:$V$2,0))</f>
        <v>0.349711576769288</v>
      </c>
      <c r="AV40" s="59">
        <f ca="1">OFFSET(TIAM15_assumptions!$G40,0,MATCH(VLOOKUP(Assumptions!AV$2,TIAM15_assumptions!$Y$3:$Z$87,2,FALSE),TIAM15_assumptions!$H$2:$V$2,0))</f>
        <v>0.349711576769288</v>
      </c>
      <c r="AW40" s="59">
        <f ca="1">OFFSET(TIAM15_assumptions!$G40,0,MATCH(VLOOKUP(Assumptions!AW$2,TIAM15_assumptions!$Y$3:$Z$87,2,FALSE),TIAM15_assumptions!$H$2:$V$2,0))</f>
        <v>0.349711576769288</v>
      </c>
      <c r="AX40" s="59">
        <f ca="1">OFFSET(TIAM15_assumptions!$G40,0,MATCH(VLOOKUP(Assumptions!AX$2,TIAM15_assumptions!$Y$3:$Z$87,2,FALSE),TIAM15_assumptions!$H$2:$V$2,0))</f>
        <v>0.349711576769288</v>
      </c>
      <c r="AY40" s="59">
        <f ca="1">OFFSET(TIAM15_assumptions!$G40,0,MATCH(VLOOKUP(Assumptions!AY$2,TIAM15_assumptions!$Y$3:$Z$87,2,FALSE),TIAM15_assumptions!$H$2:$V$2,0))</f>
        <v>0.349711576769288</v>
      </c>
      <c r="AZ40" s="59">
        <f ca="1">OFFSET(TIAM15_assumptions!$G40,0,MATCH(VLOOKUP(Assumptions!AZ$2,TIAM15_assumptions!$Y$3:$Z$87,2,FALSE),TIAM15_assumptions!$H$2:$V$2,0))</f>
        <v>0.349711576769288</v>
      </c>
      <c r="BA40" s="59">
        <f ca="1">OFFSET(TIAM15_assumptions!$G40,0,MATCH(VLOOKUP(Assumptions!BA$2,TIAM15_assumptions!$Y$3:$Z$87,2,FALSE),TIAM15_assumptions!$H$2:$V$2,0))</f>
        <v>0.349711576769288</v>
      </c>
      <c r="BD40" s="41">
        <f ca="1">IFERROR(SUMIFS('TRA balance'!E$5:E$40,'TRA balance'!$C$5:$C$40,Assumptions!$C40,'TRA balance'!$D$5:$D$40,Assumptions!$B40)*CY40*H40,"")</f>
        <v>18.034796832696</v>
      </c>
      <c r="BE40" s="41">
        <f ca="1">IFERROR(SUMIFS('TRA balance'!F$5:F$40,'TRA balance'!$C$5:$C$40,Assumptions!$C40,'TRA balance'!$D$5:$D$40,Assumptions!$B40)*CZ40*I40,"")</f>
        <v>0.010350272016</v>
      </c>
      <c r="BF40" s="41">
        <f ca="1">IFERROR(SUMIFS('TRA balance'!G$5:G$40,'TRA balance'!$C$5:$C$40,Assumptions!$C40,'TRA balance'!$D$5:$D$40,Assumptions!$B40)*DA40*J40,"")</f>
        <v>1.90096996185</v>
      </c>
      <c r="BG40" s="41">
        <f ca="1">IFERROR(SUMIFS('TRA balance'!H$5:H$40,'TRA balance'!$C$5:$C$40,Assumptions!$C40,'TRA balance'!$D$5:$D$40,Assumptions!$B40)*DB40*K40,"")</f>
        <v>0.1029969191322</v>
      </c>
      <c r="BH40" s="41">
        <f ca="1">IFERROR(SUMIFS('TRA balance'!I$5:I$40,'TRA balance'!$C$5:$C$40,Assumptions!$C40,'TRA balance'!$D$5:$D$40,Assumptions!$B40)*DC40*L40,"")</f>
        <v>2.64208347353016</v>
      </c>
      <c r="BI40" s="41">
        <f ca="1">IFERROR(SUMIFS('TRA balance'!J$5:J$40,'TRA balance'!$C$5:$C$40,Assumptions!$C40,'TRA balance'!$D$5:$D$40,Assumptions!$B40)*DD40*M40,"")</f>
        <v>3.8447196810426</v>
      </c>
      <c r="BJ40" s="41">
        <f ca="1">IFERROR(SUMIFS('TRA balance'!K$5:K$40,'TRA balance'!$C$5:$C$40,Assumptions!$C40,'TRA balance'!$D$5:$D$40,Assumptions!$B40)*DE40*N40,"")</f>
        <v>0</v>
      </c>
      <c r="BK40" s="41">
        <f ca="1">IFERROR(SUMIFS('TRA balance'!L$5:L$40,'TRA balance'!$C$5:$C$40,Assumptions!$C40,'TRA balance'!$D$5:$D$40,Assumptions!$B40)*DF40*O40,"")</f>
        <v>20.9849781920976</v>
      </c>
      <c r="BL40" s="41">
        <f ca="1">IFERROR(SUMIFS('TRA balance'!M$5:M$40,'TRA balance'!$C$5:$C$40,Assumptions!$C40,'TRA balance'!$D$5:$D$40,Assumptions!$B40)*DG40*P40,"")</f>
        <v>1.40918644260792</v>
      </c>
      <c r="BM40" s="41">
        <f ca="1">IFERROR(SUMIFS('TRA balance'!N$5:N$40,'TRA balance'!$C$5:$C$40,Assumptions!$C40,'TRA balance'!$D$5:$D$40,Assumptions!$B40)*DH40*Q40,"")</f>
        <v>1.54593089692416</v>
      </c>
      <c r="BN40" s="41">
        <f ca="1">IFERROR(SUMIFS('TRA balance'!O$5:O$40,'TRA balance'!$C$5:$C$40,Assumptions!$C40,'TRA balance'!$D$5:$D$40,Assumptions!$B40)*DI40*R40,"")</f>
        <v>1.1364552325692</v>
      </c>
      <c r="BO40" s="41">
        <f ca="1">IFERROR(SUMIFS('TRA balance'!P$5:P$40,'TRA balance'!$C$5:$C$40,Assumptions!$C40,'TRA balance'!$D$5:$D$40,Assumptions!$B40)*DJ40*S40,"")</f>
        <v>7.3213831729638</v>
      </c>
      <c r="BP40" s="41">
        <f ca="1">IFERROR(SUMIFS('TRA balance'!Q$5:Q$40,'TRA balance'!$C$5:$C$40,Assumptions!$C40,'TRA balance'!$D$5:$D$40,Assumptions!$B40)*DK40*T40,"")</f>
        <v>4.7347210187316</v>
      </c>
      <c r="BQ40" s="41">
        <f ca="1">IFERROR(SUMIFS('TRA balance'!R$5:R$40,'TRA balance'!$C$5:$C$40,Assumptions!$C40,'TRA balance'!$D$5:$D$40,Assumptions!$B40)*DL40*U40,"")</f>
        <v>8.90467792133364</v>
      </c>
      <c r="BR40" s="41">
        <f ca="1">IFERROR(SUMIFS('TRA balance'!S$5:S$40,'TRA balance'!$C$5:$C$40,Assumptions!$C40,'TRA balance'!$D$5:$D$40,Assumptions!$B40)*DM40*V40,"")</f>
        <v>0</v>
      </c>
      <c r="BS40" s="41">
        <f ca="1">IFERROR(SUMIFS('TRA balance'!T$5:T$40,'TRA balance'!$C$5:$C$40,Assumptions!$C40,'TRA balance'!$D$5:$D$40,Assumptions!$B40)*DN40*W40,"")</f>
        <v>1.01635878375</v>
      </c>
      <c r="BT40" s="41">
        <f ca="1">IFERROR(SUMIFS('TRA balance'!U$5:U$40,'TRA balance'!$C$5:$C$40,Assumptions!$C40,'TRA balance'!$D$5:$D$40,Assumptions!$B40)*DO40*X40,"")</f>
        <v>0.0312291172062</v>
      </c>
      <c r="BU40" s="41">
        <f ca="1">IFERROR(SUMIFS('TRA balance'!V$5:V$40,'TRA balance'!$C$5:$C$40,Assumptions!$C40,'TRA balance'!$D$5:$D$40,Assumptions!$B40)*DP40*Y40,"")</f>
        <v>35.7156938258154</v>
      </c>
      <c r="BV40" s="41">
        <f ca="1">IFERROR(SUMIFS('TRA balance'!W$5:W$40,'TRA balance'!$C$5:$C$40,Assumptions!$C40,'TRA balance'!$D$5:$D$40,Assumptions!$B40)*DQ40*Z40,"")</f>
        <v>11.399056214251</v>
      </c>
      <c r="BW40" s="41">
        <f ca="1">IFERROR(SUMIFS('TRA balance'!X$5:X$40,'TRA balance'!$C$5:$C$40,Assumptions!$C40,'TRA balance'!$D$5:$D$40,Assumptions!$B40)*DR40*AA40,"")</f>
        <v>11.59004200653</v>
      </c>
      <c r="BX40" s="41">
        <f ca="1">IFERROR(SUMIFS('TRA balance'!Y$5:Y$40,'TRA balance'!$C$5:$C$40,Assumptions!$C40,'TRA balance'!$D$5:$D$40,Assumptions!$B40)*DS40*AB40,"")</f>
        <v>1.179584593992</v>
      </c>
      <c r="BY40" s="41">
        <f ca="1">IFERROR(SUMIFS('TRA balance'!Z$5:Z$40,'TRA balance'!$C$5:$C$40,Assumptions!$C40,'TRA balance'!$D$5:$D$40,Assumptions!$B40)*DT40*AC40,"")</f>
        <v>18.568673909551</v>
      </c>
      <c r="BZ40" s="41">
        <f ca="1">IFERROR(SUMIFS('TRA balance'!AA$5:AA$40,'TRA balance'!$C$5:$C$40,Assumptions!$C40,'TRA balance'!$D$5:$D$40,Assumptions!$B40)*DU40*AD40,"")</f>
        <v>0.1008149892462</v>
      </c>
      <c r="CA40" s="41">
        <f ca="1">IFERROR(SUMIFS('TRA balance'!AB$5:AB$40,'TRA balance'!$C$5:$C$40,Assumptions!$C40,'TRA balance'!$D$5:$D$40,Assumptions!$B40)*DV40*AE40,"")</f>
        <v>33.9929185861732</v>
      </c>
      <c r="CB40" s="41">
        <f ca="1">IFERROR(SUMIFS('TRA balance'!AC$5:AC$40,'TRA balance'!$C$5:$C$40,Assumptions!$C40,'TRA balance'!$D$5:$D$40,Assumptions!$B40)*DW40*AF40,"")</f>
        <v>108.916691625529</v>
      </c>
      <c r="CC40" s="41">
        <f ca="1">IFERROR(SUMIFS('TRA balance'!AD$5:AD$40,'TRA balance'!$C$5:$C$40,Assumptions!$C40,'TRA balance'!$D$5:$D$40,Assumptions!$B40)*DX40*AG40,"")</f>
        <v>22.7318651911685</v>
      </c>
      <c r="CD40" s="41">
        <f ca="1">IFERROR(SUMIFS('TRA balance'!AE$5:AE$40,'TRA balance'!$C$5:$C$40,Assumptions!$C40,'TRA balance'!$D$5:$D$40,Assumptions!$B40)*DY40*AH40,"")</f>
        <v>0</v>
      </c>
      <c r="CE40" s="41">
        <f ca="1">IFERROR(SUMIFS('TRA balance'!AF$5:AF$40,'TRA balance'!$C$5:$C$40,Assumptions!$C40,'TRA balance'!$D$5:$D$40,Assumptions!$B40)*DZ40*AI40,"")</f>
        <v>0.2747147886</v>
      </c>
      <c r="CF40" s="41">
        <f ca="1">IFERROR(SUMIFS('TRA balance'!AG$5:AG$40,'TRA balance'!$C$5:$C$40,Assumptions!$C40,'TRA balance'!$D$5:$D$40,Assumptions!$B40)*EA40*AJ40,"")</f>
        <v>2.6601224260968</v>
      </c>
      <c r="CG40" s="41">
        <f ca="1">IFERROR(SUMIFS('TRA balance'!AH$5:AH$40,'TRA balance'!$C$5:$C$40,Assumptions!$C40,'TRA balance'!$D$5:$D$40,Assumptions!$B40)*EB40*AK40,"")</f>
        <v>0</v>
      </c>
      <c r="CH40" s="41">
        <f ca="1">IFERROR(SUMIFS('TRA balance'!AI$5:AI$40,'TRA balance'!$C$5:$C$40,Assumptions!$C40,'TRA balance'!$D$5:$D$40,Assumptions!$B40)*EC40*AL40,"")</f>
        <v>0.0332164425348</v>
      </c>
      <c r="CI40" s="41">
        <f ca="1">IFERROR(SUMIFS('TRA balance'!AJ$5:AJ$40,'TRA balance'!$C$5:$C$40,Assumptions!$C40,'TRA balance'!$D$5:$D$40,Assumptions!$B40)*ED40*AM40,"")</f>
        <v>64.7992794456</v>
      </c>
      <c r="CJ40" s="41">
        <f ca="1">IFERROR(SUMIFS('TRA balance'!AK$5:AK$40,'TRA balance'!$C$5:$C$40,Assumptions!$C40,'TRA balance'!$D$5:$D$40,Assumptions!$B40)*EE40*AN40,"")</f>
        <v>1.360610197155</v>
      </c>
      <c r="CK40" s="41">
        <f ca="1">IFERROR(SUMIFS('TRA balance'!AL$5:AL$40,'TRA balance'!$C$5:$C$40,Assumptions!$C40,'TRA balance'!$D$5:$D$40,Assumptions!$B40)*EF40*AO40,"")</f>
        <v>31.8253841947098</v>
      </c>
      <c r="CL40" s="41">
        <f ca="1">IFERROR(SUMIFS('TRA balance'!AM$5:AM$40,'TRA balance'!$C$5:$C$40,Assumptions!$C40,'TRA balance'!$D$5:$D$40,Assumptions!$B40)*EG40*AP40,"")</f>
        <v>4.002823665801</v>
      </c>
      <c r="CM40" s="41">
        <f ca="1">IFERROR(SUMIFS('TRA balance'!AN$5:AN$40,'TRA balance'!$C$5:$C$40,Assumptions!$C40,'TRA balance'!$D$5:$D$40,Assumptions!$B40)*EH40*AQ40,"")</f>
        <v>0</v>
      </c>
      <c r="CN40" s="41">
        <f ca="1">IFERROR(SUMIFS('TRA balance'!AO$5:AO$40,'TRA balance'!$C$5:$C$40,Assumptions!$C40,'TRA balance'!$D$5:$D$40,Assumptions!$B40)*EI40*AR40,"")</f>
        <v>0</v>
      </c>
      <c r="CO40" s="41">
        <f ca="1">IFERROR(SUMIFS('TRA balance'!AP$5:AP$40,'TRA balance'!$C$5:$C$40,Assumptions!$C40,'TRA balance'!$D$5:$D$40,Assumptions!$B40)*EJ40*AS40,"")</f>
        <v>0</v>
      </c>
      <c r="CP40" s="41">
        <f ca="1">IFERROR(SUMIFS('TRA balance'!AQ$5:AQ$40,'TRA balance'!$C$5:$C$40,Assumptions!$C40,'TRA balance'!$D$5:$D$40,Assumptions!$B40)*EK40*AT40,"")</f>
        <v>0</v>
      </c>
      <c r="CQ40" s="41">
        <f ca="1">IFERROR(SUMIFS('TRA balance'!AR$5:AR$40,'TRA balance'!$C$5:$C$40,Assumptions!$C40,'TRA balance'!$D$5:$D$40,Assumptions!$B40)*EL40*AU40,"")</f>
        <v>0</v>
      </c>
      <c r="CR40" s="41">
        <f ca="1">IFERROR(SUMIFS('TRA balance'!AS$5:AS$40,'TRA balance'!$C$5:$C$40,Assumptions!$C40,'TRA balance'!$D$5:$D$40,Assumptions!$B40)*EM40*AV40,"")</f>
        <v>0</v>
      </c>
      <c r="CS40" s="41">
        <f ca="1">IFERROR(SUMIFS('TRA balance'!AT$5:AT$40,'TRA balance'!$C$5:$C$40,Assumptions!$C40,'TRA balance'!$D$5:$D$40,Assumptions!$B40)*EN40*AW40,"")</f>
        <v>0</v>
      </c>
      <c r="CT40" s="41">
        <f ca="1">IFERROR(SUMIFS('TRA balance'!AU$5:AU$40,'TRA balance'!$C$5:$C$40,Assumptions!$C40,'TRA balance'!$D$5:$D$40,Assumptions!$B40)*EO40*AX40,"")</f>
        <v>0</v>
      </c>
      <c r="CU40" s="41">
        <f ca="1">IFERROR(SUMIFS('TRA balance'!AV$5:AV$40,'TRA balance'!$C$5:$C$40,Assumptions!$C40,'TRA balance'!$D$5:$D$40,Assumptions!$B40)*EP40*AY40,"")</f>
        <v>0</v>
      </c>
      <c r="CV40" s="41">
        <f ca="1">IFERROR(SUMIFS('TRA balance'!AW$5:AW$40,'TRA balance'!$C$5:$C$40,Assumptions!$C40,'TRA balance'!$D$5:$D$40,Assumptions!$B40)*EQ40*AZ40,"")</f>
        <v>0</v>
      </c>
      <c r="CW40" s="41">
        <f ca="1">IFERROR(SUMIFS('TRA balance'!AX$5:AX$40,'TRA balance'!$C$5:$C$40,Assumptions!$C40,'TRA balance'!$D$5:$D$40,Assumptions!$B40)*ER40*BA40,"")</f>
        <v>0</v>
      </c>
      <c r="CY40" s="40">
        <f ca="1" t="shared" si="66"/>
        <v>0.6</v>
      </c>
      <c r="CZ40" s="40">
        <f ca="1" t="shared" si="3"/>
        <v>0.6</v>
      </c>
      <c r="DA40" s="40">
        <f ca="1" t="shared" si="4"/>
        <v>0.25</v>
      </c>
      <c r="DB40" s="40">
        <f ca="1" t="shared" si="5"/>
        <v>0.75</v>
      </c>
      <c r="DC40" s="40">
        <f ca="1" t="shared" si="6"/>
        <v>0.57</v>
      </c>
      <c r="DD40" s="40">
        <f ca="1" t="shared" si="7"/>
        <v>0.75</v>
      </c>
      <c r="DE40" s="40">
        <f ca="1" t="shared" si="8"/>
        <v>0.5</v>
      </c>
      <c r="DF40" s="40">
        <f ca="1" t="shared" si="9"/>
        <v>0.4</v>
      </c>
      <c r="DG40" s="40">
        <f ca="1" t="shared" si="10"/>
        <v>0.57</v>
      </c>
      <c r="DH40" s="40">
        <f ca="1" t="shared" si="11"/>
        <v>0.57</v>
      </c>
      <c r="DI40" s="40">
        <f ca="1" t="shared" si="12"/>
        <v>0.75</v>
      </c>
      <c r="DJ40" s="40">
        <f ca="1" t="shared" si="13"/>
        <v>0.75</v>
      </c>
      <c r="DK40" s="40">
        <f ca="1" t="shared" si="14"/>
        <v>0.75</v>
      </c>
      <c r="DL40" s="40">
        <f ca="1" t="shared" si="15"/>
        <v>0.57</v>
      </c>
      <c r="DM40" s="40">
        <f ca="1" t="shared" si="16"/>
        <v>0.75</v>
      </c>
      <c r="DN40" s="40">
        <f ca="1" t="shared" si="17"/>
        <v>0.25</v>
      </c>
      <c r="DO40" s="40">
        <f ca="1" t="shared" si="18"/>
        <v>0.75</v>
      </c>
      <c r="DP40" s="40">
        <f ca="1" t="shared" si="19"/>
        <v>0.75</v>
      </c>
      <c r="DQ40" s="40">
        <f ca="1" t="shared" si="20"/>
        <v>0.57</v>
      </c>
      <c r="DR40" s="40">
        <f ca="1" t="shared" si="21"/>
        <v>0.5</v>
      </c>
      <c r="DS40" s="40">
        <f ca="1" t="shared" si="22"/>
        <v>0.6</v>
      </c>
      <c r="DT40" s="40">
        <f ca="1" t="shared" si="23"/>
        <v>0.719214717155623</v>
      </c>
      <c r="DU40" s="40">
        <f ca="1" t="shared" si="24"/>
        <v>0.75</v>
      </c>
      <c r="DV40" s="40">
        <f ca="1" t="shared" si="25"/>
        <v>0.57</v>
      </c>
      <c r="DW40" s="40">
        <f ca="1" t="shared" si="26"/>
        <v>0.7</v>
      </c>
      <c r="DX40" s="40">
        <f ca="1" t="shared" si="27"/>
        <v>0.57</v>
      </c>
      <c r="DY40" s="40">
        <f ca="1" t="shared" si="28"/>
        <v>0.6</v>
      </c>
      <c r="DZ40" s="40">
        <f ca="1" t="shared" si="29"/>
        <v>0.6</v>
      </c>
      <c r="EA40" s="40">
        <f ca="1" t="shared" si="30"/>
        <v>0.75</v>
      </c>
      <c r="EB40" s="40">
        <f ca="1" t="shared" si="31"/>
        <v>0.75</v>
      </c>
      <c r="EC40" s="40">
        <f ca="1" t="shared" si="32"/>
        <v>0.75</v>
      </c>
      <c r="ED40" s="40">
        <f ca="1" t="shared" si="33"/>
        <v>0.6</v>
      </c>
      <c r="EE40" s="40">
        <f ca="1" t="shared" si="34"/>
        <v>0.75</v>
      </c>
      <c r="EF40" s="40">
        <f ca="1" t="shared" si="35"/>
        <v>0.57</v>
      </c>
      <c r="EG40" s="40">
        <f ca="1" t="shared" si="36"/>
        <v>0.57</v>
      </c>
      <c r="EH40" s="40">
        <f ca="1" t="shared" si="37"/>
        <v>0.719214717155623</v>
      </c>
      <c r="EI40" s="40">
        <f ca="1" t="shared" si="38"/>
        <v>0.719214717155623</v>
      </c>
      <c r="EJ40" s="40">
        <f ca="1" t="shared" si="39"/>
        <v>0.719214717155623</v>
      </c>
      <c r="EK40" s="40">
        <f ca="1" t="shared" si="40"/>
        <v>0.719214717155623</v>
      </c>
      <c r="EL40" s="40">
        <f ca="1" t="shared" si="41"/>
        <v>0.719214717155623</v>
      </c>
      <c r="EM40" s="40">
        <f ca="1" t="shared" si="42"/>
        <v>0.719214717155623</v>
      </c>
      <c r="EN40" s="40">
        <f ca="1" t="shared" si="43"/>
        <v>0.719214717155623</v>
      </c>
      <c r="EO40" s="40">
        <f ca="1" t="shared" si="44"/>
        <v>0.719214717155623</v>
      </c>
      <c r="EP40" s="40">
        <f ca="1" t="shared" si="45"/>
        <v>0.719214717155623</v>
      </c>
      <c r="EQ40" s="40">
        <f ca="1" t="shared" si="46"/>
        <v>0.719214717155623</v>
      </c>
      <c r="ER40" s="40">
        <f ca="1" t="shared" si="47"/>
        <v>0.719214717155623</v>
      </c>
    </row>
    <row r="41" spans="1:148">
      <c r="A41">
        <v>1</v>
      </c>
      <c r="B41" t="str">
        <f>VLOOKUP(F41,'TRA balance'!$BA$5:$BB$14,2,FALSE)</f>
        <v>TRALPG</v>
      </c>
      <c r="C41" s="56" t="str">
        <f t="shared" si="48"/>
        <v>TR</v>
      </c>
      <c r="D41" s="57" t="s">
        <v>200</v>
      </c>
      <c r="E41" s="68" t="s">
        <v>204</v>
      </c>
      <c r="F41" s="58" t="str">
        <f t="shared" ref="F41:F44" si="70">F40</f>
        <v>Liquified Petroleum Gases</v>
      </c>
      <c r="G41" s="56" t="s">
        <v>205</v>
      </c>
      <c r="H41" s="59">
        <f ca="1">OFFSET(TIAM15_assumptions!$G41,0,MATCH(VLOOKUP(Assumptions!H$2,TIAM15_assumptions!$Y$3:$Z$87,2,FALSE),TIAM15_assumptions!$H$2:$V$2,0))</f>
        <v>0.3</v>
      </c>
      <c r="I41" s="59">
        <f ca="1">OFFSET(TIAM15_assumptions!$G41,0,MATCH(VLOOKUP(Assumptions!I$2,TIAM15_assumptions!$Y$3:$Z$87,2,FALSE),TIAM15_assumptions!$H$2:$V$2,0))</f>
        <v>0.3</v>
      </c>
      <c r="J41" s="59">
        <f ca="1">OFFSET(TIAM15_assumptions!$G41,0,MATCH(VLOOKUP(Assumptions!J$2,TIAM15_assumptions!$Y$3:$Z$87,2,FALSE),TIAM15_assumptions!$H$2:$V$2,0))</f>
        <v>0.5</v>
      </c>
      <c r="K41" s="59">
        <f ca="1">OFFSET(TIAM15_assumptions!$G41,0,MATCH(VLOOKUP(Assumptions!K$2,TIAM15_assumptions!$Y$3:$Z$87,2,FALSE),TIAM15_assumptions!$H$2:$V$2,0))</f>
        <v>0.374</v>
      </c>
      <c r="L41" s="59">
        <f ca="1">OFFSET(TIAM15_assumptions!$G41,0,MATCH(VLOOKUP(Assumptions!L$2,TIAM15_assumptions!$Y$3:$Z$87,2,FALSE),TIAM15_assumptions!$H$2:$V$2,0))</f>
        <v>0.33</v>
      </c>
      <c r="M41" s="59">
        <f ca="1">OFFSET(TIAM15_assumptions!$G41,0,MATCH(VLOOKUP(Assumptions!M$2,TIAM15_assumptions!$Y$3:$Z$87,2,FALSE),TIAM15_assumptions!$H$2:$V$2,0))</f>
        <v>0.374</v>
      </c>
      <c r="N41" s="59">
        <f ca="1">OFFSET(TIAM15_assumptions!$G41,0,MATCH(VLOOKUP(Assumptions!N$2,TIAM15_assumptions!$Y$3:$Z$87,2,FALSE),TIAM15_assumptions!$H$2:$V$2,0))</f>
        <v>0.33</v>
      </c>
      <c r="O41" s="59">
        <f ca="1">OFFSET(TIAM15_assumptions!$G41,0,MATCH(VLOOKUP(Assumptions!O$2,TIAM15_assumptions!$Y$3:$Z$87,2,FALSE),TIAM15_assumptions!$H$2:$V$2,0))</f>
        <v>0.33</v>
      </c>
      <c r="P41" s="59">
        <f ca="1">OFFSET(TIAM15_assumptions!$G41,0,MATCH(VLOOKUP(Assumptions!P$2,TIAM15_assumptions!$Y$3:$Z$87,2,FALSE),TIAM15_assumptions!$H$2:$V$2,0))</f>
        <v>0.33</v>
      </c>
      <c r="Q41" s="59">
        <f ca="1">OFFSET(TIAM15_assumptions!$G41,0,MATCH(VLOOKUP(Assumptions!Q$2,TIAM15_assumptions!$Y$3:$Z$87,2,FALSE),TIAM15_assumptions!$H$2:$V$2,0))</f>
        <v>0.33</v>
      </c>
      <c r="R41" s="59">
        <f ca="1">OFFSET(TIAM15_assumptions!$G41,0,MATCH(VLOOKUP(Assumptions!R$2,TIAM15_assumptions!$Y$3:$Z$87,2,FALSE),TIAM15_assumptions!$H$2:$V$2,0))</f>
        <v>0.374</v>
      </c>
      <c r="S41" s="59">
        <f ca="1">OFFSET(TIAM15_assumptions!$G41,0,MATCH(VLOOKUP(Assumptions!S$2,TIAM15_assumptions!$Y$3:$Z$87,2,FALSE),TIAM15_assumptions!$H$2:$V$2,0))</f>
        <v>0.374</v>
      </c>
      <c r="T41" s="59">
        <f ca="1">OFFSET(TIAM15_assumptions!$G41,0,MATCH(VLOOKUP(Assumptions!T$2,TIAM15_assumptions!$Y$3:$Z$87,2,FALSE),TIAM15_assumptions!$H$2:$V$2,0))</f>
        <v>0.374</v>
      </c>
      <c r="U41" s="59">
        <f ca="1">OFFSET(TIAM15_assumptions!$G41,0,MATCH(VLOOKUP(Assumptions!U$2,TIAM15_assumptions!$Y$3:$Z$87,2,FALSE),TIAM15_assumptions!$H$2:$V$2,0))</f>
        <v>0.33</v>
      </c>
      <c r="V41" s="59">
        <f ca="1">OFFSET(TIAM15_assumptions!$G41,0,MATCH(VLOOKUP(Assumptions!V$2,TIAM15_assumptions!$Y$3:$Z$87,2,FALSE),TIAM15_assumptions!$H$2:$V$2,0))</f>
        <v>0.374</v>
      </c>
      <c r="W41" s="59">
        <f ca="1">OFFSET(TIAM15_assumptions!$G41,0,MATCH(VLOOKUP(Assumptions!W$2,TIAM15_assumptions!$Y$3:$Z$87,2,FALSE),TIAM15_assumptions!$H$2:$V$2,0))</f>
        <v>0.5</v>
      </c>
      <c r="X41" s="59">
        <f ca="1">OFFSET(TIAM15_assumptions!$G41,0,MATCH(VLOOKUP(Assumptions!X$2,TIAM15_assumptions!$Y$3:$Z$87,2,FALSE),TIAM15_assumptions!$H$2:$V$2,0))</f>
        <v>0.374</v>
      </c>
      <c r="Y41" s="59">
        <f ca="1">OFFSET(TIAM15_assumptions!$G41,0,MATCH(VLOOKUP(Assumptions!Y$2,TIAM15_assumptions!$Y$3:$Z$87,2,FALSE),TIAM15_assumptions!$H$2:$V$2,0))</f>
        <v>0.374</v>
      </c>
      <c r="Z41" s="59">
        <f ca="1">OFFSET(TIAM15_assumptions!$G41,0,MATCH(VLOOKUP(Assumptions!Z$2,TIAM15_assumptions!$Y$3:$Z$87,2,FALSE),TIAM15_assumptions!$H$2:$V$2,0))</f>
        <v>0.33</v>
      </c>
      <c r="AA41" s="59">
        <f ca="1">OFFSET(TIAM15_assumptions!$G41,0,MATCH(VLOOKUP(Assumptions!AA$2,TIAM15_assumptions!$Y$3:$Z$87,2,FALSE),TIAM15_assumptions!$H$2:$V$2,0))</f>
        <v>0.33</v>
      </c>
      <c r="AB41" s="59">
        <f ca="1">OFFSET(TIAM15_assumptions!$G41,0,MATCH(VLOOKUP(Assumptions!AB$2,TIAM15_assumptions!$Y$3:$Z$87,2,FALSE),TIAM15_assumptions!$H$2:$V$2,0))</f>
        <v>0.3</v>
      </c>
      <c r="AC41" s="59">
        <f ca="1">OFFSET(TIAM15_assumptions!$G41,0,MATCH(VLOOKUP(Assumptions!AC$2,TIAM15_assumptions!$Y$3:$Z$87,2,FALSE),TIAM15_assumptions!$H$2:$V$2,0))</f>
        <v>0.650288423230712</v>
      </c>
      <c r="AD41" s="59">
        <f ca="1">OFFSET(TIAM15_assumptions!$G41,0,MATCH(VLOOKUP(Assumptions!AD$2,TIAM15_assumptions!$Y$3:$Z$87,2,FALSE),TIAM15_assumptions!$H$2:$V$2,0))</f>
        <v>0.374</v>
      </c>
      <c r="AE41" s="59">
        <f ca="1">OFFSET(TIAM15_assumptions!$G41,0,MATCH(VLOOKUP(Assumptions!AE$2,TIAM15_assumptions!$Y$3:$Z$87,2,FALSE),TIAM15_assumptions!$H$2:$V$2,0))</f>
        <v>0.33</v>
      </c>
      <c r="AF41" s="59">
        <f ca="1">OFFSET(TIAM15_assumptions!$G41,0,MATCH(VLOOKUP(Assumptions!AF$2,TIAM15_assumptions!$Y$3:$Z$87,2,FALSE),TIAM15_assumptions!$H$2:$V$2,0))</f>
        <v>0.33</v>
      </c>
      <c r="AG41" s="59">
        <f ca="1">OFFSET(TIAM15_assumptions!$G41,0,MATCH(VLOOKUP(Assumptions!AG$2,TIAM15_assumptions!$Y$3:$Z$87,2,FALSE),TIAM15_assumptions!$H$2:$V$2,0))</f>
        <v>0.33</v>
      </c>
      <c r="AH41" s="59">
        <f ca="1">OFFSET(TIAM15_assumptions!$G41,0,MATCH(VLOOKUP(Assumptions!AH$2,TIAM15_assumptions!$Y$3:$Z$87,2,FALSE),TIAM15_assumptions!$H$2:$V$2,0))</f>
        <v>0.3</v>
      </c>
      <c r="AI41" s="59">
        <f ca="1">OFFSET(TIAM15_assumptions!$G41,0,MATCH(VLOOKUP(Assumptions!AI$2,TIAM15_assumptions!$Y$3:$Z$87,2,FALSE),TIAM15_assumptions!$H$2:$V$2,0))</f>
        <v>0.3</v>
      </c>
      <c r="AJ41" s="59">
        <f ca="1">OFFSET(TIAM15_assumptions!$G41,0,MATCH(VLOOKUP(Assumptions!AJ$2,TIAM15_assumptions!$Y$3:$Z$87,2,FALSE),TIAM15_assumptions!$H$2:$V$2,0))</f>
        <v>0.374</v>
      </c>
      <c r="AK41" s="59">
        <f ca="1">OFFSET(TIAM15_assumptions!$G41,0,MATCH(VLOOKUP(Assumptions!AK$2,TIAM15_assumptions!$Y$3:$Z$87,2,FALSE),TIAM15_assumptions!$H$2:$V$2,0))</f>
        <v>0.374</v>
      </c>
      <c r="AL41" s="59">
        <f ca="1">OFFSET(TIAM15_assumptions!$G41,0,MATCH(VLOOKUP(Assumptions!AL$2,TIAM15_assumptions!$Y$3:$Z$87,2,FALSE),TIAM15_assumptions!$H$2:$V$2,0))</f>
        <v>0.374</v>
      </c>
      <c r="AM41" s="59">
        <f ca="1">OFFSET(TIAM15_assumptions!$G41,0,MATCH(VLOOKUP(Assumptions!AM$2,TIAM15_assumptions!$Y$3:$Z$87,2,FALSE),TIAM15_assumptions!$H$2:$V$2,0))</f>
        <v>0.3</v>
      </c>
      <c r="AN41" s="59">
        <f ca="1">OFFSET(TIAM15_assumptions!$G41,0,MATCH(VLOOKUP(Assumptions!AN$2,TIAM15_assumptions!$Y$3:$Z$87,2,FALSE),TIAM15_assumptions!$H$2:$V$2,0))</f>
        <v>0.374</v>
      </c>
      <c r="AO41" s="59">
        <f ca="1">OFFSET(TIAM15_assumptions!$G41,0,MATCH(VLOOKUP(Assumptions!AO$2,TIAM15_assumptions!$Y$3:$Z$87,2,FALSE),TIAM15_assumptions!$H$2:$V$2,0))</f>
        <v>0.33</v>
      </c>
      <c r="AP41" s="59">
        <f ca="1">OFFSET(TIAM15_assumptions!$G41,0,MATCH(VLOOKUP(Assumptions!AP$2,TIAM15_assumptions!$Y$3:$Z$87,2,FALSE),TIAM15_assumptions!$H$2:$V$2,0))</f>
        <v>0.33</v>
      </c>
      <c r="AQ41" s="59">
        <f ca="1">OFFSET(TIAM15_assumptions!$G41,0,MATCH(VLOOKUP(Assumptions!AQ$2,TIAM15_assumptions!$Y$3:$Z$87,2,FALSE),TIAM15_assumptions!$H$2:$V$2,0))</f>
        <v>0.650288423230712</v>
      </c>
      <c r="AR41" s="59">
        <f ca="1">OFFSET(TIAM15_assumptions!$G41,0,MATCH(VLOOKUP(Assumptions!AR$2,TIAM15_assumptions!$Y$3:$Z$87,2,FALSE),TIAM15_assumptions!$H$2:$V$2,0))</f>
        <v>0.650288423230712</v>
      </c>
      <c r="AS41" s="59">
        <f ca="1">OFFSET(TIAM15_assumptions!$G41,0,MATCH(VLOOKUP(Assumptions!AS$2,TIAM15_assumptions!$Y$3:$Z$87,2,FALSE),TIAM15_assumptions!$H$2:$V$2,0))</f>
        <v>0.650288423230712</v>
      </c>
      <c r="AT41" s="59">
        <f ca="1">OFFSET(TIAM15_assumptions!$G41,0,MATCH(VLOOKUP(Assumptions!AT$2,TIAM15_assumptions!$Y$3:$Z$87,2,FALSE),TIAM15_assumptions!$H$2:$V$2,0))</f>
        <v>0.650288423230712</v>
      </c>
      <c r="AU41" s="59">
        <f ca="1">OFFSET(TIAM15_assumptions!$G41,0,MATCH(VLOOKUP(Assumptions!AU$2,TIAM15_assumptions!$Y$3:$Z$87,2,FALSE),TIAM15_assumptions!$H$2:$V$2,0))</f>
        <v>0.650288423230712</v>
      </c>
      <c r="AV41" s="59">
        <f ca="1">OFFSET(TIAM15_assumptions!$G41,0,MATCH(VLOOKUP(Assumptions!AV$2,TIAM15_assumptions!$Y$3:$Z$87,2,FALSE),TIAM15_assumptions!$H$2:$V$2,0))</f>
        <v>0.650288423230712</v>
      </c>
      <c r="AW41" s="59">
        <f ca="1">OFFSET(TIAM15_assumptions!$G41,0,MATCH(VLOOKUP(Assumptions!AW$2,TIAM15_assumptions!$Y$3:$Z$87,2,FALSE),TIAM15_assumptions!$H$2:$V$2,0))</f>
        <v>0.650288423230712</v>
      </c>
      <c r="AX41" s="59">
        <f ca="1">OFFSET(TIAM15_assumptions!$G41,0,MATCH(VLOOKUP(Assumptions!AX$2,TIAM15_assumptions!$Y$3:$Z$87,2,FALSE),TIAM15_assumptions!$H$2:$V$2,0))</f>
        <v>0.650288423230712</v>
      </c>
      <c r="AY41" s="59">
        <f ca="1">OFFSET(TIAM15_assumptions!$G41,0,MATCH(VLOOKUP(Assumptions!AY$2,TIAM15_assumptions!$Y$3:$Z$87,2,FALSE),TIAM15_assumptions!$H$2:$V$2,0))</f>
        <v>0.650288423230712</v>
      </c>
      <c r="AZ41" s="59">
        <f ca="1">OFFSET(TIAM15_assumptions!$G41,0,MATCH(VLOOKUP(Assumptions!AZ$2,TIAM15_assumptions!$Y$3:$Z$87,2,FALSE),TIAM15_assumptions!$H$2:$V$2,0))</f>
        <v>0.650288423230712</v>
      </c>
      <c r="BA41" s="59">
        <f ca="1">OFFSET(TIAM15_assumptions!$G41,0,MATCH(VLOOKUP(Assumptions!BA$2,TIAM15_assumptions!$Y$3:$Z$87,2,FALSE),TIAM15_assumptions!$H$2:$V$2,0))</f>
        <v>0.650288423230712</v>
      </c>
      <c r="BD41" s="41">
        <f ca="1">IFERROR(SUMIFS('TRA balance'!E$5:E$40,'TRA balance'!$C$5:$C$40,Assumptions!$C41,'TRA balance'!$D$5:$D$40,Assumptions!$B41)*CY41*H41,"")</f>
        <v>7.729198642584</v>
      </c>
      <c r="BE41" s="41">
        <f ca="1">IFERROR(SUMIFS('TRA balance'!F$5:F$40,'TRA balance'!$C$5:$C$40,Assumptions!$C41,'TRA balance'!$D$5:$D$40,Assumptions!$B41)*CZ41*I41,"")</f>
        <v>0.004435830864</v>
      </c>
      <c r="BF41" s="41">
        <f ca="1">IFERROR(SUMIFS('TRA balance'!G$5:G$40,'TRA balance'!$C$5:$C$40,Assumptions!$C41,'TRA balance'!$D$5:$D$40,Assumptions!$B41)*DA41*J41,"")</f>
        <v>1.90096996185</v>
      </c>
      <c r="BG41" s="41">
        <f ca="1">IFERROR(SUMIFS('TRA balance'!H$5:H$40,'TRA balance'!$C$5:$C$40,Assumptions!$C41,'TRA balance'!$D$5:$D$40,Assumptions!$B41)*DB41*K41,"")</f>
        <v>0.0615349005678</v>
      </c>
      <c r="BH41" s="41">
        <f ca="1">IFERROR(SUMIFS('TRA balance'!I$5:I$40,'TRA balance'!$C$5:$C$40,Assumptions!$C41,'TRA balance'!$D$5:$D$40,Assumptions!$B41)*DC41*L41,"")</f>
        <v>1.30132469591784</v>
      </c>
      <c r="BI41" s="41">
        <f ca="1">IFERROR(SUMIFS('TRA balance'!J$5:J$40,'TRA balance'!$C$5:$C$40,Assumptions!$C41,'TRA balance'!$D$5:$D$40,Assumptions!$B41)*DD41*M41,"")</f>
        <v>2.2970050490574</v>
      </c>
      <c r="BJ41" s="41">
        <f ca="1">IFERROR(SUMIFS('TRA balance'!K$5:K$40,'TRA balance'!$C$5:$C$40,Assumptions!$C41,'TRA balance'!$D$5:$D$40,Assumptions!$B41)*DE41*N41,"")</f>
        <v>0</v>
      </c>
      <c r="BK41" s="41">
        <f ca="1">IFERROR(SUMIFS('TRA balance'!L$5:L$40,'TRA balance'!$C$5:$C$40,Assumptions!$C41,'TRA balance'!$D$5:$D$40,Assumptions!$B41)*DF41*O41,"")</f>
        <v>10.3358847811824</v>
      </c>
      <c r="BL41" s="41">
        <f ca="1">IFERROR(SUMIFS('TRA balance'!M$5:M$40,'TRA balance'!$C$5:$C$40,Assumptions!$C41,'TRA balance'!$D$5:$D$40,Assumptions!$B41)*DG41*P41,"")</f>
        <v>0.69407690456808</v>
      </c>
      <c r="BM41" s="41">
        <f ca="1">IFERROR(SUMIFS('TRA balance'!N$5:N$40,'TRA balance'!$C$5:$C$40,Assumptions!$C41,'TRA balance'!$D$5:$D$40,Assumptions!$B41)*DH41*Q41,"")</f>
        <v>0.76142865072384</v>
      </c>
      <c r="BN41" s="41">
        <f ca="1">IFERROR(SUMIFS('TRA balance'!O$5:O$40,'TRA balance'!$C$5:$C$40,Assumptions!$C41,'TRA balance'!$D$5:$D$40,Assumptions!$B41)*DI41*R41,"")</f>
        <v>0.6789684616308</v>
      </c>
      <c r="BO41" s="41">
        <f ca="1">IFERROR(SUMIFS('TRA balance'!P$5:P$40,'TRA balance'!$C$5:$C$40,Assumptions!$C41,'TRA balance'!$D$5:$D$40,Assumptions!$B41)*DJ41*S41,"")</f>
        <v>4.3741171033362</v>
      </c>
      <c r="BP41" s="41">
        <f ca="1">IFERROR(SUMIFS('TRA balance'!Q$5:Q$40,'TRA balance'!$C$5:$C$40,Assumptions!$C41,'TRA balance'!$D$5:$D$40,Assumptions!$B41)*DK41*T41,"")</f>
        <v>2.8287310878684</v>
      </c>
      <c r="BQ41" s="41">
        <f ca="1">IFERROR(SUMIFS('TRA balance'!R$5:R$40,'TRA balance'!$C$5:$C$40,Assumptions!$C41,'TRA balance'!$D$5:$D$40,Assumptions!$B41)*DL41*U41,"")</f>
        <v>4.38588614035836</v>
      </c>
      <c r="BR41" s="41">
        <f ca="1">IFERROR(SUMIFS('TRA balance'!S$5:S$40,'TRA balance'!$C$5:$C$40,Assumptions!$C41,'TRA balance'!$D$5:$D$40,Assumptions!$B41)*DM41*V41,"")</f>
        <v>0</v>
      </c>
      <c r="BS41" s="41">
        <f ca="1">IFERROR(SUMIFS('TRA balance'!T$5:T$40,'TRA balance'!$C$5:$C$40,Assumptions!$C41,'TRA balance'!$D$5:$D$40,Assumptions!$B41)*DN41*W41,"")</f>
        <v>1.01635878375</v>
      </c>
      <c r="BT41" s="41">
        <f ca="1">IFERROR(SUMIFS('TRA balance'!U$5:U$40,'TRA balance'!$C$5:$C$40,Assumptions!$C41,'TRA balance'!$D$5:$D$40,Assumptions!$B41)*DO41*X41,"")</f>
        <v>0.0186576514938</v>
      </c>
      <c r="BU41" s="41">
        <f ca="1">IFERROR(SUMIFS('TRA balance'!V$5:V$40,'TRA balance'!$C$5:$C$40,Assumptions!$C41,'TRA balance'!$D$5:$D$40,Assumptions!$B41)*DP41*Y41,"")</f>
        <v>21.3381301770846</v>
      </c>
      <c r="BV41" s="41">
        <f ca="1">IFERROR(SUMIFS('TRA balance'!W$5:W$40,'TRA balance'!$C$5:$C$40,Assumptions!$C41,'TRA balance'!$D$5:$D$40,Assumptions!$B41)*DQ41*Z41,"")</f>
        <v>5.61446052343704</v>
      </c>
      <c r="BW41" s="41">
        <f ca="1">IFERROR(SUMIFS('TRA balance'!X$5:X$40,'TRA balance'!$C$5:$C$40,Assumptions!$C41,'TRA balance'!$D$5:$D$40,Assumptions!$B41)*DR41*AA41,"")</f>
        <v>5.70852815247</v>
      </c>
      <c r="BX41" s="41">
        <f ca="1">IFERROR(SUMIFS('TRA balance'!Y$5:Y$40,'TRA balance'!$C$5:$C$40,Assumptions!$C41,'TRA balance'!$D$5:$D$40,Assumptions!$B41)*DS41*AB41,"")</f>
        <v>0.505536254568</v>
      </c>
      <c r="BY41" s="41">
        <f ca="1">IFERROR(SUMIFS('TRA balance'!Z$5:Z$40,'TRA balance'!$C$5:$C$40,Assumptions!$C41,'TRA balance'!$D$5:$D$40,Assumptions!$B41)*DT41*AC41,"")</f>
        <v>34.5284356602621</v>
      </c>
      <c r="BZ41" s="41">
        <f ca="1">IFERROR(SUMIFS('TRA balance'!AA$5:AA$40,'TRA balance'!$C$5:$C$40,Assumptions!$C41,'TRA balance'!$D$5:$D$40,Assumptions!$B41)*DU41*AD41,"")</f>
        <v>0.0602313194538</v>
      </c>
      <c r="CA41" s="41">
        <f ca="1">IFERROR(SUMIFS('TRA balance'!AB$5:AB$40,'TRA balance'!$C$5:$C$40,Assumptions!$C41,'TRA balance'!$D$5:$D$40,Assumptions!$B41)*DV41*AE41,"")</f>
        <v>16.7427807961748</v>
      </c>
      <c r="CB41" s="41">
        <f ca="1">IFERROR(SUMIFS('TRA balance'!AC$5:AC$40,'TRA balance'!$C$5:$C$40,Assumptions!$C41,'TRA balance'!$D$5:$D$40,Assumptions!$B41)*DW41*AF41,"")</f>
        <v>53.6455346812308</v>
      </c>
      <c r="CC41" s="41">
        <f ca="1">IFERROR(SUMIFS('TRA balance'!AD$5:AD$40,'TRA balance'!$C$5:$C$40,Assumptions!$C41,'TRA balance'!$D$5:$D$40,Assumptions!$B41)*DX41*AG41,"")</f>
        <v>11.1962918105755</v>
      </c>
      <c r="CD41" s="41">
        <f ca="1">IFERROR(SUMIFS('TRA balance'!AE$5:AE$40,'TRA balance'!$C$5:$C$40,Assumptions!$C41,'TRA balance'!$D$5:$D$40,Assumptions!$B41)*DY41*AH41,"")</f>
        <v>0</v>
      </c>
      <c r="CE41" s="41">
        <f ca="1">IFERROR(SUMIFS('TRA balance'!AF$5:AF$40,'TRA balance'!$C$5:$C$40,Assumptions!$C41,'TRA balance'!$D$5:$D$40,Assumptions!$B41)*DZ41*AI41,"")</f>
        <v>0.1177349094</v>
      </c>
      <c r="CF41" s="41">
        <f ca="1">IFERROR(SUMIFS('TRA balance'!AG$5:AG$40,'TRA balance'!$C$5:$C$40,Assumptions!$C41,'TRA balance'!$D$5:$D$40,Assumptions!$B41)*EA41*AJ41,"")</f>
        <v>1.5892744207032</v>
      </c>
      <c r="CG41" s="41">
        <f ca="1">IFERROR(SUMIFS('TRA balance'!AH$5:AH$40,'TRA balance'!$C$5:$C$40,Assumptions!$C41,'TRA balance'!$D$5:$D$40,Assumptions!$B41)*EB41*AK41,"")</f>
        <v>0</v>
      </c>
      <c r="CH41" s="41">
        <f ca="1">IFERROR(SUMIFS('TRA balance'!AI$5:AI$40,'TRA balance'!$C$5:$C$40,Assumptions!$C41,'TRA balance'!$D$5:$D$40,Assumptions!$B41)*EC41*AL41,"")</f>
        <v>0.0198449672652</v>
      </c>
      <c r="CI41" s="41">
        <f ca="1">IFERROR(SUMIFS('TRA balance'!AJ$5:AJ$40,'TRA balance'!$C$5:$C$40,Assumptions!$C41,'TRA balance'!$D$5:$D$40,Assumptions!$B41)*ED41*AM41,"")</f>
        <v>27.7711197624</v>
      </c>
      <c r="CJ41" s="41">
        <f ca="1">IFERROR(SUMIFS('TRA balance'!AK$5:AK$40,'TRA balance'!$C$5:$C$40,Assumptions!$C41,'TRA balance'!$D$5:$D$40,Assumptions!$B41)*EE41*AN41,"")</f>
        <v>0.812888520345</v>
      </c>
      <c r="CK41" s="41">
        <f ca="1">IFERROR(SUMIFS('TRA balance'!AL$5:AL$40,'TRA balance'!$C$5:$C$40,Assumptions!$C41,'TRA balance'!$D$5:$D$40,Assumptions!$B41)*EF41*AO41,"")</f>
        <v>15.6751892302302</v>
      </c>
      <c r="CL41" s="41">
        <f ca="1">IFERROR(SUMIFS('TRA balance'!AM$5:AM$40,'TRA balance'!$C$5:$C$40,Assumptions!$C41,'TRA balance'!$D$5:$D$40,Assumptions!$B41)*EG41*AP41,"")</f>
        <v>1.971540014499</v>
      </c>
      <c r="CM41" s="41">
        <f ca="1">IFERROR(SUMIFS('TRA balance'!AN$5:AN$40,'TRA balance'!$C$5:$C$40,Assumptions!$C41,'TRA balance'!$D$5:$D$40,Assumptions!$B41)*EH41*AQ41,"")</f>
        <v>0</v>
      </c>
      <c r="CN41" s="41">
        <f ca="1">IFERROR(SUMIFS('TRA balance'!AO$5:AO$40,'TRA balance'!$C$5:$C$40,Assumptions!$C41,'TRA balance'!$D$5:$D$40,Assumptions!$B41)*EI41*AR41,"")</f>
        <v>0</v>
      </c>
      <c r="CO41" s="41">
        <f ca="1">IFERROR(SUMIFS('TRA balance'!AP$5:AP$40,'TRA balance'!$C$5:$C$40,Assumptions!$C41,'TRA balance'!$D$5:$D$40,Assumptions!$B41)*EJ41*AS41,"")</f>
        <v>0</v>
      </c>
      <c r="CP41" s="41">
        <f ca="1">IFERROR(SUMIFS('TRA balance'!AQ$5:AQ$40,'TRA balance'!$C$5:$C$40,Assumptions!$C41,'TRA balance'!$D$5:$D$40,Assumptions!$B41)*EK41*AT41,"")</f>
        <v>0</v>
      </c>
      <c r="CQ41" s="41">
        <f ca="1">IFERROR(SUMIFS('TRA balance'!AR$5:AR$40,'TRA balance'!$C$5:$C$40,Assumptions!$C41,'TRA balance'!$D$5:$D$40,Assumptions!$B41)*EL41*AU41,"")</f>
        <v>0</v>
      </c>
      <c r="CR41" s="41">
        <f ca="1">IFERROR(SUMIFS('TRA balance'!AS$5:AS$40,'TRA balance'!$C$5:$C$40,Assumptions!$C41,'TRA balance'!$D$5:$D$40,Assumptions!$B41)*EM41*AV41,"")</f>
        <v>0</v>
      </c>
      <c r="CS41" s="41">
        <f ca="1">IFERROR(SUMIFS('TRA balance'!AT$5:AT$40,'TRA balance'!$C$5:$C$40,Assumptions!$C41,'TRA balance'!$D$5:$D$40,Assumptions!$B41)*EN41*AW41,"")</f>
        <v>0</v>
      </c>
      <c r="CT41" s="41">
        <f ca="1">IFERROR(SUMIFS('TRA balance'!AU$5:AU$40,'TRA balance'!$C$5:$C$40,Assumptions!$C41,'TRA balance'!$D$5:$D$40,Assumptions!$B41)*EO41*AX41,"")</f>
        <v>0</v>
      </c>
      <c r="CU41" s="41">
        <f ca="1">IFERROR(SUMIFS('TRA balance'!AV$5:AV$40,'TRA balance'!$C$5:$C$40,Assumptions!$C41,'TRA balance'!$D$5:$D$40,Assumptions!$B41)*EP41*AY41,"")</f>
        <v>0</v>
      </c>
      <c r="CV41" s="41">
        <f ca="1">IFERROR(SUMIFS('TRA balance'!AW$5:AW$40,'TRA balance'!$C$5:$C$40,Assumptions!$C41,'TRA balance'!$D$5:$D$40,Assumptions!$B41)*EQ41*AZ41,"")</f>
        <v>0</v>
      </c>
      <c r="CW41" s="41">
        <f ca="1">IFERROR(SUMIFS('TRA balance'!AX$5:AX$40,'TRA balance'!$C$5:$C$40,Assumptions!$C41,'TRA balance'!$D$5:$D$40,Assumptions!$B41)*ER41*BA41,"")</f>
        <v>0</v>
      </c>
      <c r="CY41" s="40">
        <f ca="1" t="shared" si="66"/>
        <v>0.6</v>
      </c>
      <c r="CZ41" s="40">
        <f ca="1" t="shared" si="3"/>
        <v>0.6</v>
      </c>
      <c r="DA41" s="40">
        <f ca="1" t="shared" si="4"/>
        <v>0.25</v>
      </c>
      <c r="DB41" s="40">
        <f ca="1" t="shared" si="5"/>
        <v>0.75</v>
      </c>
      <c r="DC41" s="40">
        <f ca="1" t="shared" si="6"/>
        <v>0.57</v>
      </c>
      <c r="DD41" s="40">
        <f ca="1" t="shared" si="7"/>
        <v>0.75</v>
      </c>
      <c r="DE41" s="40">
        <f ca="1" t="shared" si="8"/>
        <v>0.5</v>
      </c>
      <c r="DF41" s="40">
        <f ca="1" t="shared" si="9"/>
        <v>0.4</v>
      </c>
      <c r="DG41" s="40">
        <f ca="1" t="shared" si="10"/>
        <v>0.57</v>
      </c>
      <c r="DH41" s="40">
        <f ca="1" t="shared" si="11"/>
        <v>0.57</v>
      </c>
      <c r="DI41" s="40">
        <f ca="1" t="shared" si="12"/>
        <v>0.75</v>
      </c>
      <c r="DJ41" s="40">
        <f ca="1" t="shared" si="13"/>
        <v>0.75</v>
      </c>
      <c r="DK41" s="40">
        <f ca="1" t="shared" si="14"/>
        <v>0.75</v>
      </c>
      <c r="DL41" s="40">
        <f ca="1" t="shared" si="15"/>
        <v>0.57</v>
      </c>
      <c r="DM41" s="40">
        <f ca="1" t="shared" si="16"/>
        <v>0.75</v>
      </c>
      <c r="DN41" s="40">
        <f ca="1" t="shared" si="17"/>
        <v>0.25</v>
      </c>
      <c r="DO41" s="40">
        <f ca="1" t="shared" si="18"/>
        <v>0.75</v>
      </c>
      <c r="DP41" s="40">
        <f ca="1" t="shared" si="19"/>
        <v>0.75</v>
      </c>
      <c r="DQ41" s="40">
        <f ca="1" t="shared" si="20"/>
        <v>0.57</v>
      </c>
      <c r="DR41" s="40">
        <f ca="1" t="shared" si="21"/>
        <v>0.5</v>
      </c>
      <c r="DS41" s="40">
        <f ca="1" t="shared" si="22"/>
        <v>0.6</v>
      </c>
      <c r="DT41" s="40">
        <f ca="1" t="shared" si="23"/>
        <v>0.719214717155623</v>
      </c>
      <c r="DU41" s="40">
        <f ca="1" t="shared" si="24"/>
        <v>0.75</v>
      </c>
      <c r="DV41" s="40">
        <f ca="1" t="shared" si="25"/>
        <v>0.57</v>
      </c>
      <c r="DW41" s="40">
        <f ca="1" t="shared" si="26"/>
        <v>0.7</v>
      </c>
      <c r="DX41" s="40">
        <f ca="1" t="shared" si="27"/>
        <v>0.57</v>
      </c>
      <c r="DY41" s="40">
        <f ca="1" t="shared" si="28"/>
        <v>0.6</v>
      </c>
      <c r="DZ41" s="40">
        <f ca="1" t="shared" si="29"/>
        <v>0.6</v>
      </c>
      <c r="EA41" s="40">
        <f ca="1" t="shared" si="30"/>
        <v>0.75</v>
      </c>
      <c r="EB41" s="40">
        <f ca="1" t="shared" si="31"/>
        <v>0.75</v>
      </c>
      <c r="EC41" s="40">
        <f ca="1" t="shared" si="32"/>
        <v>0.75</v>
      </c>
      <c r="ED41" s="40">
        <f ca="1" t="shared" si="33"/>
        <v>0.6</v>
      </c>
      <c r="EE41" s="40">
        <f ca="1" t="shared" si="34"/>
        <v>0.75</v>
      </c>
      <c r="EF41" s="40">
        <f ca="1" t="shared" si="35"/>
        <v>0.57</v>
      </c>
      <c r="EG41" s="40">
        <f ca="1" t="shared" si="36"/>
        <v>0.57</v>
      </c>
      <c r="EH41" s="40">
        <f ca="1" t="shared" si="37"/>
        <v>0.719214717155623</v>
      </c>
      <c r="EI41" s="40">
        <f ca="1" t="shared" si="38"/>
        <v>0.719214717155623</v>
      </c>
      <c r="EJ41" s="40">
        <f ca="1" t="shared" si="39"/>
        <v>0.719214717155623</v>
      </c>
      <c r="EK41" s="40">
        <f ca="1" t="shared" si="40"/>
        <v>0.719214717155623</v>
      </c>
      <c r="EL41" s="40">
        <f ca="1" t="shared" si="41"/>
        <v>0.719214717155623</v>
      </c>
      <c r="EM41" s="40">
        <f ca="1" t="shared" si="42"/>
        <v>0.719214717155623</v>
      </c>
      <c r="EN41" s="40">
        <f ca="1" t="shared" si="43"/>
        <v>0.719214717155623</v>
      </c>
      <c r="EO41" s="40">
        <f ca="1" t="shared" si="44"/>
        <v>0.719214717155623</v>
      </c>
      <c r="EP41" s="40">
        <f ca="1" t="shared" si="45"/>
        <v>0.719214717155623</v>
      </c>
      <c r="EQ41" s="40">
        <f ca="1" t="shared" si="46"/>
        <v>0.719214717155623</v>
      </c>
      <c r="ER41" s="40">
        <f ca="1" t="shared" si="47"/>
        <v>0.719214717155623</v>
      </c>
    </row>
    <row r="42" spans="1:148">
      <c r="A42">
        <v>1</v>
      </c>
      <c r="B42" t="str">
        <f>VLOOKUP(F42,'TRA balance'!$BA$5:$BB$14,2,FALSE)</f>
        <v>TRALPG</v>
      </c>
      <c r="C42" s="56" t="str">
        <f t="shared" si="48"/>
        <v/>
      </c>
      <c r="D42" s="57"/>
      <c r="E42" s="69" t="s">
        <v>210</v>
      </c>
      <c r="F42" s="58" t="str">
        <f t="shared" si="70"/>
        <v>Liquified Petroleum Gases</v>
      </c>
      <c r="G42" s="56"/>
      <c r="H42" s="69" t="str">
        <f ca="1">IF(SUM(H40:H41)=1,"-","&lt;&gt;1!!")</f>
        <v>-</v>
      </c>
      <c r="I42" s="69" t="str">
        <f ca="1" t="shared" ref="I42:BA42" si="71">IF(SUM(I40:I41)=1,"-","&lt;&gt;1!!")</f>
        <v>-</v>
      </c>
      <c r="J42" s="69" t="str">
        <f ca="1" t="shared" si="71"/>
        <v>-</v>
      </c>
      <c r="K42" s="69" t="str">
        <f ca="1" t="shared" si="71"/>
        <v>-</v>
      </c>
      <c r="L42" s="69" t="str">
        <f ca="1" t="shared" si="71"/>
        <v>-</v>
      </c>
      <c r="M42" s="69" t="str">
        <f ca="1" t="shared" si="71"/>
        <v>-</v>
      </c>
      <c r="N42" s="69" t="str">
        <f ca="1" t="shared" si="71"/>
        <v>-</v>
      </c>
      <c r="O42" s="69" t="str">
        <f ca="1" t="shared" si="71"/>
        <v>-</v>
      </c>
      <c r="P42" s="69" t="str">
        <f ca="1" t="shared" si="71"/>
        <v>-</v>
      </c>
      <c r="Q42" s="69" t="str">
        <f ca="1" t="shared" si="71"/>
        <v>-</v>
      </c>
      <c r="R42" s="69" t="str">
        <f ca="1" t="shared" si="71"/>
        <v>-</v>
      </c>
      <c r="S42" s="69" t="str">
        <f ca="1" t="shared" si="71"/>
        <v>-</v>
      </c>
      <c r="T42" s="69" t="str">
        <f ca="1" t="shared" si="71"/>
        <v>-</v>
      </c>
      <c r="U42" s="69" t="str">
        <f ca="1" t="shared" si="71"/>
        <v>-</v>
      </c>
      <c r="V42" s="69" t="str">
        <f ca="1" t="shared" si="71"/>
        <v>-</v>
      </c>
      <c r="W42" s="69" t="str">
        <f ca="1" t="shared" si="71"/>
        <v>-</v>
      </c>
      <c r="X42" s="69" t="str">
        <f ca="1" t="shared" si="71"/>
        <v>-</v>
      </c>
      <c r="Y42" s="69" t="str">
        <f ca="1" t="shared" si="71"/>
        <v>-</v>
      </c>
      <c r="Z42" s="69" t="str">
        <f ca="1" t="shared" si="71"/>
        <v>-</v>
      </c>
      <c r="AA42" s="69" t="str">
        <f ca="1" t="shared" si="71"/>
        <v>-</v>
      </c>
      <c r="AB42" s="69" t="str">
        <f ca="1" t="shared" si="71"/>
        <v>-</v>
      </c>
      <c r="AC42" s="69" t="str">
        <f ca="1" t="shared" si="71"/>
        <v>-</v>
      </c>
      <c r="AD42" s="69" t="str">
        <f ca="1" t="shared" si="71"/>
        <v>-</v>
      </c>
      <c r="AE42" s="69" t="str">
        <f ca="1" t="shared" si="71"/>
        <v>-</v>
      </c>
      <c r="AF42" s="69" t="str">
        <f ca="1" t="shared" si="71"/>
        <v>-</v>
      </c>
      <c r="AG42" s="69" t="str">
        <f ca="1" t="shared" si="71"/>
        <v>-</v>
      </c>
      <c r="AH42" s="69" t="str">
        <f ca="1" t="shared" si="71"/>
        <v>-</v>
      </c>
      <c r="AI42" s="69" t="str">
        <f ca="1" t="shared" si="71"/>
        <v>-</v>
      </c>
      <c r="AJ42" s="69" t="str">
        <f ca="1" t="shared" si="71"/>
        <v>-</v>
      </c>
      <c r="AK42" s="69" t="str">
        <f ca="1" t="shared" si="71"/>
        <v>-</v>
      </c>
      <c r="AL42" s="69" t="str">
        <f ca="1" t="shared" si="71"/>
        <v>-</v>
      </c>
      <c r="AM42" s="69" t="str">
        <f ca="1" t="shared" si="71"/>
        <v>-</v>
      </c>
      <c r="AN42" s="69" t="str">
        <f ca="1" t="shared" si="71"/>
        <v>-</v>
      </c>
      <c r="AO42" s="69" t="str">
        <f ca="1" t="shared" si="71"/>
        <v>-</v>
      </c>
      <c r="AP42" s="69" t="str">
        <f ca="1" t="shared" si="71"/>
        <v>-</v>
      </c>
      <c r="AQ42" s="69" t="str">
        <f ca="1" t="shared" si="71"/>
        <v>-</v>
      </c>
      <c r="AR42" s="69" t="str">
        <f ca="1" t="shared" si="71"/>
        <v>-</v>
      </c>
      <c r="AS42" s="69" t="str">
        <f ca="1" t="shared" si="71"/>
        <v>-</v>
      </c>
      <c r="AT42" s="69" t="str">
        <f ca="1" t="shared" si="71"/>
        <v>-</v>
      </c>
      <c r="AU42" s="69" t="str">
        <f ca="1" t="shared" si="71"/>
        <v>-</v>
      </c>
      <c r="AV42" s="69" t="str">
        <f ca="1" t="shared" si="71"/>
        <v>-</v>
      </c>
      <c r="AW42" s="69" t="str">
        <f ca="1" t="shared" si="71"/>
        <v>-</v>
      </c>
      <c r="AX42" s="69" t="str">
        <f ca="1" t="shared" si="71"/>
        <v>-</v>
      </c>
      <c r="AY42" s="69" t="str">
        <f ca="1" t="shared" si="71"/>
        <v>-</v>
      </c>
      <c r="AZ42" s="69" t="str">
        <f ca="1" t="shared" si="71"/>
        <v>-</v>
      </c>
      <c r="BA42" s="69" t="str">
        <f ca="1" t="shared" si="71"/>
        <v>-</v>
      </c>
      <c r="BD42" s="41" t="str">
        <f ca="1">IFERROR(SUMIFS('TRA balance'!E$5:E$40,'TRA balance'!$C$5:$C$40,Assumptions!$C42,'TRA balance'!$D$5:$D$40,Assumptions!$B42)*CY42*H42,"")</f>
        <v/>
      </c>
      <c r="BE42" s="41" t="str">
        <f ca="1">IFERROR(SUMIFS('TRA balance'!F$5:F$40,'TRA balance'!$C$5:$C$40,Assumptions!$C42,'TRA balance'!$D$5:$D$40,Assumptions!$B42)*CZ42*I42,"")</f>
        <v/>
      </c>
      <c r="BF42" s="41" t="str">
        <f ca="1">IFERROR(SUMIFS('TRA balance'!G$5:G$40,'TRA balance'!$C$5:$C$40,Assumptions!$C42,'TRA balance'!$D$5:$D$40,Assumptions!$B42)*DA42*J42,"")</f>
        <v/>
      </c>
      <c r="BG42" s="41" t="str">
        <f ca="1">IFERROR(SUMIFS('TRA balance'!H$5:H$40,'TRA balance'!$C$5:$C$40,Assumptions!$C42,'TRA balance'!$D$5:$D$40,Assumptions!$B42)*DB42*K42,"")</f>
        <v/>
      </c>
      <c r="BH42" s="41" t="str">
        <f ca="1">IFERROR(SUMIFS('TRA balance'!I$5:I$40,'TRA balance'!$C$5:$C$40,Assumptions!$C42,'TRA balance'!$D$5:$D$40,Assumptions!$B42)*DC42*L42,"")</f>
        <v/>
      </c>
      <c r="BI42" s="41" t="str">
        <f ca="1">IFERROR(SUMIFS('TRA balance'!J$5:J$40,'TRA balance'!$C$5:$C$40,Assumptions!$C42,'TRA balance'!$D$5:$D$40,Assumptions!$B42)*DD42*M42,"")</f>
        <v/>
      </c>
      <c r="BJ42" s="41" t="str">
        <f ca="1">IFERROR(SUMIFS('TRA balance'!K$5:K$40,'TRA balance'!$C$5:$C$40,Assumptions!$C42,'TRA balance'!$D$5:$D$40,Assumptions!$B42)*DE42*N42,"")</f>
        <v/>
      </c>
      <c r="BK42" s="41" t="str">
        <f ca="1">IFERROR(SUMIFS('TRA balance'!L$5:L$40,'TRA balance'!$C$5:$C$40,Assumptions!$C42,'TRA balance'!$D$5:$D$40,Assumptions!$B42)*DF42*O42,"")</f>
        <v/>
      </c>
      <c r="BL42" s="41" t="str">
        <f ca="1">IFERROR(SUMIFS('TRA balance'!M$5:M$40,'TRA balance'!$C$5:$C$40,Assumptions!$C42,'TRA balance'!$D$5:$D$40,Assumptions!$B42)*DG42*P42,"")</f>
        <v/>
      </c>
      <c r="BM42" s="41" t="str">
        <f ca="1">IFERROR(SUMIFS('TRA balance'!N$5:N$40,'TRA balance'!$C$5:$C$40,Assumptions!$C42,'TRA balance'!$D$5:$D$40,Assumptions!$B42)*DH42*Q42,"")</f>
        <v/>
      </c>
      <c r="BN42" s="41" t="str">
        <f ca="1">IFERROR(SUMIFS('TRA balance'!O$5:O$40,'TRA balance'!$C$5:$C$40,Assumptions!$C42,'TRA balance'!$D$5:$D$40,Assumptions!$B42)*DI42*R42,"")</f>
        <v/>
      </c>
      <c r="BO42" s="41" t="str">
        <f ca="1">IFERROR(SUMIFS('TRA balance'!P$5:P$40,'TRA balance'!$C$5:$C$40,Assumptions!$C42,'TRA balance'!$D$5:$D$40,Assumptions!$B42)*DJ42*S42,"")</f>
        <v/>
      </c>
      <c r="BP42" s="41" t="str">
        <f ca="1">IFERROR(SUMIFS('TRA balance'!Q$5:Q$40,'TRA balance'!$C$5:$C$40,Assumptions!$C42,'TRA balance'!$D$5:$D$40,Assumptions!$B42)*DK42*T42,"")</f>
        <v/>
      </c>
      <c r="BQ42" s="41" t="str">
        <f ca="1">IFERROR(SUMIFS('TRA balance'!R$5:R$40,'TRA balance'!$C$5:$C$40,Assumptions!$C42,'TRA balance'!$D$5:$D$40,Assumptions!$B42)*DL42*U42,"")</f>
        <v/>
      </c>
      <c r="BR42" s="41" t="str">
        <f ca="1">IFERROR(SUMIFS('TRA balance'!S$5:S$40,'TRA balance'!$C$5:$C$40,Assumptions!$C42,'TRA balance'!$D$5:$D$40,Assumptions!$B42)*DM42*V42,"")</f>
        <v/>
      </c>
      <c r="BS42" s="41" t="str">
        <f ca="1">IFERROR(SUMIFS('TRA balance'!T$5:T$40,'TRA balance'!$C$5:$C$40,Assumptions!$C42,'TRA balance'!$D$5:$D$40,Assumptions!$B42)*DN42*W42,"")</f>
        <v/>
      </c>
      <c r="BT42" s="41" t="str">
        <f ca="1">IFERROR(SUMIFS('TRA balance'!U$5:U$40,'TRA balance'!$C$5:$C$40,Assumptions!$C42,'TRA balance'!$D$5:$D$40,Assumptions!$B42)*DO42*X42,"")</f>
        <v/>
      </c>
      <c r="BU42" s="41" t="str">
        <f ca="1">IFERROR(SUMIFS('TRA balance'!V$5:V$40,'TRA balance'!$C$5:$C$40,Assumptions!$C42,'TRA balance'!$D$5:$D$40,Assumptions!$B42)*DP42*Y42,"")</f>
        <v/>
      </c>
      <c r="BV42" s="41" t="str">
        <f ca="1">IFERROR(SUMIFS('TRA balance'!W$5:W$40,'TRA balance'!$C$5:$C$40,Assumptions!$C42,'TRA balance'!$D$5:$D$40,Assumptions!$B42)*DQ42*Z42,"")</f>
        <v/>
      </c>
      <c r="BW42" s="41" t="str">
        <f ca="1">IFERROR(SUMIFS('TRA balance'!X$5:X$40,'TRA balance'!$C$5:$C$40,Assumptions!$C42,'TRA balance'!$D$5:$D$40,Assumptions!$B42)*DR42*AA42,"")</f>
        <v/>
      </c>
      <c r="BX42" s="41" t="str">
        <f ca="1">IFERROR(SUMIFS('TRA balance'!Y$5:Y$40,'TRA balance'!$C$5:$C$40,Assumptions!$C42,'TRA balance'!$D$5:$D$40,Assumptions!$B42)*DS42*AB42,"")</f>
        <v/>
      </c>
      <c r="BY42" s="41" t="str">
        <f ca="1">IFERROR(SUMIFS('TRA balance'!Z$5:Z$40,'TRA balance'!$C$5:$C$40,Assumptions!$C42,'TRA balance'!$D$5:$D$40,Assumptions!$B42)*DT42*AC42,"")</f>
        <v/>
      </c>
      <c r="BZ42" s="41" t="str">
        <f ca="1">IFERROR(SUMIFS('TRA balance'!AA$5:AA$40,'TRA balance'!$C$5:$C$40,Assumptions!$C42,'TRA balance'!$D$5:$D$40,Assumptions!$B42)*DU42*AD42,"")</f>
        <v/>
      </c>
      <c r="CA42" s="41" t="str">
        <f ca="1">IFERROR(SUMIFS('TRA balance'!AB$5:AB$40,'TRA balance'!$C$5:$C$40,Assumptions!$C42,'TRA balance'!$D$5:$D$40,Assumptions!$B42)*DV42*AE42,"")</f>
        <v/>
      </c>
      <c r="CB42" s="41" t="str">
        <f ca="1">IFERROR(SUMIFS('TRA balance'!AC$5:AC$40,'TRA balance'!$C$5:$C$40,Assumptions!$C42,'TRA balance'!$D$5:$D$40,Assumptions!$B42)*DW42*AF42,"")</f>
        <v/>
      </c>
      <c r="CC42" s="41" t="str">
        <f ca="1">IFERROR(SUMIFS('TRA balance'!AD$5:AD$40,'TRA balance'!$C$5:$C$40,Assumptions!$C42,'TRA balance'!$D$5:$D$40,Assumptions!$B42)*DX42*AG42,"")</f>
        <v/>
      </c>
      <c r="CD42" s="41" t="str">
        <f ca="1">IFERROR(SUMIFS('TRA balance'!AE$5:AE$40,'TRA balance'!$C$5:$C$40,Assumptions!$C42,'TRA balance'!$D$5:$D$40,Assumptions!$B42)*DY42*AH42,"")</f>
        <v/>
      </c>
      <c r="CE42" s="41" t="str">
        <f ca="1">IFERROR(SUMIFS('TRA balance'!AF$5:AF$40,'TRA balance'!$C$5:$C$40,Assumptions!$C42,'TRA balance'!$D$5:$D$40,Assumptions!$B42)*DZ42*AI42,"")</f>
        <v/>
      </c>
      <c r="CF42" s="41" t="str">
        <f ca="1">IFERROR(SUMIFS('TRA balance'!AG$5:AG$40,'TRA balance'!$C$5:$C$40,Assumptions!$C42,'TRA balance'!$D$5:$D$40,Assumptions!$B42)*EA42*AJ42,"")</f>
        <v/>
      </c>
      <c r="CG42" s="41" t="str">
        <f ca="1">IFERROR(SUMIFS('TRA balance'!AH$5:AH$40,'TRA balance'!$C$5:$C$40,Assumptions!$C42,'TRA balance'!$D$5:$D$40,Assumptions!$B42)*EB42*AK42,"")</f>
        <v/>
      </c>
      <c r="CH42" s="41" t="str">
        <f ca="1">IFERROR(SUMIFS('TRA balance'!AI$5:AI$40,'TRA balance'!$C$5:$C$40,Assumptions!$C42,'TRA balance'!$D$5:$D$40,Assumptions!$B42)*EC42*AL42,"")</f>
        <v/>
      </c>
      <c r="CI42" s="41" t="str">
        <f ca="1">IFERROR(SUMIFS('TRA balance'!AJ$5:AJ$40,'TRA balance'!$C$5:$C$40,Assumptions!$C42,'TRA balance'!$D$5:$D$40,Assumptions!$B42)*ED42*AM42,"")</f>
        <v/>
      </c>
      <c r="CJ42" s="41" t="str">
        <f ca="1">IFERROR(SUMIFS('TRA balance'!AK$5:AK$40,'TRA balance'!$C$5:$C$40,Assumptions!$C42,'TRA balance'!$D$5:$D$40,Assumptions!$B42)*EE42*AN42,"")</f>
        <v/>
      </c>
      <c r="CK42" s="41" t="str">
        <f ca="1">IFERROR(SUMIFS('TRA balance'!AL$5:AL$40,'TRA balance'!$C$5:$C$40,Assumptions!$C42,'TRA balance'!$D$5:$D$40,Assumptions!$B42)*EF42*AO42,"")</f>
        <v/>
      </c>
      <c r="CL42" s="41" t="str">
        <f ca="1">IFERROR(SUMIFS('TRA balance'!AM$5:AM$40,'TRA balance'!$C$5:$C$40,Assumptions!$C42,'TRA balance'!$D$5:$D$40,Assumptions!$B42)*EG42*AP42,"")</f>
        <v/>
      </c>
      <c r="CM42" s="41" t="str">
        <f ca="1">IFERROR(SUMIFS('TRA balance'!AN$5:AN$40,'TRA balance'!$C$5:$C$40,Assumptions!$C42,'TRA balance'!$D$5:$D$40,Assumptions!$B42)*EH42*AQ42,"")</f>
        <v/>
      </c>
      <c r="CN42" s="41" t="str">
        <f ca="1">IFERROR(SUMIFS('TRA balance'!AO$5:AO$40,'TRA balance'!$C$5:$C$40,Assumptions!$C42,'TRA balance'!$D$5:$D$40,Assumptions!$B42)*EI42*AR42,"")</f>
        <v/>
      </c>
      <c r="CO42" s="41" t="str">
        <f ca="1">IFERROR(SUMIFS('TRA balance'!AP$5:AP$40,'TRA balance'!$C$5:$C$40,Assumptions!$C42,'TRA balance'!$D$5:$D$40,Assumptions!$B42)*EJ42*AS42,"")</f>
        <v/>
      </c>
      <c r="CP42" s="41" t="str">
        <f ca="1">IFERROR(SUMIFS('TRA balance'!AQ$5:AQ$40,'TRA balance'!$C$5:$C$40,Assumptions!$C42,'TRA balance'!$D$5:$D$40,Assumptions!$B42)*EK42*AT42,"")</f>
        <v/>
      </c>
      <c r="CQ42" s="41" t="str">
        <f ca="1">IFERROR(SUMIFS('TRA balance'!AR$5:AR$40,'TRA balance'!$C$5:$C$40,Assumptions!$C42,'TRA balance'!$D$5:$D$40,Assumptions!$B42)*EL42*AU42,"")</f>
        <v/>
      </c>
      <c r="CR42" s="41" t="str">
        <f ca="1">IFERROR(SUMIFS('TRA balance'!AS$5:AS$40,'TRA balance'!$C$5:$C$40,Assumptions!$C42,'TRA balance'!$D$5:$D$40,Assumptions!$B42)*EM42*AV42,"")</f>
        <v/>
      </c>
      <c r="CS42" s="41" t="str">
        <f ca="1">IFERROR(SUMIFS('TRA balance'!AT$5:AT$40,'TRA balance'!$C$5:$C$40,Assumptions!$C42,'TRA balance'!$D$5:$D$40,Assumptions!$B42)*EN42*AW42,"")</f>
        <v/>
      </c>
      <c r="CT42" s="41" t="str">
        <f ca="1">IFERROR(SUMIFS('TRA balance'!AU$5:AU$40,'TRA balance'!$C$5:$C$40,Assumptions!$C42,'TRA balance'!$D$5:$D$40,Assumptions!$B42)*EO42*AX42,"")</f>
        <v/>
      </c>
      <c r="CU42" s="41" t="str">
        <f ca="1">IFERROR(SUMIFS('TRA balance'!AV$5:AV$40,'TRA balance'!$C$5:$C$40,Assumptions!$C42,'TRA balance'!$D$5:$D$40,Assumptions!$B42)*EP42*AY42,"")</f>
        <v/>
      </c>
      <c r="CV42" s="41" t="str">
        <f ca="1">IFERROR(SUMIFS('TRA balance'!AW$5:AW$40,'TRA balance'!$C$5:$C$40,Assumptions!$C42,'TRA balance'!$D$5:$D$40,Assumptions!$B42)*EQ42*AZ42,"")</f>
        <v/>
      </c>
      <c r="CW42" s="41" t="str">
        <f ca="1">IFERROR(SUMIFS('TRA balance'!AX$5:AX$40,'TRA balance'!$C$5:$C$40,Assumptions!$C42,'TRA balance'!$D$5:$D$40,Assumptions!$B42)*ER42*BA42,"")</f>
        <v/>
      </c>
      <c r="CY42" s="40">
        <f ca="1" t="shared" si="66"/>
        <v>1</v>
      </c>
      <c r="CZ42" s="40">
        <f ca="1" t="shared" si="3"/>
        <v>1</v>
      </c>
      <c r="DA42" s="40">
        <f ca="1" t="shared" si="4"/>
        <v>1</v>
      </c>
      <c r="DB42" s="40">
        <f ca="1" t="shared" si="5"/>
        <v>1</v>
      </c>
      <c r="DC42" s="40">
        <f ca="1" t="shared" si="6"/>
        <v>1</v>
      </c>
      <c r="DD42" s="40">
        <f ca="1" t="shared" si="7"/>
        <v>1</v>
      </c>
      <c r="DE42" s="40">
        <f ca="1" t="shared" si="8"/>
        <v>1</v>
      </c>
      <c r="DF42" s="40">
        <f ca="1" t="shared" si="9"/>
        <v>1</v>
      </c>
      <c r="DG42" s="40">
        <f ca="1" t="shared" si="10"/>
        <v>1</v>
      </c>
      <c r="DH42" s="40">
        <f ca="1" t="shared" si="11"/>
        <v>1</v>
      </c>
      <c r="DI42" s="40">
        <f ca="1" t="shared" si="12"/>
        <v>1</v>
      </c>
      <c r="DJ42" s="40">
        <f ca="1" t="shared" si="13"/>
        <v>1</v>
      </c>
      <c r="DK42" s="40">
        <f ca="1" t="shared" si="14"/>
        <v>1</v>
      </c>
      <c r="DL42" s="40">
        <f ca="1" t="shared" si="15"/>
        <v>1</v>
      </c>
      <c r="DM42" s="40">
        <f ca="1" t="shared" si="16"/>
        <v>1</v>
      </c>
      <c r="DN42" s="40">
        <f ca="1" t="shared" si="17"/>
        <v>1</v>
      </c>
      <c r="DO42" s="40">
        <f ca="1" t="shared" si="18"/>
        <v>1</v>
      </c>
      <c r="DP42" s="40">
        <f ca="1" t="shared" si="19"/>
        <v>1</v>
      </c>
      <c r="DQ42" s="40">
        <f ca="1" t="shared" si="20"/>
        <v>1</v>
      </c>
      <c r="DR42" s="40">
        <f ca="1" t="shared" si="21"/>
        <v>1</v>
      </c>
      <c r="DS42" s="40">
        <f ca="1" t="shared" si="22"/>
        <v>1</v>
      </c>
      <c r="DT42" s="40">
        <f ca="1" t="shared" si="23"/>
        <v>1</v>
      </c>
      <c r="DU42" s="40">
        <f ca="1" t="shared" si="24"/>
        <v>1</v>
      </c>
      <c r="DV42" s="40">
        <f ca="1" t="shared" si="25"/>
        <v>1</v>
      </c>
      <c r="DW42" s="40">
        <f ca="1" t="shared" si="26"/>
        <v>1</v>
      </c>
      <c r="DX42" s="40">
        <f ca="1" t="shared" si="27"/>
        <v>1</v>
      </c>
      <c r="DY42" s="40">
        <f ca="1" t="shared" si="28"/>
        <v>1</v>
      </c>
      <c r="DZ42" s="40">
        <f ca="1" t="shared" si="29"/>
        <v>1</v>
      </c>
      <c r="EA42" s="40">
        <f ca="1" t="shared" si="30"/>
        <v>1</v>
      </c>
      <c r="EB42" s="40">
        <f ca="1" t="shared" si="31"/>
        <v>1</v>
      </c>
      <c r="EC42" s="40">
        <f ca="1" t="shared" si="32"/>
        <v>1</v>
      </c>
      <c r="ED42" s="40">
        <f ca="1" t="shared" si="33"/>
        <v>1</v>
      </c>
      <c r="EE42" s="40">
        <f ca="1" t="shared" si="34"/>
        <v>1</v>
      </c>
      <c r="EF42" s="40">
        <f ca="1" t="shared" si="35"/>
        <v>1</v>
      </c>
      <c r="EG42" s="40">
        <f ca="1" t="shared" si="36"/>
        <v>1</v>
      </c>
      <c r="EH42" s="40">
        <f ca="1" t="shared" si="37"/>
        <v>1</v>
      </c>
      <c r="EI42" s="40">
        <f ca="1" t="shared" si="38"/>
        <v>1</v>
      </c>
      <c r="EJ42" s="40">
        <f ca="1" t="shared" si="39"/>
        <v>1</v>
      </c>
      <c r="EK42" s="40">
        <f ca="1" t="shared" si="40"/>
        <v>1</v>
      </c>
      <c r="EL42" s="40">
        <f ca="1" t="shared" si="41"/>
        <v>1</v>
      </c>
      <c r="EM42" s="40">
        <f ca="1" t="shared" si="42"/>
        <v>1</v>
      </c>
      <c r="EN42" s="40">
        <f ca="1" t="shared" si="43"/>
        <v>1</v>
      </c>
      <c r="EO42" s="40">
        <f ca="1" t="shared" si="44"/>
        <v>1</v>
      </c>
      <c r="EP42" s="40">
        <f ca="1" t="shared" si="45"/>
        <v>1</v>
      </c>
      <c r="EQ42" s="40">
        <f ca="1" t="shared" si="46"/>
        <v>1</v>
      </c>
      <c r="ER42" s="40">
        <f ca="1" t="shared" si="47"/>
        <v>1</v>
      </c>
    </row>
    <row r="43" spans="1:148">
      <c r="A43">
        <v>1</v>
      </c>
      <c r="B43" t="str">
        <f>VLOOKUP(F43,'TRA balance'!$BA$5:$BB$14,2,FALSE)</f>
        <v>TRALPG</v>
      </c>
      <c r="C43" s="64">
        <v>2</v>
      </c>
      <c r="D43" s="65" t="s">
        <v>200</v>
      </c>
      <c r="E43" s="65" t="s">
        <v>211</v>
      </c>
      <c r="F43" s="66" t="str">
        <f t="shared" si="70"/>
        <v>Liquified Petroleum Gases</v>
      </c>
      <c r="G43" s="64"/>
      <c r="H43" s="70">
        <f ca="1" t="shared" ref="H43" si="72">1-H39</f>
        <v>0.4</v>
      </c>
      <c r="I43" s="70">
        <f ca="1" t="shared" ref="I43:BA43" si="73">1-I39</f>
        <v>0.4</v>
      </c>
      <c r="J43" s="70">
        <f ca="1" t="shared" si="73"/>
        <v>0.75</v>
      </c>
      <c r="K43" s="70">
        <f ca="1" t="shared" si="73"/>
        <v>0.25</v>
      </c>
      <c r="L43" s="70">
        <f ca="1" t="shared" si="73"/>
        <v>0.43</v>
      </c>
      <c r="M43" s="70">
        <f ca="1" t="shared" si="73"/>
        <v>0.25</v>
      </c>
      <c r="N43" s="70">
        <f ca="1" t="shared" si="73"/>
        <v>0.5</v>
      </c>
      <c r="O43" s="70">
        <f ca="1" t="shared" si="73"/>
        <v>0.6</v>
      </c>
      <c r="P43" s="70">
        <f ca="1" t="shared" si="73"/>
        <v>0.43</v>
      </c>
      <c r="Q43" s="70">
        <f ca="1" t="shared" si="73"/>
        <v>0.43</v>
      </c>
      <c r="R43" s="70">
        <f ca="1" t="shared" si="73"/>
        <v>0.25</v>
      </c>
      <c r="S43" s="70">
        <f ca="1" t="shared" si="73"/>
        <v>0.25</v>
      </c>
      <c r="T43" s="70">
        <f ca="1" t="shared" si="73"/>
        <v>0.25</v>
      </c>
      <c r="U43" s="70">
        <f ca="1" t="shared" si="73"/>
        <v>0.43</v>
      </c>
      <c r="V43" s="70">
        <f ca="1" t="shared" si="73"/>
        <v>0.25</v>
      </c>
      <c r="W43" s="70">
        <f ca="1" t="shared" si="73"/>
        <v>0.75</v>
      </c>
      <c r="X43" s="70">
        <f ca="1" t="shared" si="73"/>
        <v>0.25</v>
      </c>
      <c r="Y43" s="70">
        <f ca="1" t="shared" si="73"/>
        <v>0.25</v>
      </c>
      <c r="Z43" s="70">
        <f ca="1" t="shared" si="73"/>
        <v>0.43</v>
      </c>
      <c r="AA43" s="70">
        <f ca="1" t="shared" si="73"/>
        <v>0.5</v>
      </c>
      <c r="AB43" s="70">
        <f ca="1" t="shared" si="73"/>
        <v>0.4</v>
      </c>
      <c r="AC43" s="70">
        <f ca="1" t="shared" si="73"/>
        <v>0.280785282844377</v>
      </c>
      <c r="AD43" s="70">
        <f ca="1" t="shared" si="73"/>
        <v>0.25</v>
      </c>
      <c r="AE43" s="70">
        <f ca="1" t="shared" si="73"/>
        <v>0.43</v>
      </c>
      <c r="AF43" s="70">
        <f ca="1" t="shared" si="73"/>
        <v>0.3</v>
      </c>
      <c r="AG43" s="70">
        <f ca="1" t="shared" si="73"/>
        <v>0.43</v>
      </c>
      <c r="AH43" s="70">
        <f ca="1" t="shared" si="73"/>
        <v>0.4</v>
      </c>
      <c r="AI43" s="70">
        <f ca="1" t="shared" si="73"/>
        <v>0.4</v>
      </c>
      <c r="AJ43" s="70">
        <f ca="1" t="shared" si="73"/>
        <v>0.25</v>
      </c>
      <c r="AK43" s="70">
        <f ca="1" t="shared" si="73"/>
        <v>0.25</v>
      </c>
      <c r="AL43" s="70">
        <f ca="1" t="shared" si="73"/>
        <v>0.25</v>
      </c>
      <c r="AM43" s="70">
        <f ca="1" t="shared" si="73"/>
        <v>0.4</v>
      </c>
      <c r="AN43" s="70">
        <f ca="1" t="shared" si="73"/>
        <v>0.25</v>
      </c>
      <c r="AO43" s="70">
        <f ca="1" t="shared" si="73"/>
        <v>0.43</v>
      </c>
      <c r="AP43" s="70">
        <f ca="1" t="shared" si="73"/>
        <v>0.43</v>
      </c>
      <c r="AQ43" s="70">
        <f ca="1" t="shared" si="73"/>
        <v>0.280785282844377</v>
      </c>
      <c r="AR43" s="70">
        <f ca="1" t="shared" si="73"/>
        <v>0.280785282844377</v>
      </c>
      <c r="AS43" s="70">
        <f ca="1" t="shared" si="73"/>
        <v>0.280785282844377</v>
      </c>
      <c r="AT43" s="70">
        <f ca="1" t="shared" si="73"/>
        <v>0.280785282844377</v>
      </c>
      <c r="AU43" s="70">
        <f ca="1" t="shared" si="73"/>
        <v>0.280785282844377</v>
      </c>
      <c r="AV43" s="70">
        <f ca="1" t="shared" si="73"/>
        <v>0.280785282844377</v>
      </c>
      <c r="AW43" s="70">
        <f ca="1" t="shared" si="73"/>
        <v>0.280785282844377</v>
      </c>
      <c r="AX43" s="70">
        <f ca="1" t="shared" si="73"/>
        <v>0.280785282844377</v>
      </c>
      <c r="AY43" s="70">
        <f ca="1" t="shared" si="73"/>
        <v>0.280785282844377</v>
      </c>
      <c r="AZ43" s="70">
        <f ca="1" t="shared" si="73"/>
        <v>0.280785282844377</v>
      </c>
      <c r="BA43" s="70">
        <f ca="1" t="shared" si="73"/>
        <v>0.280785282844377</v>
      </c>
      <c r="BD43" s="41">
        <f ca="1">IFERROR(SUMIFS('TRA balance'!E$5:E$40,'TRA balance'!$C$5:$C$40,Assumptions!$C43,'TRA balance'!$D$5:$D$40,Assumptions!$B43)*CY43*H43,"")</f>
        <v>0</v>
      </c>
      <c r="BE43" s="41">
        <f ca="1">IFERROR(SUMIFS('TRA balance'!F$5:F$40,'TRA balance'!$C$5:$C$40,Assumptions!$C43,'TRA balance'!$D$5:$D$40,Assumptions!$B43)*CZ43*I43,"")</f>
        <v>0</v>
      </c>
      <c r="BF43" s="41">
        <f ca="1">IFERROR(SUMIFS('TRA balance'!G$5:G$40,'TRA balance'!$C$5:$C$40,Assumptions!$C43,'TRA balance'!$D$5:$D$40,Assumptions!$B43)*DA43*J43,"")</f>
        <v>0</v>
      </c>
      <c r="BG43" s="41">
        <f ca="1">IFERROR(SUMIFS('TRA balance'!H$5:H$40,'TRA balance'!$C$5:$C$40,Assumptions!$C43,'TRA balance'!$D$5:$D$40,Assumptions!$B43)*DB43*K43,"")</f>
        <v>0</v>
      </c>
      <c r="BH43" s="41">
        <f ca="1">IFERROR(SUMIFS('TRA balance'!I$5:I$40,'TRA balance'!$C$5:$C$40,Assumptions!$C43,'TRA balance'!$D$5:$D$40,Assumptions!$B43)*DC43*L43,"")</f>
        <v>0</v>
      </c>
      <c r="BI43" s="41">
        <f ca="1">IFERROR(SUMIFS('TRA balance'!J$5:J$40,'TRA balance'!$C$5:$C$40,Assumptions!$C43,'TRA balance'!$D$5:$D$40,Assumptions!$B43)*DD43*M43,"")</f>
        <v>0</v>
      </c>
      <c r="BJ43" s="41">
        <f ca="1">IFERROR(SUMIFS('TRA balance'!K$5:K$40,'TRA balance'!$C$5:$C$40,Assumptions!$C43,'TRA balance'!$D$5:$D$40,Assumptions!$B43)*DE43*N43,"")</f>
        <v>0</v>
      </c>
      <c r="BK43" s="41">
        <f ca="1">IFERROR(SUMIFS('TRA balance'!L$5:L$40,'TRA balance'!$C$5:$C$40,Assumptions!$C43,'TRA balance'!$D$5:$D$40,Assumptions!$B43)*DF43*O43,"")</f>
        <v>0</v>
      </c>
      <c r="BL43" s="41">
        <f ca="1">IFERROR(SUMIFS('TRA balance'!M$5:M$40,'TRA balance'!$C$5:$C$40,Assumptions!$C43,'TRA balance'!$D$5:$D$40,Assumptions!$B43)*DG43*P43,"")</f>
        <v>0</v>
      </c>
      <c r="BM43" s="41">
        <f ca="1">IFERROR(SUMIFS('TRA balance'!N$5:N$40,'TRA balance'!$C$5:$C$40,Assumptions!$C43,'TRA balance'!$D$5:$D$40,Assumptions!$B43)*DH43*Q43,"")</f>
        <v>0</v>
      </c>
      <c r="BN43" s="41">
        <f ca="1">IFERROR(SUMIFS('TRA balance'!O$5:O$40,'TRA balance'!$C$5:$C$40,Assumptions!$C43,'TRA balance'!$D$5:$D$40,Assumptions!$B43)*DI43*R43,"")</f>
        <v>0</v>
      </c>
      <c r="BO43" s="41">
        <f ca="1">IFERROR(SUMIFS('TRA balance'!P$5:P$40,'TRA balance'!$C$5:$C$40,Assumptions!$C43,'TRA balance'!$D$5:$D$40,Assumptions!$B43)*DJ43*S43,"")</f>
        <v>0</v>
      </c>
      <c r="BP43" s="41">
        <f ca="1">IFERROR(SUMIFS('TRA balance'!Q$5:Q$40,'TRA balance'!$C$5:$C$40,Assumptions!$C43,'TRA balance'!$D$5:$D$40,Assumptions!$B43)*DK43*T43,"")</f>
        <v>0</v>
      </c>
      <c r="BQ43" s="41">
        <f ca="1">IFERROR(SUMIFS('TRA balance'!R$5:R$40,'TRA balance'!$C$5:$C$40,Assumptions!$C43,'TRA balance'!$D$5:$D$40,Assumptions!$B43)*DL43*U43,"")</f>
        <v>0</v>
      </c>
      <c r="BR43" s="41">
        <f ca="1">IFERROR(SUMIFS('TRA balance'!S$5:S$40,'TRA balance'!$C$5:$C$40,Assumptions!$C43,'TRA balance'!$D$5:$D$40,Assumptions!$B43)*DM43*V43,"")</f>
        <v>0</v>
      </c>
      <c r="BS43" s="41">
        <f ca="1">IFERROR(SUMIFS('TRA balance'!T$5:T$40,'TRA balance'!$C$5:$C$40,Assumptions!$C43,'TRA balance'!$D$5:$D$40,Assumptions!$B43)*DN43*W43,"")</f>
        <v>0</v>
      </c>
      <c r="BT43" s="41">
        <f ca="1">IFERROR(SUMIFS('TRA balance'!U$5:U$40,'TRA balance'!$C$5:$C$40,Assumptions!$C43,'TRA balance'!$D$5:$D$40,Assumptions!$B43)*DO43*X43,"")</f>
        <v>0</v>
      </c>
      <c r="BU43" s="41">
        <f ca="1">IFERROR(SUMIFS('TRA balance'!V$5:V$40,'TRA balance'!$C$5:$C$40,Assumptions!$C43,'TRA balance'!$D$5:$D$40,Assumptions!$B43)*DP43*Y43,"")</f>
        <v>0</v>
      </c>
      <c r="BV43" s="41">
        <f ca="1">IFERROR(SUMIFS('TRA balance'!W$5:W$40,'TRA balance'!$C$5:$C$40,Assumptions!$C43,'TRA balance'!$D$5:$D$40,Assumptions!$B43)*DQ43*Z43,"")</f>
        <v>0</v>
      </c>
      <c r="BW43" s="41">
        <f ca="1">IFERROR(SUMIFS('TRA balance'!X$5:X$40,'TRA balance'!$C$5:$C$40,Assumptions!$C43,'TRA balance'!$D$5:$D$40,Assumptions!$B43)*DR43*AA43,"")</f>
        <v>0</v>
      </c>
      <c r="BX43" s="41">
        <f ca="1">IFERROR(SUMIFS('TRA balance'!Y$5:Y$40,'TRA balance'!$C$5:$C$40,Assumptions!$C43,'TRA balance'!$D$5:$D$40,Assumptions!$B43)*DS43*AB43,"")</f>
        <v>0</v>
      </c>
      <c r="BY43" s="41">
        <f ca="1">IFERROR(SUMIFS('TRA balance'!Z$5:Z$40,'TRA balance'!$C$5:$C$40,Assumptions!$C43,'TRA balance'!$D$5:$D$40,Assumptions!$B43)*DT43*AC43,"")</f>
        <v>0</v>
      </c>
      <c r="BZ43" s="41">
        <f ca="1">IFERROR(SUMIFS('TRA balance'!AA$5:AA$40,'TRA balance'!$C$5:$C$40,Assumptions!$C43,'TRA balance'!$D$5:$D$40,Assumptions!$B43)*DU43*AD43,"")</f>
        <v>0</v>
      </c>
      <c r="CA43" s="41">
        <f ca="1">IFERROR(SUMIFS('TRA balance'!AB$5:AB$40,'TRA balance'!$C$5:$C$40,Assumptions!$C43,'TRA balance'!$D$5:$D$40,Assumptions!$B43)*DV43*AE43,"")</f>
        <v>0</v>
      </c>
      <c r="CB43" s="41">
        <f ca="1">IFERROR(SUMIFS('TRA balance'!AC$5:AC$40,'TRA balance'!$C$5:$C$40,Assumptions!$C43,'TRA balance'!$D$5:$D$40,Assumptions!$B43)*DW43*AF43,"")</f>
        <v>0</v>
      </c>
      <c r="CC43" s="41">
        <f ca="1">IFERROR(SUMIFS('TRA balance'!AD$5:AD$40,'TRA balance'!$C$5:$C$40,Assumptions!$C43,'TRA balance'!$D$5:$D$40,Assumptions!$B43)*DX43*AG43,"")</f>
        <v>0</v>
      </c>
      <c r="CD43" s="41">
        <f ca="1">IFERROR(SUMIFS('TRA balance'!AE$5:AE$40,'TRA balance'!$C$5:$C$40,Assumptions!$C43,'TRA balance'!$D$5:$D$40,Assumptions!$B43)*DY43*AH43,"")</f>
        <v>0</v>
      </c>
      <c r="CE43" s="41">
        <f ca="1">IFERROR(SUMIFS('TRA balance'!AF$5:AF$40,'TRA balance'!$C$5:$C$40,Assumptions!$C43,'TRA balance'!$D$5:$D$40,Assumptions!$B43)*DZ43*AI43,"")</f>
        <v>0</v>
      </c>
      <c r="CF43" s="41">
        <f ca="1">IFERROR(SUMIFS('TRA balance'!AG$5:AG$40,'TRA balance'!$C$5:$C$40,Assumptions!$C43,'TRA balance'!$D$5:$D$40,Assumptions!$B43)*EA43*AJ43,"")</f>
        <v>0</v>
      </c>
      <c r="CG43" s="41">
        <f ca="1">IFERROR(SUMIFS('TRA balance'!AH$5:AH$40,'TRA balance'!$C$5:$C$40,Assumptions!$C43,'TRA balance'!$D$5:$D$40,Assumptions!$B43)*EB43*AK43,"")</f>
        <v>0</v>
      </c>
      <c r="CH43" s="41">
        <f ca="1">IFERROR(SUMIFS('TRA balance'!AI$5:AI$40,'TRA balance'!$C$5:$C$40,Assumptions!$C43,'TRA balance'!$D$5:$D$40,Assumptions!$B43)*EC43*AL43,"")</f>
        <v>0</v>
      </c>
      <c r="CI43" s="41">
        <f ca="1">IFERROR(SUMIFS('TRA balance'!AJ$5:AJ$40,'TRA balance'!$C$5:$C$40,Assumptions!$C43,'TRA balance'!$D$5:$D$40,Assumptions!$B43)*ED43*AM43,"")</f>
        <v>0</v>
      </c>
      <c r="CJ43" s="41">
        <f ca="1">IFERROR(SUMIFS('TRA balance'!AK$5:AK$40,'TRA balance'!$C$5:$C$40,Assumptions!$C43,'TRA balance'!$D$5:$D$40,Assumptions!$B43)*EE43*AN43,"")</f>
        <v>0</v>
      </c>
      <c r="CK43" s="41">
        <f ca="1">IFERROR(SUMIFS('TRA balance'!AL$5:AL$40,'TRA balance'!$C$5:$C$40,Assumptions!$C43,'TRA balance'!$D$5:$D$40,Assumptions!$B43)*EF43*AO43,"")</f>
        <v>0</v>
      </c>
      <c r="CL43" s="41">
        <f ca="1">IFERROR(SUMIFS('TRA balance'!AM$5:AM$40,'TRA balance'!$C$5:$C$40,Assumptions!$C43,'TRA balance'!$D$5:$D$40,Assumptions!$B43)*EG43*AP43,"")</f>
        <v>0</v>
      </c>
      <c r="CM43" s="41">
        <f ca="1">IFERROR(SUMIFS('TRA balance'!AN$5:AN$40,'TRA balance'!$C$5:$C$40,Assumptions!$C43,'TRA balance'!$D$5:$D$40,Assumptions!$B43)*EH43*AQ43,"")</f>
        <v>0</v>
      </c>
      <c r="CN43" s="41">
        <f ca="1">IFERROR(SUMIFS('TRA balance'!AO$5:AO$40,'TRA balance'!$C$5:$C$40,Assumptions!$C43,'TRA balance'!$D$5:$D$40,Assumptions!$B43)*EI43*AR43,"")</f>
        <v>0</v>
      </c>
      <c r="CO43" s="41">
        <f ca="1">IFERROR(SUMIFS('TRA balance'!AP$5:AP$40,'TRA balance'!$C$5:$C$40,Assumptions!$C43,'TRA balance'!$D$5:$D$40,Assumptions!$B43)*EJ43*AS43,"")</f>
        <v>0</v>
      </c>
      <c r="CP43" s="41">
        <f ca="1">IFERROR(SUMIFS('TRA balance'!AQ$5:AQ$40,'TRA balance'!$C$5:$C$40,Assumptions!$C43,'TRA balance'!$D$5:$D$40,Assumptions!$B43)*EK43*AT43,"")</f>
        <v>0</v>
      </c>
      <c r="CQ43" s="41">
        <f ca="1">IFERROR(SUMIFS('TRA balance'!AR$5:AR$40,'TRA balance'!$C$5:$C$40,Assumptions!$C43,'TRA balance'!$D$5:$D$40,Assumptions!$B43)*EL43*AU43,"")</f>
        <v>0</v>
      </c>
      <c r="CR43" s="41">
        <f ca="1">IFERROR(SUMIFS('TRA balance'!AS$5:AS$40,'TRA balance'!$C$5:$C$40,Assumptions!$C43,'TRA balance'!$D$5:$D$40,Assumptions!$B43)*EM43*AV43,"")</f>
        <v>0</v>
      </c>
      <c r="CS43" s="41">
        <f ca="1">IFERROR(SUMIFS('TRA balance'!AT$5:AT$40,'TRA balance'!$C$5:$C$40,Assumptions!$C43,'TRA balance'!$D$5:$D$40,Assumptions!$B43)*EN43*AW43,"")</f>
        <v>0</v>
      </c>
      <c r="CT43" s="41">
        <f ca="1">IFERROR(SUMIFS('TRA balance'!AU$5:AU$40,'TRA balance'!$C$5:$C$40,Assumptions!$C43,'TRA balance'!$D$5:$D$40,Assumptions!$B43)*EO43*AX43,"")</f>
        <v>0</v>
      </c>
      <c r="CU43" s="41">
        <f ca="1">IFERROR(SUMIFS('TRA balance'!AV$5:AV$40,'TRA balance'!$C$5:$C$40,Assumptions!$C43,'TRA balance'!$D$5:$D$40,Assumptions!$B43)*EP43*AY43,"")</f>
        <v>0</v>
      </c>
      <c r="CV43" s="41">
        <f ca="1">IFERROR(SUMIFS('TRA balance'!AW$5:AW$40,'TRA balance'!$C$5:$C$40,Assumptions!$C43,'TRA balance'!$D$5:$D$40,Assumptions!$B43)*EQ43*AZ43,"")</f>
        <v>0</v>
      </c>
      <c r="CW43" s="41">
        <f ca="1">IFERROR(SUMIFS('TRA balance'!AX$5:AX$40,'TRA balance'!$C$5:$C$40,Assumptions!$C43,'TRA balance'!$D$5:$D$40,Assumptions!$B43)*ER43*BA43,"")</f>
        <v>0</v>
      </c>
      <c r="CY43" s="40">
        <f ca="1" t="shared" si="66"/>
        <v>1</v>
      </c>
      <c r="CZ43" s="40">
        <f ca="1" t="shared" si="3"/>
        <v>1</v>
      </c>
      <c r="DA43" s="40">
        <f ca="1" t="shared" si="4"/>
        <v>1</v>
      </c>
      <c r="DB43" s="40">
        <f ca="1" t="shared" si="5"/>
        <v>1</v>
      </c>
      <c r="DC43" s="40">
        <f ca="1" t="shared" si="6"/>
        <v>1</v>
      </c>
      <c r="DD43" s="40">
        <f ca="1" t="shared" si="7"/>
        <v>1</v>
      </c>
      <c r="DE43" s="40">
        <f ca="1" t="shared" si="8"/>
        <v>1</v>
      </c>
      <c r="DF43" s="40">
        <f ca="1" t="shared" si="9"/>
        <v>1</v>
      </c>
      <c r="DG43" s="40">
        <f ca="1" t="shared" si="10"/>
        <v>1</v>
      </c>
      <c r="DH43" s="40">
        <f ca="1" t="shared" si="11"/>
        <v>1</v>
      </c>
      <c r="DI43" s="40">
        <f ca="1" t="shared" si="12"/>
        <v>1</v>
      </c>
      <c r="DJ43" s="40">
        <f ca="1" t="shared" si="13"/>
        <v>1</v>
      </c>
      <c r="DK43" s="40">
        <f ca="1" t="shared" si="14"/>
        <v>1</v>
      </c>
      <c r="DL43" s="40">
        <f ca="1" t="shared" si="15"/>
        <v>1</v>
      </c>
      <c r="DM43" s="40">
        <f ca="1" t="shared" si="16"/>
        <v>1</v>
      </c>
      <c r="DN43" s="40">
        <f ca="1" t="shared" si="17"/>
        <v>1</v>
      </c>
      <c r="DO43" s="40">
        <f ca="1" t="shared" si="18"/>
        <v>1</v>
      </c>
      <c r="DP43" s="40">
        <f ca="1" t="shared" si="19"/>
        <v>1</v>
      </c>
      <c r="DQ43" s="40">
        <f ca="1" t="shared" si="20"/>
        <v>1</v>
      </c>
      <c r="DR43" s="40">
        <f ca="1" t="shared" si="21"/>
        <v>1</v>
      </c>
      <c r="DS43" s="40">
        <f ca="1" t="shared" si="22"/>
        <v>1</v>
      </c>
      <c r="DT43" s="40">
        <f ca="1" t="shared" si="23"/>
        <v>1</v>
      </c>
      <c r="DU43" s="40">
        <f ca="1" t="shared" si="24"/>
        <v>1</v>
      </c>
      <c r="DV43" s="40">
        <f ca="1" t="shared" si="25"/>
        <v>1</v>
      </c>
      <c r="DW43" s="40">
        <f ca="1" t="shared" si="26"/>
        <v>1</v>
      </c>
      <c r="DX43" s="40">
        <f ca="1" t="shared" si="27"/>
        <v>1</v>
      </c>
      <c r="DY43" s="40">
        <f ca="1" t="shared" si="28"/>
        <v>1</v>
      </c>
      <c r="DZ43" s="40">
        <f ca="1" t="shared" si="29"/>
        <v>1</v>
      </c>
      <c r="EA43" s="40">
        <f ca="1" t="shared" si="30"/>
        <v>1</v>
      </c>
      <c r="EB43" s="40">
        <f ca="1" t="shared" si="31"/>
        <v>1</v>
      </c>
      <c r="EC43" s="40">
        <f ca="1" t="shared" si="32"/>
        <v>1</v>
      </c>
      <c r="ED43" s="40">
        <f ca="1" t="shared" si="33"/>
        <v>1</v>
      </c>
      <c r="EE43" s="40">
        <f ca="1" t="shared" si="34"/>
        <v>1</v>
      </c>
      <c r="EF43" s="40">
        <f ca="1" t="shared" si="35"/>
        <v>1</v>
      </c>
      <c r="EG43" s="40">
        <f ca="1" t="shared" si="36"/>
        <v>1</v>
      </c>
      <c r="EH43" s="40">
        <f ca="1" t="shared" si="37"/>
        <v>1</v>
      </c>
      <c r="EI43" s="40">
        <f ca="1" t="shared" si="38"/>
        <v>1</v>
      </c>
      <c r="EJ43" s="40">
        <f ca="1" t="shared" si="39"/>
        <v>1</v>
      </c>
      <c r="EK43" s="40">
        <f ca="1" t="shared" si="40"/>
        <v>1</v>
      </c>
      <c r="EL43" s="40">
        <f ca="1" t="shared" si="41"/>
        <v>1</v>
      </c>
      <c r="EM43" s="40">
        <f ca="1" t="shared" si="42"/>
        <v>1</v>
      </c>
      <c r="EN43" s="40">
        <f ca="1" t="shared" si="43"/>
        <v>1</v>
      </c>
      <c r="EO43" s="40">
        <f ca="1" t="shared" si="44"/>
        <v>1</v>
      </c>
      <c r="EP43" s="40">
        <f ca="1" t="shared" si="45"/>
        <v>1</v>
      </c>
      <c r="EQ43" s="40">
        <f ca="1" t="shared" si="46"/>
        <v>1</v>
      </c>
      <c r="ER43" s="40">
        <f ca="1" t="shared" si="47"/>
        <v>1</v>
      </c>
    </row>
    <row r="44" spans="1:148">
      <c r="A44">
        <v>2</v>
      </c>
      <c r="B44" t="str">
        <f>VLOOKUP(F44,'TRA balance'!$BA$5:$BB$14,2,FALSE)</f>
        <v>TRALPG</v>
      </c>
      <c r="C44" s="56" t="str">
        <f t="shared" si="48"/>
        <v>TR</v>
      </c>
      <c r="D44" s="57" t="s">
        <v>200</v>
      </c>
      <c r="E44" s="68" t="s">
        <v>212</v>
      </c>
      <c r="F44" s="58" t="str">
        <f t="shared" si="70"/>
        <v>Liquified Petroleum Gases</v>
      </c>
      <c r="G44" s="56" t="s">
        <v>213</v>
      </c>
      <c r="H44" s="59">
        <f ca="1">OFFSET(TIAM15_assumptions!$G44,0,MATCH(VLOOKUP(Assumptions!H$2,TIAM15_assumptions!$Y$3:$Z$87,2,FALSE),TIAM15_assumptions!$H$2:$V$2,0))</f>
        <v>0.3</v>
      </c>
      <c r="I44" s="59">
        <f ca="1">OFFSET(TIAM15_assumptions!$G44,0,MATCH(VLOOKUP(Assumptions!I$2,TIAM15_assumptions!$Y$3:$Z$87,2,FALSE),TIAM15_assumptions!$H$2:$V$2,0))</f>
        <v>0.3</v>
      </c>
      <c r="J44" s="59">
        <f ca="1">OFFSET(TIAM15_assumptions!$G44,0,MATCH(VLOOKUP(Assumptions!J$2,TIAM15_assumptions!$Y$3:$Z$87,2,FALSE),TIAM15_assumptions!$H$2:$V$2,0))</f>
        <v>0.8</v>
      </c>
      <c r="K44" s="59">
        <f ca="1">OFFSET(TIAM15_assumptions!$G44,0,MATCH(VLOOKUP(Assumptions!K$2,TIAM15_assumptions!$Y$3:$Z$87,2,FALSE),TIAM15_assumptions!$H$2:$V$2,0))</f>
        <v>0</v>
      </c>
      <c r="L44" s="59">
        <f ca="1">OFFSET(TIAM15_assumptions!$G44,0,MATCH(VLOOKUP(Assumptions!L$2,TIAM15_assumptions!$Y$3:$Z$87,2,FALSE),TIAM15_assumptions!$H$2:$V$2,0))</f>
        <v>0</v>
      </c>
      <c r="M44" s="59">
        <f ca="1">OFFSET(TIAM15_assumptions!$G44,0,MATCH(VLOOKUP(Assumptions!M$2,TIAM15_assumptions!$Y$3:$Z$87,2,FALSE),TIAM15_assumptions!$H$2:$V$2,0))</f>
        <v>0</v>
      </c>
      <c r="N44" s="59">
        <f ca="1">OFFSET(TIAM15_assumptions!$G44,0,MATCH(VLOOKUP(Assumptions!N$2,TIAM15_assumptions!$Y$3:$Z$87,2,FALSE),TIAM15_assumptions!$H$2:$V$2,0))</f>
        <v>1</v>
      </c>
      <c r="O44" s="59">
        <f ca="1">OFFSET(TIAM15_assumptions!$G44,0,MATCH(VLOOKUP(Assumptions!O$2,TIAM15_assumptions!$Y$3:$Z$87,2,FALSE),TIAM15_assumptions!$H$2:$V$2,0))</f>
        <v>0.8</v>
      </c>
      <c r="P44" s="59">
        <f ca="1">OFFSET(TIAM15_assumptions!$G44,0,MATCH(VLOOKUP(Assumptions!P$2,TIAM15_assumptions!$Y$3:$Z$87,2,FALSE),TIAM15_assumptions!$H$2:$V$2,0))</f>
        <v>0</v>
      </c>
      <c r="Q44" s="59">
        <f ca="1">OFFSET(TIAM15_assumptions!$G44,0,MATCH(VLOOKUP(Assumptions!Q$2,TIAM15_assumptions!$Y$3:$Z$87,2,FALSE),TIAM15_assumptions!$H$2:$V$2,0))</f>
        <v>0</v>
      </c>
      <c r="R44" s="59">
        <f ca="1">OFFSET(TIAM15_assumptions!$G44,0,MATCH(VLOOKUP(Assumptions!R$2,TIAM15_assumptions!$Y$3:$Z$87,2,FALSE),TIAM15_assumptions!$H$2:$V$2,0))</f>
        <v>0</v>
      </c>
      <c r="S44" s="59">
        <f ca="1">OFFSET(TIAM15_assumptions!$G44,0,MATCH(VLOOKUP(Assumptions!S$2,TIAM15_assumptions!$Y$3:$Z$87,2,FALSE),TIAM15_assumptions!$H$2:$V$2,0))</f>
        <v>0</v>
      </c>
      <c r="T44" s="59">
        <f ca="1">OFFSET(TIAM15_assumptions!$G44,0,MATCH(VLOOKUP(Assumptions!T$2,TIAM15_assumptions!$Y$3:$Z$87,2,FALSE),TIAM15_assumptions!$H$2:$V$2,0))</f>
        <v>0</v>
      </c>
      <c r="U44" s="59">
        <f ca="1">OFFSET(TIAM15_assumptions!$G44,0,MATCH(VLOOKUP(Assumptions!U$2,TIAM15_assumptions!$Y$3:$Z$87,2,FALSE),TIAM15_assumptions!$H$2:$V$2,0))</f>
        <v>0</v>
      </c>
      <c r="V44" s="59">
        <f ca="1">OFFSET(TIAM15_assumptions!$G44,0,MATCH(VLOOKUP(Assumptions!V$2,TIAM15_assumptions!$Y$3:$Z$87,2,FALSE),TIAM15_assumptions!$H$2:$V$2,0))</f>
        <v>0</v>
      </c>
      <c r="W44" s="59">
        <f ca="1">OFFSET(TIAM15_assumptions!$G44,0,MATCH(VLOOKUP(Assumptions!W$2,TIAM15_assumptions!$Y$3:$Z$87,2,FALSE),TIAM15_assumptions!$H$2:$V$2,0))</f>
        <v>0.8</v>
      </c>
      <c r="X44" s="59">
        <f ca="1">OFFSET(TIAM15_assumptions!$G44,0,MATCH(VLOOKUP(Assumptions!X$2,TIAM15_assumptions!$Y$3:$Z$87,2,FALSE),TIAM15_assumptions!$H$2:$V$2,0))</f>
        <v>0</v>
      </c>
      <c r="Y44" s="59">
        <f ca="1">OFFSET(TIAM15_assumptions!$G44,0,MATCH(VLOOKUP(Assumptions!Y$2,TIAM15_assumptions!$Y$3:$Z$87,2,FALSE),TIAM15_assumptions!$H$2:$V$2,0))</f>
        <v>0</v>
      </c>
      <c r="Z44" s="59">
        <f ca="1">OFFSET(TIAM15_assumptions!$G44,0,MATCH(VLOOKUP(Assumptions!Z$2,TIAM15_assumptions!$Y$3:$Z$87,2,FALSE),TIAM15_assumptions!$H$2:$V$2,0))</f>
        <v>0</v>
      </c>
      <c r="AA44" s="59">
        <f ca="1">OFFSET(TIAM15_assumptions!$G44,0,MATCH(VLOOKUP(Assumptions!AA$2,TIAM15_assumptions!$Y$3:$Z$87,2,FALSE),TIAM15_assumptions!$H$2:$V$2,0))</f>
        <v>1</v>
      </c>
      <c r="AB44" s="59">
        <f ca="1">OFFSET(TIAM15_assumptions!$G44,0,MATCH(VLOOKUP(Assumptions!AB$2,TIAM15_assumptions!$Y$3:$Z$87,2,FALSE),TIAM15_assumptions!$H$2:$V$2,0))</f>
        <v>0.3</v>
      </c>
      <c r="AC44" s="59">
        <f ca="1">OFFSET(TIAM15_assumptions!$G44,0,MATCH(VLOOKUP(Assumptions!AC$2,TIAM15_assumptions!$Y$3:$Z$87,2,FALSE),TIAM15_assumptions!$H$2:$V$2,0))</f>
        <v>0.02</v>
      </c>
      <c r="AD44" s="59">
        <f ca="1">OFFSET(TIAM15_assumptions!$G44,0,MATCH(VLOOKUP(Assumptions!AD$2,TIAM15_assumptions!$Y$3:$Z$87,2,FALSE),TIAM15_assumptions!$H$2:$V$2,0))</f>
        <v>0</v>
      </c>
      <c r="AE44" s="59">
        <f ca="1">OFFSET(TIAM15_assumptions!$G44,0,MATCH(VLOOKUP(Assumptions!AE$2,TIAM15_assumptions!$Y$3:$Z$87,2,FALSE),TIAM15_assumptions!$H$2:$V$2,0))</f>
        <v>0</v>
      </c>
      <c r="AF44" s="59">
        <f ca="1">OFFSET(TIAM15_assumptions!$G44,0,MATCH(VLOOKUP(Assumptions!AF$2,TIAM15_assumptions!$Y$3:$Z$87,2,FALSE),TIAM15_assumptions!$H$2:$V$2,0))</f>
        <v>0.7</v>
      </c>
      <c r="AG44" s="59">
        <f ca="1">OFFSET(TIAM15_assumptions!$G44,0,MATCH(VLOOKUP(Assumptions!AG$2,TIAM15_assumptions!$Y$3:$Z$87,2,FALSE),TIAM15_assumptions!$H$2:$V$2,0))</f>
        <v>0</v>
      </c>
      <c r="AH44" s="59">
        <f ca="1">OFFSET(TIAM15_assumptions!$G44,0,MATCH(VLOOKUP(Assumptions!AH$2,TIAM15_assumptions!$Y$3:$Z$87,2,FALSE),TIAM15_assumptions!$H$2:$V$2,0))</f>
        <v>0.3</v>
      </c>
      <c r="AI44" s="59">
        <f ca="1">OFFSET(TIAM15_assumptions!$G44,0,MATCH(VLOOKUP(Assumptions!AI$2,TIAM15_assumptions!$Y$3:$Z$87,2,FALSE),TIAM15_assumptions!$H$2:$V$2,0))</f>
        <v>0.3</v>
      </c>
      <c r="AJ44" s="59">
        <f ca="1">OFFSET(TIAM15_assumptions!$G44,0,MATCH(VLOOKUP(Assumptions!AJ$2,TIAM15_assumptions!$Y$3:$Z$87,2,FALSE),TIAM15_assumptions!$H$2:$V$2,0))</f>
        <v>0</v>
      </c>
      <c r="AK44" s="59">
        <f ca="1">OFFSET(TIAM15_assumptions!$G44,0,MATCH(VLOOKUP(Assumptions!AK$2,TIAM15_assumptions!$Y$3:$Z$87,2,FALSE),TIAM15_assumptions!$H$2:$V$2,0))</f>
        <v>0</v>
      </c>
      <c r="AL44" s="59">
        <f ca="1">OFFSET(TIAM15_assumptions!$G44,0,MATCH(VLOOKUP(Assumptions!AL$2,TIAM15_assumptions!$Y$3:$Z$87,2,FALSE),TIAM15_assumptions!$H$2:$V$2,0))</f>
        <v>0</v>
      </c>
      <c r="AM44" s="59">
        <f ca="1">OFFSET(TIAM15_assumptions!$G44,0,MATCH(VLOOKUP(Assumptions!AM$2,TIAM15_assumptions!$Y$3:$Z$87,2,FALSE),TIAM15_assumptions!$H$2:$V$2,0))</f>
        <v>0.3</v>
      </c>
      <c r="AN44" s="59">
        <f ca="1">OFFSET(TIAM15_assumptions!$G44,0,MATCH(VLOOKUP(Assumptions!AN$2,TIAM15_assumptions!$Y$3:$Z$87,2,FALSE),TIAM15_assumptions!$H$2:$V$2,0))</f>
        <v>0</v>
      </c>
      <c r="AO44" s="59">
        <f ca="1">OFFSET(TIAM15_assumptions!$G44,0,MATCH(VLOOKUP(Assumptions!AO$2,TIAM15_assumptions!$Y$3:$Z$87,2,FALSE),TIAM15_assumptions!$H$2:$V$2,0))</f>
        <v>0</v>
      </c>
      <c r="AP44" s="59">
        <f ca="1">OFFSET(TIAM15_assumptions!$G44,0,MATCH(VLOOKUP(Assumptions!AP$2,TIAM15_assumptions!$Y$3:$Z$87,2,FALSE),TIAM15_assumptions!$H$2:$V$2,0))</f>
        <v>0</v>
      </c>
      <c r="AQ44" s="59">
        <f ca="1">OFFSET(TIAM15_assumptions!$G44,0,MATCH(VLOOKUP(Assumptions!AQ$2,TIAM15_assumptions!$Y$3:$Z$87,2,FALSE),TIAM15_assumptions!$H$2:$V$2,0))</f>
        <v>0.02</v>
      </c>
      <c r="AR44" s="59">
        <f ca="1">OFFSET(TIAM15_assumptions!$G44,0,MATCH(VLOOKUP(Assumptions!AR$2,TIAM15_assumptions!$Y$3:$Z$87,2,FALSE),TIAM15_assumptions!$H$2:$V$2,0))</f>
        <v>0.02</v>
      </c>
      <c r="AS44" s="59">
        <f ca="1">OFFSET(TIAM15_assumptions!$G44,0,MATCH(VLOOKUP(Assumptions!AS$2,TIAM15_assumptions!$Y$3:$Z$87,2,FALSE),TIAM15_assumptions!$H$2:$V$2,0))</f>
        <v>0.02</v>
      </c>
      <c r="AT44" s="59">
        <f ca="1">OFFSET(TIAM15_assumptions!$G44,0,MATCH(VLOOKUP(Assumptions!AT$2,TIAM15_assumptions!$Y$3:$Z$87,2,FALSE),TIAM15_assumptions!$H$2:$V$2,0))</f>
        <v>0.02</v>
      </c>
      <c r="AU44" s="59">
        <f ca="1">OFFSET(TIAM15_assumptions!$G44,0,MATCH(VLOOKUP(Assumptions!AU$2,TIAM15_assumptions!$Y$3:$Z$87,2,FALSE),TIAM15_assumptions!$H$2:$V$2,0))</f>
        <v>0.02</v>
      </c>
      <c r="AV44" s="59">
        <f ca="1">OFFSET(TIAM15_assumptions!$G44,0,MATCH(VLOOKUP(Assumptions!AV$2,TIAM15_assumptions!$Y$3:$Z$87,2,FALSE),TIAM15_assumptions!$H$2:$V$2,0))</f>
        <v>0.02</v>
      </c>
      <c r="AW44" s="59">
        <f ca="1">OFFSET(TIAM15_assumptions!$G44,0,MATCH(VLOOKUP(Assumptions!AW$2,TIAM15_assumptions!$Y$3:$Z$87,2,FALSE),TIAM15_assumptions!$H$2:$V$2,0))</f>
        <v>0.02</v>
      </c>
      <c r="AX44" s="59">
        <f ca="1">OFFSET(TIAM15_assumptions!$G44,0,MATCH(VLOOKUP(Assumptions!AX$2,TIAM15_assumptions!$Y$3:$Z$87,2,FALSE),TIAM15_assumptions!$H$2:$V$2,0))</f>
        <v>0.02</v>
      </c>
      <c r="AY44" s="59">
        <f ca="1">OFFSET(TIAM15_assumptions!$G44,0,MATCH(VLOOKUP(Assumptions!AY$2,TIAM15_assumptions!$Y$3:$Z$87,2,FALSE),TIAM15_assumptions!$H$2:$V$2,0))</f>
        <v>0.02</v>
      </c>
      <c r="AZ44" s="59">
        <f ca="1">OFFSET(TIAM15_assumptions!$G44,0,MATCH(VLOOKUP(Assumptions!AZ$2,TIAM15_assumptions!$Y$3:$Z$87,2,FALSE),TIAM15_assumptions!$H$2:$V$2,0))</f>
        <v>0.02</v>
      </c>
      <c r="BA44" s="59">
        <f ca="1">OFFSET(TIAM15_assumptions!$G44,0,MATCH(VLOOKUP(Assumptions!BA$2,TIAM15_assumptions!$Y$3:$Z$87,2,FALSE),TIAM15_assumptions!$H$2:$V$2,0))</f>
        <v>0.02</v>
      </c>
      <c r="BD44" s="41">
        <f ca="1">IFERROR(SUMIFS('TRA balance'!E$5:E$40,'TRA balance'!$C$5:$C$40,Assumptions!$C44,'TRA balance'!$D$5:$D$40,Assumptions!$B44)*CY44*H44,"")</f>
        <v>5.152799095056</v>
      </c>
      <c r="BE44" s="41">
        <f ca="1">IFERROR(SUMIFS('TRA balance'!F$5:F$40,'TRA balance'!$C$5:$C$40,Assumptions!$C44,'TRA balance'!$D$5:$D$40,Assumptions!$B44)*CZ44*I44,"")</f>
        <v>0.002957220576</v>
      </c>
      <c r="BF44" s="41">
        <f ca="1">IFERROR(SUMIFS('TRA balance'!G$5:G$40,'TRA balance'!$C$5:$C$40,Assumptions!$C44,'TRA balance'!$D$5:$D$40,Assumptions!$B44)*DA44*J44,"")</f>
        <v>9.12465581688</v>
      </c>
      <c r="BG44" s="41">
        <f ca="1">IFERROR(SUMIFS('TRA balance'!H$5:H$40,'TRA balance'!$C$5:$C$40,Assumptions!$C44,'TRA balance'!$D$5:$D$40,Assumptions!$B44)*DB44*K44,"")</f>
        <v>0</v>
      </c>
      <c r="BH44" s="41">
        <f ca="1">IFERROR(SUMIFS('TRA balance'!I$5:I$40,'TRA balance'!$C$5:$C$40,Assumptions!$C44,'TRA balance'!$D$5:$D$40,Assumptions!$B44)*DC44*L44,"")</f>
        <v>0</v>
      </c>
      <c r="BI44" s="41">
        <f ca="1">IFERROR(SUMIFS('TRA balance'!J$5:J$40,'TRA balance'!$C$5:$C$40,Assumptions!$C44,'TRA balance'!$D$5:$D$40,Assumptions!$B44)*DD44*M44,"")</f>
        <v>0</v>
      </c>
      <c r="BJ44" s="41">
        <f ca="1">IFERROR(SUMIFS('TRA balance'!K$5:K$40,'TRA balance'!$C$5:$C$40,Assumptions!$C44,'TRA balance'!$D$5:$D$40,Assumptions!$B44)*DE44*N44,"")</f>
        <v>0</v>
      </c>
      <c r="BK44" s="41">
        <f ca="1">IFERROR(SUMIFS('TRA balance'!L$5:L$40,'TRA balance'!$C$5:$C$40,Assumptions!$C44,'TRA balance'!$D$5:$D$40,Assumptions!$B44)*DF44*O44,"")</f>
        <v>37.585035567936</v>
      </c>
      <c r="BL44" s="41">
        <f ca="1">IFERROR(SUMIFS('TRA balance'!M$5:M$40,'TRA balance'!$C$5:$C$40,Assumptions!$C44,'TRA balance'!$D$5:$D$40,Assumptions!$B44)*DG44*P44,"")</f>
        <v>0</v>
      </c>
      <c r="BM44" s="41">
        <f ca="1">IFERROR(SUMIFS('TRA balance'!N$5:N$40,'TRA balance'!$C$5:$C$40,Assumptions!$C44,'TRA balance'!$D$5:$D$40,Assumptions!$B44)*DH44*Q44,"")</f>
        <v>0</v>
      </c>
      <c r="BN44" s="41">
        <f ca="1">IFERROR(SUMIFS('TRA balance'!O$5:O$40,'TRA balance'!$C$5:$C$40,Assumptions!$C44,'TRA balance'!$D$5:$D$40,Assumptions!$B44)*DI44*R44,"")</f>
        <v>0</v>
      </c>
      <c r="BO44" s="41">
        <f ca="1">IFERROR(SUMIFS('TRA balance'!P$5:P$40,'TRA balance'!$C$5:$C$40,Assumptions!$C44,'TRA balance'!$D$5:$D$40,Assumptions!$B44)*DJ44*S44,"")</f>
        <v>0</v>
      </c>
      <c r="BP44" s="41">
        <f ca="1">IFERROR(SUMIFS('TRA balance'!Q$5:Q$40,'TRA balance'!$C$5:$C$40,Assumptions!$C44,'TRA balance'!$D$5:$D$40,Assumptions!$B44)*DK44*T44,"")</f>
        <v>0</v>
      </c>
      <c r="BQ44" s="41">
        <f ca="1">IFERROR(SUMIFS('TRA balance'!R$5:R$40,'TRA balance'!$C$5:$C$40,Assumptions!$C44,'TRA balance'!$D$5:$D$40,Assumptions!$B44)*DL44*U44,"")</f>
        <v>0</v>
      </c>
      <c r="BR44" s="41">
        <f ca="1">IFERROR(SUMIFS('TRA balance'!S$5:S$40,'TRA balance'!$C$5:$C$40,Assumptions!$C44,'TRA balance'!$D$5:$D$40,Assumptions!$B44)*DM44*V44,"")</f>
        <v>0</v>
      </c>
      <c r="BS44" s="41">
        <f ca="1">IFERROR(SUMIFS('TRA balance'!T$5:T$40,'TRA balance'!$C$5:$C$40,Assumptions!$C44,'TRA balance'!$D$5:$D$40,Assumptions!$B44)*DN44*W44,"")</f>
        <v>4.878522162</v>
      </c>
      <c r="BT44" s="41">
        <f ca="1">IFERROR(SUMIFS('TRA balance'!U$5:U$40,'TRA balance'!$C$5:$C$40,Assumptions!$C44,'TRA balance'!$D$5:$D$40,Assumptions!$B44)*DO44*X44,"")</f>
        <v>0</v>
      </c>
      <c r="BU44" s="41">
        <f ca="1">IFERROR(SUMIFS('TRA balance'!V$5:V$40,'TRA balance'!$C$5:$C$40,Assumptions!$C44,'TRA balance'!$D$5:$D$40,Assumptions!$B44)*DP44*Y44,"")</f>
        <v>0</v>
      </c>
      <c r="BV44" s="41">
        <f ca="1">IFERROR(SUMIFS('TRA balance'!W$5:W$40,'TRA balance'!$C$5:$C$40,Assumptions!$C44,'TRA balance'!$D$5:$D$40,Assumptions!$B44)*DQ44*Z44,"")</f>
        <v>0</v>
      </c>
      <c r="BW44" s="41">
        <f ca="1">IFERROR(SUMIFS('TRA balance'!X$5:X$40,'TRA balance'!$C$5:$C$40,Assumptions!$C44,'TRA balance'!$D$5:$D$40,Assumptions!$B44)*DR44*AA44,"")</f>
        <v>17.298570159</v>
      </c>
      <c r="BX44" s="41">
        <f ca="1">IFERROR(SUMIFS('TRA balance'!Y$5:Y$40,'TRA balance'!$C$5:$C$40,Assumptions!$C44,'TRA balance'!$D$5:$D$40,Assumptions!$B44)*DS44*AB44,"")</f>
        <v>0.337024169712</v>
      </c>
      <c r="BY44" s="41">
        <f ca="1">IFERROR(SUMIFS('TRA balance'!Z$5:Z$40,'TRA balance'!$C$5:$C$40,Assumptions!$C44,'TRA balance'!$D$5:$D$40,Assumptions!$B44)*DT44*AC44,"")</f>
        <v>0.414587926891738</v>
      </c>
      <c r="BZ44" s="41">
        <f ca="1">IFERROR(SUMIFS('TRA balance'!AA$5:AA$40,'TRA balance'!$C$5:$C$40,Assumptions!$C44,'TRA balance'!$D$5:$D$40,Assumptions!$B44)*DU44*AD44,"")</f>
        <v>0</v>
      </c>
      <c r="CA44" s="41">
        <f ca="1">IFERROR(SUMIFS('TRA balance'!AB$5:AB$40,'TRA balance'!$C$5:$C$40,Assumptions!$C44,'TRA balance'!$D$5:$D$40,Assumptions!$B44)*DV44*AE44,"")</f>
        <v>0</v>
      </c>
      <c r="CB44" s="41">
        <f ca="1">IFERROR(SUMIFS('TRA balance'!AC$5:AC$40,'TRA balance'!$C$5:$C$40,Assumptions!$C44,'TRA balance'!$D$5:$D$40,Assumptions!$B44)*DW44*AF44,"")</f>
        <v>48.768667892028</v>
      </c>
      <c r="CC44" s="41">
        <f ca="1">IFERROR(SUMIFS('TRA balance'!AD$5:AD$40,'TRA balance'!$C$5:$C$40,Assumptions!$C44,'TRA balance'!$D$5:$D$40,Assumptions!$B44)*DX44*AG44,"")</f>
        <v>0</v>
      </c>
      <c r="CD44" s="41">
        <f ca="1">IFERROR(SUMIFS('TRA balance'!AE$5:AE$40,'TRA balance'!$C$5:$C$40,Assumptions!$C44,'TRA balance'!$D$5:$D$40,Assumptions!$B44)*DY44*AH44,"")</f>
        <v>0</v>
      </c>
      <c r="CE44" s="41">
        <f ca="1">IFERROR(SUMIFS('TRA balance'!AF$5:AF$40,'TRA balance'!$C$5:$C$40,Assumptions!$C44,'TRA balance'!$D$5:$D$40,Assumptions!$B44)*DZ44*AI44,"")</f>
        <v>0.0784899396</v>
      </c>
      <c r="CF44" s="41">
        <f ca="1">IFERROR(SUMIFS('TRA balance'!AG$5:AG$40,'TRA balance'!$C$5:$C$40,Assumptions!$C44,'TRA balance'!$D$5:$D$40,Assumptions!$B44)*EA44*AJ44,"")</f>
        <v>0</v>
      </c>
      <c r="CG44" s="41">
        <f ca="1">IFERROR(SUMIFS('TRA balance'!AH$5:AH$40,'TRA balance'!$C$5:$C$40,Assumptions!$C44,'TRA balance'!$D$5:$D$40,Assumptions!$B44)*EB44*AK44,"")</f>
        <v>0</v>
      </c>
      <c r="CH44" s="41">
        <f ca="1">IFERROR(SUMIFS('TRA balance'!AI$5:AI$40,'TRA balance'!$C$5:$C$40,Assumptions!$C44,'TRA balance'!$D$5:$D$40,Assumptions!$B44)*EC44*AL44,"")</f>
        <v>0</v>
      </c>
      <c r="CI44" s="41">
        <f ca="1">IFERROR(SUMIFS('TRA balance'!AJ$5:AJ$40,'TRA balance'!$C$5:$C$40,Assumptions!$C44,'TRA balance'!$D$5:$D$40,Assumptions!$B44)*ED44*AM44,"")</f>
        <v>18.5140798416</v>
      </c>
      <c r="CJ44" s="41">
        <f ca="1">IFERROR(SUMIFS('TRA balance'!AK$5:AK$40,'TRA balance'!$C$5:$C$40,Assumptions!$C44,'TRA balance'!$D$5:$D$40,Assumptions!$B44)*EE44*AN44,"")</f>
        <v>0</v>
      </c>
      <c r="CK44" s="41">
        <f ca="1">IFERROR(SUMIFS('TRA balance'!AL$5:AL$40,'TRA balance'!$C$5:$C$40,Assumptions!$C44,'TRA balance'!$D$5:$D$40,Assumptions!$B44)*EF44*AO44,"")</f>
        <v>0</v>
      </c>
      <c r="CL44" s="41">
        <f ca="1">IFERROR(SUMIFS('TRA balance'!AM$5:AM$40,'TRA balance'!$C$5:$C$40,Assumptions!$C44,'TRA balance'!$D$5:$D$40,Assumptions!$B44)*EG44*AP44,"")</f>
        <v>0</v>
      </c>
      <c r="CM44" s="41">
        <f ca="1">IFERROR(SUMIFS('TRA balance'!AN$5:AN$40,'TRA balance'!$C$5:$C$40,Assumptions!$C44,'TRA balance'!$D$5:$D$40,Assumptions!$B44)*EH44*AQ44,"")</f>
        <v>0</v>
      </c>
      <c r="CN44" s="41">
        <f ca="1">IFERROR(SUMIFS('TRA balance'!AO$5:AO$40,'TRA balance'!$C$5:$C$40,Assumptions!$C44,'TRA balance'!$D$5:$D$40,Assumptions!$B44)*EI44*AR44,"")</f>
        <v>0</v>
      </c>
      <c r="CO44" s="41">
        <f ca="1">IFERROR(SUMIFS('TRA balance'!AP$5:AP$40,'TRA balance'!$C$5:$C$40,Assumptions!$C44,'TRA balance'!$D$5:$D$40,Assumptions!$B44)*EJ44*AS44,"")</f>
        <v>0</v>
      </c>
      <c r="CP44" s="41">
        <f ca="1">IFERROR(SUMIFS('TRA balance'!AQ$5:AQ$40,'TRA balance'!$C$5:$C$40,Assumptions!$C44,'TRA balance'!$D$5:$D$40,Assumptions!$B44)*EK44*AT44,"")</f>
        <v>0</v>
      </c>
      <c r="CQ44" s="41">
        <f ca="1">IFERROR(SUMIFS('TRA balance'!AR$5:AR$40,'TRA balance'!$C$5:$C$40,Assumptions!$C44,'TRA balance'!$D$5:$D$40,Assumptions!$B44)*EL44*AU44,"")</f>
        <v>0</v>
      </c>
      <c r="CR44" s="41">
        <f ca="1">IFERROR(SUMIFS('TRA balance'!AS$5:AS$40,'TRA balance'!$C$5:$C$40,Assumptions!$C44,'TRA balance'!$D$5:$D$40,Assumptions!$B44)*EM44*AV44,"")</f>
        <v>0</v>
      </c>
      <c r="CS44" s="41">
        <f ca="1">IFERROR(SUMIFS('TRA balance'!AT$5:AT$40,'TRA balance'!$C$5:$C$40,Assumptions!$C44,'TRA balance'!$D$5:$D$40,Assumptions!$B44)*EN44*AW44,"")</f>
        <v>0</v>
      </c>
      <c r="CT44" s="41">
        <f ca="1">IFERROR(SUMIFS('TRA balance'!AU$5:AU$40,'TRA balance'!$C$5:$C$40,Assumptions!$C44,'TRA balance'!$D$5:$D$40,Assumptions!$B44)*EO44*AX44,"")</f>
        <v>0</v>
      </c>
      <c r="CU44" s="41">
        <f ca="1">IFERROR(SUMIFS('TRA balance'!AV$5:AV$40,'TRA balance'!$C$5:$C$40,Assumptions!$C44,'TRA balance'!$D$5:$D$40,Assumptions!$B44)*EP44*AY44,"")</f>
        <v>0</v>
      </c>
      <c r="CV44" s="41">
        <f ca="1">IFERROR(SUMIFS('TRA balance'!AW$5:AW$40,'TRA balance'!$C$5:$C$40,Assumptions!$C44,'TRA balance'!$D$5:$D$40,Assumptions!$B44)*EQ44*AZ44,"")</f>
        <v>0</v>
      </c>
      <c r="CW44" s="41">
        <f ca="1">IFERROR(SUMIFS('TRA balance'!AX$5:AX$40,'TRA balance'!$C$5:$C$40,Assumptions!$C44,'TRA balance'!$D$5:$D$40,Assumptions!$B44)*ER44*BA44,"")</f>
        <v>0</v>
      </c>
      <c r="CY44" s="40">
        <f ca="1" t="shared" si="66"/>
        <v>0.4</v>
      </c>
      <c r="CZ44" s="40">
        <f ca="1" t="shared" si="3"/>
        <v>0.4</v>
      </c>
      <c r="DA44" s="40">
        <f ca="1" t="shared" si="4"/>
        <v>0.75</v>
      </c>
      <c r="DB44" s="40">
        <f ca="1" t="shared" si="5"/>
        <v>0.25</v>
      </c>
      <c r="DC44" s="40">
        <f ca="1" t="shared" si="6"/>
        <v>0.43</v>
      </c>
      <c r="DD44" s="40">
        <f ca="1" t="shared" si="7"/>
        <v>0.25</v>
      </c>
      <c r="DE44" s="40">
        <f ca="1" t="shared" si="8"/>
        <v>0.5</v>
      </c>
      <c r="DF44" s="40">
        <f ca="1" t="shared" si="9"/>
        <v>0.6</v>
      </c>
      <c r="DG44" s="40">
        <f ca="1" t="shared" si="10"/>
        <v>0.43</v>
      </c>
      <c r="DH44" s="40">
        <f ca="1" t="shared" si="11"/>
        <v>0.43</v>
      </c>
      <c r="DI44" s="40">
        <f ca="1" t="shared" si="12"/>
        <v>0.25</v>
      </c>
      <c r="DJ44" s="40">
        <f ca="1" t="shared" si="13"/>
        <v>0.25</v>
      </c>
      <c r="DK44" s="40">
        <f ca="1" t="shared" si="14"/>
        <v>0.25</v>
      </c>
      <c r="DL44" s="40">
        <f ca="1" t="shared" si="15"/>
        <v>0.43</v>
      </c>
      <c r="DM44" s="40">
        <f ca="1" t="shared" si="16"/>
        <v>0.25</v>
      </c>
      <c r="DN44" s="40">
        <f ca="1" t="shared" si="17"/>
        <v>0.75</v>
      </c>
      <c r="DO44" s="40">
        <f ca="1" t="shared" si="18"/>
        <v>0.25</v>
      </c>
      <c r="DP44" s="40">
        <f ca="1" t="shared" si="19"/>
        <v>0.25</v>
      </c>
      <c r="DQ44" s="40">
        <f ca="1" t="shared" si="20"/>
        <v>0.43</v>
      </c>
      <c r="DR44" s="40">
        <f ca="1" t="shared" si="21"/>
        <v>0.5</v>
      </c>
      <c r="DS44" s="40">
        <f ca="1" t="shared" si="22"/>
        <v>0.4</v>
      </c>
      <c r="DT44" s="40">
        <f ca="1" t="shared" si="23"/>
        <v>0.280785282844377</v>
      </c>
      <c r="DU44" s="40">
        <f ca="1" t="shared" si="24"/>
        <v>0.25</v>
      </c>
      <c r="DV44" s="40">
        <f ca="1" t="shared" si="25"/>
        <v>0.43</v>
      </c>
      <c r="DW44" s="40">
        <f ca="1" t="shared" si="26"/>
        <v>0.3</v>
      </c>
      <c r="DX44" s="40">
        <f ca="1" t="shared" si="27"/>
        <v>0.43</v>
      </c>
      <c r="DY44" s="40">
        <f ca="1" t="shared" si="28"/>
        <v>0.4</v>
      </c>
      <c r="DZ44" s="40">
        <f ca="1" t="shared" si="29"/>
        <v>0.4</v>
      </c>
      <c r="EA44" s="40">
        <f ca="1" t="shared" si="30"/>
        <v>0.25</v>
      </c>
      <c r="EB44" s="40">
        <f ca="1" t="shared" si="31"/>
        <v>0.25</v>
      </c>
      <c r="EC44" s="40">
        <f ca="1" t="shared" si="32"/>
        <v>0.25</v>
      </c>
      <c r="ED44" s="40">
        <f ca="1" t="shared" si="33"/>
        <v>0.4</v>
      </c>
      <c r="EE44" s="40">
        <f ca="1" t="shared" si="34"/>
        <v>0.25</v>
      </c>
      <c r="EF44" s="40">
        <f ca="1" t="shared" si="35"/>
        <v>0.43</v>
      </c>
      <c r="EG44" s="40">
        <f ca="1" t="shared" si="36"/>
        <v>0.43</v>
      </c>
      <c r="EH44" s="40">
        <f ca="1" t="shared" si="37"/>
        <v>0.280785282844377</v>
      </c>
      <c r="EI44" s="40">
        <f ca="1" t="shared" si="38"/>
        <v>0.280785282844377</v>
      </c>
      <c r="EJ44" s="40">
        <f ca="1" t="shared" si="39"/>
        <v>0.280785282844377</v>
      </c>
      <c r="EK44" s="40">
        <f ca="1" t="shared" si="40"/>
        <v>0.280785282844377</v>
      </c>
      <c r="EL44" s="40">
        <f ca="1" t="shared" si="41"/>
        <v>0.280785282844377</v>
      </c>
      <c r="EM44" s="40">
        <f ca="1" t="shared" si="42"/>
        <v>0.280785282844377</v>
      </c>
      <c r="EN44" s="40">
        <f ca="1" t="shared" si="43"/>
        <v>0.280785282844377</v>
      </c>
      <c r="EO44" s="40">
        <f ca="1" t="shared" si="44"/>
        <v>0.280785282844377</v>
      </c>
      <c r="EP44" s="40">
        <f ca="1" t="shared" si="45"/>
        <v>0.280785282844377</v>
      </c>
      <c r="EQ44" s="40">
        <f ca="1" t="shared" si="46"/>
        <v>0.280785282844377</v>
      </c>
      <c r="ER44" s="40">
        <f ca="1" t="shared" si="47"/>
        <v>0.280785282844377</v>
      </c>
    </row>
    <row r="45" spans="1:148">
      <c r="A45">
        <v>2</v>
      </c>
      <c r="B45" t="str">
        <f>VLOOKUP(F45,'TRA balance'!$BA$5:$BB$14,2,FALSE)</f>
        <v>TRALPG</v>
      </c>
      <c r="C45" s="56" t="str">
        <f t="shared" si="48"/>
        <v>TR</v>
      </c>
      <c r="D45" s="57" t="s">
        <v>200</v>
      </c>
      <c r="E45" s="68" t="s">
        <v>214</v>
      </c>
      <c r="F45" s="58" t="str">
        <f t="shared" ref="F45:F51" si="74">F44</f>
        <v>Liquified Petroleum Gases</v>
      </c>
      <c r="G45" s="56" t="s">
        <v>215</v>
      </c>
      <c r="H45" s="59">
        <f ca="1">OFFSET(TIAM15_assumptions!$G45,0,MATCH(VLOOKUP(Assumptions!H$2,TIAM15_assumptions!$Y$3:$Z$87,2,FALSE),TIAM15_assumptions!$H$2:$V$2,0))</f>
        <v>0</v>
      </c>
      <c r="I45" s="59">
        <f ca="1">OFFSET(TIAM15_assumptions!$G45,0,MATCH(VLOOKUP(Assumptions!I$2,TIAM15_assumptions!$Y$3:$Z$87,2,FALSE),TIAM15_assumptions!$H$2:$V$2,0))</f>
        <v>0</v>
      </c>
      <c r="J45" s="59">
        <f ca="1">OFFSET(TIAM15_assumptions!$G45,0,MATCH(VLOOKUP(Assumptions!J$2,TIAM15_assumptions!$Y$3:$Z$87,2,FALSE),TIAM15_assumptions!$H$2:$V$2,0))</f>
        <v>0</v>
      </c>
      <c r="K45" s="59">
        <f ca="1">OFFSET(TIAM15_assumptions!$G45,0,MATCH(VLOOKUP(Assumptions!K$2,TIAM15_assumptions!$Y$3:$Z$87,2,FALSE),TIAM15_assumptions!$H$2:$V$2,0))</f>
        <v>0</v>
      </c>
      <c r="L45" s="59">
        <f ca="1">OFFSET(TIAM15_assumptions!$G45,0,MATCH(VLOOKUP(Assumptions!L$2,TIAM15_assumptions!$Y$3:$Z$87,2,FALSE),TIAM15_assumptions!$H$2:$V$2,0))</f>
        <v>0</v>
      </c>
      <c r="M45" s="59">
        <f ca="1">OFFSET(TIAM15_assumptions!$G45,0,MATCH(VLOOKUP(Assumptions!M$2,TIAM15_assumptions!$Y$3:$Z$87,2,FALSE),TIAM15_assumptions!$H$2:$V$2,0))</f>
        <v>0</v>
      </c>
      <c r="N45" s="59">
        <f ca="1">OFFSET(TIAM15_assumptions!$G45,0,MATCH(VLOOKUP(Assumptions!N$2,TIAM15_assumptions!$Y$3:$Z$87,2,FALSE),TIAM15_assumptions!$H$2:$V$2,0))</f>
        <v>0</v>
      </c>
      <c r="O45" s="59">
        <f ca="1">OFFSET(TIAM15_assumptions!$G45,0,MATCH(VLOOKUP(Assumptions!O$2,TIAM15_assumptions!$Y$3:$Z$87,2,FALSE),TIAM15_assumptions!$H$2:$V$2,0))</f>
        <v>0</v>
      </c>
      <c r="P45" s="59">
        <f ca="1">OFFSET(TIAM15_assumptions!$G45,0,MATCH(VLOOKUP(Assumptions!P$2,TIAM15_assumptions!$Y$3:$Z$87,2,FALSE),TIAM15_assumptions!$H$2:$V$2,0))</f>
        <v>0</v>
      </c>
      <c r="Q45" s="59">
        <f ca="1">OFFSET(TIAM15_assumptions!$G45,0,MATCH(VLOOKUP(Assumptions!Q$2,TIAM15_assumptions!$Y$3:$Z$87,2,FALSE),TIAM15_assumptions!$H$2:$V$2,0))</f>
        <v>0</v>
      </c>
      <c r="R45" s="59">
        <f ca="1">OFFSET(TIAM15_assumptions!$G45,0,MATCH(VLOOKUP(Assumptions!R$2,TIAM15_assumptions!$Y$3:$Z$87,2,FALSE),TIAM15_assumptions!$H$2:$V$2,0))</f>
        <v>0</v>
      </c>
      <c r="S45" s="59">
        <f ca="1">OFFSET(TIAM15_assumptions!$G45,0,MATCH(VLOOKUP(Assumptions!S$2,TIAM15_assumptions!$Y$3:$Z$87,2,FALSE),TIAM15_assumptions!$H$2:$V$2,0))</f>
        <v>0</v>
      </c>
      <c r="T45" s="59">
        <f ca="1">OFFSET(TIAM15_assumptions!$G45,0,MATCH(VLOOKUP(Assumptions!T$2,TIAM15_assumptions!$Y$3:$Z$87,2,FALSE),TIAM15_assumptions!$H$2:$V$2,0))</f>
        <v>0</v>
      </c>
      <c r="U45" s="59">
        <f ca="1">OFFSET(TIAM15_assumptions!$G45,0,MATCH(VLOOKUP(Assumptions!U$2,TIAM15_assumptions!$Y$3:$Z$87,2,FALSE),TIAM15_assumptions!$H$2:$V$2,0))</f>
        <v>0</v>
      </c>
      <c r="V45" s="59">
        <f ca="1">OFFSET(TIAM15_assumptions!$G45,0,MATCH(VLOOKUP(Assumptions!V$2,TIAM15_assumptions!$Y$3:$Z$87,2,FALSE),TIAM15_assumptions!$H$2:$V$2,0))</f>
        <v>0</v>
      </c>
      <c r="W45" s="59">
        <f ca="1">OFFSET(TIAM15_assumptions!$G45,0,MATCH(VLOOKUP(Assumptions!W$2,TIAM15_assumptions!$Y$3:$Z$87,2,FALSE),TIAM15_assumptions!$H$2:$V$2,0))</f>
        <v>0</v>
      </c>
      <c r="X45" s="59">
        <f ca="1">OFFSET(TIAM15_assumptions!$G45,0,MATCH(VLOOKUP(Assumptions!X$2,TIAM15_assumptions!$Y$3:$Z$87,2,FALSE),TIAM15_assumptions!$H$2:$V$2,0))</f>
        <v>0</v>
      </c>
      <c r="Y45" s="59">
        <f ca="1">OFFSET(TIAM15_assumptions!$G45,0,MATCH(VLOOKUP(Assumptions!Y$2,TIAM15_assumptions!$Y$3:$Z$87,2,FALSE),TIAM15_assumptions!$H$2:$V$2,0))</f>
        <v>0</v>
      </c>
      <c r="Z45" s="59">
        <f ca="1">OFFSET(TIAM15_assumptions!$G45,0,MATCH(VLOOKUP(Assumptions!Z$2,TIAM15_assumptions!$Y$3:$Z$87,2,FALSE),TIAM15_assumptions!$H$2:$V$2,0))</f>
        <v>0</v>
      </c>
      <c r="AA45" s="59">
        <f ca="1">OFFSET(TIAM15_assumptions!$G45,0,MATCH(VLOOKUP(Assumptions!AA$2,TIAM15_assumptions!$Y$3:$Z$87,2,FALSE),TIAM15_assumptions!$H$2:$V$2,0))</f>
        <v>0</v>
      </c>
      <c r="AB45" s="59">
        <f ca="1">OFFSET(TIAM15_assumptions!$G45,0,MATCH(VLOOKUP(Assumptions!AB$2,TIAM15_assumptions!$Y$3:$Z$87,2,FALSE),TIAM15_assumptions!$H$2:$V$2,0))</f>
        <v>0</v>
      </c>
      <c r="AC45" s="59">
        <f ca="1">OFFSET(TIAM15_assumptions!$G45,0,MATCH(VLOOKUP(Assumptions!AC$2,TIAM15_assumptions!$Y$3:$Z$87,2,FALSE),TIAM15_assumptions!$H$2:$V$2,0))</f>
        <v>0</v>
      </c>
      <c r="AD45" s="59">
        <f ca="1">OFFSET(TIAM15_assumptions!$G45,0,MATCH(VLOOKUP(Assumptions!AD$2,TIAM15_assumptions!$Y$3:$Z$87,2,FALSE),TIAM15_assumptions!$H$2:$V$2,0))</f>
        <v>0</v>
      </c>
      <c r="AE45" s="59">
        <f ca="1">OFFSET(TIAM15_assumptions!$G45,0,MATCH(VLOOKUP(Assumptions!AE$2,TIAM15_assumptions!$Y$3:$Z$87,2,FALSE),TIAM15_assumptions!$H$2:$V$2,0))</f>
        <v>0</v>
      </c>
      <c r="AF45" s="59">
        <f ca="1">OFFSET(TIAM15_assumptions!$G45,0,MATCH(VLOOKUP(Assumptions!AF$2,TIAM15_assumptions!$Y$3:$Z$87,2,FALSE),TIAM15_assumptions!$H$2:$V$2,0))</f>
        <v>0</v>
      </c>
      <c r="AG45" s="59">
        <f ca="1">OFFSET(TIAM15_assumptions!$G45,0,MATCH(VLOOKUP(Assumptions!AG$2,TIAM15_assumptions!$Y$3:$Z$87,2,FALSE),TIAM15_assumptions!$H$2:$V$2,0))</f>
        <v>0</v>
      </c>
      <c r="AH45" s="59">
        <f ca="1">OFFSET(TIAM15_assumptions!$G45,0,MATCH(VLOOKUP(Assumptions!AH$2,TIAM15_assumptions!$Y$3:$Z$87,2,FALSE),TIAM15_assumptions!$H$2:$V$2,0))</f>
        <v>0</v>
      </c>
      <c r="AI45" s="59">
        <f ca="1">OFFSET(TIAM15_assumptions!$G45,0,MATCH(VLOOKUP(Assumptions!AI$2,TIAM15_assumptions!$Y$3:$Z$87,2,FALSE),TIAM15_assumptions!$H$2:$V$2,0))</f>
        <v>0</v>
      </c>
      <c r="AJ45" s="59">
        <f ca="1">OFFSET(TIAM15_assumptions!$G45,0,MATCH(VLOOKUP(Assumptions!AJ$2,TIAM15_assumptions!$Y$3:$Z$87,2,FALSE),TIAM15_assumptions!$H$2:$V$2,0))</f>
        <v>0</v>
      </c>
      <c r="AK45" s="59">
        <f ca="1">OFFSET(TIAM15_assumptions!$G45,0,MATCH(VLOOKUP(Assumptions!AK$2,TIAM15_assumptions!$Y$3:$Z$87,2,FALSE),TIAM15_assumptions!$H$2:$V$2,0))</f>
        <v>0</v>
      </c>
      <c r="AL45" s="59">
        <f ca="1">OFFSET(TIAM15_assumptions!$G45,0,MATCH(VLOOKUP(Assumptions!AL$2,TIAM15_assumptions!$Y$3:$Z$87,2,FALSE),TIAM15_assumptions!$H$2:$V$2,0))</f>
        <v>0</v>
      </c>
      <c r="AM45" s="59">
        <f ca="1">OFFSET(TIAM15_assumptions!$G45,0,MATCH(VLOOKUP(Assumptions!AM$2,TIAM15_assumptions!$Y$3:$Z$87,2,FALSE),TIAM15_assumptions!$H$2:$V$2,0))</f>
        <v>0</v>
      </c>
      <c r="AN45" s="59">
        <f ca="1">OFFSET(TIAM15_assumptions!$G45,0,MATCH(VLOOKUP(Assumptions!AN$2,TIAM15_assumptions!$Y$3:$Z$87,2,FALSE),TIAM15_assumptions!$H$2:$V$2,0))</f>
        <v>0</v>
      </c>
      <c r="AO45" s="59">
        <f ca="1">OFFSET(TIAM15_assumptions!$G45,0,MATCH(VLOOKUP(Assumptions!AO$2,TIAM15_assumptions!$Y$3:$Z$87,2,FALSE),TIAM15_assumptions!$H$2:$V$2,0))</f>
        <v>0</v>
      </c>
      <c r="AP45" s="59">
        <f ca="1">OFFSET(TIAM15_assumptions!$G45,0,MATCH(VLOOKUP(Assumptions!AP$2,TIAM15_assumptions!$Y$3:$Z$87,2,FALSE),TIAM15_assumptions!$H$2:$V$2,0))</f>
        <v>0</v>
      </c>
      <c r="AQ45" s="59">
        <f ca="1">OFFSET(TIAM15_assumptions!$G45,0,MATCH(VLOOKUP(Assumptions!AQ$2,TIAM15_assumptions!$Y$3:$Z$87,2,FALSE),TIAM15_assumptions!$H$2:$V$2,0))</f>
        <v>0</v>
      </c>
      <c r="AR45" s="59">
        <f ca="1">OFFSET(TIAM15_assumptions!$G45,0,MATCH(VLOOKUP(Assumptions!AR$2,TIAM15_assumptions!$Y$3:$Z$87,2,FALSE),TIAM15_assumptions!$H$2:$V$2,0))</f>
        <v>0</v>
      </c>
      <c r="AS45" s="59">
        <f ca="1">OFFSET(TIAM15_assumptions!$G45,0,MATCH(VLOOKUP(Assumptions!AS$2,TIAM15_assumptions!$Y$3:$Z$87,2,FALSE),TIAM15_assumptions!$H$2:$V$2,0))</f>
        <v>0</v>
      </c>
      <c r="AT45" s="59">
        <f ca="1">OFFSET(TIAM15_assumptions!$G45,0,MATCH(VLOOKUP(Assumptions!AT$2,TIAM15_assumptions!$Y$3:$Z$87,2,FALSE),TIAM15_assumptions!$H$2:$V$2,0))</f>
        <v>0</v>
      </c>
      <c r="AU45" s="59">
        <f ca="1">OFFSET(TIAM15_assumptions!$G45,0,MATCH(VLOOKUP(Assumptions!AU$2,TIAM15_assumptions!$Y$3:$Z$87,2,FALSE),TIAM15_assumptions!$H$2:$V$2,0))</f>
        <v>0</v>
      </c>
      <c r="AV45" s="59">
        <f ca="1">OFFSET(TIAM15_assumptions!$G45,0,MATCH(VLOOKUP(Assumptions!AV$2,TIAM15_assumptions!$Y$3:$Z$87,2,FALSE),TIAM15_assumptions!$H$2:$V$2,0))</f>
        <v>0</v>
      </c>
      <c r="AW45" s="59">
        <f ca="1">OFFSET(TIAM15_assumptions!$G45,0,MATCH(VLOOKUP(Assumptions!AW$2,TIAM15_assumptions!$Y$3:$Z$87,2,FALSE),TIAM15_assumptions!$H$2:$V$2,0))</f>
        <v>0</v>
      </c>
      <c r="AX45" s="59">
        <f ca="1">OFFSET(TIAM15_assumptions!$G45,0,MATCH(VLOOKUP(Assumptions!AX$2,TIAM15_assumptions!$Y$3:$Z$87,2,FALSE),TIAM15_assumptions!$H$2:$V$2,0))</f>
        <v>0</v>
      </c>
      <c r="AY45" s="59">
        <f ca="1">OFFSET(TIAM15_assumptions!$G45,0,MATCH(VLOOKUP(Assumptions!AY$2,TIAM15_assumptions!$Y$3:$Z$87,2,FALSE),TIAM15_assumptions!$H$2:$V$2,0))</f>
        <v>0</v>
      </c>
      <c r="AZ45" s="59">
        <f ca="1">OFFSET(TIAM15_assumptions!$G45,0,MATCH(VLOOKUP(Assumptions!AZ$2,TIAM15_assumptions!$Y$3:$Z$87,2,FALSE),TIAM15_assumptions!$H$2:$V$2,0))</f>
        <v>0</v>
      </c>
      <c r="BA45" s="59">
        <f ca="1">OFFSET(TIAM15_assumptions!$G45,0,MATCH(VLOOKUP(Assumptions!BA$2,TIAM15_assumptions!$Y$3:$Z$87,2,FALSE),TIAM15_assumptions!$H$2:$V$2,0))</f>
        <v>0</v>
      </c>
      <c r="BD45" s="41">
        <f ca="1">IFERROR(SUMIFS('TRA balance'!E$5:E$40,'TRA balance'!$C$5:$C$40,Assumptions!$C45,'TRA balance'!$D$5:$D$40,Assumptions!$B45)*CY45*H45,"")</f>
        <v>0</v>
      </c>
      <c r="BE45" s="41">
        <f ca="1">IFERROR(SUMIFS('TRA balance'!F$5:F$40,'TRA balance'!$C$5:$C$40,Assumptions!$C45,'TRA balance'!$D$5:$D$40,Assumptions!$B45)*CZ45*I45,"")</f>
        <v>0</v>
      </c>
      <c r="BF45" s="41">
        <f ca="1">IFERROR(SUMIFS('TRA balance'!G$5:G$40,'TRA balance'!$C$5:$C$40,Assumptions!$C45,'TRA balance'!$D$5:$D$40,Assumptions!$B45)*DA45*J45,"")</f>
        <v>0</v>
      </c>
      <c r="BG45" s="41">
        <f ca="1">IFERROR(SUMIFS('TRA balance'!H$5:H$40,'TRA balance'!$C$5:$C$40,Assumptions!$C45,'TRA balance'!$D$5:$D$40,Assumptions!$B45)*DB45*K45,"")</f>
        <v>0</v>
      </c>
      <c r="BH45" s="41">
        <f ca="1">IFERROR(SUMIFS('TRA balance'!I$5:I$40,'TRA balance'!$C$5:$C$40,Assumptions!$C45,'TRA balance'!$D$5:$D$40,Assumptions!$B45)*DC45*L45,"")</f>
        <v>0</v>
      </c>
      <c r="BI45" s="41">
        <f ca="1">IFERROR(SUMIFS('TRA balance'!J$5:J$40,'TRA balance'!$C$5:$C$40,Assumptions!$C45,'TRA balance'!$D$5:$D$40,Assumptions!$B45)*DD45*M45,"")</f>
        <v>0</v>
      </c>
      <c r="BJ45" s="41">
        <f ca="1">IFERROR(SUMIFS('TRA balance'!K$5:K$40,'TRA balance'!$C$5:$C$40,Assumptions!$C45,'TRA balance'!$D$5:$D$40,Assumptions!$B45)*DE45*N45,"")</f>
        <v>0</v>
      </c>
      <c r="BK45" s="41">
        <f ca="1">IFERROR(SUMIFS('TRA balance'!L$5:L$40,'TRA balance'!$C$5:$C$40,Assumptions!$C45,'TRA balance'!$D$5:$D$40,Assumptions!$B45)*DF45*O45,"")</f>
        <v>0</v>
      </c>
      <c r="BL45" s="41">
        <f ca="1">IFERROR(SUMIFS('TRA balance'!M$5:M$40,'TRA balance'!$C$5:$C$40,Assumptions!$C45,'TRA balance'!$D$5:$D$40,Assumptions!$B45)*DG45*P45,"")</f>
        <v>0</v>
      </c>
      <c r="BM45" s="41">
        <f ca="1">IFERROR(SUMIFS('TRA balance'!N$5:N$40,'TRA balance'!$C$5:$C$40,Assumptions!$C45,'TRA balance'!$D$5:$D$40,Assumptions!$B45)*DH45*Q45,"")</f>
        <v>0</v>
      </c>
      <c r="BN45" s="41">
        <f ca="1">IFERROR(SUMIFS('TRA balance'!O$5:O$40,'TRA balance'!$C$5:$C$40,Assumptions!$C45,'TRA balance'!$D$5:$D$40,Assumptions!$B45)*DI45*R45,"")</f>
        <v>0</v>
      </c>
      <c r="BO45" s="41">
        <f ca="1">IFERROR(SUMIFS('TRA balance'!P$5:P$40,'TRA balance'!$C$5:$C$40,Assumptions!$C45,'TRA balance'!$D$5:$D$40,Assumptions!$B45)*DJ45*S45,"")</f>
        <v>0</v>
      </c>
      <c r="BP45" s="41">
        <f ca="1">IFERROR(SUMIFS('TRA balance'!Q$5:Q$40,'TRA balance'!$C$5:$C$40,Assumptions!$C45,'TRA balance'!$D$5:$D$40,Assumptions!$B45)*DK45*T45,"")</f>
        <v>0</v>
      </c>
      <c r="BQ45" s="41">
        <f ca="1">IFERROR(SUMIFS('TRA balance'!R$5:R$40,'TRA balance'!$C$5:$C$40,Assumptions!$C45,'TRA balance'!$D$5:$D$40,Assumptions!$B45)*DL45*U45,"")</f>
        <v>0</v>
      </c>
      <c r="BR45" s="41">
        <f ca="1">IFERROR(SUMIFS('TRA balance'!S$5:S$40,'TRA balance'!$C$5:$C$40,Assumptions!$C45,'TRA balance'!$D$5:$D$40,Assumptions!$B45)*DM45*V45,"")</f>
        <v>0</v>
      </c>
      <c r="BS45" s="41">
        <f ca="1">IFERROR(SUMIFS('TRA balance'!T$5:T$40,'TRA balance'!$C$5:$C$40,Assumptions!$C45,'TRA balance'!$D$5:$D$40,Assumptions!$B45)*DN45*W45,"")</f>
        <v>0</v>
      </c>
      <c r="BT45" s="41">
        <f ca="1">IFERROR(SUMIFS('TRA balance'!U$5:U$40,'TRA balance'!$C$5:$C$40,Assumptions!$C45,'TRA balance'!$D$5:$D$40,Assumptions!$B45)*DO45*X45,"")</f>
        <v>0</v>
      </c>
      <c r="BU45" s="41">
        <f ca="1">IFERROR(SUMIFS('TRA balance'!V$5:V$40,'TRA balance'!$C$5:$C$40,Assumptions!$C45,'TRA balance'!$D$5:$D$40,Assumptions!$B45)*DP45*Y45,"")</f>
        <v>0</v>
      </c>
      <c r="BV45" s="41">
        <f ca="1">IFERROR(SUMIFS('TRA balance'!W$5:W$40,'TRA balance'!$C$5:$C$40,Assumptions!$C45,'TRA balance'!$D$5:$D$40,Assumptions!$B45)*DQ45*Z45,"")</f>
        <v>0</v>
      </c>
      <c r="BW45" s="41">
        <f ca="1">IFERROR(SUMIFS('TRA balance'!X$5:X$40,'TRA balance'!$C$5:$C$40,Assumptions!$C45,'TRA balance'!$D$5:$D$40,Assumptions!$B45)*DR45*AA45,"")</f>
        <v>0</v>
      </c>
      <c r="BX45" s="41">
        <f ca="1">IFERROR(SUMIFS('TRA balance'!Y$5:Y$40,'TRA balance'!$C$5:$C$40,Assumptions!$C45,'TRA balance'!$D$5:$D$40,Assumptions!$B45)*DS45*AB45,"")</f>
        <v>0</v>
      </c>
      <c r="BY45" s="41">
        <f ca="1">IFERROR(SUMIFS('TRA balance'!Z$5:Z$40,'TRA balance'!$C$5:$C$40,Assumptions!$C45,'TRA balance'!$D$5:$D$40,Assumptions!$B45)*DT45*AC45,"")</f>
        <v>0</v>
      </c>
      <c r="BZ45" s="41">
        <f ca="1">IFERROR(SUMIFS('TRA balance'!AA$5:AA$40,'TRA balance'!$C$5:$C$40,Assumptions!$C45,'TRA balance'!$D$5:$D$40,Assumptions!$B45)*DU45*AD45,"")</f>
        <v>0</v>
      </c>
      <c r="CA45" s="41">
        <f ca="1">IFERROR(SUMIFS('TRA balance'!AB$5:AB$40,'TRA balance'!$C$5:$C$40,Assumptions!$C45,'TRA balance'!$D$5:$D$40,Assumptions!$B45)*DV45*AE45,"")</f>
        <v>0</v>
      </c>
      <c r="CB45" s="41">
        <f ca="1">IFERROR(SUMIFS('TRA balance'!AC$5:AC$40,'TRA balance'!$C$5:$C$40,Assumptions!$C45,'TRA balance'!$D$5:$D$40,Assumptions!$B45)*DW45*AF45,"")</f>
        <v>0</v>
      </c>
      <c r="CC45" s="41">
        <f ca="1">IFERROR(SUMIFS('TRA balance'!AD$5:AD$40,'TRA balance'!$C$5:$C$40,Assumptions!$C45,'TRA balance'!$D$5:$D$40,Assumptions!$B45)*DX45*AG45,"")</f>
        <v>0</v>
      </c>
      <c r="CD45" s="41">
        <f ca="1">IFERROR(SUMIFS('TRA balance'!AE$5:AE$40,'TRA balance'!$C$5:$C$40,Assumptions!$C45,'TRA balance'!$D$5:$D$40,Assumptions!$B45)*DY45*AH45,"")</f>
        <v>0</v>
      </c>
      <c r="CE45" s="41">
        <f ca="1">IFERROR(SUMIFS('TRA balance'!AF$5:AF$40,'TRA balance'!$C$5:$C$40,Assumptions!$C45,'TRA balance'!$D$5:$D$40,Assumptions!$B45)*DZ45*AI45,"")</f>
        <v>0</v>
      </c>
      <c r="CF45" s="41">
        <f ca="1">IFERROR(SUMIFS('TRA balance'!AG$5:AG$40,'TRA balance'!$C$5:$C$40,Assumptions!$C45,'TRA balance'!$D$5:$D$40,Assumptions!$B45)*EA45*AJ45,"")</f>
        <v>0</v>
      </c>
      <c r="CG45" s="41">
        <f ca="1">IFERROR(SUMIFS('TRA balance'!AH$5:AH$40,'TRA balance'!$C$5:$C$40,Assumptions!$C45,'TRA balance'!$D$5:$D$40,Assumptions!$B45)*EB45*AK45,"")</f>
        <v>0</v>
      </c>
      <c r="CH45" s="41">
        <f ca="1">IFERROR(SUMIFS('TRA balance'!AI$5:AI$40,'TRA balance'!$C$5:$C$40,Assumptions!$C45,'TRA balance'!$D$5:$D$40,Assumptions!$B45)*EC45*AL45,"")</f>
        <v>0</v>
      </c>
      <c r="CI45" s="41">
        <f ca="1">IFERROR(SUMIFS('TRA balance'!AJ$5:AJ$40,'TRA balance'!$C$5:$C$40,Assumptions!$C45,'TRA balance'!$D$5:$D$40,Assumptions!$B45)*ED45*AM45,"")</f>
        <v>0</v>
      </c>
      <c r="CJ45" s="41">
        <f ca="1">IFERROR(SUMIFS('TRA balance'!AK$5:AK$40,'TRA balance'!$C$5:$C$40,Assumptions!$C45,'TRA balance'!$D$5:$D$40,Assumptions!$B45)*EE45*AN45,"")</f>
        <v>0</v>
      </c>
      <c r="CK45" s="41">
        <f ca="1">IFERROR(SUMIFS('TRA balance'!AL$5:AL$40,'TRA balance'!$C$5:$C$40,Assumptions!$C45,'TRA balance'!$D$5:$D$40,Assumptions!$B45)*EF45*AO45,"")</f>
        <v>0</v>
      </c>
      <c r="CL45" s="41">
        <f ca="1">IFERROR(SUMIFS('TRA balance'!AM$5:AM$40,'TRA balance'!$C$5:$C$40,Assumptions!$C45,'TRA balance'!$D$5:$D$40,Assumptions!$B45)*EG45*AP45,"")</f>
        <v>0</v>
      </c>
      <c r="CM45" s="41">
        <f ca="1">IFERROR(SUMIFS('TRA balance'!AN$5:AN$40,'TRA balance'!$C$5:$C$40,Assumptions!$C45,'TRA balance'!$D$5:$D$40,Assumptions!$B45)*EH45*AQ45,"")</f>
        <v>0</v>
      </c>
      <c r="CN45" s="41">
        <f ca="1">IFERROR(SUMIFS('TRA balance'!AO$5:AO$40,'TRA balance'!$C$5:$C$40,Assumptions!$C45,'TRA balance'!$D$5:$D$40,Assumptions!$B45)*EI45*AR45,"")</f>
        <v>0</v>
      </c>
      <c r="CO45" s="41">
        <f ca="1">IFERROR(SUMIFS('TRA balance'!AP$5:AP$40,'TRA balance'!$C$5:$C$40,Assumptions!$C45,'TRA balance'!$D$5:$D$40,Assumptions!$B45)*EJ45*AS45,"")</f>
        <v>0</v>
      </c>
      <c r="CP45" s="41">
        <f ca="1">IFERROR(SUMIFS('TRA balance'!AQ$5:AQ$40,'TRA balance'!$C$5:$C$40,Assumptions!$C45,'TRA balance'!$D$5:$D$40,Assumptions!$B45)*EK45*AT45,"")</f>
        <v>0</v>
      </c>
      <c r="CQ45" s="41">
        <f ca="1">IFERROR(SUMIFS('TRA balance'!AR$5:AR$40,'TRA balance'!$C$5:$C$40,Assumptions!$C45,'TRA balance'!$D$5:$D$40,Assumptions!$B45)*EL45*AU45,"")</f>
        <v>0</v>
      </c>
      <c r="CR45" s="41">
        <f ca="1">IFERROR(SUMIFS('TRA balance'!AS$5:AS$40,'TRA balance'!$C$5:$C$40,Assumptions!$C45,'TRA balance'!$D$5:$D$40,Assumptions!$B45)*EM45*AV45,"")</f>
        <v>0</v>
      </c>
      <c r="CS45" s="41">
        <f ca="1">IFERROR(SUMIFS('TRA balance'!AT$5:AT$40,'TRA balance'!$C$5:$C$40,Assumptions!$C45,'TRA balance'!$D$5:$D$40,Assumptions!$B45)*EN45*AW45,"")</f>
        <v>0</v>
      </c>
      <c r="CT45" s="41">
        <f ca="1">IFERROR(SUMIFS('TRA balance'!AU$5:AU$40,'TRA balance'!$C$5:$C$40,Assumptions!$C45,'TRA balance'!$D$5:$D$40,Assumptions!$B45)*EO45*AX45,"")</f>
        <v>0</v>
      </c>
      <c r="CU45" s="41">
        <f ca="1">IFERROR(SUMIFS('TRA balance'!AV$5:AV$40,'TRA balance'!$C$5:$C$40,Assumptions!$C45,'TRA balance'!$D$5:$D$40,Assumptions!$B45)*EP45*AY45,"")</f>
        <v>0</v>
      </c>
      <c r="CV45" s="41">
        <f ca="1">IFERROR(SUMIFS('TRA balance'!AW$5:AW$40,'TRA balance'!$C$5:$C$40,Assumptions!$C45,'TRA balance'!$D$5:$D$40,Assumptions!$B45)*EQ45*AZ45,"")</f>
        <v>0</v>
      </c>
      <c r="CW45" s="41">
        <f ca="1">IFERROR(SUMIFS('TRA balance'!AX$5:AX$40,'TRA balance'!$C$5:$C$40,Assumptions!$C45,'TRA balance'!$D$5:$D$40,Assumptions!$B45)*ER45*BA45,"")</f>
        <v>0</v>
      </c>
      <c r="CY45" s="40">
        <f ca="1" t="shared" si="66"/>
        <v>0.4</v>
      </c>
      <c r="CZ45" s="40">
        <f ca="1" t="shared" si="3"/>
        <v>0.4</v>
      </c>
      <c r="DA45" s="40">
        <f ca="1" t="shared" si="4"/>
        <v>0.75</v>
      </c>
      <c r="DB45" s="40">
        <f ca="1" t="shared" si="5"/>
        <v>0.25</v>
      </c>
      <c r="DC45" s="40">
        <f ca="1" t="shared" si="6"/>
        <v>0.43</v>
      </c>
      <c r="DD45" s="40">
        <f ca="1" t="shared" si="7"/>
        <v>0.25</v>
      </c>
      <c r="DE45" s="40">
        <f ca="1" t="shared" si="8"/>
        <v>0.5</v>
      </c>
      <c r="DF45" s="40">
        <f ca="1" t="shared" si="9"/>
        <v>0.6</v>
      </c>
      <c r="DG45" s="40">
        <f ca="1" t="shared" si="10"/>
        <v>0.43</v>
      </c>
      <c r="DH45" s="40">
        <f ca="1" t="shared" si="11"/>
        <v>0.43</v>
      </c>
      <c r="DI45" s="40">
        <f ca="1" t="shared" si="12"/>
        <v>0.25</v>
      </c>
      <c r="DJ45" s="40">
        <f ca="1" t="shared" si="13"/>
        <v>0.25</v>
      </c>
      <c r="DK45" s="40">
        <f ca="1" t="shared" si="14"/>
        <v>0.25</v>
      </c>
      <c r="DL45" s="40">
        <f ca="1" t="shared" si="15"/>
        <v>0.43</v>
      </c>
      <c r="DM45" s="40">
        <f ca="1" t="shared" si="16"/>
        <v>0.25</v>
      </c>
      <c r="DN45" s="40">
        <f ca="1" t="shared" si="17"/>
        <v>0.75</v>
      </c>
      <c r="DO45" s="40">
        <f ca="1" t="shared" si="18"/>
        <v>0.25</v>
      </c>
      <c r="DP45" s="40">
        <f ca="1" t="shared" si="19"/>
        <v>0.25</v>
      </c>
      <c r="DQ45" s="40">
        <f ca="1" t="shared" si="20"/>
        <v>0.43</v>
      </c>
      <c r="DR45" s="40">
        <f ca="1" t="shared" si="21"/>
        <v>0.5</v>
      </c>
      <c r="DS45" s="40">
        <f ca="1" t="shared" si="22"/>
        <v>0.4</v>
      </c>
      <c r="DT45" s="40">
        <f ca="1" t="shared" si="23"/>
        <v>0.280785282844377</v>
      </c>
      <c r="DU45" s="40">
        <f ca="1" t="shared" si="24"/>
        <v>0.25</v>
      </c>
      <c r="DV45" s="40">
        <f ca="1" t="shared" si="25"/>
        <v>0.43</v>
      </c>
      <c r="DW45" s="40">
        <f ca="1" t="shared" si="26"/>
        <v>0.3</v>
      </c>
      <c r="DX45" s="40">
        <f ca="1" t="shared" si="27"/>
        <v>0.43</v>
      </c>
      <c r="DY45" s="40">
        <f ca="1" t="shared" si="28"/>
        <v>0.4</v>
      </c>
      <c r="DZ45" s="40">
        <f ca="1" t="shared" si="29"/>
        <v>0.4</v>
      </c>
      <c r="EA45" s="40">
        <f ca="1" t="shared" si="30"/>
        <v>0.25</v>
      </c>
      <c r="EB45" s="40">
        <f ca="1" t="shared" si="31"/>
        <v>0.25</v>
      </c>
      <c r="EC45" s="40">
        <f ca="1" t="shared" si="32"/>
        <v>0.25</v>
      </c>
      <c r="ED45" s="40">
        <f ca="1" t="shared" si="33"/>
        <v>0.4</v>
      </c>
      <c r="EE45" s="40">
        <f ca="1" t="shared" si="34"/>
        <v>0.25</v>
      </c>
      <c r="EF45" s="40">
        <f ca="1" t="shared" si="35"/>
        <v>0.43</v>
      </c>
      <c r="EG45" s="40">
        <f ca="1" t="shared" si="36"/>
        <v>0.43</v>
      </c>
      <c r="EH45" s="40">
        <f ca="1" t="shared" si="37"/>
        <v>0.280785282844377</v>
      </c>
      <c r="EI45" s="40">
        <f ca="1" t="shared" si="38"/>
        <v>0.280785282844377</v>
      </c>
      <c r="EJ45" s="40">
        <f ca="1" t="shared" si="39"/>
        <v>0.280785282844377</v>
      </c>
      <c r="EK45" s="40">
        <f ca="1" t="shared" si="40"/>
        <v>0.280785282844377</v>
      </c>
      <c r="EL45" s="40">
        <f ca="1" t="shared" si="41"/>
        <v>0.280785282844377</v>
      </c>
      <c r="EM45" s="40">
        <f ca="1" t="shared" si="42"/>
        <v>0.280785282844377</v>
      </c>
      <c r="EN45" s="40">
        <f ca="1" t="shared" si="43"/>
        <v>0.280785282844377</v>
      </c>
      <c r="EO45" s="40">
        <f ca="1" t="shared" si="44"/>
        <v>0.280785282844377</v>
      </c>
      <c r="EP45" s="40">
        <f ca="1" t="shared" si="45"/>
        <v>0.280785282844377</v>
      </c>
      <c r="EQ45" s="40">
        <f ca="1" t="shared" si="46"/>
        <v>0.280785282844377</v>
      </c>
      <c r="ER45" s="40">
        <f ca="1" t="shared" si="47"/>
        <v>0.280785282844377</v>
      </c>
    </row>
    <row r="46" spans="1:148">
      <c r="A46">
        <v>2</v>
      </c>
      <c r="B46" t="str">
        <f>VLOOKUP(F46,'TRA balance'!$BA$5:$BB$14,2,FALSE)</f>
        <v>TRALPG</v>
      </c>
      <c r="C46" s="56" t="str">
        <f t="shared" si="48"/>
        <v>TR</v>
      </c>
      <c r="D46" s="57" t="s">
        <v>200</v>
      </c>
      <c r="E46" s="68" t="s">
        <v>216</v>
      </c>
      <c r="F46" s="58" t="str">
        <f t="shared" si="74"/>
        <v>Liquified Petroleum Gases</v>
      </c>
      <c r="G46" s="56" t="s">
        <v>217</v>
      </c>
      <c r="H46" s="59">
        <f ca="1">OFFSET(TIAM15_assumptions!$G46,0,MATCH(VLOOKUP(Assumptions!H$2,TIAM15_assumptions!$Y$3:$Z$87,2,FALSE),TIAM15_assumptions!$H$2:$V$2,0))</f>
        <v>0</v>
      </c>
      <c r="I46" s="59">
        <f ca="1">OFFSET(TIAM15_assumptions!$G46,0,MATCH(VLOOKUP(Assumptions!I$2,TIAM15_assumptions!$Y$3:$Z$87,2,FALSE),TIAM15_assumptions!$H$2:$V$2,0))</f>
        <v>0</v>
      </c>
      <c r="J46" s="59">
        <f ca="1">OFFSET(TIAM15_assumptions!$G46,0,MATCH(VLOOKUP(Assumptions!J$2,TIAM15_assumptions!$Y$3:$Z$87,2,FALSE),TIAM15_assumptions!$H$2:$V$2,0))</f>
        <v>0</v>
      </c>
      <c r="K46" s="59">
        <f ca="1">OFFSET(TIAM15_assumptions!$G46,0,MATCH(VLOOKUP(Assumptions!K$2,TIAM15_assumptions!$Y$3:$Z$87,2,FALSE),TIAM15_assumptions!$H$2:$V$2,0))</f>
        <v>0</v>
      </c>
      <c r="L46" s="59">
        <f ca="1">OFFSET(TIAM15_assumptions!$G46,0,MATCH(VLOOKUP(Assumptions!L$2,TIAM15_assumptions!$Y$3:$Z$87,2,FALSE),TIAM15_assumptions!$H$2:$V$2,0))</f>
        <v>0</v>
      </c>
      <c r="M46" s="59">
        <f ca="1">OFFSET(TIAM15_assumptions!$G46,0,MATCH(VLOOKUP(Assumptions!M$2,TIAM15_assumptions!$Y$3:$Z$87,2,FALSE),TIAM15_assumptions!$H$2:$V$2,0))</f>
        <v>0</v>
      </c>
      <c r="N46" s="59">
        <f ca="1">OFFSET(TIAM15_assumptions!$G46,0,MATCH(VLOOKUP(Assumptions!N$2,TIAM15_assumptions!$Y$3:$Z$87,2,FALSE),TIAM15_assumptions!$H$2:$V$2,0))</f>
        <v>0</v>
      </c>
      <c r="O46" s="59">
        <f ca="1">OFFSET(TIAM15_assumptions!$G46,0,MATCH(VLOOKUP(Assumptions!O$2,TIAM15_assumptions!$Y$3:$Z$87,2,FALSE),TIAM15_assumptions!$H$2:$V$2,0))</f>
        <v>0</v>
      </c>
      <c r="P46" s="59">
        <f ca="1">OFFSET(TIAM15_assumptions!$G46,0,MATCH(VLOOKUP(Assumptions!P$2,TIAM15_assumptions!$Y$3:$Z$87,2,FALSE),TIAM15_assumptions!$H$2:$V$2,0))</f>
        <v>0</v>
      </c>
      <c r="Q46" s="59">
        <f ca="1">OFFSET(TIAM15_assumptions!$G46,0,MATCH(VLOOKUP(Assumptions!Q$2,TIAM15_assumptions!$Y$3:$Z$87,2,FALSE),TIAM15_assumptions!$H$2:$V$2,0))</f>
        <v>0</v>
      </c>
      <c r="R46" s="59">
        <f ca="1">OFFSET(TIAM15_assumptions!$G46,0,MATCH(VLOOKUP(Assumptions!R$2,TIAM15_assumptions!$Y$3:$Z$87,2,FALSE),TIAM15_assumptions!$H$2:$V$2,0))</f>
        <v>0</v>
      </c>
      <c r="S46" s="59">
        <f ca="1">OFFSET(TIAM15_assumptions!$G46,0,MATCH(VLOOKUP(Assumptions!S$2,TIAM15_assumptions!$Y$3:$Z$87,2,FALSE),TIAM15_assumptions!$H$2:$V$2,0))</f>
        <v>0</v>
      </c>
      <c r="T46" s="59">
        <f ca="1">OFFSET(TIAM15_assumptions!$G46,0,MATCH(VLOOKUP(Assumptions!T$2,TIAM15_assumptions!$Y$3:$Z$87,2,FALSE),TIAM15_assumptions!$H$2:$V$2,0))</f>
        <v>0</v>
      </c>
      <c r="U46" s="59">
        <f ca="1">OFFSET(TIAM15_assumptions!$G46,0,MATCH(VLOOKUP(Assumptions!U$2,TIAM15_assumptions!$Y$3:$Z$87,2,FALSE),TIAM15_assumptions!$H$2:$V$2,0))</f>
        <v>0</v>
      </c>
      <c r="V46" s="59">
        <f ca="1">OFFSET(TIAM15_assumptions!$G46,0,MATCH(VLOOKUP(Assumptions!V$2,TIAM15_assumptions!$Y$3:$Z$87,2,FALSE),TIAM15_assumptions!$H$2:$V$2,0))</f>
        <v>0</v>
      </c>
      <c r="W46" s="59">
        <f ca="1">OFFSET(TIAM15_assumptions!$G46,0,MATCH(VLOOKUP(Assumptions!W$2,TIAM15_assumptions!$Y$3:$Z$87,2,FALSE),TIAM15_assumptions!$H$2:$V$2,0))</f>
        <v>0</v>
      </c>
      <c r="X46" s="59">
        <f ca="1">OFFSET(TIAM15_assumptions!$G46,0,MATCH(VLOOKUP(Assumptions!X$2,TIAM15_assumptions!$Y$3:$Z$87,2,FALSE),TIAM15_assumptions!$H$2:$V$2,0))</f>
        <v>0</v>
      </c>
      <c r="Y46" s="59">
        <f ca="1">OFFSET(TIAM15_assumptions!$G46,0,MATCH(VLOOKUP(Assumptions!Y$2,TIAM15_assumptions!$Y$3:$Z$87,2,FALSE),TIAM15_assumptions!$H$2:$V$2,0))</f>
        <v>0</v>
      </c>
      <c r="Z46" s="59">
        <f ca="1">OFFSET(TIAM15_assumptions!$G46,0,MATCH(VLOOKUP(Assumptions!Z$2,TIAM15_assumptions!$Y$3:$Z$87,2,FALSE),TIAM15_assumptions!$H$2:$V$2,0))</f>
        <v>0</v>
      </c>
      <c r="AA46" s="59">
        <f ca="1">OFFSET(TIAM15_assumptions!$G46,0,MATCH(VLOOKUP(Assumptions!AA$2,TIAM15_assumptions!$Y$3:$Z$87,2,FALSE),TIAM15_assumptions!$H$2:$V$2,0))</f>
        <v>0</v>
      </c>
      <c r="AB46" s="59">
        <f ca="1">OFFSET(TIAM15_assumptions!$G46,0,MATCH(VLOOKUP(Assumptions!AB$2,TIAM15_assumptions!$Y$3:$Z$87,2,FALSE),TIAM15_assumptions!$H$2:$V$2,0))</f>
        <v>0</v>
      </c>
      <c r="AC46" s="59">
        <f ca="1">OFFSET(TIAM15_assumptions!$G46,0,MATCH(VLOOKUP(Assumptions!AC$2,TIAM15_assumptions!$Y$3:$Z$87,2,FALSE),TIAM15_assumptions!$H$2:$V$2,0))</f>
        <v>0</v>
      </c>
      <c r="AD46" s="59">
        <f ca="1">OFFSET(TIAM15_assumptions!$G46,0,MATCH(VLOOKUP(Assumptions!AD$2,TIAM15_assumptions!$Y$3:$Z$87,2,FALSE),TIAM15_assumptions!$H$2:$V$2,0))</f>
        <v>0</v>
      </c>
      <c r="AE46" s="59">
        <f ca="1">OFFSET(TIAM15_assumptions!$G46,0,MATCH(VLOOKUP(Assumptions!AE$2,TIAM15_assumptions!$Y$3:$Z$87,2,FALSE),TIAM15_assumptions!$H$2:$V$2,0))</f>
        <v>0</v>
      </c>
      <c r="AF46" s="59">
        <f ca="1">OFFSET(TIAM15_assumptions!$G46,0,MATCH(VLOOKUP(Assumptions!AF$2,TIAM15_assumptions!$Y$3:$Z$87,2,FALSE),TIAM15_assumptions!$H$2:$V$2,0))</f>
        <v>0</v>
      </c>
      <c r="AG46" s="59">
        <f ca="1">OFFSET(TIAM15_assumptions!$G46,0,MATCH(VLOOKUP(Assumptions!AG$2,TIAM15_assumptions!$Y$3:$Z$87,2,FALSE),TIAM15_assumptions!$H$2:$V$2,0))</f>
        <v>0</v>
      </c>
      <c r="AH46" s="59">
        <f ca="1">OFFSET(TIAM15_assumptions!$G46,0,MATCH(VLOOKUP(Assumptions!AH$2,TIAM15_assumptions!$Y$3:$Z$87,2,FALSE),TIAM15_assumptions!$H$2:$V$2,0))</f>
        <v>0</v>
      </c>
      <c r="AI46" s="59">
        <f ca="1">OFFSET(TIAM15_assumptions!$G46,0,MATCH(VLOOKUP(Assumptions!AI$2,TIAM15_assumptions!$Y$3:$Z$87,2,FALSE),TIAM15_assumptions!$H$2:$V$2,0))</f>
        <v>0</v>
      </c>
      <c r="AJ46" s="59">
        <f ca="1">OFFSET(TIAM15_assumptions!$G46,0,MATCH(VLOOKUP(Assumptions!AJ$2,TIAM15_assumptions!$Y$3:$Z$87,2,FALSE),TIAM15_assumptions!$H$2:$V$2,0))</f>
        <v>0</v>
      </c>
      <c r="AK46" s="59">
        <f ca="1">OFFSET(TIAM15_assumptions!$G46,0,MATCH(VLOOKUP(Assumptions!AK$2,TIAM15_assumptions!$Y$3:$Z$87,2,FALSE),TIAM15_assumptions!$H$2:$V$2,0))</f>
        <v>0</v>
      </c>
      <c r="AL46" s="59">
        <f ca="1">OFFSET(TIAM15_assumptions!$G46,0,MATCH(VLOOKUP(Assumptions!AL$2,TIAM15_assumptions!$Y$3:$Z$87,2,FALSE),TIAM15_assumptions!$H$2:$V$2,0))</f>
        <v>0</v>
      </c>
      <c r="AM46" s="59">
        <f ca="1">OFFSET(TIAM15_assumptions!$G46,0,MATCH(VLOOKUP(Assumptions!AM$2,TIAM15_assumptions!$Y$3:$Z$87,2,FALSE),TIAM15_assumptions!$H$2:$V$2,0))</f>
        <v>0</v>
      </c>
      <c r="AN46" s="59">
        <f ca="1">OFFSET(TIAM15_assumptions!$G46,0,MATCH(VLOOKUP(Assumptions!AN$2,TIAM15_assumptions!$Y$3:$Z$87,2,FALSE),TIAM15_assumptions!$H$2:$V$2,0))</f>
        <v>0</v>
      </c>
      <c r="AO46" s="59">
        <f ca="1">OFFSET(TIAM15_assumptions!$G46,0,MATCH(VLOOKUP(Assumptions!AO$2,TIAM15_assumptions!$Y$3:$Z$87,2,FALSE),TIAM15_assumptions!$H$2:$V$2,0))</f>
        <v>0</v>
      </c>
      <c r="AP46" s="59">
        <f ca="1">OFFSET(TIAM15_assumptions!$G46,0,MATCH(VLOOKUP(Assumptions!AP$2,TIAM15_assumptions!$Y$3:$Z$87,2,FALSE),TIAM15_assumptions!$H$2:$V$2,0))</f>
        <v>0</v>
      </c>
      <c r="AQ46" s="59">
        <f ca="1">OFFSET(TIAM15_assumptions!$G46,0,MATCH(VLOOKUP(Assumptions!AQ$2,TIAM15_assumptions!$Y$3:$Z$87,2,FALSE),TIAM15_assumptions!$H$2:$V$2,0))</f>
        <v>0</v>
      </c>
      <c r="AR46" s="59">
        <f ca="1">OFFSET(TIAM15_assumptions!$G46,0,MATCH(VLOOKUP(Assumptions!AR$2,TIAM15_assumptions!$Y$3:$Z$87,2,FALSE),TIAM15_assumptions!$H$2:$V$2,0))</f>
        <v>0</v>
      </c>
      <c r="AS46" s="59">
        <f ca="1">OFFSET(TIAM15_assumptions!$G46,0,MATCH(VLOOKUP(Assumptions!AS$2,TIAM15_assumptions!$Y$3:$Z$87,2,FALSE),TIAM15_assumptions!$H$2:$V$2,0))</f>
        <v>0</v>
      </c>
      <c r="AT46" s="59">
        <f ca="1">OFFSET(TIAM15_assumptions!$G46,0,MATCH(VLOOKUP(Assumptions!AT$2,TIAM15_assumptions!$Y$3:$Z$87,2,FALSE),TIAM15_assumptions!$H$2:$V$2,0))</f>
        <v>0</v>
      </c>
      <c r="AU46" s="59">
        <f ca="1">OFFSET(TIAM15_assumptions!$G46,0,MATCH(VLOOKUP(Assumptions!AU$2,TIAM15_assumptions!$Y$3:$Z$87,2,FALSE),TIAM15_assumptions!$H$2:$V$2,0))</f>
        <v>0</v>
      </c>
      <c r="AV46" s="59">
        <f ca="1">OFFSET(TIAM15_assumptions!$G46,0,MATCH(VLOOKUP(Assumptions!AV$2,TIAM15_assumptions!$Y$3:$Z$87,2,FALSE),TIAM15_assumptions!$H$2:$V$2,0))</f>
        <v>0</v>
      </c>
      <c r="AW46" s="59">
        <f ca="1">OFFSET(TIAM15_assumptions!$G46,0,MATCH(VLOOKUP(Assumptions!AW$2,TIAM15_assumptions!$Y$3:$Z$87,2,FALSE),TIAM15_assumptions!$H$2:$V$2,0))</f>
        <v>0</v>
      </c>
      <c r="AX46" s="59">
        <f ca="1">OFFSET(TIAM15_assumptions!$G46,0,MATCH(VLOOKUP(Assumptions!AX$2,TIAM15_assumptions!$Y$3:$Z$87,2,FALSE),TIAM15_assumptions!$H$2:$V$2,0))</f>
        <v>0</v>
      </c>
      <c r="AY46" s="59">
        <f ca="1">OFFSET(TIAM15_assumptions!$G46,0,MATCH(VLOOKUP(Assumptions!AY$2,TIAM15_assumptions!$Y$3:$Z$87,2,FALSE),TIAM15_assumptions!$H$2:$V$2,0))</f>
        <v>0</v>
      </c>
      <c r="AZ46" s="59">
        <f ca="1">OFFSET(TIAM15_assumptions!$G46,0,MATCH(VLOOKUP(Assumptions!AZ$2,TIAM15_assumptions!$Y$3:$Z$87,2,FALSE),TIAM15_assumptions!$H$2:$V$2,0))</f>
        <v>0</v>
      </c>
      <c r="BA46" s="59">
        <f ca="1">OFFSET(TIAM15_assumptions!$G46,0,MATCH(VLOOKUP(Assumptions!BA$2,TIAM15_assumptions!$Y$3:$Z$87,2,FALSE),TIAM15_assumptions!$H$2:$V$2,0))</f>
        <v>0</v>
      </c>
      <c r="BD46" s="41">
        <f ca="1">IFERROR(SUMIFS('TRA balance'!E$5:E$40,'TRA balance'!$C$5:$C$40,Assumptions!$C46,'TRA balance'!$D$5:$D$40,Assumptions!$B46)*CY46*H46,"")</f>
        <v>0</v>
      </c>
      <c r="BE46" s="41">
        <f ca="1">IFERROR(SUMIFS('TRA balance'!F$5:F$40,'TRA balance'!$C$5:$C$40,Assumptions!$C46,'TRA balance'!$D$5:$D$40,Assumptions!$B46)*CZ46*I46,"")</f>
        <v>0</v>
      </c>
      <c r="BF46" s="41">
        <f ca="1">IFERROR(SUMIFS('TRA balance'!G$5:G$40,'TRA balance'!$C$5:$C$40,Assumptions!$C46,'TRA balance'!$D$5:$D$40,Assumptions!$B46)*DA46*J46,"")</f>
        <v>0</v>
      </c>
      <c r="BG46" s="41">
        <f ca="1">IFERROR(SUMIFS('TRA balance'!H$5:H$40,'TRA balance'!$C$5:$C$40,Assumptions!$C46,'TRA balance'!$D$5:$D$40,Assumptions!$B46)*DB46*K46,"")</f>
        <v>0</v>
      </c>
      <c r="BH46" s="41">
        <f ca="1">IFERROR(SUMIFS('TRA balance'!I$5:I$40,'TRA balance'!$C$5:$C$40,Assumptions!$C46,'TRA balance'!$D$5:$D$40,Assumptions!$B46)*DC46*L46,"")</f>
        <v>0</v>
      </c>
      <c r="BI46" s="41">
        <f ca="1">IFERROR(SUMIFS('TRA balance'!J$5:J$40,'TRA balance'!$C$5:$C$40,Assumptions!$C46,'TRA balance'!$D$5:$D$40,Assumptions!$B46)*DD46*M46,"")</f>
        <v>0</v>
      </c>
      <c r="BJ46" s="41">
        <f ca="1">IFERROR(SUMIFS('TRA balance'!K$5:K$40,'TRA balance'!$C$5:$C$40,Assumptions!$C46,'TRA balance'!$D$5:$D$40,Assumptions!$B46)*DE46*N46,"")</f>
        <v>0</v>
      </c>
      <c r="BK46" s="41">
        <f ca="1">IFERROR(SUMIFS('TRA balance'!L$5:L$40,'TRA balance'!$C$5:$C$40,Assumptions!$C46,'TRA balance'!$D$5:$D$40,Assumptions!$B46)*DF46*O46,"")</f>
        <v>0</v>
      </c>
      <c r="BL46" s="41">
        <f ca="1">IFERROR(SUMIFS('TRA balance'!M$5:M$40,'TRA balance'!$C$5:$C$40,Assumptions!$C46,'TRA balance'!$D$5:$D$40,Assumptions!$B46)*DG46*P46,"")</f>
        <v>0</v>
      </c>
      <c r="BM46" s="41">
        <f ca="1">IFERROR(SUMIFS('TRA balance'!N$5:N$40,'TRA balance'!$C$5:$C$40,Assumptions!$C46,'TRA balance'!$D$5:$D$40,Assumptions!$B46)*DH46*Q46,"")</f>
        <v>0</v>
      </c>
      <c r="BN46" s="41">
        <f ca="1">IFERROR(SUMIFS('TRA balance'!O$5:O$40,'TRA balance'!$C$5:$C$40,Assumptions!$C46,'TRA balance'!$D$5:$D$40,Assumptions!$B46)*DI46*R46,"")</f>
        <v>0</v>
      </c>
      <c r="BO46" s="41">
        <f ca="1">IFERROR(SUMIFS('TRA balance'!P$5:P$40,'TRA balance'!$C$5:$C$40,Assumptions!$C46,'TRA balance'!$D$5:$D$40,Assumptions!$B46)*DJ46*S46,"")</f>
        <v>0</v>
      </c>
      <c r="BP46" s="41">
        <f ca="1">IFERROR(SUMIFS('TRA balance'!Q$5:Q$40,'TRA balance'!$C$5:$C$40,Assumptions!$C46,'TRA balance'!$D$5:$D$40,Assumptions!$B46)*DK46*T46,"")</f>
        <v>0</v>
      </c>
      <c r="BQ46" s="41">
        <f ca="1">IFERROR(SUMIFS('TRA balance'!R$5:R$40,'TRA balance'!$C$5:$C$40,Assumptions!$C46,'TRA balance'!$D$5:$D$40,Assumptions!$B46)*DL46*U46,"")</f>
        <v>0</v>
      </c>
      <c r="BR46" s="41">
        <f ca="1">IFERROR(SUMIFS('TRA balance'!S$5:S$40,'TRA balance'!$C$5:$C$40,Assumptions!$C46,'TRA balance'!$D$5:$D$40,Assumptions!$B46)*DM46*V46,"")</f>
        <v>0</v>
      </c>
      <c r="BS46" s="41">
        <f ca="1">IFERROR(SUMIFS('TRA balance'!T$5:T$40,'TRA balance'!$C$5:$C$40,Assumptions!$C46,'TRA balance'!$D$5:$D$40,Assumptions!$B46)*DN46*W46,"")</f>
        <v>0</v>
      </c>
      <c r="BT46" s="41">
        <f ca="1">IFERROR(SUMIFS('TRA balance'!U$5:U$40,'TRA balance'!$C$5:$C$40,Assumptions!$C46,'TRA balance'!$D$5:$D$40,Assumptions!$B46)*DO46*X46,"")</f>
        <v>0</v>
      </c>
      <c r="BU46" s="41">
        <f ca="1">IFERROR(SUMIFS('TRA balance'!V$5:V$40,'TRA balance'!$C$5:$C$40,Assumptions!$C46,'TRA balance'!$D$5:$D$40,Assumptions!$B46)*DP46*Y46,"")</f>
        <v>0</v>
      </c>
      <c r="BV46" s="41">
        <f ca="1">IFERROR(SUMIFS('TRA balance'!W$5:W$40,'TRA balance'!$C$5:$C$40,Assumptions!$C46,'TRA balance'!$D$5:$D$40,Assumptions!$B46)*DQ46*Z46,"")</f>
        <v>0</v>
      </c>
      <c r="BW46" s="41">
        <f ca="1">IFERROR(SUMIFS('TRA balance'!X$5:X$40,'TRA balance'!$C$5:$C$40,Assumptions!$C46,'TRA balance'!$D$5:$D$40,Assumptions!$B46)*DR46*AA46,"")</f>
        <v>0</v>
      </c>
      <c r="BX46" s="41">
        <f ca="1">IFERROR(SUMIFS('TRA balance'!Y$5:Y$40,'TRA balance'!$C$5:$C$40,Assumptions!$C46,'TRA balance'!$D$5:$D$40,Assumptions!$B46)*DS46*AB46,"")</f>
        <v>0</v>
      </c>
      <c r="BY46" s="41">
        <f ca="1">IFERROR(SUMIFS('TRA balance'!Z$5:Z$40,'TRA balance'!$C$5:$C$40,Assumptions!$C46,'TRA balance'!$D$5:$D$40,Assumptions!$B46)*DT46*AC46,"")</f>
        <v>0</v>
      </c>
      <c r="BZ46" s="41">
        <f ca="1">IFERROR(SUMIFS('TRA balance'!AA$5:AA$40,'TRA balance'!$C$5:$C$40,Assumptions!$C46,'TRA balance'!$D$5:$D$40,Assumptions!$B46)*DU46*AD46,"")</f>
        <v>0</v>
      </c>
      <c r="CA46" s="41">
        <f ca="1">IFERROR(SUMIFS('TRA balance'!AB$5:AB$40,'TRA balance'!$C$5:$C$40,Assumptions!$C46,'TRA balance'!$D$5:$D$40,Assumptions!$B46)*DV46*AE46,"")</f>
        <v>0</v>
      </c>
      <c r="CB46" s="41">
        <f ca="1">IFERROR(SUMIFS('TRA balance'!AC$5:AC$40,'TRA balance'!$C$5:$C$40,Assumptions!$C46,'TRA balance'!$D$5:$D$40,Assumptions!$B46)*DW46*AF46,"")</f>
        <v>0</v>
      </c>
      <c r="CC46" s="41">
        <f ca="1">IFERROR(SUMIFS('TRA balance'!AD$5:AD$40,'TRA balance'!$C$5:$C$40,Assumptions!$C46,'TRA balance'!$D$5:$D$40,Assumptions!$B46)*DX46*AG46,"")</f>
        <v>0</v>
      </c>
      <c r="CD46" s="41">
        <f ca="1">IFERROR(SUMIFS('TRA balance'!AE$5:AE$40,'TRA balance'!$C$5:$C$40,Assumptions!$C46,'TRA balance'!$D$5:$D$40,Assumptions!$B46)*DY46*AH46,"")</f>
        <v>0</v>
      </c>
      <c r="CE46" s="41">
        <f ca="1">IFERROR(SUMIFS('TRA balance'!AF$5:AF$40,'TRA balance'!$C$5:$C$40,Assumptions!$C46,'TRA balance'!$D$5:$D$40,Assumptions!$B46)*DZ46*AI46,"")</f>
        <v>0</v>
      </c>
      <c r="CF46" s="41">
        <f ca="1">IFERROR(SUMIFS('TRA balance'!AG$5:AG$40,'TRA balance'!$C$5:$C$40,Assumptions!$C46,'TRA balance'!$D$5:$D$40,Assumptions!$B46)*EA46*AJ46,"")</f>
        <v>0</v>
      </c>
      <c r="CG46" s="41">
        <f ca="1">IFERROR(SUMIFS('TRA balance'!AH$5:AH$40,'TRA balance'!$C$5:$C$40,Assumptions!$C46,'TRA balance'!$D$5:$D$40,Assumptions!$B46)*EB46*AK46,"")</f>
        <v>0</v>
      </c>
      <c r="CH46" s="41">
        <f ca="1">IFERROR(SUMIFS('TRA balance'!AI$5:AI$40,'TRA balance'!$C$5:$C$40,Assumptions!$C46,'TRA balance'!$D$5:$D$40,Assumptions!$B46)*EC46*AL46,"")</f>
        <v>0</v>
      </c>
      <c r="CI46" s="41">
        <f ca="1">IFERROR(SUMIFS('TRA balance'!AJ$5:AJ$40,'TRA balance'!$C$5:$C$40,Assumptions!$C46,'TRA balance'!$D$5:$D$40,Assumptions!$B46)*ED46*AM46,"")</f>
        <v>0</v>
      </c>
      <c r="CJ46" s="41">
        <f ca="1">IFERROR(SUMIFS('TRA balance'!AK$5:AK$40,'TRA balance'!$C$5:$C$40,Assumptions!$C46,'TRA balance'!$D$5:$D$40,Assumptions!$B46)*EE46*AN46,"")</f>
        <v>0</v>
      </c>
      <c r="CK46" s="41">
        <f ca="1">IFERROR(SUMIFS('TRA balance'!AL$5:AL$40,'TRA balance'!$C$5:$C$40,Assumptions!$C46,'TRA balance'!$D$5:$D$40,Assumptions!$B46)*EF46*AO46,"")</f>
        <v>0</v>
      </c>
      <c r="CL46" s="41">
        <f ca="1">IFERROR(SUMIFS('TRA balance'!AM$5:AM$40,'TRA balance'!$C$5:$C$40,Assumptions!$C46,'TRA balance'!$D$5:$D$40,Assumptions!$B46)*EG46*AP46,"")</f>
        <v>0</v>
      </c>
      <c r="CM46" s="41">
        <f ca="1">IFERROR(SUMIFS('TRA balance'!AN$5:AN$40,'TRA balance'!$C$5:$C$40,Assumptions!$C46,'TRA balance'!$D$5:$D$40,Assumptions!$B46)*EH46*AQ46,"")</f>
        <v>0</v>
      </c>
      <c r="CN46" s="41">
        <f ca="1">IFERROR(SUMIFS('TRA balance'!AO$5:AO$40,'TRA balance'!$C$5:$C$40,Assumptions!$C46,'TRA balance'!$D$5:$D$40,Assumptions!$B46)*EI46*AR46,"")</f>
        <v>0</v>
      </c>
      <c r="CO46" s="41">
        <f ca="1">IFERROR(SUMIFS('TRA balance'!AP$5:AP$40,'TRA balance'!$C$5:$C$40,Assumptions!$C46,'TRA balance'!$D$5:$D$40,Assumptions!$B46)*EJ46*AS46,"")</f>
        <v>0</v>
      </c>
      <c r="CP46" s="41">
        <f ca="1">IFERROR(SUMIFS('TRA balance'!AQ$5:AQ$40,'TRA balance'!$C$5:$C$40,Assumptions!$C46,'TRA balance'!$D$5:$D$40,Assumptions!$B46)*EK46*AT46,"")</f>
        <v>0</v>
      </c>
      <c r="CQ46" s="41">
        <f ca="1">IFERROR(SUMIFS('TRA balance'!AR$5:AR$40,'TRA balance'!$C$5:$C$40,Assumptions!$C46,'TRA balance'!$D$5:$D$40,Assumptions!$B46)*EL46*AU46,"")</f>
        <v>0</v>
      </c>
      <c r="CR46" s="41">
        <f ca="1">IFERROR(SUMIFS('TRA balance'!AS$5:AS$40,'TRA balance'!$C$5:$C$40,Assumptions!$C46,'TRA balance'!$D$5:$D$40,Assumptions!$B46)*EM46*AV46,"")</f>
        <v>0</v>
      </c>
      <c r="CS46" s="41">
        <f ca="1">IFERROR(SUMIFS('TRA balance'!AT$5:AT$40,'TRA balance'!$C$5:$C$40,Assumptions!$C46,'TRA balance'!$D$5:$D$40,Assumptions!$B46)*EN46*AW46,"")</f>
        <v>0</v>
      </c>
      <c r="CT46" s="41">
        <f ca="1">IFERROR(SUMIFS('TRA balance'!AU$5:AU$40,'TRA balance'!$C$5:$C$40,Assumptions!$C46,'TRA balance'!$D$5:$D$40,Assumptions!$B46)*EO46*AX46,"")</f>
        <v>0</v>
      </c>
      <c r="CU46" s="41">
        <f ca="1">IFERROR(SUMIFS('TRA balance'!AV$5:AV$40,'TRA balance'!$C$5:$C$40,Assumptions!$C46,'TRA balance'!$D$5:$D$40,Assumptions!$B46)*EP46*AY46,"")</f>
        <v>0</v>
      </c>
      <c r="CV46" s="41">
        <f ca="1">IFERROR(SUMIFS('TRA balance'!AW$5:AW$40,'TRA balance'!$C$5:$C$40,Assumptions!$C46,'TRA balance'!$D$5:$D$40,Assumptions!$B46)*EQ46*AZ46,"")</f>
        <v>0</v>
      </c>
      <c r="CW46" s="41">
        <f ca="1">IFERROR(SUMIFS('TRA balance'!AX$5:AX$40,'TRA balance'!$C$5:$C$40,Assumptions!$C46,'TRA balance'!$D$5:$D$40,Assumptions!$B46)*ER46*BA46,"")</f>
        <v>0</v>
      </c>
      <c r="CY46" s="40">
        <f ca="1" t="shared" si="66"/>
        <v>0.4</v>
      </c>
      <c r="CZ46" s="40">
        <f ca="1" t="shared" si="3"/>
        <v>0.4</v>
      </c>
      <c r="DA46" s="40">
        <f ca="1" t="shared" si="4"/>
        <v>0.75</v>
      </c>
      <c r="DB46" s="40">
        <f ca="1" t="shared" si="5"/>
        <v>0.25</v>
      </c>
      <c r="DC46" s="40">
        <f ca="1" t="shared" si="6"/>
        <v>0.43</v>
      </c>
      <c r="DD46" s="40">
        <f ca="1" t="shared" si="7"/>
        <v>0.25</v>
      </c>
      <c r="DE46" s="40">
        <f ca="1" t="shared" si="8"/>
        <v>0.5</v>
      </c>
      <c r="DF46" s="40">
        <f ca="1" t="shared" si="9"/>
        <v>0.6</v>
      </c>
      <c r="DG46" s="40">
        <f ca="1" t="shared" si="10"/>
        <v>0.43</v>
      </c>
      <c r="DH46" s="40">
        <f ca="1" t="shared" si="11"/>
        <v>0.43</v>
      </c>
      <c r="DI46" s="40">
        <f ca="1" t="shared" si="12"/>
        <v>0.25</v>
      </c>
      <c r="DJ46" s="40">
        <f ca="1" t="shared" si="13"/>
        <v>0.25</v>
      </c>
      <c r="DK46" s="40">
        <f ca="1" t="shared" si="14"/>
        <v>0.25</v>
      </c>
      <c r="DL46" s="40">
        <f ca="1" t="shared" si="15"/>
        <v>0.43</v>
      </c>
      <c r="DM46" s="40">
        <f ca="1" t="shared" si="16"/>
        <v>0.25</v>
      </c>
      <c r="DN46" s="40">
        <f ca="1" t="shared" si="17"/>
        <v>0.75</v>
      </c>
      <c r="DO46" s="40">
        <f ca="1" t="shared" si="18"/>
        <v>0.25</v>
      </c>
      <c r="DP46" s="40">
        <f ca="1" t="shared" si="19"/>
        <v>0.25</v>
      </c>
      <c r="DQ46" s="40">
        <f ca="1" t="shared" si="20"/>
        <v>0.43</v>
      </c>
      <c r="DR46" s="40">
        <f ca="1" t="shared" si="21"/>
        <v>0.5</v>
      </c>
      <c r="DS46" s="40">
        <f ca="1" t="shared" si="22"/>
        <v>0.4</v>
      </c>
      <c r="DT46" s="40">
        <f ca="1" t="shared" si="23"/>
        <v>0.280785282844377</v>
      </c>
      <c r="DU46" s="40">
        <f ca="1" t="shared" si="24"/>
        <v>0.25</v>
      </c>
      <c r="DV46" s="40">
        <f ca="1" t="shared" si="25"/>
        <v>0.43</v>
      </c>
      <c r="DW46" s="40">
        <f ca="1" t="shared" si="26"/>
        <v>0.3</v>
      </c>
      <c r="DX46" s="40">
        <f ca="1" t="shared" si="27"/>
        <v>0.43</v>
      </c>
      <c r="DY46" s="40">
        <f ca="1" t="shared" si="28"/>
        <v>0.4</v>
      </c>
      <c r="DZ46" s="40">
        <f ca="1" t="shared" si="29"/>
        <v>0.4</v>
      </c>
      <c r="EA46" s="40">
        <f ca="1" t="shared" si="30"/>
        <v>0.25</v>
      </c>
      <c r="EB46" s="40">
        <f ca="1" t="shared" si="31"/>
        <v>0.25</v>
      </c>
      <c r="EC46" s="40">
        <f ca="1" t="shared" si="32"/>
        <v>0.25</v>
      </c>
      <c r="ED46" s="40">
        <f ca="1" t="shared" si="33"/>
        <v>0.4</v>
      </c>
      <c r="EE46" s="40">
        <f ca="1" t="shared" si="34"/>
        <v>0.25</v>
      </c>
      <c r="EF46" s="40">
        <f ca="1" t="shared" si="35"/>
        <v>0.43</v>
      </c>
      <c r="EG46" s="40">
        <f ca="1" t="shared" si="36"/>
        <v>0.43</v>
      </c>
      <c r="EH46" s="40">
        <f ca="1" t="shared" si="37"/>
        <v>0.280785282844377</v>
      </c>
      <c r="EI46" s="40">
        <f ca="1" t="shared" si="38"/>
        <v>0.280785282844377</v>
      </c>
      <c r="EJ46" s="40">
        <f ca="1" t="shared" si="39"/>
        <v>0.280785282844377</v>
      </c>
      <c r="EK46" s="40">
        <f ca="1" t="shared" si="40"/>
        <v>0.280785282844377</v>
      </c>
      <c r="EL46" s="40">
        <f ca="1" t="shared" si="41"/>
        <v>0.280785282844377</v>
      </c>
      <c r="EM46" s="40">
        <f ca="1" t="shared" si="42"/>
        <v>0.280785282844377</v>
      </c>
      <c r="EN46" s="40">
        <f ca="1" t="shared" si="43"/>
        <v>0.280785282844377</v>
      </c>
      <c r="EO46" s="40">
        <f ca="1" t="shared" si="44"/>
        <v>0.280785282844377</v>
      </c>
      <c r="EP46" s="40">
        <f ca="1" t="shared" si="45"/>
        <v>0.280785282844377</v>
      </c>
      <c r="EQ46" s="40">
        <f ca="1" t="shared" si="46"/>
        <v>0.280785282844377</v>
      </c>
      <c r="ER46" s="40">
        <f ca="1" t="shared" si="47"/>
        <v>0.280785282844377</v>
      </c>
    </row>
    <row r="47" spans="1:148">
      <c r="A47">
        <v>2</v>
      </c>
      <c r="B47" t="str">
        <f>VLOOKUP(F47,'TRA balance'!$BA$5:$BB$14,2,FALSE)</f>
        <v>TRALPG</v>
      </c>
      <c r="C47" s="56" t="str">
        <f t="shared" si="48"/>
        <v>TR</v>
      </c>
      <c r="D47" s="57" t="s">
        <v>200</v>
      </c>
      <c r="E47" s="68" t="s">
        <v>218</v>
      </c>
      <c r="F47" s="58" t="str">
        <f t="shared" si="74"/>
        <v>Liquified Petroleum Gases</v>
      </c>
      <c r="G47" s="56" t="s">
        <v>219</v>
      </c>
      <c r="H47" s="59">
        <f ca="1">OFFSET(TIAM15_assumptions!$G47,0,MATCH(VLOOKUP(Assumptions!H$2,TIAM15_assumptions!$Y$3:$Z$87,2,FALSE),TIAM15_assumptions!$H$2:$V$2,0))</f>
        <v>0.7</v>
      </c>
      <c r="I47" s="59">
        <f ca="1">OFFSET(TIAM15_assumptions!$G47,0,MATCH(VLOOKUP(Assumptions!I$2,TIAM15_assumptions!$Y$3:$Z$87,2,FALSE),TIAM15_assumptions!$H$2:$V$2,0))</f>
        <v>0.7</v>
      </c>
      <c r="J47" s="59">
        <f ca="1">OFFSET(TIAM15_assumptions!$G47,0,MATCH(VLOOKUP(Assumptions!J$2,TIAM15_assumptions!$Y$3:$Z$87,2,FALSE),TIAM15_assumptions!$H$2:$V$2,0))</f>
        <v>0.2</v>
      </c>
      <c r="K47" s="59">
        <f ca="1">OFFSET(TIAM15_assumptions!$G47,0,MATCH(VLOOKUP(Assumptions!K$2,TIAM15_assumptions!$Y$3:$Z$87,2,FALSE),TIAM15_assumptions!$H$2:$V$2,0))</f>
        <v>1</v>
      </c>
      <c r="L47" s="59">
        <f ca="1">OFFSET(TIAM15_assumptions!$G47,0,MATCH(VLOOKUP(Assumptions!L$2,TIAM15_assumptions!$Y$3:$Z$87,2,FALSE),TIAM15_assumptions!$H$2:$V$2,0))</f>
        <v>1</v>
      </c>
      <c r="M47" s="59">
        <f ca="1">OFFSET(TIAM15_assumptions!$G47,0,MATCH(VLOOKUP(Assumptions!M$2,TIAM15_assumptions!$Y$3:$Z$87,2,FALSE),TIAM15_assumptions!$H$2:$V$2,0))</f>
        <v>1</v>
      </c>
      <c r="N47" s="59">
        <f ca="1">OFFSET(TIAM15_assumptions!$G47,0,MATCH(VLOOKUP(Assumptions!N$2,TIAM15_assumptions!$Y$3:$Z$87,2,FALSE),TIAM15_assumptions!$H$2:$V$2,0))</f>
        <v>0</v>
      </c>
      <c r="O47" s="59">
        <f ca="1">OFFSET(TIAM15_assumptions!$G47,0,MATCH(VLOOKUP(Assumptions!O$2,TIAM15_assumptions!$Y$3:$Z$87,2,FALSE),TIAM15_assumptions!$H$2:$V$2,0))</f>
        <v>0.2</v>
      </c>
      <c r="P47" s="59">
        <f ca="1">OFFSET(TIAM15_assumptions!$G47,0,MATCH(VLOOKUP(Assumptions!P$2,TIAM15_assumptions!$Y$3:$Z$87,2,FALSE),TIAM15_assumptions!$H$2:$V$2,0))</f>
        <v>1</v>
      </c>
      <c r="Q47" s="59">
        <f ca="1">OFFSET(TIAM15_assumptions!$G47,0,MATCH(VLOOKUP(Assumptions!Q$2,TIAM15_assumptions!$Y$3:$Z$87,2,FALSE),TIAM15_assumptions!$H$2:$V$2,0))</f>
        <v>1</v>
      </c>
      <c r="R47" s="59">
        <f ca="1">OFFSET(TIAM15_assumptions!$G47,0,MATCH(VLOOKUP(Assumptions!R$2,TIAM15_assumptions!$Y$3:$Z$87,2,FALSE),TIAM15_assumptions!$H$2:$V$2,0))</f>
        <v>1</v>
      </c>
      <c r="S47" s="59">
        <f ca="1">OFFSET(TIAM15_assumptions!$G47,0,MATCH(VLOOKUP(Assumptions!S$2,TIAM15_assumptions!$Y$3:$Z$87,2,FALSE),TIAM15_assumptions!$H$2:$V$2,0))</f>
        <v>1</v>
      </c>
      <c r="T47" s="59">
        <f ca="1">OFFSET(TIAM15_assumptions!$G47,0,MATCH(VLOOKUP(Assumptions!T$2,TIAM15_assumptions!$Y$3:$Z$87,2,FALSE),TIAM15_assumptions!$H$2:$V$2,0))</f>
        <v>1</v>
      </c>
      <c r="U47" s="59">
        <f ca="1">OFFSET(TIAM15_assumptions!$G47,0,MATCH(VLOOKUP(Assumptions!U$2,TIAM15_assumptions!$Y$3:$Z$87,2,FALSE),TIAM15_assumptions!$H$2:$V$2,0))</f>
        <v>1</v>
      </c>
      <c r="V47" s="59">
        <f ca="1">OFFSET(TIAM15_assumptions!$G47,0,MATCH(VLOOKUP(Assumptions!V$2,TIAM15_assumptions!$Y$3:$Z$87,2,FALSE),TIAM15_assumptions!$H$2:$V$2,0))</f>
        <v>1</v>
      </c>
      <c r="W47" s="59">
        <f ca="1">OFFSET(TIAM15_assumptions!$G47,0,MATCH(VLOOKUP(Assumptions!W$2,TIAM15_assumptions!$Y$3:$Z$87,2,FALSE),TIAM15_assumptions!$H$2:$V$2,0))</f>
        <v>0.2</v>
      </c>
      <c r="X47" s="59">
        <f ca="1">OFFSET(TIAM15_assumptions!$G47,0,MATCH(VLOOKUP(Assumptions!X$2,TIAM15_assumptions!$Y$3:$Z$87,2,FALSE),TIAM15_assumptions!$H$2:$V$2,0))</f>
        <v>1</v>
      </c>
      <c r="Y47" s="59">
        <f ca="1">OFFSET(TIAM15_assumptions!$G47,0,MATCH(VLOOKUP(Assumptions!Y$2,TIAM15_assumptions!$Y$3:$Z$87,2,FALSE),TIAM15_assumptions!$H$2:$V$2,0))</f>
        <v>1</v>
      </c>
      <c r="Z47" s="59">
        <f ca="1">OFFSET(TIAM15_assumptions!$G47,0,MATCH(VLOOKUP(Assumptions!Z$2,TIAM15_assumptions!$Y$3:$Z$87,2,FALSE),TIAM15_assumptions!$H$2:$V$2,0))</f>
        <v>1</v>
      </c>
      <c r="AA47" s="59">
        <f ca="1">OFFSET(TIAM15_assumptions!$G47,0,MATCH(VLOOKUP(Assumptions!AA$2,TIAM15_assumptions!$Y$3:$Z$87,2,FALSE),TIAM15_assumptions!$H$2:$V$2,0))</f>
        <v>0</v>
      </c>
      <c r="AB47" s="59">
        <f ca="1">OFFSET(TIAM15_assumptions!$G47,0,MATCH(VLOOKUP(Assumptions!AB$2,TIAM15_assumptions!$Y$3:$Z$87,2,FALSE),TIAM15_assumptions!$H$2:$V$2,0))</f>
        <v>0.7</v>
      </c>
      <c r="AC47" s="59">
        <f ca="1">OFFSET(TIAM15_assumptions!$G47,0,MATCH(VLOOKUP(Assumptions!AC$2,TIAM15_assumptions!$Y$3:$Z$87,2,FALSE),TIAM15_assumptions!$H$2:$V$2,0))</f>
        <v>0.98</v>
      </c>
      <c r="AD47" s="59">
        <f ca="1">OFFSET(TIAM15_assumptions!$G47,0,MATCH(VLOOKUP(Assumptions!AD$2,TIAM15_assumptions!$Y$3:$Z$87,2,FALSE),TIAM15_assumptions!$H$2:$V$2,0))</f>
        <v>1</v>
      </c>
      <c r="AE47" s="59">
        <f ca="1">OFFSET(TIAM15_assumptions!$G47,0,MATCH(VLOOKUP(Assumptions!AE$2,TIAM15_assumptions!$Y$3:$Z$87,2,FALSE),TIAM15_assumptions!$H$2:$V$2,0))</f>
        <v>1</v>
      </c>
      <c r="AF47" s="59">
        <f ca="1">OFFSET(TIAM15_assumptions!$G47,0,MATCH(VLOOKUP(Assumptions!AF$2,TIAM15_assumptions!$Y$3:$Z$87,2,FALSE),TIAM15_assumptions!$H$2:$V$2,0))</f>
        <v>0.3</v>
      </c>
      <c r="AG47" s="59">
        <f ca="1">OFFSET(TIAM15_assumptions!$G47,0,MATCH(VLOOKUP(Assumptions!AG$2,TIAM15_assumptions!$Y$3:$Z$87,2,FALSE),TIAM15_assumptions!$H$2:$V$2,0))</f>
        <v>1</v>
      </c>
      <c r="AH47" s="59">
        <f ca="1">OFFSET(TIAM15_assumptions!$G47,0,MATCH(VLOOKUP(Assumptions!AH$2,TIAM15_assumptions!$Y$3:$Z$87,2,FALSE),TIAM15_assumptions!$H$2:$V$2,0))</f>
        <v>0.7</v>
      </c>
      <c r="AI47" s="59">
        <f ca="1">OFFSET(TIAM15_assumptions!$G47,0,MATCH(VLOOKUP(Assumptions!AI$2,TIAM15_assumptions!$Y$3:$Z$87,2,FALSE),TIAM15_assumptions!$H$2:$V$2,0))</f>
        <v>0.7</v>
      </c>
      <c r="AJ47" s="59">
        <f ca="1">OFFSET(TIAM15_assumptions!$G47,0,MATCH(VLOOKUP(Assumptions!AJ$2,TIAM15_assumptions!$Y$3:$Z$87,2,FALSE),TIAM15_assumptions!$H$2:$V$2,0))</f>
        <v>1</v>
      </c>
      <c r="AK47" s="59">
        <f ca="1">OFFSET(TIAM15_assumptions!$G47,0,MATCH(VLOOKUP(Assumptions!AK$2,TIAM15_assumptions!$Y$3:$Z$87,2,FALSE),TIAM15_assumptions!$H$2:$V$2,0))</f>
        <v>1</v>
      </c>
      <c r="AL47" s="59">
        <f ca="1">OFFSET(TIAM15_assumptions!$G47,0,MATCH(VLOOKUP(Assumptions!AL$2,TIAM15_assumptions!$Y$3:$Z$87,2,FALSE),TIAM15_assumptions!$H$2:$V$2,0))</f>
        <v>1</v>
      </c>
      <c r="AM47" s="59">
        <f ca="1">OFFSET(TIAM15_assumptions!$G47,0,MATCH(VLOOKUP(Assumptions!AM$2,TIAM15_assumptions!$Y$3:$Z$87,2,FALSE),TIAM15_assumptions!$H$2:$V$2,0))</f>
        <v>0.7</v>
      </c>
      <c r="AN47" s="59">
        <f ca="1">OFFSET(TIAM15_assumptions!$G47,0,MATCH(VLOOKUP(Assumptions!AN$2,TIAM15_assumptions!$Y$3:$Z$87,2,FALSE),TIAM15_assumptions!$H$2:$V$2,0))</f>
        <v>1</v>
      </c>
      <c r="AO47" s="59">
        <f ca="1">OFFSET(TIAM15_assumptions!$G47,0,MATCH(VLOOKUP(Assumptions!AO$2,TIAM15_assumptions!$Y$3:$Z$87,2,FALSE),TIAM15_assumptions!$H$2:$V$2,0))</f>
        <v>1</v>
      </c>
      <c r="AP47" s="59">
        <f ca="1">OFFSET(TIAM15_assumptions!$G47,0,MATCH(VLOOKUP(Assumptions!AP$2,TIAM15_assumptions!$Y$3:$Z$87,2,FALSE),TIAM15_assumptions!$H$2:$V$2,0))</f>
        <v>1</v>
      </c>
      <c r="AQ47" s="59">
        <f ca="1">OFFSET(TIAM15_assumptions!$G47,0,MATCH(VLOOKUP(Assumptions!AQ$2,TIAM15_assumptions!$Y$3:$Z$87,2,FALSE),TIAM15_assumptions!$H$2:$V$2,0))</f>
        <v>0.98</v>
      </c>
      <c r="AR47" s="59">
        <f ca="1">OFFSET(TIAM15_assumptions!$G47,0,MATCH(VLOOKUP(Assumptions!AR$2,TIAM15_assumptions!$Y$3:$Z$87,2,FALSE),TIAM15_assumptions!$H$2:$V$2,0))</f>
        <v>0.98</v>
      </c>
      <c r="AS47" s="59">
        <f ca="1">OFFSET(TIAM15_assumptions!$G47,0,MATCH(VLOOKUP(Assumptions!AS$2,TIAM15_assumptions!$Y$3:$Z$87,2,FALSE),TIAM15_assumptions!$H$2:$V$2,0))</f>
        <v>0.98</v>
      </c>
      <c r="AT47" s="59">
        <f ca="1">OFFSET(TIAM15_assumptions!$G47,0,MATCH(VLOOKUP(Assumptions!AT$2,TIAM15_assumptions!$Y$3:$Z$87,2,FALSE),TIAM15_assumptions!$H$2:$V$2,0))</f>
        <v>0.98</v>
      </c>
      <c r="AU47" s="59">
        <f ca="1">OFFSET(TIAM15_assumptions!$G47,0,MATCH(VLOOKUP(Assumptions!AU$2,TIAM15_assumptions!$Y$3:$Z$87,2,FALSE),TIAM15_assumptions!$H$2:$V$2,0))</f>
        <v>0.98</v>
      </c>
      <c r="AV47" s="59">
        <f ca="1">OFFSET(TIAM15_assumptions!$G47,0,MATCH(VLOOKUP(Assumptions!AV$2,TIAM15_assumptions!$Y$3:$Z$87,2,FALSE),TIAM15_assumptions!$H$2:$V$2,0))</f>
        <v>0.98</v>
      </c>
      <c r="AW47" s="59">
        <f ca="1">OFFSET(TIAM15_assumptions!$G47,0,MATCH(VLOOKUP(Assumptions!AW$2,TIAM15_assumptions!$Y$3:$Z$87,2,FALSE),TIAM15_assumptions!$H$2:$V$2,0))</f>
        <v>0.98</v>
      </c>
      <c r="AX47" s="59">
        <f ca="1">OFFSET(TIAM15_assumptions!$G47,0,MATCH(VLOOKUP(Assumptions!AX$2,TIAM15_assumptions!$Y$3:$Z$87,2,FALSE),TIAM15_assumptions!$H$2:$V$2,0))</f>
        <v>0.98</v>
      </c>
      <c r="AY47" s="59">
        <f ca="1">OFFSET(TIAM15_assumptions!$G47,0,MATCH(VLOOKUP(Assumptions!AY$2,TIAM15_assumptions!$Y$3:$Z$87,2,FALSE),TIAM15_assumptions!$H$2:$V$2,0))</f>
        <v>0.98</v>
      </c>
      <c r="AZ47" s="59">
        <f ca="1">OFFSET(TIAM15_assumptions!$G47,0,MATCH(VLOOKUP(Assumptions!AZ$2,TIAM15_assumptions!$Y$3:$Z$87,2,FALSE),TIAM15_assumptions!$H$2:$V$2,0))</f>
        <v>0.98</v>
      </c>
      <c r="BA47" s="59">
        <f ca="1">OFFSET(TIAM15_assumptions!$G47,0,MATCH(VLOOKUP(Assumptions!BA$2,TIAM15_assumptions!$Y$3:$Z$87,2,FALSE),TIAM15_assumptions!$H$2:$V$2,0))</f>
        <v>0.98</v>
      </c>
      <c r="BD47" s="41">
        <f ca="1">IFERROR(SUMIFS('TRA balance'!E$5:E$40,'TRA balance'!$C$5:$C$40,Assumptions!$C47,'TRA balance'!$D$5:$D$40,Assumptions!$B47)*CY47*H47,"")</f>
        <v>12.023197888464</v>
      </c>
      <c r="BE47" s="41">
        <f ca="1">IFERROR(SUMIFS('TRA balance'!F$5:F$40,'TRA balance'!$C$5:$C$40,Assumptions!$C47,'TRA balance'!$D$5:$D$40,Assumptions!$B47)*CZ47*I47,"")</f>
        <v>0.006900181344</v>
      </c>
      <c r="BF47" s="41">
        <f ca="1">IFERROR(SUMIFS('TRA balance'!G$5:G$40,'TRA balance'!$C$5:$C$40,Assumptions!$C47,'TRA balance'!$D$5:$D$40,Assumptions!$B47)*DA47*J47,"")</f>
        <v>2.28116395422</v>
      </c>
      <c r="BG47" s="41">
        <f ca="1">IFERROR(SUMIFS('TRA balance'!H$5:H$40,'TRA balance'!$C$5:$C$40,Assumptions!$C47,'TRA balance'!$D$5:$D$40,Assumptions!$B47)*DB47*K47,"")</f>
        <v>0.0548439399</v>
      </c>
      <c r="BH47" s="41">
        <f ca="1">IFERROR(SUMIFS('TRA balance'!I$5:I$40,'TRA balance'!$C$5:$C$40,Assumptions!$C47,'TRA balance'!$D$5:$D$40,Assumptions!$B47)*DC47*L47,"")</f>
        <v>2.974851776952</v>
      </c>
      <c r="BI47" s="41">
        <f ca="1">IFERROR(SUMIFS('TRA balance'!J$5:J$40,'TRA balance'!$C$5:$C$40,Assumptions!$C47,'TRA balance'!$D$5:$D$40,Assumptions!$B47)*DD47*M47,"")</f>
        <v>2.0472415767</v>
      </c>
      <c r="BJ47" s="41">
        <f ca="1">IFERROR(SUMIFS('TRA balance'!K$5:K$40,'TRA balance'!$C$5:$C$40,Assumptions!$C47,'TRA balance'!$D$5:$D$40,Assumptions!$B47)*DE47*N47,"")</f>
        <v>0</v>
      </c>
      <c r="BK47" s="41">
        <f ca="1">IFERROR(SUMIFS('TRA balance'!L$5:L$40,'TRA balance'!$C$5:$C$40,Assumptions!$C47,'TRA balance'!$D$5:$D$40,Assumptions!$B47)*DF47*O47,"")</f>
        <v>9.396258891984</v>
      </c>
      <c r="BL47" s="41">
        <f ca="1">IFERROR(SUMIFS('TRA balance'!M$5:M$40,'TRA balance'!$C$5:$C$40,Assumptions!$C47,'TRA balance'!$D$5:$D$40,Assumptions!$B47)*DG47*P47,"")</f>
        <v>1.586672349624</v>
      </c>
      <c r="BM47" s="41">
        <f ca="1">IFERROR(SUMIFS('TRA balance'!N$5:N$40,'TRA balance'!$C$5:$C$40,Assumptions!$C47,'TRA balance'!$D$5:$D$40,Assumptions!$B47)*DH47*Q47,"")</f>
        <v>1.740639658752</v>
      </c>
      <c r="BN47" s="41">
        <f ca="1">IFERROR(SUMIFS('TRA balance'!O$5:O$40,'TRA balance'!$C$5:$C$40,Assumptions!$C47,'TRA balance'!$D$5:$D$40,Assumptions!$B47)*DI47*R47,"")</f>
        <v>0.6051412314</v>
      </c>
      <c r="BO47" s="41">
        <f ca="1">IFERROR(SUMIFS('TRA balance'!P$5:P$40,'TRA balance'!$C$5:$C$40,Assumptions!$C47,'TRA balance'!$D$5:$D$40,Assumptions!$B47)*DJ47*S47,"")</f>
        <v>3.8985000921</v>
      </c>
      <c r="BP47" s="41">
        <f ca="1">IFERROR(SUMIFS('TRA balance'!Q$5:Q$40,'TRA balance'!$C$5:$C$40,Assumptions!$C47,'TRA balance'!$D$5:$D$40,Assumptions!$B47)*DK47*T47,"")</f>
        <v>2.5211507022</v>
      </c>
      <c r="BQ47" s="41">
        <f ca="1">IFERROR(SUMIFS('TRA balance'!R$5:R$40,'TRA balance'!$C$5:$C$40,Assumptions!$C47,'TRA balance'!$D$5:$D$40,Assumptions!$B47)*DL47*U47,"")</f>
        <v>10.026214993908</v>
      </c>
      <c r="BR47" s="41">
        <f ca="1">IFERROR(SUMIFS('TRA balance'!S$5:S$40,'TRA balance'!$C$5:$C$40,Assumptions!$C47,'TRA balance'!$D$5:$D$40,Assumptions!$B47)*DM47*V47,"")</f>
        <v>0</v>
      </c>
      <c r="BS47" s="41">
        <f ca="1">IFERROR(SUMIFS('TRA balance'!T$5:T$40,'TRA balance'!$C$5:$C$40,Assumptions!$C47,'TRA balance'!$D$5:$D$40,Assumptions!$B47)*DN47*W47,"")</f>
        <v>1.2196305405</v>
      </c>
      <c r="BT47" s="41">
        <f ca="1">IFERROR(SUMIFS('TRA balance'!U$5:U$40,'TRA balance'!$C$5:$C$40,Assumptions!$C47,'TRA balance'!$D$5:$D$40,Assumptions!$B47)*DO47*X47,"")</f>
        <v>0.0166289229</v>
      </c>
      <c r="BU47" s="41">
        <f ca="1">IFERROR(SUMIFS('TRA balance'!V$5:V$40,'TRA balance'!$C$5:$C$40,Assumptions!$C47,'TRA balance'!$D$5:$D$40,Assumptions!$B47)*DP47*Y47,"")</f>
        <v>19.0179413343</v>
      </c>
      <c r="BV47" s="41">
        <f ca="1">IFERROR(SUMIFS('TRA balance'!W$5:W$40,'TRA balance'!$C$5:$C$40,Assumptions!$C47,'TRA balance'!$D$5:$D$40,Assumptions!$B47)*DQ47*Z47,"")</f>
        <v>12.834758240712</v>
      </c>
      <c r="BW47" s="41">
        <f ca="1">IFERROR(SUMIFS('TRA balance'!X$5:X$40,'TRA balance'!$C$5:$C$40,Assumptions!$C47,'TRA balance'!$D$5:$D$40,Assumptions!$B47)*DR47*AA47,"")</f>
        <v>0</v>
      </c>
      <c r="BX47" s="41">
        <f ca="1">IFERROR(SUMIFS('TRA balance'!Y$5:Y$40,'TRA balance'!$C$5:$C$40,Assumptions!$C47,'TRA balance'!$D$5:$D$40,Assumptions!$B47)*DS47*AB47,"")</f>
        <v>0.786389729328</v>
      </c>
      <c r="BY47" s="41">
        <f ca="1">IFERROR(SUMIFS('TRA balance'!Z$5:Z$40,'TRA balance'!$C$5:$C$40,Assumptions!$C47,'TRA balance'!$D$5:$D$40,Assumptions!$B47)*DT47*AC47,"")</f>
        <v>20.3148084176951</v>
      </c>
      <c r="BZ47" s="41">
        <f ca="1">IFERROR(SUMIFS('TRA balance'!AA$5:AA$40,'TRA balance'!$C$5:$C$40,Assumptions!$C47,'TRA balance'!$D$5:$D$40,Assumptions!$B47)*DU47*AD47,"")</f>
        <v>0.0536821029</v>
      </c>
      <c r="CA47" s="41">
        <f ca="1">IFERROR(SUMIFS('TRA balance'!AB$5:AB$40,'TRA balance'!$C$5:$C$40,Assumptions!$C47,'TRA balance'!$D$5:$D$40,Assumptions!$B47)*DV47*AE47,"")</f>
        <v>38.274299534052</v>
      </c>
      <c r="CB47" s="41">
        <f ca="1">IFERROR(SUMIFS('TRA balance'!AC$5:AC$40,'TRA balance'!$C$5:$C$40,Assumptions!$C47,'TRA balance'!$D$5:$D$40,Assumptions!$B47)*DW47*AF47,"")</f>
        <v>20.900857668012</v>
      </c>
      <c r="CC47" s="41">
        <f ca="1">IFERROR(SUMIFS('TRA balance'!AD$5:AD$40,'TRA balance'!$C$5:$C$40,Assumptions!$C47,'TRA balance'!$D$5:$D$40,Assumptions!$B47)*DX47*AG47,"")</f>
        <v>25.594925457456</v>
      </c>
      <c r="CD47" s="41">
        <f ca="1">IFERROR(SUMIFS('TRA balance'!AE$5:AE$40,'TRA balance'!$C$5:$C$40,Assumptions!$C47,'TRA balance'!$D$5:$D$40,Assumptions!$B47)*DY47*AH47,"")</f>
        <v>0</v>
      </c>
      <c r="CE47" s="41">
        <f ca="1">IFERROR(SUMIFS('TRA balance'!AF$5:AF$40,'TRA balance'!$C$5:$C$40,Assumptions!$C47,'TRA balance'!$D$5:$D$40,Assumptions!$B47)*DZ47*AI47,"")</f>
        <v>0.1831431924</v>
      </c>
      <c r="CF47" s="41">
        <f ca="1">IFERROR(SUMIFS('TRA balance'!AG$5:AG$40,'TRA balance'!$C$5:$C$40,Assumptions!$C47,'TRA balance'!$D$5:$D$40,Assumptions!$B47)*EA47*AJ47,"")</f>
        <v>1.4164656156</v>
      </c>
      <c r="CG47" s="41">
        <f ca="1">IFERROR(SUMIFS('TRA balance'!AH$5:AH$40,'TRA balance'!$C$5:$C$40,Assumptions!$C47,'TRA balance'!$D$5:$D$40,Assumptions!$B47)*EB47*AK47,"")</f>
        <v>0</v>
      </c>
      <c r="CH47" s="41">
        <f ca="1">IFERROR(SUMIFS('TRA balance'!AI$5:AI$40,'TRA balance'!$C$5:$C$40,Assumptions!$C47,'TRA balance'!$D$5:$D$40,Assumptions!$B47)*EC47*AL47,"")</f>
        <v>0.0176871366</v>
      </c>
      <c r="CI47" s="41">
        <f ca="1">IFERROR(SUMIFS('TRA balance'!AJ$5:AJ$40,'TRA balance'!$C$5:$C$40,Assumptions!$C47,'TRA balance'!$D$5:$D$40,Assumptions!$B47)*ED47*AM47,"")</f>
        <v>43.1995196304</v>
      </c>
      <c r="CJ47" s="41">
        <f ca="1">IFERROR(SUMIFS('TRA balance'!AK$5:AK$40,'TRA balance'!$C$5:$C$40,Assumptions!$C47,'TRA balance'!$D$5:$D$40,Assumptions!$B47)*EE47*AN47,"")</f>
        <v>0.7244995725</v>
      </c>
      <c r="CK47" s="41">
        <f ca="1">IFERROR(SUMIFS('TRA balance'!AL$5:AL$40,'TRA balance'!$C$5:$C$40,Assumptions!$C47,'TRA balance'!$D$5:$D$40,Assumptions!$B47)*EF47*AO47,"")</f>
        <v>35.83376591706</v>
      </c>
      <c r="CL47" s="41">
        <f ca="1">IFERROR(SUMIFS('TRA balance'!AM$5:AM$40,'TRA balance'!$C$5:$C$40,Assumptions!$C47,'TRA balance'!$D$5:$D$40,Assumptions!$B47)*EG47*AP47,"")</f>
        <v>4.5069761097</v>
      </c>
      <c r="CM47" s="41">
        <f ca="1">IFERROR(SUMIFS('TRA balance'!AN$5:AN$40,'TRA balance'!$C$5:$C$40,Assumptions!$C47,'TRA balance'!$D$5:$D$40,Assumptions!$B47)*EH47*AQ47,"")</f>
        <v>0</v>
      </c>
      <c r="CN47" s="41">
        <f ca="1">IFERROR(SUMIFS('TRA balance'!AO$5:AO$40,'TRA balance'!$C$5:$C$40,Assumptions!$C47,'TRA balance'!$D$5:$D$40,Assumptions!$B47)*EI47*AR47,"")</f>
        <v>0</v>
      </c>
      <c r="CO47" s="41">
        <f ca="1">IFERROR(SUMIFS('TRA balance'!AP$5:AP$40,'TRA balance'!$C$5:$C$40,Assumptions!$C47,'TRA balance'!$D$5:$D$40,Assumptions!$B47)*EJ47*AS47,"")</f>
        <v>0</v>
      </c>
      <c r="CP47" s="41">
        <f ca="1">IFERROR(SUMIFS('TRA balance'!AQ$5:AQ$40,'TRA balance'!$C$5:$C$40,Assumptions!$C47,'TRA balance'!$D$5:$D$40,Assumptions!$B47)*EK47*AT47,"")</f>
        <v>0</v>
      </c>
      <c r="CQ47" s="41">
        <f ca="1">IFERROR(SUMIFS('TRA balance'!AR$5:AR$40,'TRA balance'!$C$5:$C$40,Assumptions!$C47,'TRA balance'!$D$5:$D$40,Assumptions!$B47)*EL47*AU47,"")</f>
        <v>0</v>
      </c>
      <c r="CR47" s="41">
        <f ca="1">IFERROR(SUMIFS('TRA balance'!AS$5:AS$40,'TRA balance'!$C$5:$C$40,Assumptions!$C47,'TRA balance'!$D$5:$D$40,Assumptions!$B47)*EM47*AV47,"")</f>
        <v>0</v>
      </c>
      <c r="CS47" s="41">
        <f ca="1">IFERROR(SUMIFS('TRA balance'!AT$5:AT$40,'TRA balance'!$C$5:$C$40,Assumptions!$C47,'TRA balance'!$D$5:$D$40,Assumptions!$B47)*EN47*AW47,"")</f>
        <v>0</v>
      </c>
      <c r="CT47" s="41">
        <f ca="1">IFERROR(SUMIFS('TRA balance'!AU$5:AU$40,'TRA balance'!$C$5:$C$40,Assumptions!$C47,'TRA balance'!$D$5:$D$40,Assumptions!$B47)*EO47*AX47,"")</f>
        <v>0</v>
      </c>
      <c r="CU47" s="41">
        <f ca="1">IFERROR(SUMIFS('TRA balance'!AV$5:AV$40,'TRA balance'!$C$5:$C$40,Assumptions!$C47,'TRA balance'!$D$5:$D$40,Assumptions!$B47)*EP47*AY47,"")</f>
        <v>0</v>
      </c>
      <c r="CV47" s="41">
        <f ca="1">IFERROR(SUMIFS('TRA balance'!AW$5:AW$40,'TRA balance'!$C$5:$C$40,Assumptions!$C47,'TRA balance'!$D$5:$D$40,Assumptions!$B47)*EQ47*AZ47,"")</f>
        <v>0</v>
      </c>
      <c r="CW47" s="41">
        <f ca="1">IFERROR(SUMIFS('TRA balance'!AX$5:AX$40,'TRA balance'!$C$5:$C$40,Assumptions!$C47,'TRA balance'!$D$5:$D$40,Assumptions!$B47)*ER47*BA47,"")</f>
        <v>0</v>
      </c>
      <c r="CY47" s="40">
        <f ca="1" t="shared" si="66"/>
        <v>0.4</v>
      </c>
      <c r="CZ47" s="40">
        <f ca="1" t="shared" si="3"/>
        <v>0.4</v>
      </c>
      <c r="DA47" s="40">
        <f ca="1" t="shared" si="4"/>
        <v>0.75</v>
      </c>
      <c r="DB47" s="40">
        <f ca="1" t="shared" si="5"/>
        <v>0.25</v>
      </c>
      <c r="DC47" s="40">
        <f ca="1" t="shared" si="6"/>
        <v>0.43</v>
      </c>
      <c r="DD47" s="40">
        <f ca="1" t="shared" si="7"/>
        <v>0.25</v>
      </c>
      <c r="DE47" s="40">
        <f ca="1" t="shared" si="8"/>
        <v>0.5</v>
      </c>
      <c r="DF47" s="40">
        <f ca="1" t="shared" si="9"/>
        <v>0.6</v>
      </c>
      <c r="DG47" s="40">
        <f ca="1" t="shared" si="10"/>
        <v>0.43</v>
      </c>
      <c r="DH47" s="40">
        <f ca="1" t="shared" si="11"/>
        <v>0.43</v>
      </c>
      <c r="DI47" s="40">
        <f ca="1" t="shared" si="12"/>
        <v>0.25</v>
      </c>
      <c r="DJ47" s="40">
        <f ca="1" t="shared" si="13"/>
        <v>0.25</v>
      </c>
      <c r="DK47" s="40">
        <f ca="1" t="shared" si="14"/>
        <v>0.25</v>
      </c>
      <c r="DL47" s="40">
        <f ca="1" t="shared" si="15"/>
        <v>0.43</v>
      </c>
      <c r="DM47" s="40">
        <f ca="1" t="shared" si="16"/>
        <v>0.25</v>
      </c>
      <c r="DN47" s="40">
        <f ca="1" t="shared" si="17"/>
        <v>0.75</v>
      </c>
      <c r="DO47" s="40">
        <f ca="1" t="shared" si="18"/>
        <v>0.25</v>
      </c>
      <c r="DP47" s="40">
        <f ca="1" t="shared" si="19"/>
        <v>0.25</v>
      </c>
      <c r="DQ47" s="40">
        <f ca="1" t="shared" si="20"/>
        <v>0.43</v>
      </c>
      <c r="DR47" s="40">
        <f ca="1" t="shared" si="21"/>
        <v>0.5</v>
      </c>
      <c r="DS47" s="40">
        <f ca="1" t="shared" si="22"/>
        <v>0.4</v>
      </c>
      <c r="DT47" s="40">
        <f ca="1" t="shared" si="23"/>
        <v>0.280785282844377</v>
      </c>
      <c r="DU47" s="40">
        <f ca="1" t="shared" si="24"/>
        <v>0.25</v>
      </c>
      <c r="DV47" s="40">
        <f ca="1" t="shared" si="25"/>
        <v>0.43</v>
      </c>
      <c r="DW47" s="40">
        <f ca="1" t="shared" si="26"/>
        <v>0.3</v>
      </c>
      <c r="DX47" s="40">
        <f ca="1" t="shared" si="27"/>
        <v>0.43</v>
      </c>
      <c r="DY47" s="40">
        <f ca="1" t="shared" si="28"/>
        <v>0.4</v>
      </c>
      <c r="DZ47" s="40">
        <f ca="1" t="shared" si="29"/>
        <v>0.4</v>
      </c>
      <c r="EA47" s="40">
        <f ca="1" t="shared" si="30"/>
        <v>0.25</v>
      </c>
      <c r="EB47" s="40">
        <f ca="1" t="shared" si="31"/>
        <v>0.25</v>
      </c>
      <c r="EC47" s="40">
        <f ca="1" t="shared" si="32"/>
        <v>0.25</v>
      </c>
      <c r="ED47" s="40">
        <f ca="1" t="shared" si="33"/>
        <v>0.4</v>
      </c>
      <c r="EE47" s="40">
        <f ca="1" t="shared" si="34"/>
        <v>0.25</v>
      </c>
      <c r="EF47" s="40">
        <f ca="1" t="shared" si="35"/>
        <v>0.43</v>
      </c>
      <c r="EG47" s="40">
        <f ca="1" t="shared" si="36"/>
        <v>0.43</v>
      </c>
      <c r="EH47" s="40">
        <f ca="1" t="shared" si="37"/>
        <v>0.280785282844377</v>
      </c>
      <c r="EI47" s="40">
        <f ca="1" t="shared" si="38"/>
        <v>0.280785282844377</v>
      </c>
      <c r="EJ47" s="40">
        <f ca="1" t="shared" si="39"/>
        <v>0.280785282844377</v>
      </c>
      <c r="EK47" s="40">
        <f ca="1" t="shared" si="40"/>
        <v>0.280785282844377</v>
      </c>
      <c r="EL47" s="40">
        <f ca="1" t="shared" si="41"/>
        <v>0.280785282844377</v>
      </c>
      <c r="EM47" s="40">
        <f ca="1" t="shared" si="42"/>
        <v>0.280785282844377</v>
      </c>
      <c r="EN47" s="40">
        <f ca="1" t="shared" si="43"/>
        <v>0.280785282844377</v>
      </c>
      <c r="EO47" s="40">
        <f ca="1" t="shared" si="44"/>
        <v>0.280785282844377</v>
      </c>
      <c r="EP47" s="40">
        <f ca="1" t="shared" si="45"/>
        <v>0.280785282844377</v>
      </c>
      <c r="EQ47" s="40">
        <f ca="1" t="shared" si="46"/>
        <v>0.280785282844377</v>
      </c>
      <c r="ER47" s="40">
        <f ca="1" t="shared" si="47"/>
        <v>0.280785282844377</v>
      </c>
    </row>
    <row r="48" spans="1:148">
      <c r="A48">
        <v>1</v>
      </c>
      <c r="B48" t="str">
        <f>VLOOKUP(F48,'TRA balance'!$BA$5:$BB$14,2,FALSE)</f>
        <v>TRALPG</v>
      </c>
      <c r="C48" s="56" t="str">
        <f t="shared" si="48"/>
        <v/>
      </c>
      <c r="D48" s="57"/>
      <c r="E48" s="69" t="s">
        <v>220</v>
      </c>
      <c r="F48" s="58" t="str">
        <f t="shared" si="74"/>
        <v>Liquified Petroleum Gases</v>
      </c>
      <c r="G48" s="56"/>
      <c r="H48" s="71" t="str">
        <f ca="1">IF(SUM(H44:H47)=1,"-","&lt;&gt;1!!")</f>
        <v>-</v>
      </c>
      <c r="I48" s="71" t="str">
        <f ca="1" t="shared" ref="I48:BA48" si="75">IF(SUM(I44:I47)=1,"-","&lt;&gt;1!!")</f>
        <v>-</v>
      </c>
      <c r="J48" s="71" t="str">
        <f ca="1" t="shared" si="75"/>
        <v>-</v>
      </c>
      <c r="K48" s="71" t="str">
        <f ca="1" t="shared" si="75"/>
        <v>-</v>
      </c>
      <c r="L48" s="71" t="str">
        <f ca="1" t="shared" si="75"/>
        <v>-</v>
      </c>
      <c r="M48" s="71" t="str">
        <f ca="1" t="shared" si="75"/>
        <v>-</v>
      </c>
      <c r="N48" s="71" t="str">
        <f ca="1" t="shared" si="75"/>
        <v>-</v>
      </c>
      <c r="O48" s="71" t="str">
        <f ca="1" t="shared" si="75"/>
        <v>-</v>
      </c>
      <c r="P48" s="71" t="str">
        <f ca="1" t="shared" si="75"/>
        <v>-</v>
      </c>
      <c r="Q48" s="71" t="str">
        <f ca="1" t="shared" si="75"/>
        <v>-</v>
      </c>
      <c r="R48" s="71" t="str">
        <f ca="1" t="shared" si="75"/>
        <v>-</v>
      </c>
      <c r="S48" s="71" t="str">
        <f ca="1" t="shared" si="75"/>
        <v>-</v>
      </c>
      <c r="T48" s="71" t="str">
        <f ca="1" t="shared" si="75"/>
        <v>-</v>
      </c>
      <c r="U48" s="71" t="str">
        <f ca="1" t="shared" si="75"/>
        <v>-</v>
      </c>
      <c r="V48" s="71" t="str">
        <f ca="1" t="shared" si="75"/>
        <v>-</v>
      </c>
      <c r="W48" s="71" t="str">
        <f ca="1" t="shared" si="75"/>
        <v>-</v>
      </c>
      <c r="X48" s="71" t="str">
        <f ca="1" t="shared" si="75"/>
        <v>-</v>
      </c>
      <c r="Y48" s="71" t="str">
        <f ca="1" t="shared" si="75"/>
        <v>-</v>
      </c>
      <c r="Z48" s="71" t="str">
        <f ca="1" t="shared" si="75"/>
        <v>-</v>
      </c>
      <c r="AA48" s="71" t="str">
        <f ca="1" t="shared" si="75"/>
        <v>-</v>
      </c>
      <c r="AB48" s="71" t="str">
        <f ca="1" t="shared" si="75"/>
        <v>-</v>
      </c>
      <c r="AC48" s="71" t="str">
        <f ca="1" t="shared" si="75"/>
        <v>-</v>
      </c>
      <c r="AD48" s="71" t="str">
        <f ca="1" t="shared" si="75"/>
        <v>-</v>
      </c>
      <c r="AE48" s="71" t="str">
        <f ca="1" t="shared" si="75"/>
        <v>-</v>
      </c>
      <c r="AF48" s="71" t="str">
        <f ca="1" t="shared" si="75"/>
        <v>-</v>
      </c>
      <c r="AG48" s="71" t="str">
        <f ca="1" t="shared" si="75"/>
        <v>-</v>
      </c>
      <c r="AH48" s="71" t="str">
        <f ca="1" t="shared" si="75"/>
        <v>-</v>
      </c>
      <c r="AI48" s="71" t="str">
        <f ca="1" t="shared" si="75"/>
        <v>-</v>
      </c>
      <c r="AJ48" s="71" t="str">
        <f ca="1" t="shared" si="75"/>
        <v>-</v>
      </c>
      <c r="AK48" s="71" t="str">
        <f ca="1" t="shared" si="75"/>
        <v>-</v>
      </c>
      <c r="AL48" s="71" t="str">
        <f ca="1" t="shared" si="75"/>
        <v>-</v>
      </c>
      <c r="AM48" s="71" t="str">
        <f ca="1" t="shared" si="75"/>
        <v>-</v>
      </c>
      <c r="AN48" s="71" t="str">
        <f ca="1" t="shared" si="75"/>
        <v>-</v>
      </c>
      <c r="AO48" s="71" t="str">
        <f ca="1" t="shared" si="75"/>
        <v>-</v>
      </c>
      <c r="AP48" s="71" t="str">
        <f ca="1" t="shared" si="75"/>
        <v>-</v>
      </c>
      <c r="AQ48" s="71" t="str">
        <f ca="1" t="shared" si="75"/>
        <v>-</v>
      </c>
      <c r="AR48" s="71" t="str">
        <f ca="1" t="shared" si="75"/>
        <v>-</v>
      </c>
      <c r="AS48" s="71" t="str">
        <f ca="1" t="shared" si="75"/>
        <v>-</v>
      </c>
      <c r="AT48" s="71" t="str">
        <f ca="1" t="shared" si="75"/>
        <v>-</v>
      </c>
      <c r="AU48" s="71" t="str">
        <f ca="1" t="shared" si="75"/>
        <v>-</v>
      </c>
      <c r="AV48" s="71" t="str">
        <f ca="1" t="shared" si="75"/>
        <v>-</v>
      </c>
      <c r="AW48" s="71" t="str">
        <f ca="1" t="shared" si="75"/>
        <v>-</v>
      </c>
      <c r="AX48" s="71" t="str">
        <f ca="1" t="shared" si="75"/>
        <v>-</v>
      </c>
      <c r="AY48" s="71" t="str">
        <f ca="1" t="shared" si="75"/>
        <v>-</v>
      </c>
      <c r="AZ48" s="71" t="str">
        <f ca="1" t="shared" si="75"/>
        <v>-</v>
      </c>
      <c r="BA48" s="71" t="str">
        <f ca="1" t="shared" si="75"/>
        <v>-</v>
      </c>
      <c r="BD48" s="41" t="str">
        <f ca="1">IFERROR(SUMIFS('TRA balance'!E$5:E$40,'TRA balance'!$C$5:$C$40,Assumptions!$C48,'TRA balance'!$D$5:$D$40,Assumptions!$B48)*CY48*H48,"")</f>
        <v/>
      </c>
      <c r="BE48" s="41" t="str">
        <f ca="1">IFERROR(SUMIFS('TRA balance'!F$5:F$40,'TRA balance'!$C$5:$C$40,Assumptions!$C48,'TRA balance'!$D$5:$D$40,Assumptions!$B48)*CZ48*I48,"")</f>
        <v/>
      </c>
      <c r="BF48" s="41" t="str">
        <f ca="1">IFERROR(SUMIFS('TRA balance'!G$5:G$40,'TRA balance'!$C$5:$C$40,Assumptions!$C48,'TRA balance'!$D$5:$D$40,Assumptions!$B48)*DA48*J48,"")</f>
        <v/>
      </c>
      <c r="BG48" s="41" t="str">
        <f ca="1">IFERROR(SUMIFS('TRA balance'!H$5:H$40,'TRA balance'!$C$5:$C$40,Assumptions!$C48,'TRA balance'!$D$5:$D$40,Assumptions!$B48)*DB48*K48,"")</f>
        <v/>
      </c>
      <c r="BH48" s="41" t="str">
        <f ca="1">IFERROR(SUMIFS('TRA balance'!I$5:I$40,'TRA balance'!$C$5:$C$40,Assumptions!$C48,'TRA balance'!$D$5:$D$40,Assumptions!$B48)*DC48*L48,"")</f>
        <v/>
      </c>
      <c r="BI48" s="41" t="str">
        <f ca="1">IFERROR(SUMIFS('TRA balance'!J$5:J$40,'TRA balance'!$C$5:$C$40,Assumptions!$C48,'TRA balance'!$D$5:$D$40,Assumptions!$B48)*DD48*M48,"")</f>
        <v/>
      </c>
      <c r="BJ48" s="41" t="str">
        <f ca="1">IFERROR(SUMIFS('TRA balance'!K$5:K$40,'TRA balance'!$C$5:$C$40,Assumptions!$C48,'TRA balance'!$D$5:$D$40,Assumptions!$B48)*DE48*N48,"")</f>
        <v/>
      </c>
      <c r="BK48" s="41" t="str">
        <f ca="1">IFERROR(SUMIFS('TRA balance'!L$5:L$40,'TRA balance'!$C$5:$C$40,Assumptions!$C48,'TRA balance'!$D$5:$D$40,Assumptions!$B48)*DF48*O48,"")</f>
        <v/>
      </c>
      <c r="BL48" s="41" t="str">
        <f ca="1">IFERROR(SUMIFS('TRA balance'!M$5:M$40,'TRA balance'!$C$5:$C$40,Assumptions!$C48,'TRA balance'!$D$5:$D$40,Assumptions!$B48)*DG48*P48,"")</f>
        <v/>
      </c>
      <c r="BM48" s="41" t="str">
        <f ca="1">IFERROR(SUMIFS('TRA balance'!N$5:N$40,'TRA balance'!$C$5:$C$40,Assumptions!$C48,'TRA balance'!$D$5:$D$40,Assumptions!$B48)*DH48*Q48,"")</f>
        <v/>
      </c>
      <c r="BN48" s="41" t="str">
        <f ca="1">IFERROR(SUMIFS('TRA balance'!O$5:O$40,'TRA balance'!$C$5:$C$40,Assumptions!$C48,'TRA balance'!$D$5:$D$40,Assumptions!$B48)*DI48*R48,"")</f>
        <v/>
      </c>
      <c r="BO48" s="41" t="str">
        <f ca="1">IFERROR(SUMIFS('TRA balance'!P$5:P$40,'TRA balance'!$C$5:$C$40,Assumptions!$C48,'TRA balance'!$D$5:$D$40,Assumptions!$B48)*DJ48*S48,"")</f>
        <v/>
      </c>
      <c r="BP48" s="41" t="str">
        <f ca="1">IFERROR(SUMIFS('TRA balance'!Q$5:Q$40,'TRA balance'!$C$5:$C$40,Assumptions!$C48,'TRA balance'!$D$5:$D$40,Assumptions!$B48)*DK48*T48,"")</f>
        <v/>
      </c>
      <c r="BQ48" s="41" t="str">
        <f ca="1">IFERROR(SUMIFS('TRA balance'!R$5:R$40,'TRA balance'!$C$5:$C$40,Assumptions!$C48,'TRA balance'!$D$5:$D$40,Assumptions!$B48)*DL48*U48,"")</f>
        <v/>
      </c>
      <c r="BR48" s="41" t="str">
        <f ca="1">IFERROR(SUMIFS('TRA balance'!S$5:S$40,'TRA balance'!$C$5:$C$40,Assumptions!$C48,'TRA balance'!$D$5:$D$40,Assumptions!$B48)*DM48*V48,"")</f>
        <v/>
      </c>
      <c r="BS48" s="41" t="str">
        <f ca="1">IFERROR(SUMIFS('TRA balance'!T$5:T$40,'TRA balance'!$C$5:$C$40,Assumptions!$C48,'TRA balance'!$D$5:$D$40,Assumptions!$B48)*DN48*W48,"")</f>
        <v/>
      </c>
      <c r="BT48" s="41" t="str">
        <f ca="1">IFERROR(SUMIFS('TRA balance'!U$5:U$40,'TRA balance'!$C$5:$C$40,Assumptions!$C48,'TRA balance'!$D$5:$D$40,Assumptions!$B48)*DO48*X48,"")</f>
        <v/>
      </c>
      <c r="BU48" s="41" t="str">
        <f ca="1">IFERROR(SUMIFS('TRA balance'!V$5:V$40,'TRA balance'!$C$5:$C$40,Assumptions!$C48,'TRA balance'!$D$5:$D$40,Assumptions!$B48)*DP48*Y48,"")</f>
        <v/>
      </c>
      <c r="BV48" s="41" t="str">
        <f ca="1">IFERROR(SUMIFS('TRA balance'!W$5:W$40,'TRA balance'!$C$5:$C$40,Assumptions!$C48,'TRA balance'!$D$5:$D$40,Assumptions!$B48)*DQ48*Z48,"")</f>
        <v/>
      </c>
      <c r="BW48" s="41" t="str">
        <f ca="1">IFERROR(SUMIFS('TRA balance'!X$5:X$40,'TRA balance'!$C$5:$C$40,Assumptions!$C48,'TRA balance'!$D$5:$D$40,Assumptions!$B48)*DR48*AA48,"")</f>
        <v/>
      </c>
      <c r="BX48" s="41" t="str">
        <f ca="1">IFERROR(SUMIFS('TRA balance'!Y$5:Y$40,'TRA balance'!$C$5:$C$40,Assumptions!$C48,'TRA balance'!$D$5:$D$40,Assumptions!$B48)*DS48*AB48,"")</f>
        <v/>
      </c>
      <c r="BY48" s="41" t="str">
        <f ca="1">IFERROR(SUMIFS('TRA balance'!Z$5:Z$40,'TRA balance'!$C$5:$C$40,Assumptions!$C48,'TRA balance'!$D$5:$D$40,Assumptions!$B48)*DT48*AC48,"")</f>
        <v/>
      </c>
      <c r="BZ48" s="41" t="str">
        <f ca="1">IFERROR(SUMIFS('TRA balance'!AA$5:AA$40,'TRA balance'!$C$5:$C$40,Assumptions!$C48,'TRA balance'!$D$5:$D$40,Assumptions!$B48)*DU48*AD48,"")</f>
        <v/>
      </c>
      <c r="CA48" s="41" t="str">
        <f ca="1">IFERROR(SUMIFS('TRA balance'!AB$5:AB$40,'TRA balance'!$C$5:$C$40,Assumptions!$C48,'TRA balance'!$D$5:$D$40,Assumptions!$B48)*DV48*AE48,"")</f>
        <v/>
      </c>
      <c r="CB48" s="41" t="str">
        <f ca="1">IFERROR(SUMIFS('TRA balance'!AC$5:AC$40,'TRA balance'!$C$5:$C$40,Assumptions!$C48,'TRA balance'!$D$5:$D$40,Assumptions!$B48)*DW48*AF48,"")</f>
        <v/>
      </c>
      <c r="CC48" s="41" t="str">
        <f ca="1">IFERROR(SUMIFS('TRA balance'!AD$5:AD$40,'TRA balance'!$C$5:$C$40,Assumptions!$C48,'TRA balance'!$D$5:$D$40,Assumptions!$B48)*DX48*AG48,"")</f>
        <v/>
      </c>
      <c r="CD48" s="41" t="str">
        <f ca="1">IFERROR(SUMIFS('TRA balance'!AE$5:AE$40,'TRA balance'!$C$5:$C$40,Assumptions!$C48,'TRA balance'!$D$5:$D$40,Assumptions!$B48)*DY48*AH48,"")</f>
        <v/>
      </c>
      <c r="CE48" s="41" t="str">
        <f ca="1">IFERROR(SUMIFS('TRA balance'!AF$5:AF$40,'TRA balance'!$C$5:$C$40,Assumptions!$C48,'TRA balance'!$D$5:$D$40,Assumptions!$B48)*DZ48*AI48,"")</f>
        <v/>
      </c>
      <c r="CF48" s="41" t="str">
        <f ca="1">IFERROR(SUMIFS('TRA balance'!AG$5:AG$40,'TRA balance'!$C$5:$C$40,Assumptions!$C48,'TRA balance'!$D$5:$D$40,Assumptions!$B48)*EA48*AJ48,"")</f>
        <v/>
      </c>
      <c r="CG48" s="41" t="str">
        <f ca="1">IFERROR(SUMIFS('TRA balance'!AH$5:AH$40,'TRA balance'!$C$5:$C$40,Assumptions!$C48,'TRA balance'!$D$5:$D$40,Assumptions!$B48)*EB48*AK48,"")</f>
        <v/>
      </c>
      <c r="CH48" s="41" t="str">
        <f ca="1">IFERROR(SUMIFS('TRA balance'!AI$5:AI$40,'TRA balance'!$C$5:$C$40,Assumptions!$C48,'TRA balance'!$D$5:$D$40,Assumptions!$B48)*EC48*AL48,"")</f>
        <v/>
      </c>
      <c r="CI48" s="41" t="str">
        <f ca="1">IFERROR(SUMIFS('TRA balance'!AJ$5:AJ$40,'TRA balance'!$C$5:$C$40,Assumptions!$C48,'TRA balance'!$D$5:$D$40,Assumptions!$B48)*ED48*AM48,"")</f>
        <v/>
      </c>
      <c r="CJ48" s="41" t="str">
        <f ca="1">IFERROR(SUMIFS('TRA balance'!AK$5:AK$40,'TRA balance'!$C$5:$C$40,Assumptions!$C48,'TRA balance'!$D$5:$D$40,Assumptions!$B48)*EE48*AN48,"")</f>
        <v/>
      </c>
      <c r="CK48" s="41" t="str">
        <f ca="1">IFERROR(SUMIFS('TRA balance'!AL$5:AL$40,'TRA balance'!$C$5:$C$40,Assumptions!$C48,'TRA balance'!$D$5:$D$40,Assumptions!$B48)*EF48*AO48,"")</f>
        <v/>
      </c>
      <c r="CL48" s="41" t="str">
        <f ca="1">IFERROR(SUMIFS('TRA balance'!AM$5:AM$40,'TRA balance'!$C$5:$C$40,Assumptions!$C48,'TRA balance'!$D$5:$D$40,Assumptions!$B48)*EG48*AP48,"")</f>
        <v/>
      </c>
      <c r="CM48" s="41" t="str">
        <f ca="1">IFERROR(SUMIFS('TRA balance'!AN$5:AN$40,'TRA balance'!$C$5:$C$40,Assumptions!$C48,'TRA balance'!$D$5:$D$40,Assumptions!$B48)*EH48*AQ48,"")</f>
        <v/>
      </c>
      <c r="CN48" s="41" t="str">
        <f ca="1">IFERROR(SUMIFS('TRA balance'!AO$5:AO$40,'TRA balance'!$C$5:$C$40,Assumptions!$C48,'TRA balance'!$D$5:$D$40,Assumptions!$B48)*EI48*AR48,"")</f>
        <v/>
      </c>
      <c r="CO48" s="41" t="str">
        <f ca="1">IFERROR(SUMIFS('TRA balance'!AP$5:AP$40,'TRA balance'!$C$5:$C$40,Assumptions!$C48,'TRA balance'!$D$5:$D$40,Assumptions!$B48)*EJ48*AS48,"")</f>
        <v/>
      </c>
      <c r="CP48" s="41" t="str">
        <f ca="1">IFERROR(SUMIFS('TRA balance'!AQ$5:AQ$40,'TRA balance'!$C$5:$C$40,Assumptions!$C48,'TRA balance'!$D$5:$D$40,Assumptions!$B48)*EK48*AT48,"")</f>
        <v/>
      </c>
      <c r="CQ48" s="41" t="str">
        <f ca="1">IFERROR(SUMIFS('TRA balance'!AR$5:AR$40,'TRA balance'!$C$5:$C$40,Assumptions!$C48,'TRA balance'!$D$5:$D$40,Assumptions!$B48)*EL48*AU48,"")</f>
        <v/>
      </c>
      <c r="CR48" s="41" t="str">
        <f ca="1">IFERROR(SUMIFS('TRA balance'!AS$5:AS$40,'TRA balance'!$C$5:$C$40,Assumptions!$C48,'TRA balance'!$D$5:$D$40,Assumptions!$B48)*EM48*AV48,"")</f>
        <v/>
      </c>
      <c r="CS48" s="41" t="str">
        <f ca="1">IFERROR(SUMIFS('TRA balance'!AT$5:AT$40,'TRA balance'!$C$5:$C$40,Assumptions!$C48,'TRA balance'!$D$5:$D$40,Assumptions!$B48)*EN48*AW48,"")</f>
        <v/>
      </c>
      <c r="CT48" s="41" t="str">
        <f ca="1">IFERROR(SUMIFS('TRA balance'!AU$5:AU$40,'TRA balance'!$C$5:$C$40,Assumptions!$C48,'TRA balance'!$D$5:$D$40,Assumptions!$B48)*EO48*AX48,"")</f>
        <v/>
      </c>
      <c r="CU48" s="41" t="str">
        <f ca="1">IFERROR(SUMIFS('TRA balance'!AV$5:AV$40,'TRA balance'!$C$5:$C$40,Assumptions!$C48,'TRA balance'!$D$5:$D$40,Assumptions!$B48)*EP48*AY48,"")</f>
        <v/>
      </c>
      <c r="CV48" s="41" t="str">
        <f ca="1">IFERROR(SUMIFS('TRA balance'!AW$5:AW$40,'TRA balance'!$C$5:$C$40,Assumptions!$C48,'TRA balance'!$D$5:$D$40,Assumptions!$B48)*EQ48*AZ48,"")</f>
        <v/>
      </c>
      <c r="CW48" s="41" t="str">
        <f ca="1">IFERROR(SUMIFS('TRA balance'!AX$5:AX$40,'TRA balance'!$C$5:$C$40,Assumptions!$C48,'TRA balance'!$D$5:$D$40,Assumptions!$B48)*ER48*BA48,"")</f>
        <v/>
      </c>
      <c r="CY48" s="40">
        <f ca="1" t="shared" si="66"/>
        <v>1</v>
      </c>
      <c r="CZ48" s="40">
        <f ca="1" t="shared" si="3"/>
        <v>1</v>
      </c>
      <c r="DA48" s="40">
        <f ca="1" t="shared" si="4"/>
        <v>1</v>
      </c>
      <c r="DB48" s="40">
        <f ca="1" t="shared" si="5"/>
        <v>1</v>
      </c>
      <c r="DC48" s="40">
        <f ca="1" t="shared" si="6"/>
        <v>1</v>
      </c>
      <c r="DD48" s="40">
        <f ca="1" t="shared" si="7"/>
        <v>1</v>
      </c>
      <c r="DE48" s="40">
        <f ca="1" t="shared" si="8"/>
        <v>1</v>
      </c>
      <c r="DF48" s="40">
        <f ca="1" t="shared" si="9"/>
        <v>1</v>
      </c>
      <c r="DG48" s="40">
        <f ca="1" t="shared" si="10"/>
        <v>1</v>
      </c>
      <c r="DH48" s="40">
        <f ca="1" t="shared" si="11"/>
        <v>1</v>
      </c>
      <c r="DI48" s="40">
        <f ca="1" t="shared" si="12"/>
        <v>1</v>
      </c>
      <c r="DJ48" s="40">
        <f ca="1" t="shared" si="13"/>
        <v>1</v>
      </c>
      <c r="DK48" s="40">
        <f ca="1" t="shared" si="14"/>
        <v>1</v>
      </c>
      <c r="DL48" s="40">
        <f ca="1" t="shared" si="15"/>
        <v>1</v>
      </c>
      <c r="DM48" s="40">
        <f ca="1" t="shared" si="16"/>
        <v>1</v>
      </c>
      <c r="DN48" s="40">
        <f ca="1" t="shared" si="17"/>
        <v>1</v>
      </c>
      <c r="DO48" s="40">
        <f ca="1" t="shared" si="18"/>
        <v>1</v>
      </c>
      <c r="DP48" s="40">
        <f ca="1" t="shared" si="19"/>
        <v>1</v>
      </c>
      <c r="DQ48" s="40">
        <f ca="1" t="shared" si="20"/>
        <v>1</v>
      </c>
      <c r="DR48" s="40">
        <f ca="1" t="shared" si="21"/>
        <v>1</v>
      </c>
      <c r="DS48" s="40">
        <f ca="1" t="shared" si="22"/>
        <v>1</v>
      </c>
      <c r="DT48" s="40">
        <f ca="1" t="shared" si="23"/>
        <v>1</v>
      </c>
      <c r="DU48" s="40">
        <f ca="1" t="shared" si="24"/>
        <v>1</v>
      </c>
      <c r="DV48" s="40">
        <f ca="1" t="shared" si="25"/>
        <v>1</v>
      </c>
      <c r="DW48" s="40">
        <f ca="1" t="shared" si="26"/>
        <v>1</v>
      </c>
      <c r="DX48" s="40">
        <f ca="1" t="shared" si="27"/>
        <v>1</v>
      </c>
      <c r="DY48" s="40">
        <f ca="1" t="shared" si="28"/>
        <v>1</v>
      </c>
      <c r="DZ48" s="40">
        <f ca="1" t="shared" si="29"/>
        <v>1</v>
      </c>
      <c r="EA48" s="40">
        <f ca="1" t="shared" si="30"/>
        <v>1</v>
      </c>
      <c r="EB48" s="40">
        <f ca="1" t="shared" si="31"/>
        <v>1</v>
      </c>
      <c r="EC48" s="40">
        <f ca="1" t="shared" si="32"/>
        <v>1</v>
      </c>
      <c r="ED48" s="40">
        <f ca="1" t="shared" si="33"/>
        <v>1</v>
      </c>
      <c r="EE48" s="40">
        <f ca="1" t="shared" si="34"/>
        <v>1</v>
      </c>
      <c r="EF48" s="40">
        <f ca="1" t="shared" si="35"/>
        <v>1</v>
      </c>
      <c r="EG48" s="40">
        <f ca="1" t="shared" si="36"/>
        <v>1</v>
      </c>
      <c r="EH48" s="40">
        <f ca="1" t="shared" si="37"/>
        <v>1</v>
      </c>
      <c r="EI48" s="40">
        <f ca="1" t="shared" si="38"/>
        <v>1</v>
      </c>
      <c r="EJ48" s="40">
        <f ca="1" t="shared" si="39"/>
        <v>1</v>
      </c>
      <c r="EK48" s="40">
        <f ca="1" t="shared" si="40"/>
        <v>1</v>
      </c>
      <c r="EL48" s="40">
        <f ca="1" t="shared" si="41"/>
        <v>1</v>
      </c>
      <c r="EM48" s="40">
        <f ca="1" t="shared" si="42"/>
        <v>1</v>
      </c>
      <c r="EN48" s="40">
        <f ca="1" t="shared" si="43"/>
        <v>1</v>
      </c>
      <c r="EO48" s="40">
        <f ca="1" t="shared" si="44"/>
        <v>1</v>
      </c>
      <c r="EP48" s="40">
        <f ca="1" t="shared" si="45"/>
        <v>1</v>
      </c>
      <c r="EQ48" s="40">
        <f ca="1" t="shared" si="46"/>
        <v>1</v>
      </c>
      <c r="ER48" s="40">
        <f ca="1" t="shared" si="47"/>
        <v>1</v>
      </c>
    </row>
    <row r="49" spans="1:148">
      <c r="A49">
        <v>1</v>
      </c>
      <c r="B49" t="str">
        <f>VLOOKUP(F49,'TRA balance'!$BA$5:$BB$14,2,FALSE)</f>
        <v>TRALPG</v>
      </c>
      <c r="C49" s="56" t="str">
        <f t="shared" si="48"/>
        <v>TT</v>
      </c>
      <c r="D49" s="57" t="s">
        <v>192</v>
      </c>
      <c r="E49" s="57" t="s">
        <v>193</v>
      </c>
      <c r="F49" s="58" t="str">
        <f t="shared" si="74"/>
        <v>Liquified Petroleum Gases</v>
      </c>
      <c r="G49" s="56" t="s">
        <v>194</v>
      </c>
      <c r="H49" s="59">
        <f ca="1">OFFSET(TIAM15_assumptions!$G49,0,MATCH(VLOOKUP(Assumptions!H$2,TIAM15_assumptions!$Y$3:$Z$87,2,FALSE),TIAM15_assumptions!$H$2:$V$2,0))</f>
        <v>1</v>
      </c>
      <c r="I49" s="59">
        <f ca="1">OFFSET(TIAM15_assumptions!$G49,0,MATCH(VLOOKUP(Assumptions!I$2,TIAM15_assumptions!$Y$3:$Z$87,2,FALSE),TIAM15_assumptions!$H$2:$V$2,0))</f>
        <v>1</v>
      </c>
      <c r="J49" s="59">
        <f ca="1">OFFSET(TIAM15_assumptions!$G49,0,MATCH(VLOOKUP(Assumptions!J$2,TIAM15_assumptions!$Y$3:$Z$87,2,FALSE),TIAM15_assumptions!$H$2:$V$2,0))</f>
        <v>0.5</v>
      </c>
      <c r="K49" s="59">
        <f ca="1">OFFSET(TIAM15_assumptions!$G49,0,MATCH(VLOOKUP(Assumptions!K$2,TIAM15_assumptions!$Y$3:$Z$87,2,FALSE),TIAM15_assumptions!$H$2:$V$2,0))</f>
        <v>1</v>
      </c>
      <c r="L49" s="59">
        <f ca="1">OFFSET(TIAM15_assumptions!$G49,0,MATCH(VLOOKUP(Assumptions!L$2,TIAM15_assumptions!$Y$3:$Z$87,2,FALSE),TIAM15_assumptions!$H$2:$V$2,0))</f>
        <v>1</v>
      </c>
      <c r="M49" s="59">
        <f ca="1">OFFSET(TIAM15_assumptions!$G49,0,MATCH(VLOOKUP(Assumptions!M$2,TIAM15_assumptions!$Y$3:$Z$87,2,FALSE),TIAM15_assumptions!$H$2:$V$2,0))</f>
        <v>1</v>
      </c>
      <c r="N49" s="59">
        <f ca="1">OFFSET(TIAM15_assumptions!$G49,0,MATCH(VLOOKUP(Assumptions!N$2,TIAM15_assumptions!$Y$3:$Z$87,2,FALSE),TIAM15_assumptions!$H$2:$V$2,0))</f>
        <v>1</v>
      </c>
      <c r="O49" s="59">
        <f ca="1">OFFSET(TIAM15_assumptions!$G49,0,MATCH(VLOOKUP(Assumptions!O$2,TIAM15_assumptions!$Y$3:$Z$87,2,FALSE),TIAM15_assumptions!$H$2:$V$2,0))</f>
        <v>0.5</v>
      </c>
      <c r="P49" s="59">
        <f ca="1">OFFSET(TIAM15_assumptions!$G49,0,MATCH(VLOOKUP(Assumptions!P$2,TIAM15_assumptions!$Y$3:$Z$87,2,FALSE),TIAM15_assumptions!$H$2:$V$2,0))</f>
        <v>1</v>
      </c>
      <c r="Q49" s="59">
        <f ca="1">OFFSET(TIAM15_assumptions!$G49,0,MATCH(VLOOKUP(Assumptions!Q$2,TIAM15_assumptions!$Y$3:$Z$87,2,FALSE),TIAM15_assumptions!$H$2:$V$2,0))</f>
        <v>1</v>
      </c>
      <c r="R49" s="59">
        <f ca="1">OFFSET(TIAM15_assumptions!$G49,0,MATCH(VLOOKUP(Assumptions!R$2,TIAM15_assumptions!$Y$3:$Z$87,2,FALSE),TIAM15_assumptions!$H$2:$V$2,0))</f>
        <v>1</v>
      </c>
      <c r="S49" s="59">
        <f ca="1">OFFSET(TIAM15_assumptions!$G49,0,MATCH(VLOOKUP(Assumptions!S$2,TIAM15_assumptions!$Y$3:$Z$87,2,FALSE),TIAM15_assumptions!$H$2:$V$2,0))</f>
        <v>1</v>
      </c>
      <c r="T49" s="59">
        <f ca="1">OFFSET(TIAM15_assumptions!$G49,0,MATCH(VLOOKUP(Assumptions!T$2,TIAM15_assumptions!$Y$3:$Z$87,2,FALSE),TIAM15_assumptions!$H$2:$V$2,0))</f>
        <v>1</v>
      </c>
      <c r="U49" s="59">
        <f ca="1">OFFSET(TIAM15_assumptions!$G49,0,MATCH(VLOOKUP(Assumptions!U$2,TIAM15_assumptions!$Y$3:$Z$87,2,FALSE),TIAM15_assumptions!$H$2:$V$2,0))</f>
        <v>1</v>
      </c>
      <c r="V49" s="59">
        <f ca="1">OFFSET(TIAM15_assumptions!$G49,0,MATCH(VLOOKUP(Assumptions!V$2,TIAM15_assumptions!$Y$3:$Z$87,2,FALSE),TIAM15_assumptions!$H$2:$V$2,0))</f>
        <v>1</v>
      </c>
      <c r="W49" s="59">
        <f ca="1">OFFSET(TIAM15_assumptions!$G49,0,MATCH(VLOOKUP(Assumptions!W$2,TIAM15_assumptions!$Y$3:$Z$87,2,FALSE),TIAM15_assumptions!$H$2:$V$2,0))</f>
        <v>0.5</v>
      </c>
      <c r="X49" s="59">
        <f ca="1">OFFSET(TIAM15_assumptions!$G49,0,MATCH(VLOOKUP(Assumptions!X$2,TIAM15_assumptions!$Y$3:$Z$87,2,FALSE),TIAM15_assumptions!$H$2:$V$2,0))</f>
        <v>1</v>
      </c>
      <c r="Y49" s="59">
        <f ca="1">OFFSET(TIAM15_assumptions!$G49,0,MATCH(VLOOKUP(Assumptions!Y$2,TIAM15_assumptions!$Y$3:$Z$87,2,FALSE),TIAM15_assumptions!$H$2:$V$2,0))</f>
        <v>1</v>
      </c>
      <c r="Z49" s="59">
        <f ca="1">OFFSET(TIAM15_assumptions!$G49,0,MATCH(VLOOKUP(Assumptions!Z$2,TIAM15_assumptions!$Y$3:$Z$87,2,FALSE),TIAM15_assumptions!$H$2:$V$2,0))</f>
        <v>0.07</v>
      </c>
      <c r="AA49" s="59">
        <f ca="1">OFFSET(TIAM15_assumptions!$G49,0,MATCH(VLOOKUP(Assumptions!AA$2,TIAM15_assumptions!$Y$3:$Z$87,2,FALSE),TIAM15_assumptions!$H$2:$V$2,0))</f>
        <v>1</v>
      </c>
      <c r="AB49" s="59">
        <f ca="1">OFFSET(TIAM15_assumptions!$G49,0,MATCH(VLOOKUP(Assumptions!AB$2,TIAM15_assumptions!$Y$3:$Z$87,2,FALSE),TIAM15_assumptions!$H$2:$V$2,0))</f>
        <v>1</v>
      </c>
      <c r="AC49" s="59">
        <f ca="1">OFFSET(TIAM15_assumptions!$G49,0,MATCH(VLOOKUP(Assumptions!AC$2,TIAM15_assumptions!$Y$3:$Z$87,2,FALSE),TIAM15_assumptions!$H$2:$V$2,0))</f>
        <v>0.5</v>
      </c>
      <c r="AD49" s="59">
        <f ca="1">OFFSET(TIAM15_assumptions!$G49,0,MATCH(VLOOKUP(Assumptions!AD$2,TIAM15_assumptions!$Y$3:$Z$87,2,FALSE),TIAM15_assumptions!$H$2:$V$2,0))</f>
        <v>1</v>
      </c>
      <c r="AE49" s="59">
        <f ca="1">OFFSET(TIAM15_assumptions!$G49,0,MATCH(VLOOKUP(Assumptions!AE$2,TIAM15_assumptions!$Y$3:$Z$87,2,FALSE),TIAM15_assumptions!$H$2:$V$2,0))</f>
        <v>1</v>
      </c>
      <c r="AF49" s="59">
        <f ca="1">OFFSET(TIAM15_assumptions!$G49,0,MATCH(VLOOKUP(Assumptions!AF$2,TIAM15_assumptions!$Y$3:$Z$87,2,FALSE),TIAM15_assumptions!$H$2:$V$2,0))</f>
        <v>0.5</v>
      </c>
      <c r="AG49" s="59">
        <f ca="1">OFFSET(TIAM15_assumptions!$G49,0,MATCH(VLOOKUP(Assumptions!AG$2,TIAM15_assumptions!$Y$3:$Z$87,2,FALSE),TIAM15_assumptions!$H$2:$V$2,0))</f>
        <v>1</v>
      </c>
      <c r="AH49" s="59">
        <f ca="1">OFFSET(TIAM15_assumptions!$G49,0,MATCH(VLOOKUP(Assumptions!AH$2,TIAM15_assumptions!$Y$3:$Z$87,2,FALSE),TIAM15_assumptions!$H$2:$V$2,0))</f>
        <v>1</v>
      </c>
      <c r="AI49" s="59">
        <f ca="1">OFFSET(TIAM15_assumptions!$G49,0,MATCH(VLOOKUP(Assumptions!AI$2,TIAM15_assumptions!$Y$3:$Z$87,2,FALSE),TIAM15_assumptions!$H$2:$V$2,0))</f>
        <v>1</v>
      </c>
      <c r="AJ49" s="59">
        <f ca="1">OFFSET(TIAM15_assumptions!$G49,0,MATCH(VLOOKUP(Assumptions!AJ$2,TIAM15_assumptions!$Y$3:$Z$87,2,FALSE),TIAM15_assumptions!$H$2:$V$2,0))</f>
        <v>1</v>
      </c>
      <c r="AK49" s="59">
        <f ca="1">OFFSET(TIAM15_assumptions!$G49,0,MATCH(VLOOKUP(Assumptions!AK$2,TIAM15_assumptions!$Y$3:$Z$87,2,FALSE),TIAM15_assumptions!$H$2:$V$2,0))</f>
        <v>1</v>
      </c>
      <c r="AL49" s="59">
        <f ca="1">OFFSET(TIAM15_assumptions!$G49,0,MATCH(VLOOKUP(Assumptions!AL$2,TIAM15_assumptions!$Y$3:$Z$87,2,FALSE),TIAM15_assumptions!$H$2:$V$2,0))</f>
        <v>1</v>
      </c>
      <c r="AM49" s="59">
        <f ca="1">OFFSET(TIAM15_assumptions!$G49,0,MATCH(VLOOKUP(Assumptions!AM$2,TIAM15_assumptions!$Y$3:$Z$87,2,FALSE),TIAM15_assumptions!$H$2:$V$2,0))</f>
        <v>1</v>
      </c>
      <c r="AN49" s="59">
        <f ca="1">OFFSET(TIAM15_assumptions!$G49,0,MATCH(VLOOKUP(Assumptions!AN$2,TIAM15_assumptions!$Y$3:$Z$87,2,FALSE),TIAM15_assumptions!$H$2:$V$2,0))</f>
        <v>1</v>
      </c>
      <c r="AO49" s="59">
        <f ca="1">OFFSET(TIAM15_assumptions!$G49,0,MATCH(VLOOKUP(Assumptions!AO$2,TIAM15_assumptions!$Y$3:$Z$87,2,FALSE),TIAM15_assumptions!$H$2:$V$2,0))</f>
        <v>1</v>
      </c>
      <c r="AP49" s="59">
        <f ca="1">OFFSET(TIAM15_assumptions!$G49,0,MATCH(VLOOKUP(Assumptions!AP$2,TIAM15_assumptions!$Y$3:$Z$87,2,FALSE),TIAM15_assumptions!$H$2:$V$2,0))</f>
        <v>1</v>
      </c>
      <c r="AQ49" s="59">
        <f ca="1">OFFSET(TIAM15_assumptions!$G49,0,MATCH(VLOOKUP(Assumptions!AQ$2,TIAM15_assumptions!$Y$3:$Z$87,2,FALSE),TIAM15_assumptions!$H$2:$V$2,0))</f>
        <v>0.5</v>
      </c>
      <c r="AR49" s="59">
        <f ca="1">OFFSET(TIAM15_assumptions!$G49,0,MATCH(VLOOKUP(Assumptions!AR$2,TIAM15_assumptions!$Y$3:$Z$87,2,FALSE),TIAM15_assumptions!$H$2:$V$2,0))</f>
        <v>0.5</v>
      </c>
      <c r="AS49" s="59">
        <f ca="1">OFFSET(TIAM15_assumptions!$G49,0,MATCH(VLOOKUP(Assumptions!AS$2,TIAM15_assumptions!$Y$3:$Z$87,2,FALSE),TIAM15_assumptions!$H$2:$V$2,0))</f>
        <v>0.5</v>
      </c>
      <c r="AT49" s="59">
        <f ca="1">OFFSET(TIAM15_assumptions!$G49,0,MATCH(VLOOKUP(Assumptions!AT$2,TIAM15_assumptions!$Y$3:$Z$87,2,FALSE),TIAM15_assumptions!$H$2:$V$2,0))</f>
        <v>0.5</v>
      </c>
      <c r="AU49" s="59">
        <f ca="1">OFFSET(TIAM15_assumptions!$G49,0,MATCH(VLOOKUP(Assumptions!AU$2,TIAM15_assumptions!$Y$3:$Z$87,2,FALSE),TIAM15_assumptions!$H$2:$V$2,0))</f>
        <v>0.5</v>
      </c>
      <c r="AV49" s="59">
        <f ca="1">OFFSET(TIAM15_assumptions!$G49,0,MATCH(VLOOKUP(Assumptions!AV$2,TIAM15_assumptions!$Y$3:$Z$87,2,FALSE),TIAM15_assumptions!$H$2:$V$2,0))</f>
        <v>0.5</v>
      </c>
      <c r="AW49" s="59">
        <f ca="1">OFFSET(TIAM15_assumptions!$G49,0,MATCH(VLOOKUP(Assumptions!AW$2,TIAM15_assumptions!$Y$3:$Z$87,2,FALSE),TIAM15_assumptions!$H$2:$V$2,0))</f>
        <v>0.5</v>
      </c>
      <c r="AX49" s="59">
        <f ca="1">OFFSET(TIAM15_assumptions!$G49,0,MATCH(VLOOKUP(Assumptions!AX$2,TIAM15_assumptions!$Y$3:$Z$87,2,FALSE),TIAM15_assumptions!$H$2:$V$2,0))</f>
        <v>0.5</v>
      </c>
      <c r="AY49" s="59">
        <f ca="1">OFFSET(TIAM15_assumptions!$G49,0,MATCH(VLOOKUP(Assumptions!AY$2,TIAM15_assumptions!$Y$3:$Z$87,2,FALSE),TIAM15_assumptions!$H$2:$V$2,0))</f>
        <v>0.5</v>
      </c>
      <c r="AZ49" s="59">
        <f ca="1">OFFSET(TIAM15_assumptions!$G49,0,MATCH(VLOOKUP(Assumptions!AZ$2,TIAM15_assumptions!$Y$3:$Z$87,2,FALSE),TIAM15_assumptions!$H$2:$V$2,0))</f>
        <v>0.5</v>
      </c>
      <c r="BA49" s="59">
        <f ca="1">OFFSET(TIAM15_assumptions!$G49,0,MATCH(VLOOKUP(Assumptions!BA$2,TIAM15_assumptions!$Y$3:$Z$87,2,FALSE),TIAM15_assumptions!$H$2:$V$2,0))</f>
        <v>0.5</v>
      </c>
      <c r="BD49" s="41">
        <f ca="1">IFERROR(SUMIFS('TRA balance'!E$5:E$40,'TRA balance'!$C$5:$C$40,Assumptions!$C49,'TRA balance'!$D$5:$D$40,Assumptions!$B49)*CY49*H49,"")</f>
        <v>0</v>
      </c>
      <c r="BE49" s="41">
        <f ca="1">IFERROR(SUMIFS('TRA balance'!F$5:F$40,'TRA balance'!$C$5:$C$40,Assumptions!$C49,'TRA balance'!$D$5:$D$40,Assumptions!$B49)*CZ49*I49,"")</f>
        <v>0</v>
      </c>
      <c r="BF49" s="41">
        <f ca="1">IFERROR(SUMIFS('TRA balance'!G$5:G$40,'TRA balance'!$C$5:$C$40,Assumptions!$C49,'TRA balance'!$D$5:$D$40,Assumptions!$B49)*DA49*J49,"")</f>
        <v>0</v>
      </c>
      <c r="BG49" s="41">
        <f ca="1">IFERROR(SUMIFS('TRA balance'!H$5:H$40,'TRA balance'!$C$5:$C$40,Assumptions!$C49,'TRA balance'!$D$5:$D$40,Assumptions!$B49)*DB49*K49,"")</f>
        <v>0</v>
      </c>
      <c r="BH49" s="41">
        <f ca="1">IFERROR(SUMIFS('TRA balance'!I$5:I$40,'TRA balance'!$C$5:$C$40,Assumptions!$C49,'TRA balance'!$D$5:$D$40,Assumptions!$B49)*DC49*L49,"")</f>
        <v>0</v>
      </c>
      <c r="BI49" s="41">
        <f ca="1">IFERROR(SUMIFS('TRA balance'!J$5:J$40,'TRA balance'!$C$5:$C$40,Assumptions!$C49,'TRA balance'!$D$5:$D$40,Assumptions!$B49)*DD49*M49,"")</f>
        <v>0</v>
      </c>
      <c r="BJ49" s="41">
        <f ca="1">IFERROR(SUMIFS('TRA balance'!K$5:K$40,'TRA balance'!$C$5:$C$40,Assumptions!$C49,'TRA balance'!$D$5:$D$40,Assumptions!$B49)*DE49*N49,"")</f>
        <v>0</v>
      </c>
      <c r="BK49" s="41">
        <f ca="1">IFERROR(SUMIFS('TRA balance'!L$5:L$40,'TRA balance'!$C$5:$C$40,Assumptions!$C49,'TRA balance'!$D$5:$D$40,Assumptions!$B49)*DF49*O49,"")</f>
        <v>0</v>
      </c>
      <c r="BL49" s="41">
        <f ca="1">IFERROR(SUMIFS('TRA balance'!M$5:M$40,'TRA balance'!$C$5:$C$40,Assumptions!$C49,'TRA balance'!$D$5:$D$40,Assumptions!$B49)*DG49*P49,"")</f>
        <v>0</v>
      </c>
      <c r="BM49" s="41">
        <f ca="1">IFERROR(SUMIFS('TRA balance'!N$5:N$40,'TRA balance'!$C$5:$C$40,Assumptions!$C49,'TRA balance'!$D$5:$D$40,Assumptions!$B49)*DH49*Q49,"")</f>
        <v>0</v>
      </c>
      <c r="BN49" s="41">
        <f ca="1">IFERROR(SUMIFS('TRA balance'!O$5:O$40,'TRA balance'!$C$5:$C$40,Assumptions!$C49,'TRA balance'!$D$5:$D$40,Assumptions!$B49)*DI49*R49,"")</f>
        <v>0</v>
      </c>
      <c r="BO49" s="41">
        <f ca="1">IFERROR(SUMIFS('TRA balance'!P$5:P$40,'TRA balance'!$C$5:$C$40,Assumptions!$C49,'TRA balance'!$D$5:$D$40,Assumptions!$B49)*DJ49*S49,"")</f>
        <v>0</v>
      </c>
      <c r="BP49" s="41">
        <f ca="1">IFERROR(SUMIFS('TRA balance'!Q$5:Q$40,'TRA balance'!$C$5:$C$40,Assumptions!$C49,'TRA balance'!$D$5:$D$40,Assumptions!$B49)*DK49*T49,"")</f>
        <v>0</v>
      </c>
      <c r="BQ49" s="41">
        <f ca="1">IFERROR(SUMIFS('TRA balance'!R$5:R$40,'TRA balance'!$C$5:$C$40,Assumptions!$C49,'TRA balance'!$D$5:$D$40,Assumptions!$B49)*DL49*U49,"")</f>
        <v>0</v>
      </c>
      <c r="BR49" s="41">
        <f ca="1">IFERROR(SUMIFS('TRA balance'!S$5:S$40,'TRA balance'!$C$5:$C$40,Assumptions!$C49,'TRA balance'!$D$5:$D$40,Assumptions!$B49)*DM49*V49,"")</f>
        <v>0</v>
      </c>
      <c r="BS49" s="41">
        <f ca="1">IFERROR(SUMIFS('TRA balance'!T$5:T$40,'TRA balance'!$C$5:$C$40,Assumptions!$C49,'TRA balance'!$D$5:$D$40,Assumptions!$B49)*DN49*W49,"")</f>
        <v>0</v>
      </c>
      <c r="BT49" s="41">
        <f ca="1">IFERROR(SUMIFS('TRA balance'!U$5:U$40,'TRA balance'!$C$5:$C$40,Assumptions!$C49,'TRA balance'!$D$5:$D$40,Assumptions!$B49)*DO49*X49,"")</f>
        <v>0</v>
      </c>
      <c r="BU49" s="41">
        <f ca="1">IFERROR(SUMIFS('TRA balance'!V$5:V$40,'TRA balance'!$C$5:$C$40,Assumptions!$C49,'TRA balance'!$D$5:$D$40,Assumptions!$B49)*DP49*Y49,"")</f>
        <v>0</v>
      </c>
      <c r="BV49" s="41">
        <f ca="1">IFERROR(SUMIFS('TRA balance'!W$5:W$40,'TRA balance'!$C$5:$C$40,Assumptions!$C49,'TRA balance'!$D$5:$D$40,Assumptions!$B49)*DQ49*Z49,"")</f>
        <v>0</v>
      </c>
      <c r="BW49" s="41">
        <f ca="1">IFERROR(SUMIFS('TRA balance'!X$5:X$40,'TRA balance'!$C$5:$C$40,Assumptions!$C49,'TRA balance'!$D$5:$D$40,Assumptions!$B49)*DR49*AA49,"")</f>
        <v>0</v>
      </c>
      <c r="BX49" s="41">
        <f ca="1">IFERROR(SUMIFS('TRA balance'!Y$5:Y$40,'TRA balance'!$C$5:$C$40,Assumptions!$C49,'TRA balance'!$D$5:$D$40,Assumptions!$B49)*DS49*AB49,"")</f>
        <v>0</v>
      </c>
      <c r="BY49" s="41">
        <f ca="1">IFERROR(SUMIFS('TRA balance'!Z$5:Z$40,'TRA balance'!$C$5:$C$40,Assumptions!$C49,'TRA balance'!$D$5:$D$40,Assumptions!$B49)*DT49*AC49,"")</f>
        <v>0</v>
      </c>
      <c r="BZ49" s="41">
        <f ca="1">IFERROR(SUMIFS('TRA balance'!AA$5:AA$40,'TRA balance'!$C$5:$C$40,Assumptions!$C49,'TRA balance'!$D$5:$D$40,Assumptions!$B49)*DU49*AD49,"")</f>
        <v>0</v>
      </c>
      <c r="CA49" s="41">
        <f ca="1">IFERROR(SUMIFS('TRA balance'!AB$5:AB$40,'TRA balance'!$C$5:$C$40,Assumptions!$C49,'TRA balance'!$D$5:$D$40,Assumptions!$B49)*DV49*AE49,"")</f>
        <v>0</v>
      </c>
      <c r="CB49" s="41">
        <f ca="1">IFERROR(SUMIFS('TRA balance'!AC$5:AC$40,'TRA balance'!$C$5:$C$40,Assumptions!$C49,'TRA balance'!$D$5:$D$40,Assumptions!$B49)*DW49*AF49,"")</f>
        <v>0</v>
      </c>
      <c r="CC49" s="41">
        <f ca="1">IFERROR(SUMIFS('TRA balance'!AD$5:AD$40,'TRA balance'!$C$5:$C$40,Assumptions!$C49,'TRA balance'!$D$5:$D$40,Assumptions!$B49)*DX49*AG49,"")</f>
        <v>0</v>
      </c>
      <c r="CD49" s="41">
        <f ca="1">IFERROR(SUMIFS('TRA balance'!AE$5:AE$40,'TRA balance'!$C$5:$C$40,Assumptions!$C49,'TRA balance'!$D$5:$D$40,Assumptions!$B49)*DY49*AH49,"")</f>
        <v>0</v>
      </c>
      <c r="CE49" s="41">
        <f ca="1">IFERROR(SUMIFS('TRA balance'!AF$5:AF$40,'TRA balance'!$C$5:$C$40,Assumptions!$C49,'TRA balance'!$D$5:$D$40,Assumptions!$B49)*DZ49*AI49,"")</f>
        <v>0</v>
      </c>
      <c r="CF49" s="41">
        <f ca="1">IFERROR(SUMIFS('TRA balance'!AG$5:AG$40,'TRA balance'!$C$5:$C$40,Assumptions!$C49,'TRA balance'!$D$5:$D$40,Assumptions!$B49)*EA49*AJ49,"")</f>
        <v>0</v>
      </c>
      <c r="CG49" s="41">
        <f ca="1">IFERROR(SUMIFS('TRA balance'!AH$5:AH$40,'TRA balance'!$C$5:$C$40,Assumptions!$C49,'TRA balance'!$D$5:$D$40,Assumptions!$B49)*EB49*AK49,"")</f>
        <v>0</v>
      </c>
      <c r="CH49" s="41">
        <f ca="1">IFERROR(SUMIFS('TRA balance'!AI$5:AI$40,'TRA balance'!$C$5:$C$40,Assumptions!$C49,'TRA balance'!$D$5:$D$40,Assumptions!$B49)*EC49*AL49,"")</f>
        <v>0</v>
      </c>
      <c r="CI49" s="41">
        <f ca="1">IFERROR(SUMIFS('TRA balance'!AJ$5:AJ$40,'TRA balance'!$C$5:$C$40,Assumptions!$C49,'TRA balance'!$D$5:$D$40,Assumptions!$B49)*ED49*AM49,"")</f>
        <v>0</v>
      </c>
      <c r="CJ49" s="41">
        <f ca="1">IFERROR(SUMIFS('TRA balance'!AK$5:AK$40,'TRA balance'!$C$5:$C$40,Assumptions!$C49,'TRA balance'!$D$5:$D$40,Assumptions!$B49)*EE49*AN49,"")</f>
        <v>0</v>
      </c>
      <c r="CK49" s="41">
        <f ca="1">IFERROR(SUMIFS('TRA balance'!AL$5:AL$40,'TRA balance'!$C$5:$C$40,Assumptions!$C49,'TRA balance'!$D$5:$D$40,Assumptions!$B49)*EF49*AO49,"")</f>
        <v>0</v>
      </c>
      <c r="CL49" s="41">
        <f ca="1">IFERROR(SUMIFS('TRA balance'!AM$5:AM$40,'TRA balance'!$C$5:$C$40,Assumptions!$C49,'TRA balance'!$D$5:$D$40,Assumptions!$B49)*EG49*AP49,"")</f>
        <v>0</v>
      </c>
      <c r="CM49" s="41">
        <f ca="1">IFERROR(SUMIFS('TRA balance'!AN$5:AN$40,'TRA balance'!$C$5:$C$40,Assumptions!$C49,'TRA balance'!$D$5:$D$40,Assumptions!$B49)*EH49*AQ49,"")</f>
        <v>0</v>
      </c>
      <c r="CN49" s="41">
        <f ca="1">IFERROR(SUMIFS('TRA balance'!AO$5:AO$40,'TRA balance'!$C$5:$C$40,Assumptions!$C49,'TRA balance'!$D$5:$D$40,Assumptions!$B49)*EI49*AR49,"")</f>
        <v>0</v>
      </c>
      <c r="CO49" s="41">
        <f ca="1">IFERROR(SUMIFS('TRA balance'!AP$5:AP$40,'TRA balance'!$C$5:$C$40,Assumptions!$C49,'TRA balance'!$D$5:$D$40,Assumptions!$B49)*EJ49*AS49,"")</f>
        <v>0</v>
      </c>
      <c r="CP49" s="41">
        <f ca="1">IFERROR(SUMIFS('TRA balance'!AQ$5:AQ$40,'TRA balance'!$C$5:$C$40,Assumptions!$C49,'TRA balance'!$D$5:$D$40,Assumptions!$B49)*EK49*AT49,"")</f>
        <v>0</v>
      </c>
      <c r="CQ49" s="41">
        <f ca="1">IFERROR(SUMIFS('TRA balance'!AR$5:AR$40,'TRA balance'!$C$5:$C$40,Assumptions!$C49,'TRA balance'!$D$5:$D$40,Assumptions!$B49)*EL49*AU49,"")</f>
        <v>0</v>
      </c>
      <c r="CR49" s="41">
        <f ca="1">IFERROR(SUMIFS('TRA balance'!AS$5:AS$40,'TRA balance'!$C$5:$C$40,Assumptions!$C49,'TRA balance'!$D$5:$D$40,Assumptions!$B49)*EM49*AV49,"")</f>
        <v>0</v>
      </c>
      <c r="CS49" s="41">
        <f ca="1">IFERROR(SUMIFS('TRA balance'!AT$5:AT$40,'TRA balance'!$C$5:$C$40,Assumptions!$C49,'TRA balance'!$D$5:$D$40,Assumptions!$B49)*EN49*AW49,"")</f>
        <v>0</v>
      </c>
      <c r="CT49" s="41">
        <f ca="1">IFERROR(SUMIFS('TRA balance'!AU$5:AU$40,'TRA balance'!$C$5:$C$40,Assumptions!$C49,'TRA balance'!$D$5:$D$40,Assumptions!$B49)*EO49*AX49,"")</f>
        <v>0</v>
      </c>
      <c r="CU49" s="41">
        <f ca="1">IFERROR(SUMIFS('TRA balance'!AV$5:AV$40,'TRA balance'!$C$5:$C$40,Assumptions!$C49,'TRA balance'!$D$5:$D$40,Assumptions!$B49)*EP49*AY49,"")</f>
        <v>0</v>
      </c>
      <c r="CV49" s="41">
        <f ca="1">IFERROR(SUMIFS('TRA balance'!AW$5:AW$40,'TRA balance'!$C$5:$C$40,Assumptions!$C49,'TRA balance'!$D$5:$D$40,Assumptions!$B49)*EQ49*AZ49,"")</f>
        <v>0</v>
      </c>
      <c r="CW49" s="41">
        <f ca="1">IFERROR(SUMIFS('TRA balance'!AX$5:AX$40,'TRA balance'!$C$5:$C$40,Assumptions!$C49,'TRA balance'!$D$5:$D$40,Assumptions!$B49)*ER49*BA49,"")</f>
        <v>0</v>
      </c>
      <c r="CY49" s="40">
        <f ca="1" t="shared" si="66"/>
        <v>1</v>
      </c>
      <c r="CZ49" s="40">
        <f ca="1" t="shared" si="3"/>
        <v>1</v>
      </c>
      <c r="DA49" s="40">
        <f ca="1" t="shared" si="4"/>
        <v>1</v>
      </c>
      <c r="DB49" s="40">
        <f ca="1" t="shared" si="5"/>
        <v>1</v>
      </c>
      <c r="DC49" s="40">
        <f ca="1" t="shared" si="6"/>
        <v>1</v>
      </c>
      <c r="DD49" s="40">
        <f ca="1" t="shared" si="7"/>
        <v>1</v>
      </c>
      <c r="DE49" s="40">
        <f ca="1" t="shared" si="8"/>
        <v>1</v>
      </c>
      <c r="DF49" s="40">
        <f ca="1" t="shared" si="9"/>
        <v>1</v>
      </c>
      <c r="DG49" s="40">
        <f ca="1" t="shared" si="10"/>
        <v>1</v>
      </c>
      <c r="DH49" s="40">
        <f ca="1" t="shared" si="11"/>
        <v>1</v>
      </c>
      <c r="DI49" s="40">
        <f ca="1" t="shared" si="12"/>
        <v>1</v>
      </c>
      <c r="DJ49" s="40">
        <f ca="1" t="shared" si="13"/>
        <v>1</v>
      </c>
      <c r="DK49" s="40">
        <f ca="1" t="shared" si="14"/>
        <v>1</v>
      </c>
      <c r="DL49" s="40">
        <f ca="1" t="shared" si="15"/>
        <v>1</v>
      </c>
      <c r="DM49" s="40">
        <f ca="1" t="shared" si="16"/>
        <v>1</v>
      </c>
      <c r="DN49" s="40">
        <f ca="1" t="shared" si="17"/>
        <v>1</v>
      </c>
      <c r="DO49" s="40">
        <f ca="1" t="shared" si="18"/>
        <v>1</v>
      </c>
      <c r="DP49" s="40">
        <f ca="1" t="shared" si="19"/>
        <v>1</v>
      </c>
      <c r="DQ49" s="40">
        <f ca="1" t="shared" si="20"/>
        <v>1</v>
      </c>
      <c r="DR49" s="40">
        <f ca="1" t="shared" si="21"/>
        <v>1</v>
      </c>
      <c r="DS49" s="40">
        <f ca="1" t="shared" si="22"/>
        <v>1</v>
      </c>
      <c r="DT49" s="40">
        <f ca="1" t="shared" si="23"/>
        <v>1</v>
      </c>
      <c r="DU49" s="40">
        <f ca="1" t="shared" si="24"/>
        <v>1</v>
      </c>
      <c r="DV49" s="40">
        <f ca="1" t="shared" si="25"/>
        <v>1</v>
      </c>
      <c r="DW49" s="40">
        <f ca="1" t="shared" si="26"/>
        <v>1</v>
      </c>
      <c r="DX49" s="40">
        <f ca="1" t="shared" si="27"/>
        <v>1</v>
      </c>
      <c r="DY49" s="40">
        <f ca="1" t="shared" si="28"/>
        <v>1</v>
      </c>
      <c r="DZ49" s="40">
        <f ca="1" t="shared" si="29"/>
        <v>1</v>
      </c>
      <c r="EA49" s="40">
        <f ca="1" t="shared" si="30"/>
        <v>1</v>
      </c>
      <c r="EB49" s="40">
        <f ca="1" t="shared" si="31"/>
        <v>1</v>
      </c>
      <c r="EC49" s="40">
        <f ca="1" t="shared" si="32"/>
        <v>1</v>
      </c>
      <c r="ED49" s="40">
        <f ca="1" t="shared" si="33"/>
        <v>1</v>
      </c>
      <c r="EE49" s="40">
        <f ca="1" t="shared" si="34"/>
        <v>1</v>
      </c>
      <c r="EF49" s="40">
        <f ca="1" t="shared" si="35"/>
        <v>1</v>
      </c>
      <c r="EG49" s="40">
        <f ca="1" t="shared" si="36"/>
        <v>1</v>
      </c>
      <c r="EH49" s="40">
        <f ca="1" t="shared" si="37"/>
        <v>1</v>
      </c>
      <c r="EI49" s="40">
        <f ca="1" t="shared" si="38"/>
        <v>1</v>
      </c>
      <c r="EJ49" s="40">
        <f ca="1" t="shared" si="39"/>
        <v>1</v>
      </c>
      <c r="EK49" s="40">
        <f ca="1" t="shared" si="40"/>
        <v>1</v>
      </c>
      <c r="EL49" s="40">
        <f ca="1" t="shared" si="41"/>
        <v>1</v>
      </c>
      <c r="EM49" s="40">
        <f ca="1" t="shared" si="42"/>
        <v>1</v>
      </c>
      <c r="EN49" s="40">
        <f ca="1" t="shared" si="43"/>
        <v>1</v>
      </c>
      <c r="EO49" s="40">
        <f ca="1" t="shared" si="44"/>
        <v>1</v>
      </c>
      <c r="EP49" s="40">
        <f ca="1" t="shared" si="45"/>
        <v>1</v>
      </c>
      <c r="EQ49" s="40">
        <f ca="1" t="shared" si="46"/>
        <v>1</v>
      </c>
      <c r="ER49" s="40">
        <f ca="1" t="shared" si="47"/>
        <v>1</v>
      </c>
    </row>
    <row r="50" spans="1:148">
      <c r="A50">
        <v>1</v>
      </c>
      <c r="B50" t="str">
        <f>VLOOKUP(F50,'TRA balance'!$BA$5:$BB$14,2,FALSE)</f>
        <v>TRALPG</v>
      </c>
      <c r="C50" s="56" t="str">
        <f t="shared" si="48"/>
        <v>TT</v>
      </c>
      <c r="D50" s="57" t="s">
        <v>192</v>
      </c>
      <c r="E50" s="57" t="s">
        <v>197</v>
      </c>
      <c r="F50" s="58" t="str">
        <f t="shared" si="74"/>
        <v>Liquified Petroleum Gases</v>
      </c>
      <c r="G50" s="56" t="s">
        <v>198</v>
      </c>
      <c r="H50" s="59">
        <f ca="1">OFFSET(TIAM15_assumptions!$G50,0,MATCH(VLOOKUP(Assumptions!H$2,TIAM15_assumptions!$Y$3:$Z$87,2,FALSE),TIAM15_assumptions!$H$2:$V$2,0))</f>
        <v>0</v>
      </c>
      <c r="I50" s="59">
        <f ca="1">OFFSET(TIAM15_assumptions!$G50,0,MATCH(VLOOKUP(Assumptions!I$2,TIAM15_assumptions!$Y$3:$Z$87,2,FALSE),TIAM15_assumptions!$H$2:$V$2,0))</f>
        <v>0</v>
      </c>
      <c r="J50" s="59">
        <f ca="1">OFFSET(TIAM15_assumptions!$G50,0,MATCH(VLOOKUP(Assumptions!J$2,TIAM15_assumptions!$Y$3:$Z$87,2,FALSE),TIAM15_assumptions!$H$2:$V$2,0))</f>
        <v>0.5</v>
      </c>
      <c r="K50" s="59">
        <f ca="1">OFFSET(TIAM15_assumptions!$G50,0,MATCH(VLOOKUP(Assumptions!K$2,TIAM15_assumptions!$Y$3:$Z$87,2,FALSE),TIAM15_assumptions!$H$2:$V$2,0))</f>
        <v>0</v>
      </c>
      <c r="L50" s="59">
        <f ca="1">OFFSET(TIAM15_assumptions!$G50,0,MATCH(VLOOKUP(Assumptions!L$2,TIAM15_assumptions!$Y$3:$Z$87,2,FALSE),TIAM15_assumptions!$H$2:$V$2,0))</f>
        <v>0</v>
      </c>
      <c r="M50" s="59">
        <f ca="1">OFFSET(TIAM15_assumptions!$G50,0,MATCH(VLOOKUP(Assumptions!M$2,TIAM15_assumptions!$Y$3:$Z$87,2,FALSE),TIAM15_assumptions!$H$2:$V$2,0))</f>
        <v>0</v>
      </c>
      <c r="N50" s="59">
        <f ca="1">OFFSET(TIAM15_assumptions!$G50,0,MATCH(VLOOKUP(Assumptions!N$2,TIAM15_assumptions!$Y$3:$Z$87,2,FALSE),TIAM15_assumptions!$H$2:$V$2,0))</f>
        <v>0</v>
      </c>
      <c r="O50" s="59">
        <f ca="1">OFFSET(TIAM15_assumptions!$G50,0,MATCH(VLOOKUP(Assumptions!O$2,TIAM15_assumptions!$Y$3:$Z$87,2,FALSE),TIAM15_assumptions!$H$2:$V$2,0))</f>
        <v>0.5</v>
      </c>
      <c r="P50" s="59">
        <f ca="1">OFFSET(TIAM15_assumptions!$G50,0,MATCH(VLOOKUP(Assumptions!P$2,TIAM15_assumptions!$Y$3:$Z$87,2,FALSE),TIAM15_assumptions!$H$2:$V$2,0))</f>
        <v>0</v>
      </c>
      <c r="Q50" s="59">
        <f ca="1">OFFSET(TIAM15_assumptions!$G50,0,MATCH(VLOOKUP(Assumptions!Q$2,TIAM15_assumptions!$Y$3:$Z$87,2,FALSE),TIAM15_assumptions!$H$2:$V$2,0))</f>
        <v>0</v>
      </c>
      <c r="R50" s="59">
        <f ca="1">OFFSET(TIAM15_assumptions!$G50,0,MATCH(VLOOKUP(Assumptions!R$2,TIAM15_assumptions!$Y$3:$Z$87,2,FALSE),TIAM15_assumptions!$H$2:$V$2,0))</f>
        <v>0</v>
      </c>
      <c r="S50" s="59">
        <f ca="1">OFFSET(TIAM15_assumptions!$G50,0,MATCH(VLOOKUP(Assumptions!S$2,TIAM15_assumptions!$Y$3:$Z$87,2,FALSE),TIAM15_assumptions!$H$2:$V$2,0))</f>
        <v>0</v>
      </c>
      <c r="T50" s="59">
        <f ca="1">OFFSET(TIAM15_assumptions!$G50,0,MATCH(VLOOKUP(Assumptions!T$2,TIAM15_assumptions!$Y$3:$Z$87,2,FALSE),TIAM15_assumptions!$H$2:$V$2,0))</f>
        <v>0</v>
      </c>
      <c r="U50" s="59">
        <f ca="1">OFFSET(TIAM15_assumptions!$G50,0,MATCH(VLOOKUP(Assumptions!U$2,TIAM15_assumptions!$Y$3:$Z$87,2,FALSE),TIAM15_assumptions!$H$2:$V$2,0))</f>
        <v>0</v>
      </c>
      <c r="V50" s="59">
        <f ca="1">OFFSET(TIAM15_assumptions!$G50,0,MATCH(VLOOKUP(Assumptions!V$2,TIAM15_assumptions!$Y$3:$Z$87,2,FALSE),TIAM15_assumptions!$H$2:$V$2,0))</f>
        <v>0</v>
      </c>
      <c r="W50" s="59">
        <f ca="1">OFFSET(TIAM15_assumptions!$G50,0,MATCH(VLOOKUP(Assumptions!W$2,TIAM15_assumptions!$Y$3:$Z$87,2,FALSE),TIAM15_assumptions!$H$2:$V$2,0))</f>
        <v>0.5</v>
      </c>
      <c r="X50" s="59">
        <f ca="1">OFFSET(TIAM15_assumptions!$G50,0,MATCH(VLOOKUP(Assumptions!X$2,TIAM15_assumptions!$Y$3:$Z$87,2,FALSE),TIAM15_assumptions!$H$2:$V$2,0))</f>
        <v>0</v>
      </c>
      <c r="Y50" s="59">
        <f ca="1">OFFSET(TIAM15_assumptions!$G50,0,MATCH(VLOOKUP(Assumptions!Y$2,TIAM15_assumptions!$Y$3:$Z$87,2,FALSE),TIAM15_assumptions!$H$2:$V$2,0))</f>
        <v>0</v>
      </c>
      <c r="Z50" s="59">
        <f ca="1">OFFSET(TIAM15_assumptions!$G50,0,MATCH(VLOOKUP(Assumptions!Z$2,TIAM15_assumptions!$Y$3:$Z$87,2,FALSE),TIAM15_assumptions!$H$2:$V$2,0))</f>
        <v>0.93</v>
      </c>
      <c r="AA50" s="59">
        <f ca="1">OFFSET(TIAM15_assumptions!$G50,0,MATCH(VLOOKUP(Assumptions!AA$2,TIAM15_assumptions!$Y$3:$Z$87,2,FALSE),TIAM15_assumptions!$H$2:$V$2,0))</f>
        <v>0</v>
      </c>
      <c r="AB50" s="59">
        <f ca="1">OFFSET(TIAM15_assumptions!$G50,0,MATCH(VLOOKUP(Assumptions!AB$2,TIAM15_assumptions!$Y$3:$Z$87,2,FALSE),TIAM15_assumptions!$H$2:$V$2,0))</f>
        <v>0</v>
      </c>
      <c r="AC50" s="59">
        <f ca="1">OFFSET(TIAM15_assumptions!$G50,0,MATCH(VLOOKUP(Assumptions!AC$2,TIAM15_assumptions!$Y$3:$Z$87,2,FALSE),TIAM15_assumptions!$H$2:$V$2,0))</f>
        <v>0.5</v>
      </c>
      <c r="AD50" s="59">
        <f ca="1">OFFSET(TIAM15_assumptions!$G50,0,MATCH(VLOOKUP(Assumptions!AD$2,TIAM15_assumptions!$Y$3:$Z$87,2,FALSE),TIAM15_assumptions!$H$2:$V$2,0))</f>
        <v>0</v>
      </c>
      <c r="AE50" s="59">
        <f ca="1">OFFSET(TIAM15_assumptions!$G50,0,MATCH(VLOOKUP(Assumptions!AE$2,TIAM15_assumptions!$Y$3:$Z$87,2,FALSE),TIAM15_assumptions!$H$2:$V$2,0))</f>
        <v>0</v>
      </c>
      <c r="AF50" s="59">
        <f ca="1">OFFSET(TIAM15_assumptions!$G50,0,MATCH(VLOOKUP(Assumptions!AF$2,TIAM15_assumptions!$Y$3:$Z$87,2,FALSE),TIAM15_assumptions!$H$2:$V$2,0))</f>
        <v>0.5</v>
      </c>
      <c r="AG50" s="59">
        <f ca="1">OFFSET(TIAM15_assumptions!$G50,0,MATCH(VLOOKUP(Assumptions!AG$2,TIAM15_assumptions!$Y$3:$Z$87,2,FALSE),TIAM15_assumptions!$H$2:$V$2,0))</f>
        <v>0</v>
      </c>
      <c r="AH50" s="59">
        <f ca="1">OFFSET(TIAM15_assumptions!$G50,0,MATCH(VLOOKUP(Assumptions!AH$2,TIAM15_assumptions!$Y$3:$Z$87,2,FALSE),TIAM15_assumptions!$H$2:$V$2,0))</f>
        <v>0</v>
      </c>
      <c r="AI50" s="59">
        <f ca="1">OFFSET(TIAM15_assumptions!$G50,0,MATCH(VLOOKUP(Assumptions!AI$2,TIAM15_assumptions!$Y$3:$Z$87,2,FALSE),TIAM15_assumptions!$H$2:$V$2,0))</f>
        <v>0</v>
      </c>
      <c r="AJ50" s="59">
        <f ca="1">OFFSET(TIAM15_assumptions!$G50,0,MATCH(VLOOKUP(Assumptions!AJ$2,TIAM15_assumptions!$Y$3:$Z$87,2,FALSE),TIAM15_assumptions!$H$2:$V$2,0))</f>
        <v>0</v>
      </c>
      <c r="AK50" s="59">
        <f ca="1">OFFSET(TIAM15_assumptions!$G50,0,MATCH(VLOOKUP(Assumptions!AK$2,TIAM15_assumptions!$Y$3:$Z$87,2,FALSE),TIAM15_assumptions!$H$2:$V$2,0))</f>
        <v>0</v>
      </c>
      <c r="AL50" s="59">
        <f ca="1">OFFSET(TIAM15_assumptions!$G50,0,MATCH(VLOOKUP(Assumptions!AL$2,TIAM15_assumptions!$Y$3:$Z$87,2,FALSE),TIAM15_assumptions!$H$2:$V$2,0))</f>
        <v>0</v>
      </c>
      <c r="AM50" s="59">
        <f ca="1">OFFSET(TIAM15_assumptions!$G50,0,MATCH(VLOOKUP(Assumptions!AM$2,TIAM15_assumptions!$Y$3:$Z$87,2,FALSE),TIAM15_assumptions!$H$2:$V$2,0))</f>
        <v>0</v>
      </c>
      <c r="AN50" s="59">
        <f ca="1">OFFSET(TIAM15_assumptions!$G50,0,MATCH(VLOOKUP(Assumptions!AN$2,TIAM15_assumptions!$Y$3:$Z$87,2,FALSE),TIAM15_assumptions!$H$2:$V$2,0))</f>
        <v>0</v>
      </c>
      <c r="AO50" s="59">
        <f ca="1">OFFSET(TIAM15_assumptions!$G50,0,MATCH(VLOOKUP(Assumptions!AO$2,TIAM15_assumptions!$Y$3:$Z$87,2,FALSE),TIAM15_assumptions!$H$2:$V$2,0))</f>
        <v>0</v>
      </c>
      <c r="AP50" s="59">
        <f ca="1">OFFSET(TIAM15_assumptions!$G50,0,MATCH(VLOOKUP(Assumptions!AP$2,TIAM15_assumptions!$Y$3:$Z$87,2,FALSE),TIAM15_assumptions!$H$2:$V$2,0))</f>
        <v>0</v>
      </c>
      <c r="AQ50" s="59">
        <f ca="1">OFFSET(TIAM15_assumptions!$G50,0,MATCH(VLOOKUP(Assumptions!AQ$2,TIAM15_assumptions!$Y$3:$Z$87,2,FALSE),TIAM15_assumptions!$H$2:$V$2,0))</f>
        <v>0.5</v>
      </c>
      <c r="AR50" s="59">
        <f ca="1">OFFSET(TIAM15_assumptions!$G50,0,MATCH(VLOOKUP(Assumptions!AR$2,TIAM15_assumptions!$Y$3:$Z$87,2,FALSE),TIAM15_assumptions!$H$2:$V$2,0))</f>
        <v>0.5</v>
      </c>
      <c r="AS50" s="59">
        <f ca="1">OFFSET(TIAM15_assumptions!$G50,0,MATCH(VLOOKUP(Assumptions!AS$2,TIAM15_assumptions!$Y$3:$Z$87,2,FALSE),TIAM15_assumptions!$H$2:$V$2,0))</f>
        <v>0.5</v>
      </c>
      <c r="AT50" s="59">
        <f ca="1">OFFSET(TIAM15_assumptions!$G50,0,MATCH(VLOOKUP(Assumptions!AT$2,TIAM15_assumptions!$Y$3:$Z$87,2,FALSE),TIAM15_assumptions!$H$2:$V$2,0))</f>
        <v>0.5</v>
      </c>
      <c r="AU50" s="59">
        <f ca="1">OFFSET(TIAM15_assumptions!$G50,0,MATCH(VLOOKUP(Assumptions!AU$2,TIAM15_assumptions!$Y$3:$Z$87,2,FALSE),TIAM15_assumptions!$H$2:$V$2,0))</f>
        <v>0.5</v>
      </c>
      <c r="AV50" s="59">
        <f ca="1">OFFSET(TIAM15_assumptions!$G50,0,MATCH(VLOOKUP(Assumptions!AV$2,TIAM15_assumptions!$Y$3:$Z$87,2,FALSE),TIAM15_assumptions!$H$2:$V$2,0))</f>
        <v>0.5</v>
      </c>
      <c r="AW50" s="59">
        <f ca="1">OFFSET(TIAM15_assumptions!$G50,0,MATCH(VLOOKUP(Assumptions!AW$2,TIAM15_assumptions!$Y$3:$Z$87,2,FALSE),TIAM15_assumptions!$H$2:$V$2,0))</f>
        <v>0.5</v>
      </c>
      <c r="AX50" s="59">
        <f ca="1">OFFSET(TIAM15_assumptions!$G50,0,MATCH(VLOOKUP(Assumptions!AX$2,TIAM15_assumptions!$Y$3:$Z$87,2,FALSE),TIAM15_assumptions!$H$2:$V$2,0))</f>
        <v>0.5</v>
      </c>
      <c r="AY50" s="59">
        <f ca="1">OFFSET(TIAM15_assumptions!$G50,0,MATCH(VLOOKUP(Assumptions!AY$2,TIAM15_assumptions!$Y$3:$Z$87,2,FALSE),TIAM15_assumptions!$H$2:$V$2,0))</f>
        <v>0.5</v>
      </c>
      <c r="AZ50" s="59">
        <f ca="1">OFFSET(TIAM15_assumptions!$G50,0,MATCH(VLOOKUP(Assumptions!AZ$2,TIAM15_assumptions!$Y$3:$Z$87,2,FALSE),TIAM15_assumptions!$H$2:$V$2,0))</f>
        <v>0.5</v>
      </c>
      <c r="BA50" s="59">
        <f ca="1">OFFSET(TIAM15_assumptions!$G50,0,MATCH(VLOOKUP(Assumptions!BA$2,TIAM15_assumptions!$Y$3:$Z$87,2,FALSE),TIAM15_assumptions!$H$2:$V$2,0))</f>
        <v>0.5</v>
      </c>
      <c r="BD50" s="41">
        <f ca="1">IFERROR(SUMIFS('TRA balance'!E$5:E$40,'TRA balance'!$C$5:$C$40,Assumptions!$C50,'TRA balance'!$D$5:$D$40,Assumptions!$B50)*CY50*H50,"")</f>
        <v>0</v>
      </c>
      <c r="BE50" s="41">
        <f ca="1">IFERROR(SUMIFS('TRA balance'!F$5:F$40,'TRA balance'!$C$5:$C$40,Assumptions!$C50,'TRA balance'!$D$5:$D$40,Assumptions!$B50)*CZ50*I50,"")</f>
        <v>0</v>
      </c>
      <c r="BF50" s="41">
        <f ca="1">IFERROR(SUMIFS('TRA balance'!G$5:G$40,'TRA balance'!$C$5:$C$40,Assumptions!$C50,'TRA balance'!$D$5:$D$40,Assumptions!$B50)*DA50*J50,"")</f>
        <v>0</v>
      </c>
      <c r="BG50" s="41">
        <f ca="1">IFERROR(SUMIFS('TRA balance'!H$5:H$40,'TRA balance'!$C$5:$C$40,Assumptions!$C50,'TRA balance'!$D$5:$D$40,Assumptions!$B50)*DB50*K50,"")</f>
        <v>0</v>
      </c>
      <c r="BH50" s="41">
        <f ca="1">IFERROR(SUMIFS('TRA balance'!I$5:I$40,'TRA balance'!$C$5:$C$40,Assumptions!$C50,'TRA balance'!$D$5:$D$40,Assumptions!$B50)*DC50*L50,"")</f>
        <v>0</v>
      </c>
      <c r="BI50" s="41">
        <f ca="1">IFERROR(SUMIFS('TRA balance'!J$5:J$40,'TRA balance'!$C$5:$C$40,Assumptions!$C50,'TRA balance'!$D$5:$D$40,Assumptions!$B50)*DD50*M50,"")</f>
        <v>0</v>
      </c>
      <c r="BJ50" s="41">
        <f ca="1">IFERROR(SUMIFS('TRA balance'!K$5:K$40,'TRA balance'!$C$5:$C$40,Assumptions!$C50,'TRA balance'!$D$5:$D$40,Assumptions!$B50)*DE50*N50,"")</f>
        <v>0</v>
      </c>
      <c r="BK50" s="41">
        <f ca="1">IFERROR(SUMIFS('TRA balance'!L$5:L$40,'TRA balance'!$C$5:$C$40,Assumptions!$C50,'TRA balance'!$D$5:$D$40,Assumptions!$B50)*DF50*O50,"")</f>
        <v>0</v>
      </c>
      <c r="BL50" s="41">
        <f ca="1">IFERROR(SUMIFS('TRA balance'!M$5:M$40,'TRA balance'!$C$5:$C$40,Assumptions!$C50,'TRA balance'!$D$5:$D$40,Assumptions!$B50)*DG50*P50,"")</f>
        <v>0</v>
      </c>
      <c r="BM50" s="41">
        <f ca="1">IFERROR(SUMIFS('TRA balance'!N$5:N$40,'TRA balance'!$C$5:$C$40,Assumptions!$C50,'TRA balance'!$D$5:$D$40,Assumptions!$B50)*DH50*Q50,"")</f>
        <v>0</v>
      </c>
      <c r="BN50" s="41">
        <f ca="1">IFERROR(SUMIFS('TRA balance'!O$5:O$40,'TRA balance'!$C$5:$C$40,Assumptions!$C50,'TRA balance'!$D$5:$D$40,Assumptions!$B50)*DI50*R50,"")</f>
        <v>0</v>
      </c>
      <c r="BO50" s="41">
        <f ca="1">IFERROR(SUMIFS('TRA balance'!P$5:P$40,'TRA balance'!$C$5:$C$40,Assumptions!$C50,'TRA balance'!$D$5:$D$40,Assumptions!$B50)*DJ50*S50,"")</f>
        <v>0</v>
      </c>
      <c r="BP50" s="41">
        <f ca="1">IFERROR(SUMIFS('TRA balance'!Q$5:Q$40,'TRA balance'!$C$5:$C$40,Assumptions!$C50,'TRA balance'!$D$5:$D$40,Assumptions!$B50)*DK50*T50,"")</f>
        <v>0</v>
      </c>
      <c r="BQ50" s="41">
        <f ca="1">IFERROR(SUMIFS('TRA balance'!R$5:R$40,'TRA balance'!$C$5:$C$40,Assumptions!$C50,'TRA balance'!$D$5:$D$40,Assumptions!$B50)*DL50*U50,"")</f>
        <v>0</v>
      </c>
      <c r="BR50" s="41">
        <f ca="1">IFERROR(SUMIFS('TRA balance'!S$5:S$40,'TRA balance'!$C$5:$C$40,Assumptions!$C50,'TRA balance'!$D$5:$D$40,Assumptions!$B50)*DM50*V50,"")</f>
        <v>0</v>
      </c>
      <c r="BS50" s="41">
        <f ca="1">IFERROR(SUMIFS('TRA balance'!T$5:T$40,'TRA balance'!$C$5:$C$40,Assumptions!$C50,'TRA balance'!$D$5:$D$40,Assumptions!$B50)*DN50*W50,"")</f>
        <v>0</v>
      </c>
      <c r="BT50" s="41">
        <f ca="1">IFERROR(SUMIFS('TRA balance'!U$5:U$40,'TRA balance'!$C$5:$C$40,Assumptions!$C50,'TRA balance'!$D$5:$D$40,Assumptions!$B50)*DO50*X50,"")</f>
        <v>0</v>
      </c>
      <c r="BU50" s="41">
        <f ca="1">IFERROR(SUMIFS('TRA balance'!V$5:V$40,'TRA balance'!$C$5:$C$40,Assumptions!$C50,'TRA balance'!$D$5:$D$40,Assumptions!$B50)*DP50*Y50,"")</f>
        <v>0</v>
      </c>
      <c r="BV50" s="41">
        <f ca="1">IFERROR(SUMIFS('TRA balance'!W$5:W$40,'TRA balance'!$C$5:$C$40,Assumptions!$C50,'TRA balance'!$D$5:$D$40,Assumptions!$B50)*DQ50*Z50,"")</f>
        <v>0</v>
      </c>
      <c r="BW50" s="41">
        <f ca="1">IFERROR(SUMIFS('TRA balance'!X$5:X$40,'TRA balance'!$C$5:$C$40,Assumptions!$C50,'TRA balance'!$D$5:$D$40,Assumptions!$B50)*DR50*AA50,"")</f>
        <v>0</v>
      </c>
      <c r="BX50" s="41">
        <f ca="1">IFERROR(SUMIFS('TRA balance'!Y$5:Y$40,'TRA balance'!$C$5:$C$40,Assumptions!$C50,'TRA balance'!$D$5:$D$40,Assumptions!$B50)*DS50*AB50,"")</f>
        <v>0</v>
      </c>
      <c r="BY50" s="41">
        <f ca="1">IFERROR(SUMIFS('TRA balance'!Z$5:Z$40,'TRA balance'!$C$5:$C$40,Assumptions!$C50,'TRA balance'!$D$5:$D$40,Assumptions!$B50)*DT50*AC50,"")</f>
        <v>0</v>
      </c>
      <c r="BZ50" s="41">
        <f ca="1">IFERROR(SUMIFS('TRA balance'!AA$5:AA$40,'TRA balance'!$C$5:$C$40,Assumptions!$C50,'TRA balance'!$D$5:$D$40,Assumptions!$B50)*DU50*AD50,"")</f>
        <v>0</v>
      </c>
      <c r="CA50" s="41">
        <f ca="1">IFERROR(SUMIFS('TRA balance'!AB$5:AB$40,'TRA balance'!$C$5:$C$40,Assumptions!$C50,'TRA balance'!$D$5:$D$40,Assumptions!$B50)*DV50*AE50,"")</f>
        <v>0</v>
      </c>
      <c r="CB50" s="41">
        <f ca="1">IFERROR(SUMIFS('TRA balance'!AC$5:AC$40,'TRA balance'!$C$5:$C$40,Assumptions!$C50,'TRA balance'!$D$5:$D$40,Assumptions!$B50)*DW50*AF50,"")</f>
        <v>0</v>
      </c>
      <c r="CC50" s="41">
        <f ca="1">IFERROR(SUMIFS('TRA balance'!AD$5:AD$40,'TRA balance'!$C$5:$C$40,Assumptions!$C50,'TRA balance'!$D$5:$D$40,Assumptions!$B50)*DX50*AG50,"")</f>
        <v>0</v>
      </c>
      <c r="CD50" s="41">
        <f ca="1">IFERROR(SUMIFS('TRA balance'!AE$5:AE$40,'TRA balance'!$C$5:$C$40,Assumptions!$C50,'TRA balance'!$D$5:$D$40,Assumptions!$B50)*DY50*AH50,"")</f>
        <v>0</v>
      </c>
      <c r="CE50" s="41">
        <f ca="1">IFERROR(SUMIFS('TRA balance'!AF$5:AF$40,'TRA balance'!$C$5:$C$40,Assumptions!$C50,'TRA balance'!$D$5:$D$40,Assumptions!$B50)*DZ50*AI50,"")</f>
        <v>0</v>
      </c>
      <c r="CF50" s="41">
        <f ca="1">IFERROR(SUMIFS('TRA balance'!AG$5:AG$40,'TRA balance'!$C$5:$C$40,Assumptions!$C50,'TRA balance'!$D$5:$D$40,Assumptions!$B50)*EA50*AJ50,"")</f>
        <v>0</v>
      </c>
      <c r="CG50" s="41">
        <f ca="1">IFERROR(SUMIFS('TRA balance'!AH$5:AH$40,'TRA balance'!$C$5:$C$40,Assumptions!$C50,'TRA balance'!$D$5:$D$40,Assumptions!$B50)*EB50*AK50,"")</f>
        <v>0</v>
      </c>
      <c r="CH50" s="41">
        <f ca="1">IFERROR(SUMIFS('TRA balance'!AI$5:AI$40,'TRA balance'!$C$5:$C$40,Assumptions!$C50,'TRA balance'!$D$5:$D$40,Assumptions!$B50)*EC50*AL50,"")</f>
        <v>0</v>
      </c>
      <c r="CI50" s="41">
        <f ca="1">IFERROR(SUMIFS('TRA balance'!AJ$5:AJ$40,'TRA balance'!$C$5:$C$40,Assumptions!$C50,'TRA balance'!$D$5:$D$40,Assumptions!$B50)*ED50*AM50,"")</f>
        <v>0</v>
      </c>
      <c r="CJ50" s="41">
        <f ca="1">IFERROR(SUMIFS('TRA balance'!AK$5:AK$40,'TRA balance'!$C$5:$C$40,Assumptions!$C50,'TRA balance'!$D$5:$D$40,Assumptions!$B50)*EE50*AN50,"")</f>
        <v>0</v>
      </c>
      <c r="CK50" s="41">
        <f ca="1">IFERROR(SUMIFS('TRA balance'!AL$5:AL$40,'TRA balance'!$C$5:$C$40,Assumptions!$C50,'TRA balance'!$D$5:$D$40,Assumptions!$B50)*EF50*AO50,"")</f>
        <v>0</v>
      </c>
      <c r="CL50" s="41">
        <f ca="1">IFERROR(SUMIFS('TRA balance'!AM$5:AM$40,'TRA balance'!$C$5:$C$40,Assumptions!$C50,'TRA balance'!$D$5:$D$40,Assumptions!$B50)*EG50*AP50,"")</f>
        <v>0</v>
      </c>
      <c r="CM50" s="41">
        <f ca="1">IFERROR(SUMIFS('TRA balance'!AN$5:AN$40,'TRA balance'!$C$5:$C$40,Assumptions!$C50,'TRA balance'!$D$5:$D$40,Assumptions!$B50)*EH50*AQ50,"")</f>
        <v>0</v>
      </c>
      <c r="CN50" s="41">
        <f ca="1">IFERROR(SUMIFS('TRA balance'!AO$5:AO$40,'TRA balance'!$C$5:$C$40,Assumptions!$C50,'TRA balance'!$D$5:$D$40,Assumptions!$B50)*EI50*AR50,"")</f>
        <v>0</v>
      </c>
      <c r="CO50" s="41">
        <f ca="1">IFERROR(SUMIFS('TRA balance'!AP$5:AP$40,'TRA balance'!$C$5:$C$40,Assumptions!$C50,'TRA balance'!$D$5:$D$40,Assumptions!$B50)*EJ50*AS50,"")</f>
        <v>0</v>
      </c>
      <c r="CP50" s="41">
        <f ca="1">IFERROR(SUMIFS('TRA balance'!AQ$5:AQ$40,'TRA balance'!$C$5:$C$40,Assumptions!$C50,'TRA balance'!$D$5:$D$40,Assumptions!$B50)*EK50*AT50,"")</f>
        <v>0</v>
      </c>
      <c r="CQ50" s="41">
        <f ca="1">IFERROR(SUMIFS('TRA balance'!AR$5:AR$40,'TRA balance'!$C$5:$C$40,Assumptions!$C50,'TRA balance'!$D$5:$D$40,Assumptions!$B50)*EL50*AU50,"")</f>
        <v>0</v>
      </c>
      <c r="CR50" s="41">
        <f ca="1">IFERROR(SUMIFS('TRA balance'!AS$5:AS$40,'TRA balance'!$C$5:$C$40,Assumptions!$C50,'TRA balance'!$D$5:$D$40,Assumptions!$B50)*EM50*AV50,"")</f>
        <v>0</v>
      </c>
      <c r="CS50" s="41">
        <f ca="1">IFERROR(SUMIFS('TRA balance'!AT$5:AT$40,'TRA balance'!$C$5:$C$40,Assumptions!$C50,'TRA balance'!$D$5:$D$40,Assumptions!$B50)*EN50*AW50,"")</f>
        <v>0</v>
      </c>
      <c r="CT50" s="41">
        <f ca="1">IFERROR(SUMIFS('TRA balance'!AU$5:AU$40,'TRA balance'!$C$5:$C$40,Assumptions!$C50,'TRA balance'!$D$5:$D$40,Assumptions!$B50)*EO50*AX50,"")</f>
        <v>0</v>
      </c>
      <c r="CU50" s="41">
        <f ca="1">IFERROR(SUMIFS('TRA balance'!AV$5:AV$40,'TRA balance'!$C$5:$C$40,Assumptions!$C50,'TRA balance'!$D$5:$D$40,Assumptions!$B50)*EP50*AY50,"")</f>
        <v>0</v>
      </c>
      <c r="CV50" s="41">
        <f ca="1">IFERROR(SUMIFS('TRA balance'!AW$5:AW$40,'TRA balance'!$C$5:$C$40,Assumptions!$C50,'TRA balance'!$D$5:$D$40,Assumptions!$B50)*EQ50*AZ50,"")</f>
        <v>0</v>
      </c>
      <c r="CW50" s="41">
        <f ca="1">IFERROR(SUMIFS('TRA balance'!AX$5:AX$40,'TRA balance'!$C$5:$C$40,Assumptions!$C50,'TRA balance'!$D$5:$D$40,Assumptions!$B50)*ER50*BA50,"")</f>
        <v>0</v>
      </c>
      <c r="CY50" s="40">
        <f ca="1" t="shared" si="66"/>
        <v>1</v>
      </c>
      <c r="CZ50" s="40">
        <f ca="1" t="shared" si="3"/>
        <v>1</v>
      </c>
      <c r="DA50" s="40">
        <f ca="1" t="shared" si="4"/>
        <v>1</v>
      </c>
      <c r="DB50" s="40">
        <f ca="1" t="shared" si="5"/>
        <v>1</v>
      </c>
      <c r="DC50" s="40">
        <f ca="1" t="shared" si="6"/>
        <v>1</v>
      </c>
      <c r="DD50" s="40">
        <f ca="1" t="shared" si="7"/>
        <v>1</v>
      </c>
      <c r="DE50" s="40">
        <f ca="1" t="shared" si="8"/>
        <v>1</v>
      </c>
      <c r="DF50" s="40">
        <f ca="1" t="shared" si="9"/>
        <v>1</v>
      </c>
      <c r="DG50" s="40">
        <f ca="1" t="shared" si="10"/>
        <v>1</v>
      </c>
      <c r="DH50" s="40">
        <f ca="1" t="shared" si="11"/>
        <v>1</v>
      </c>
      <c r="DI50" s="40">
        <f ca="1" t="shared" si="12"/>
        <v>1</v>
      </c>
      <c r="DJ50" s="40">
        <f ca="1" t="shared" si="13"/>
        <v>1</v>
      </c>
      <c r="DK50" s="40">
        <f ca="1" t="shared" si="14"/>
        <v>1</v>
      </c>
      <c r="DL50" s="40">
        <f ca="1" t="shared" si="15"/>
        <v>1</v>
      </c>
      <c r="DM50" s="40">
        <f ca="1" t="shared" si="16"/>
        <v>1</v>
      </c>
      <c r="DN50" s="40">
        <f ca="1" t="shared" si="17"/>
        <v>1</v>
      </c>
      <c r="DO50" s="40">
        <f ca="1" t="shared" si="18"/>
        <v>1</v>
      </c>
      <c r="DP50" s="40">
        <f ca="1" t="shared" si="19"/>
        <v>1</v>
      </c>
      <c r="DQ50" s="40">
        <f ca="1" t="shared" si="20"/>
        <v>1</v>
      </c>
      <c r="DR50" s="40">
        <f ca="1" t="shared" si="21"/>
        <v>1</v>
      </c>
      <c r="DS50" s="40">
        <f ca="1" t="shared" si="22"/>
        <v>1</v>
      </c>
      <c r="DT50" s="40">
        <f ca="1" t="shared" si="23"/>
        <v>1</v>
      </c>
      <c r="DU50" s="40">
        <f ca="1" t="shared" si="24"/>
        <v>1</v>
      </c>
      <c r="DV50" s="40">
        <f ca="1" t="shared" si="25"/>
        <v>1</v>
      </c>
      <c r="DW50" s="40">
        <f ca="1" t="shared" si="26"/>
        <v>1</v>
      </c>
      <c r="DX50" s="40">
        <f ca="1" t="shared" si="27"/>
        <v>1</v>
      </c>
      <c r="DY50" s="40">
        <f ca="1" t="shared" si="28"/>
        <v>1</v>
      </c>
      <c r="DZ50" s="40">
        <f ca="1" t="shared" si="29"/>
        <v>1</v>
      </c>
      <c r="EA50" s="40">
        <f ca="1" t="shared" si="30"/>
        <v>1</v>
      </c>
      <c r="EB50" s="40">
        <f ca="1" t="shared" si="31"/>
        <v>1</v>
      </c>
      <c r="EC50" s="40">
        <f ca="1" t="shared" si="32"/>
        <v>1</v>
      </c>
      <c r="ED50" s="40">
        <f ca="1" t="shared" si="33"/>
        <v>1</v>
      </c>
      <c r="EE50" s="40">
        <f ca="1" t="shared" si="34"/>
        <v>1</v>
      </c>
      <c r="EF50" s="40">
        <f ca="1" t="shared" si="35"/>
        <v>1</v>
      </c>
      <c r="EG50" s="40">
        <f ca="1" t="shared" si="36"/>
        <v>1</v>
      </c>
      <c r="EH50" s="40">
        <f ca="1" t="shared" si="37"/>
        <v>1</v>
      </c>
      <c r="EI50" s="40">
        <f ca="1" t="shared" si="38"/>
        <v>1</v>
      </c>
      <c r="EJ50" s="40">
        <f ca="1" t="shared" si="39"/>
        <v>1</v>
      </c>
      <c r="EK50" s="40">
        <f ca="1" t="shared" si="40"/>
        <v>1</v>
      </c>
      <c r="EL50" s="40">
        <f ca="1" t="shared" si="41"/>
        <v>1</v>
      </c>
      <c r="EM50" s="40">
        <f ca="1" t="shared" si="42"/>
        <v>1</v>
      </c>
      <c r="EN50" s="40">
        <f ca="1" t="shared" si="43"/>
        <v>1</v>
      </c>
      <c r="EO50" s="40">
        <f ca="1" t="shared" si="44"/>
        <v>1</v>
      </c>
      <c r="EP50" s="40">
        <f ca="1" t="shared" si="45"/>
        <v>1</v>
      </c>
      <c r="EQ50" s="40">
        <f ca="1" t="shared" si="46"/>
        <v>1</v>
      </c>
      <c r="ER50" s="40">
        <f ca="1" t="shared" si="47"/>
        <v>1</v>
      </c>
    </row>
    <row r="51" spans="1:148">
      <c r="A51">
        <v>1</v>
      </c>
      <c r="B51" t="str">
        <f>VLOOKUP(F51,'TRA balance'!$BA$5:$BB$14,2,FALSE)</f>
        <v>TRALPG</v>
      </c>
      <c r="C51" s="60"/>
      <c r="D51" s="60"/>
      <c r="E51" s="61" t="s">
        <v>199</v>
      </c>
      <c r="F51" s="62" t="str">
        <f t="shared" si="74"/>
        <v>Liquified Petroleum Gases</v>
      </c>
      <c r="G51" s="60"/>
      <c r="H51" s="61" t="str">
        <f ca="1" t="shared" ref="H51" si="76">IF(SUM(H49:H50)=1,"-","&lt;&gt;1!!")</f>
        <v>-</v>
      </c>
      <c r="I51" s="61" t="str">
        <f ca="1" t="shared" ref="I51:BA51" si="77">IF(SUM(I49:I50)=1,"-","&lt;&gt;1!!")</f>
        <v>-</v>
      </c>
      <c r="J51" s="61" t="str">
        <f ca="1" t="shared" si="77"/>
        <v>-</v>
      </c>
      <c r="K51" s="61" t="str">
        <f ca="1" t="shared" si="77"/>
        <v>-</v>
      </c>
      <c r="L51" s="61" t="str">
        <f ca="1" t="shared" si="77"/>
        <v>-</v>
      </c>
      <c r="M51" s="61" t="str">
        <f ca="1" t="shared" si="77"/>
        <v>-</v>
      </c>
      <c r="N51" s="61" t="str">
        <f ca="1" t="shared" si="77"/>
        <v>-</v>
      </c>
      <c r="O51" s="61" t="str">
        <f ca="1" t="shared" si="77"/>
        <v>-</v>
      </c>
      <c r="P51" s="61" t="str">
        <f ca="1" t="shared" si="77"/>
        <v>-</v>
      </c>
      <c r="Q51" s="61" t="str">
        <f ca="1" t="shared" si="77"/>
        <v>-</v>
      </c>
      <c r="R51" s="61" t="str">
        <f ca="1" t="shared" si="77"/>
        <v>-</v>
      </c>
      <c r="S51" s="61" t="str">
        <f ca="1" t="shared" si="77"/>
        <v>-</v>
      </c>
      <c r="T51" s="61" t="str">
        <f ca="1" t="shared" si="77"/>
        <v>-</v>
      </c>
      <c r="U51" s="61" t="str">
        <f ca="1" t="shared" si="77"/>
        <v>-</v>
      </c>
      <c r="V51" s="61" t="str">
        <f ca="1" t="shared" si="77"/>
        <v>-</v>
      </c>
      <c r="W51" s="61" t="str">
        <f ca="1" t="shared" si="77"/>
        <v>-</v>
      </c>
      <c r="X51" s="61" t="str">
        <f ca="1" t="shared" si="77"/>
        <v>-</v>
      </c>
      <c r="Y51" s="61" t="str">
        <f ca="1" t="shared" si="77"/>
        <v>-</v>
      </c>
      <c r="Z51" s="61" t="str">
        <f ca="1" t="shared" si="77"/>
        <v>-</v>
      </c>
      <c r="AA51" s="61" t="str">
        <f ca="1" t="shared" si="77"/>
        <v>-</v>
      </c>
      <c r="AB51" s="61" t="str">
        <f ca="1" t="shared" si="77"/>
        <v>-</v>
      </c>
      <c r="AC51" s="61" t="str">
        <f ca="1" t="shared" si="77"/>
        <v>-</v>
      </c>
      <c r="AD51" s="61" t="str">
        <f ca="1" t="shared" si="77"/>
        <v>-</v>
      </c>
      <c r="AE51" s="61" t="str">
        <f ca="1" t="shared" si="77"/>
        <v>-</v>
      </c>
      <c r="AF51" s="61" t="str">
        <f ca="1" t="shared" si="77"/>
        <v>-</v>
      </c>
      <c r="AG51" s="61" t="str">
        <f ca="1" t="shared" si="77"/>
        <v>-</v>
      </c>
      <c r="AH51" s="61" t="str">
        <f ca="1" t="shared" si="77"/>
        <v>-</v>
      </c>
      <c r="AI51" s="61" t="str">
        <f ca="1" t="shared" si="77"/>
        <v>-</v>
      </c>
      <c r="AJ51" s="61" t="str">
        <f ca="1" t="shared" si="77"/>
        <v>-</v>
      </c>
      <c r="AK51" s="61" t="str">
        <f ca="1" t="shared" si="77"/>
        <v>-</v>
      </c>
      <c r="AL51" s="61" t="str">
        <f ca="1" t="shared" si="77"/>
        <v>-</v>
      </c>
      <c r="AM51" s="61" t="str">
        <f ca="1" t="shared" si="77"/>
        <v>-</v>
      </c>
      <c r="AN51" s="61" t="str">
        <f ca="1" t="shared" si="77"/>
        <v>-</v>
      </c>
      <c r="AO51" s="61" t="str">
        <f ca="1" t="shared" si="77"/>
        <v>-</v>
      </c>
      <c r="AP51" s="61" t="str">
        <f ca="1" t="shared" si="77"/>
        <v>-</v>
      </c>
      <c r="AQ51" s="61" t="str">
        <f ca="1" t="shared" si="77"/>
        <v>-</v>
      </c>
      <c r="AR51" s="61" t="str">
        <f ca="1" t="shared" si="77"/>
        <v>-</v>
      </c>
      <c r="AS51" s="61" t="str">
        <f ca="1" t="shared" si="77"/>
        <v>-</v>
      </c>
      <c r="AT51" s="61" t="str">
        <f ca="1" t="shared" si="77"/>
        <v>-</v>
      </c>
      <c r="AU51" s="61" t="str">
        <f ca="1" t="shared" si="77"/>
        <v>-</v>
      </c>
      <c r="AV51" s="61" t="str">
        <f ca="1" t="shared" si="77"/>
        <v>-</v>
      </c>
      <c r="AW51" s="61" t="str">
        <f ca="1" t="shared" si="77"/>
        <v>-</v>
      </c>
      <c r="AX51" s="61" t="str">
        <f ca="1" t="shared" si="77"/>
        <v>-</v>
      </c>
      <c r="AY51" s="61" t="str">
        <f ca="1" t="shared" si="77"/>
        <v>-</v>
      </c>
      <c r="AZ51" s="61" t="str">
        <f ca="1" t="shared" si="77"/>
        <v>-</v>
      </c>
      <c r="BA51" s="61" t="str">
        <f ca="1" t="shared" si="77"/>
        <v>-</v>
      </c>
      <c r="BD51" s="41" t="str">
        <f ca="1">IFERROR(SUMIFS('TRA balance'!E$5:E$40,'TRA balance'!$C$5:$C$40,Assumptions!$C51,'TRA balance'!$D$5:$D$40,Assumptions!$B51)*CY51*H51,"")</f>
        <v/>
      </c>
      <c r="BE51" s="41" t="str">
        <f ca="1">IFERROR(SUMIFS('TRA balance'!F$5:F$40,'TRA balance'!$C$5:$C$40,Assumptions!$C51,'TRA balance'!$D$5:$D$40,Assumptions!$B51)*CZ51*I51,"")</f>
        <v/>
      </c>
      <c r="BF51" s="41" t="str">
        <f ca="1">IFERROR(SUMIFS('TRA balance'!G$5:G$40,'TRA balance'!$C$5:$C$40,Assumptions!$C51,'TRA balance'!$D$5:$D$40,Assumptions!$B51)*DA51*J51,"")</f>
        <v/>
      </c>
      <c r="BG51" s="41" t="str">
        <f ca="1">IFERROR(SUMIFS('TRA balance'!H$5:H$40,'TRA balance'!$C$5:$C$40,Assumptions!$C51,'TRA balance'!$D$5:$D$40,Assumptions!$B51)*DB51*K51,"")</f>
        <v/>
      </c>
      <c r="BH51" s="41" t="str">
        <f ca="1">IFERROR(SUMIFS('TRA balance'!I$5:I$40,'TRA balance'!$C$5:$C$40,Assumptions!$C51,'TRA balance'!$D$5:$D$40,Assumptions!$B51)*DC51*L51,"")</f>
        <v/>
      </c>
      <c r="BI51" s="41" t="str">
        <f ca="1">IFERROR(SUMIFS('TRA balance'!J$5:J$40,'TRA balance'!$C$5:$C$40,Assumptions!$C51,'TRA balance'!$D$5:$D$40,Assumptions!$B51)*DD51*M51,"")</f>
        <v/>
      </c>
      <c r="BJ51" s="41" t="str">
        <f ca="1">IFERROR(SUMIFS('TRA balance'!K$5:K$40,'TRA balance'!$C$5:$C$40,Assumptions!$C51,'TRA balance'!$D$5:$D$40,Assumptions!$B51)*DE51*N51,"")</f>
        <v/>
      </c>
      <c r="BK51" s="41" t="str">
        <f ca="1">IFERROR(SUMIFS('TRA balance'!L$5:L$40,'TRA balance'!$C$5:$C$40,Assumptions!$C51,'TRA balance'!$D$5:$D$40,Assumptions!$B51)*DF51*O51,"")</f>
        <v/>
      </c>
      <c r="BL51" s="41" t="str">
        <f ca="1">IFERROR(SUMIFS('TRA balance'!M$5:M$40,'TRA balance'!$C$5:$C$40,Assumptions!$C51,'TRA balance'!$D$5:$D$40,Assumptions!$B51)*DG51*P51,"")</f>
        <v/>
      </c>
      <c r="BM51" s="41" t="str">
        <f ca="1">IFERROR(SUMIFS('TRA balance'!N$5:N$40,'TRA balance'!$C$5:$C$40,Assumptions!$C51,'TRA balance'!$D$5:$D$40,Assumptions!$B51)*DH51*Q51,"")</f>
        <v/>
      </c>
      <c r="BN51" s="41" t="str">
        <f ca="1">IFERROR(SUMIFS('TRA balance'!O$5:O$40,'TRA balance'!$C$5:$C$40,Assumptions!$C51,'TRA balance'!$D$5:$D$40,Assumptions!$B51)*DI51*R51,"")</f>
        <v/>
      </c>
      <c r="BO51" s="41" t="str">
        <f ca="1">IFERROR(SUMIFS('TRA balance'!P$5:P$40,'TRA balance'!$C$5:$C$40,Assumptions!$C51,'TRA balance'!$D$5:$D$40,Assumptions!$B51)*DJ51*S51,"")</f>
        <v/>
      </c>
      <c r="BP51" s="41" t="str">
        <f ca="1">IFERROR(SUMIFS('TRA balance'!Q$5:Q$40,'TRA balance'!$C$5:$C$40,Assumptions!$C51,'TRA balance'!$D$5:$D$40,Assumptions!$B51)*DK51*T51,"")</f>
        <v/>
      </c>
      <c r="BQ51" s="41" t="str">
        <f ca="1">IFERROR(SUMIFS('TRA balance'!R$5:R$40,'TRA balance'!$C$5:$C$40,Assumptions!$C51,'TRA balance'!$D$5:$D$40,Assumptions!$B51)*DL51*U51,"")</f>
        <v/>
      </c>
      <c r="BR51" s="41" t="str">
        <f ca="1">IFERROR(SUMIFS('TRA balance'!S$5:S$40,'TRA balance'!$C$5:$C$40,Assumptions!$C51,'TRA balance'!$D$5:$D$40,Assumptions!$B51)*DM51*V51,"")</f>
        <v/>
      </c>
      <c r="BS51" s="41" t="str">
        <f ca="1">IFERROR(SUMIFS('TRA balance'!T$5:T$40,'TRA balance'!$C$5:$C$40,Assumptions!$C51,'TRA balance'!$D$5:$D$40,Assumptions!$B51)*DN51*W51,"")</f>
        <v/>
      </c>
      <c r="BT51" s="41" t="str">
        <f ca="1">IFERROR(SUMIFS('TRA balance'!U$5:U$40,'TRA balance'!$C$5:$C$40,Assumptions!$C51,'TRA balance'!$D$5:$D$40,Assumptions!$B51)*DO51*X51,"")</f>
        <v/>
      </c>
      <c r="BU51" s="41" t="str">
        <f ca="1">IFERROR(SUMIFS('TRA balance'!V$5:V$40,'TRA balance'!$C$5:$C$40,Assumptions!$C51,'TRA balance'!$D$5:$D$40,Assumptions!$B51)*DP51*Y51,"")</f>
        <v/>
      </c>
      <c r="BV51" s="41" t="str">
        <f ca="1">IFERROR(SUMIFS('TRA balance'!W$5:W$40,'TRA balance'!$C$5:$C$40,Assumptions!$C51,'TRA balance'!$D$5:$D$40,Assumptions!$B51)*DQ51*Z51,"")</f>
        <v/>
      </c>
      <c r="BW51" s="41" t="str">
        <f ca="1">IFERROR(SUMIFS('TRA balance'!X$5:X$40,'TRA balance'!$C$5:$C$40,Assumptions!$C51,'TRA balance'!$D$5:$D$40,Assumptions!$B51)*DR51*AA51,"")</f>
        <v/>
      </c>
      <c r="BX51" s="41" t="str">
        <f ca="1">IFERROR(SUMIFS('TRA balance'!Y$5:Y$40,'TRA balance'!$C$5:$C$40,Assumptions!$C51,'TRA balance'!$D$5:$D$40,Assumptions!$B51)*DS51*AB51,"")</f>
        <v/>
      </c>
      <c r="BY51" s="41" t="str">
        <f ca="1">IFERROR(SUMIFS('TRA balance'!Z$5:Z$40,'TRA balance'!$C$5:$C$40,Assumptions!$C51,'TRA balance'!$D$5:$D$40,Assumptions!$B51)*DT51*AC51,"")</f>
        <v/>
      </c>
      <c r="BZ51" s="41" t="str">
        <f ca="1">IFERROR(SUMIFS('TRA balance'!AA$5:AA$40,'TRA balance'!$C$5:$C$40,Assumptions!$C51,'TRA balance'!$D$5:$D$40,Assumptions!$B51)*DU51*AD51,"")</f>
        <v/>
      </c>
      <c r="CA51" s="41" t="str">
        <f ca="1">IFERROR(SUMIFS('TRA balance'!AB$5:AB$40,'TRA balance'!$C$5:$C$40,Assumptions!$C51,'TRA balance'!$D$5:$D$40,Assumptions!$B51)*DV51*AE51,"")</f>
        <v/>
      </c>
      <c r="CB51" s="41" t="str">
        <f ca="1">IFERROR(SUMIFS('TRA balance'!AC$5:AC$40,'TRA balance'!$C$5:$C$40,Assumptions!$C51,'TRA balance'!$D$5:$D$40,Assumptions!$B51)*DW51*AF51,"")</f>
        <v/>
      </c>
      <c r="CC51" s="41" t="str">
        <f ca="1">IFERROR(SUMIFS('TRA balance'!AD$5:AD$40,'TRA balance'!$C$5:$C$40,Assumptions!$C51,'TRA balance'!$D$5:$D$40,Assumptions!$B51)*DX51*AG51,"")</f>
        <v/>
      </c>
      <c r="CD51" s="41" t="str">
        <f ca="1">IFERROR(SUMIFS('TRA balance'!AE$5:AE$40,'TRA balance'!$C$5:$C$40,Assumptions!$C51,'TRA balance'!$D$5:$D$40,Assumptions!$B51)*DY51*AH51,"")</f>
        <v/>
      </c>
      <c r="CE51" s="41" t="str">
        <f ca="1">IFERROR(SUMIFS('TRA balance'!AF$5:AF$40,'TRA balance'!$C$5:$C$40,Assumptions!$C51,'TRA balance'!$D$5:$D$40,Assumptions!$B51)*DZ51*AI51,"")</f>
        <v/>
      </c>
      <c r="CF51" s="41" t="str">
        <f ca="1">IFERROR(SUMIFS('TRA balance'!AG$5:AG$40,'TRA balance'!$C$5:$C$40,Assumptions!$C51,'TRA balance'!$D$5:$D$40,Assumptions!$B51)*EA51*AJ51,"")</f>
        <v/>
      </c>
      <c r="CG51" s="41" t="str">
        <f ca="1">IFERROR(SUMIFS('TRA balance'!AH$5:AH$40,'TRA balance'!$C$5:$C$40,Assumptions!$C51,'TRA balance'!$D$5:$D$40,Assumptions!$B51)*EB51*AK51,"")</f>
        <v/>
      </c>
      <c r="CH51" s="41" t="str">
        <f ca="1">IFERROR(SUMIFS('TRA balance'!AI$5:AI$40,'TRA balance'!$C$5:$C$40,Assumptions!$C51,'TRA balance'!$D$5:$D$40,Assumptions!$B51)*EC51*AL51,"")</f>
        <v/>
      </c>
      <c r="CI51" s="41" t="str">
        <f ca="1">IFERROR(SUMIFS('TRA balance'!AJ$5:AJ$40,'TRA balance'!$C$5:$C$40,Assumptions!$C51,'TRA balance'!$D$5:$D$40,Assumptions!$B51)*ED51*AM51,"")</f>
        <v/>
      </c>
      <c r="CJ51" s="41" t="str">
        <f ca="1">IFERROR(SUMIFS('TRA balance'!AK$5:AK$40,'TRA balance'!$C$5:$C$40,Assumptions!$C51,'TRA balance'!$D$5:$D$40,Assumptions!$B51)*EE51*AN51,"")</f>
        <v/>
      </c>
      <c r="CK51" s="41" t="str">
        <f ca="1">IFERROR(SUMIFS('TRA balance'!AL$5:AL$40,'TRA balance'!$C$5:$C$40,Assumptions!$C51,'TRA balance'!$D$5:$D$40,Assumptions!$B51)*EF51*AO51,"")</f>
        <v/>
      </c>
      <c r="CL51" s="41" t="str">
        <f ca="1">IFERROR(SUMIFS('TRA balance'!AM$5:AM$40,'TRA balance'!$C$5:$C$40,Assumptions!$C51,'TRA balance'!$D$5:$D$40,Assumptions!$B51)*EG51*AP51,"")</f>
        <v/>
      </c>
      <c r="CM51" s="41" t="str">
        <f ca="1">IFERROR(SUMIFS('TRA balance'!AN$5:AN$40,'TRA balance'!$C$5:$C$40,Assumptions!$C51,'TRA balance'!$D$5:$D$40,Assumptions!$B51)*EH51*AQ51,"")</f>
        <v/>
      </c>
      <c r="CN51" s="41" t="str">
        <f ca="1">IFERROR(SUMIFS('TRA balance'!AO$5:AO$40,'TRA balance'!$C$5:$C$40,Assumptions!$C51,'TRA balance'!$D$5:$D$40,Assumptions!$B51)*EI51*AR51,"")</f>
        <v/>
      </c>
      <c r="CO51" s="41" t="str">
        <f ca="1">IFERROR(SUMIFS('TRA balance'!AP$5:AP$40,'TRA balance'!$C$5:$C$40,Assumptions!$C51,'TRA balance'!$D$5:$D$40,Assumptions!$B51)*EJ51*AS51,"")</f>
        <v/>
      </c>
      <c r="CP51" s="41" t="str">
        <f ca="1">IFERROR(SUMIFS('TRA balance'!AQ$5:AQ$40,'TRA balance'!$C$5:$C$40,Assumptions!$C51,'TRA balance'!$D$5:$D$40,Assumptions!$B51)*EK51*AT51,"")</f>
        <v/>
      </c>
      <c r="CQ51" s="41" t="str">
        <f ca="1">IFERROR(SUMIFS('TRA balance'!AR$5:AR$40,'TRA balance'!$C$5:$C$40,Assumptions!$C51,'TRA balance'!$D$5:$D$40,Assumptions!$B51)*EL51*AU51,"")</f>
        <v/>
      </c>
      <c r="CR51" s="41" t="str">
        <f ca="1">IFERROR(SUMIFS('TRA balance'!AS$5:AS$40,'TRA balance'!$C$5:$C$40,Assumptions!$C51,'TRA balance'!$D$5:$D$40,Assumptions!$B51)*EM51*AV51,"")</f>
        <v/>
      </c>
      <c r="CS51" s="41" t="str">
        <f ca="1">IFERROR(SUMIFS('TRA balance'!AT$5:AT$40,'TRA balance'!$C$5:$C$40,Assumptions!$C51,'TRA balance'!$D$5:$D$40,Assumptions!$B51)*EN51*AW51,"")</f>
        <v/>
      </c>
      <c r="CT51" s="41" t="str">
        <f ca="1">IFERROR(SUMIFS('TRA balance'!AU$5:AU$40,'TRA balance'!$C$5:$C$40,Assumptions!$C51,'TRA balance'!$D$5:$D$40,Assumptions!$B51)*EO51*AX51,"")</f>
        <v/>
      </c>
      <c r="CU51" s="41" t="str">
        <f ca="1">IFERROR(SUMIFS('TRA balance'!AV$5:AV$40,'TRA balance'!$C$5:$C$40,Assumptions!$C51,'TRA balance'!$D$5:$D$40,Assumptions!$B51)*EP51*AY51,"")</f>
        <v/>
      </c>
      <c r="CV51" s="41" t="str">
        <f ca="1">IFERROR(SUMIFS('TRA balance'!AW$5:AW$40,'TRA balance'!$C$5:$C$40,Assumptions!$C51,'TRA balance'!$D$5:$D$40,Assumptions!$B51)*EQ51*AZ51,"")</f>
        <v/>
      </c>
      <c r="CW51" s="41" t="str">
        <f ca="1">IFERROR(SUMIFS('TRA balance'!AX$5:AX$40,'TRA balance'!$C$5:$C$40,Assumptions!$C51,'TRA balance'!$D$5:$D$40,Assumptions!$B51)*ER51*BA51,"")</f>
        <v/>
      </c>
      <c r="CY51" s="40">
        <f ca="1" t="shared" si="66"/>
        <v>1</v>
      </c>
      <c r="CZ51" s="40">
        <f ca="1" t="shared" si="3"/>
        <v>1</v>
      </c>
      <c r="DA51" s="40">
        <f ca="1" t="shared" si="4"/>
        <v>1</v>
      </c>
      <c r="DB51" s="40">
        <f ca="1" t="shared" si="5"/>
        <v>1</v>
      </c>
      <c r="DC51" s="40">
        <f ca="1" t="shared" si="6"/>
        <v>1</v>
      </c>
      <c r="DD51" s="40">
        <f ca="1" t="shared" si="7"/>
        <v>1</v>
      </c>
      <c r="DE51" s="40">
        <f ca="1" t="shared" si="8"/>
        <v>1</v>
      </c>
      <c r="DF51" s="40">
        <f ca="1" t="shared" si="9"/>
        <v>1</v>
      </c>
      <c r="DG51" s="40">
        <f ca="1" t="shared" si="10"/>
        <v>1</v>
      </c>
      <c r="DH51" s="40">
        <f ca="1" t="shared" si="11"/>
        <v>1</v>
      </c>
      <c r="DI51" s="40">
        <f ca="1" t="shared" si="12"/>
        <v>1</v>
      </c>
      <c r="DJ51" s="40">
        <f ca="1" t="shared" si="13"/>
        <v>1</v>
      </c>
      <c r="DK51" s="40">
        <f ca="1" t="shared" si="14"/>
        <v>1</v>
      </c>
      <c r="DL51" s="40">
        <f ca="1" t="shared" si="15"/>
        <v>1</v>
      </c>
      <c r="DM51" s="40">
        <f ca="1" t="shared" si="16"/>
        <v>1</v>
      </c>
      <c r="DN51" s="40">
        <f ca="1" t="shared" si="17"/>
        <v>1</v>
      </c>
      <c r="DO51" s="40">
        <f ca="1" t="shared" si="18"/>
        <v>1</v>
      </c>
      <c r="DP51" s="40">
        <f ca="1" t="shared" si="19"/>
        <v>1</v>
      </c>
      <c r="DQ51" s="40">
        <f ca="1" t="shared" si="20"/>
        <v>1</v>
      </c>
      <c r="DR51" s="40">
        <f ca="1" t="shared" si="21"/>
        <v>1</v>
      </c>
      <c r="DS51" s="40">
        <f ca="1" t="shared" si="22"/>
        <v>1</v>
      </c>
      <c r="DT51" s="40">
        <f ca="1" t="shared" si="23"/>
        <v>1</v>
      </c>
      <c r="DU51" s="40">
        <f ca="1" t="shared" si="24"/>
        <v>1</v>
      </c>
      <c r="DV51" s="40">
        <f ca="1" t="shared" si="25"/>
        <v>1</v>
      </c>
      <c r="DW51" s="40">
        <f ca="1" t="shared" si="26"/>
        <v>1</v>
      </c>
      <c r="DX51" s="40">
        <f ca="1" t="shared" si="27"/>
        <v>1</v>
      </c>
      <c r="DY51" s="40">
        <f ca="1" t="shared" si="28"/>
        <v>1</v>
      </c>
      <c r="DZ51" s="40">
        <f ca="1" t="shared" si="29"/>
        <v>1</v>
      </c>
      <c r="EA51" s="40">
        <f ca="1" t="shared" si="30"/>
        <v>1</v>
      </c>
      <c r="EB51" s="40">
        <f ca="1" t="shared" si="31"/>
        <v>1</v>
      </c>
      <c r="EC51" s="40">
        <f ca="1" t="shared" si="32"/>
        <v>1</v>
      </c>
      <c r="ED51" s="40">
        <f ca="1" t="shared" si="33"/>
        <v>1</v>
      </c>
      <c r="EE51" s="40">
        <f ca="1" t="shared" si="34"/>
        <v>1</v>
      </c>
      <c r="EF51" s="40">
        <f ca="1" t="shared" si="35"/>
        <v>1</v>
      </c>
      <c r="EG51" s="40">
        <f ca="1" t="shared" si="36"/>
        <v>1</v>
      </c>
      <c r="EH51" s="40">
        <f ca="1" t="shared" si="37"/>
        <v>1</v>
      </c>
      <c r="EI51" s="40">
        <f ca="1" t="shared" si="38"/>
        <v>1</v>
      </c>
      <c r="EJ51" s="40">
        <f ca="1" t="shared" si="39"/>
        <v>1</v>
      </c>
      <c r="EK51" s="40">
        <f ca="1" t="shared" si="40"/>
        <v>1</v>
      </c>
      <c r="EL51" s="40">
        <f ca="1" t="shared" si="41"/>
        <v>1</v>
      </c>
      <c r="EM51" s="40">
        <f ca="1" t="shared" si="42"/>
        <v>1</v>
      </c>
      <c r="EN51" s="40">
        <f ca="1" t="shared" si="43"/>
        <v>1</v>
      </c>
      <c r="EO51" s="40">
        <f ca="1" t="shared" si="44"/>
        <v>1</v>
      </c>
      <c r="EP51" s="40">
        <f ca="1" t="shared" si="45"/>
        <v>1</v>
      </c>
      <c r="EQ51" s="40">
        <f ca="1" t="shared" si="46"/>
        <v>1</v>
      </c>
      <c r="ER51" s="40">
        <f ca="1" t="shared" si="47"/>
        <v>1</v>
      </c>
    </row>
    <row r="52" spans="1:148">
      <c r="A52">
        <v>1</v>
      </c>
      <c r="B52" t="str">
        <f>VLOOKUP(F52,'TRA balance'!$BA$5:$BB$14,2,FALSE)</f>
        <v>TRANGA</v>
      </c>
      <c r="C52" s="64">
        <v>1</v>
      </c>
      <c r="D52" s="65" t="s">
        <v>200</v>
      </c>
      <c r="E52" s="65" t="s">
        <v>201</v>
      </c>
      <c r="F52" s="66" t="s">
        <v>77</v>
      </c>
      <c r="G52" s="64"/>
      <c r="H52" s="59">
        <f ca="1">OFFSET(TIAM15_assumptions!$G52,0,MATCH(VLOOKUP(Assumptions!H$2,TIAM15_assumptions!$Y$3:$Z$87,2,FALSE),TIAM15_assumptions!$H$2:$V$2,0))</f>
        <v>0.25</v>
      </c>
      <c r="I52" s="59">
        <f ca="1">OFFSET(TIAM15_assumptions!$G52,0,MATCH(VLOOKUP(Assumptions!I$2,TIAM15_assumptions!$Y$3:$Z$87,2,FALSE),TIAM15_assumptions!$H$2:$V$2,0))</f>
        <v>0.25</v>
      </c>
      <c r="J52" s="59">
        <f ca="1">OFFSET(TIAM15_assumptions!$G52,0,MATCH(VLOOKUP(Assumptions!J$2,TIAM15_assumptions!$Y$3:$Z$87,2,FALSE),TIAM15_assumptions!$H$2:$V$2,0))</f>
        <v>0.25</v>
      </c>
      <c r="K52" s="59">
        <f ca="1">OFFSET(TIAM15_assumptions!$G52,0,MATCH(VLOOKUP(Assumptions!K$2,TIAM15_assumptions!$Y$3:$Z$87,2,FALSE),TIAM15_assumptions!$H$2:$V$2,0))</f>
        <v>0.682</v>
      </c>
      <c r="L52" s="59">
        <f ca="1">OFFSET(TIAM15_assumptions!$G52,0,MATCH(VLOOKUP(Assumptions!L$2,TIAM15_assumptions!$Y$3:$Z$87,2,FALSE),TIAM15_assumptions!$H$2:$V$2,0))</f>
        <v>0.7</v>
      </c>
      <c r="M52" s="59">
        <f ca="1">OFFSET(TIAM15_assumptions!$G52,0,MATCH(VLOOKUP(Assumptions!M$2,TIAM15_assumptions!$Y$3:$Z$87,2,FALSE),TIAM15_assumptions!$H$2:$V$2,0))</f>
        <v>0.682</v>
      </c>
      <c r="N52" s="59">
        <f ca="1">OFFSET(TIAM15_assumptions!$G52,0,MATCH(VLOOKUP(Assumptions!N$2,TIAM15_assumptions!$Y$3:$Z$87,2,FALSE),TIAM15_assumptions!$H$2:$V$2,0))</f>
        <v>0.5</v>
      </c>
      <c r="O52" s="59">
        <f ca="1">OFFSET(TIAM15_assumptions!$G52,0,MATCH(VLOOKUP(Assumptions!O$2,TIAM15_assumptions!$Y$3:$Z$87,2,FALSE),TIAM15_assumptions!$H$2:$V$2,0))</f>
        <v>0.4</v>
      </c>
      <c r="P52" s="59">
        <f ca="1">OFFSET(TIAM15_assumptions!$G52,0,MATCH(VLOOKUP(Assumptions!P$2,TIAM15_assumptions!$Y$3:$Z$87,2,FALSE),TIAM15_assumptions!$H$2:$V$2,0))</f>
        <v>0</v>
      </c>
      <c r="Q52" s="59">
        <f ca="1">OFFSET(TIAM15_assumptions!$G52,0,MATCH(VLOOKUP(Assumptions!Q$2,TIAM15_assumptions!$Y$3:$Z$87,2,FALSE),TIAM15_assumptions!$H$2:$V$2,0))</f>
        <v>0</v>
      </c>
      <c r="R52" s="59">
        <f ca="1">OFFSET(TIAM15_assumptions!$G52,0,MATCH(VLOOKUP(Assumptions!R$2,TIAM15_assumptions!$Y$3:$Z$87,2,FALSE),TIAM15_assumptions!$H$2:$V$2,0))</f>
        <v>0.682</v>
      </c>
      <c r="S52" s="59">
        <f ca="1">OFFSET(TIAM15_assumptions!$G52,0,MATCH(VLOOKUP(Assumptions!S$2,TIAM15_assumptions!$Y$3:$Z$87,2,FALSE),TIAM15_assumptions!$H$2:$V$2,0))</f>
        <v>0.682</v>
      </c>
      <c r="T52" s="59">
        <f ca="1">OFFSET(TIAM15_assumptions!$G52,0,MATCH(VLOOKUP(Assumptions!T$2,TIAM15_assumptions!$Y$3:$Z$87,2,FALSE),TIAM15_assumptions!$H$2:$V$2,0))</f>
        <v>0.682</v>
      </c>
      <c r="U52" s="59">
        <f ca="1">OFFSET(TIAM15_assumptions!$G52,0,MATCH(VLOOKUP(Assumptions!U$2,TIAM15_assumptions!$Y$3:$Z$87,2,FALSE),TIAM15_assumptions!$H$2:$V$2,0))</f>
        <v>0</v>
      </c>
      <c r="V52" s="59">
        <f ca="1">OFFSET(TIAM15_assumptions!$G52,0,MATCH(VLOOKUP(Assumptions!V$2,TIAM15_assumptions!$Y$3:$Z$87,2,FALSE),TIAM15_assumptions!$H$2:$V$2,0))</f>
        <v>0.682</v>
      </c>
      <c r="W52" s="59">
        <f ca="1">OFFSET(TIAM15_assumptions!$G52,0,MATCH(VLOOKUP(Assumptions!W$2,TIAM15_assumptions!$Y$3:$Z$87,2,FALSE),TIAM15_assumptions!$H$2:$V$2,0))</f>
        <v>0.25</v>
      </c>
      <c r="X52" s="59">
        <f ca="1">OFFSET(TIAM15_assumptions!$G52,0,MATCH(VLOOKUP(Assumptions!X$2,TIAM15_assumptions!$Y$3:$Z$87,2,FALSE),TIAM15_assumptions!$H$2:$V$2,0))</f>
        <v>0.682</v>
      </c>
      <c r="Y52" s="59">
        <f ca="1">OFFSET(TIAM15_assumptions!$G52,0,MATCH(VLOOKUP(Assumptions!Y$2,TIAM15_assumptions!$Y$3:$Z$87,2,FALSE),TIAM15_assumptions!$H$2:$V$2,0))</f>
        <v>0.682</v>
      </c>
      <c r="Z52" s="59">
        <f ca="1">OFFSET(TIAM15_assumptions!$G52,0,MATCH(VLOOKUP(Assumptions!Z$2,TIAM15_assumptions!$Y$3:$Z$87,2,FALSE),TIAM15_assumptions!$H$2:$V$2,0))</f>
        <v>0.95</v>
      </c>
      <c r="AA52" s="59">
        <f ca="1">OFFSET(TIAM15_assumptions!$G52,0,MATCH(VLOOKUP(Assumptions!AA$2,TIAM15_assumptions!$Y$3:$Z$87,2,FALSE),TIAM15_assumptions!$H$2:$V$2,0))</f>
        <v>0.5</v>
      </c>
      <c r="AB52" s="59">
        <f ca="1">OFFSET(TIAM15_assumptions!$G52,0,MATCH(VLOOKUP(Assumptions!AB$2,TIAM15_assumptions!$Y$3:$Z$87,2,FALSE),TIAM15_assumptions!$H$2:$V$2,0))</f>
        <v>0.682</v>
      </c>
      <c r="AC52" s="59">
        <f ca="1">OFFSET(TIAM15_assumptions!$G52,0,MATCH(VLOOKUP(Assumptions!AC$2,TIAM15_assumptions!$Y$3:$Z$87,2,FALSE),TIAM15_assumptions!$H$2:$V$2,0))</f>
        <v>0.97916979455979</v>
      </c>
      <c r="AD52" s="59">
        <f ca="1">OFFSET(TIAM15_assumptions!$G52,0,MATCH(VLOOKUP(Assumptions!AD$2,TIAM15_assumptions!$Y$3:$Z$87,2,FALSE),TIAM15_assumptions!$H$2:$V$2,0))</f>
        <v>0.682</v>
      </c>
      <c r="AE52" s="59">
        <f ca="1">OFFSET(TIAM15_assumptions!$G52,0,MATCH(VLOOKUP(Assumptions!AE$2,TIAM15_assumptions!$Y$3:$Z$87,2,FALSE),TIAM15_assumptions!$H$2:$V$2,0))</f>
        <v>0</v>
      </c>
      <c r="AF52" s="59">
        <f ca="1">OFFSET(TIAM15_assumptions!$G52,0,MATCH(VLOOKUP(Assumptions!AF$2,TIAM15_assumptions!$Y$3:$Z$87,2,FALSE),TIAM15_assumptions!$H$2:$V$2,0))</f>
        <v>0.9</v>
      </c>
      <c r="AG52" s="59">
        <f ca="1">OFFSET(TIAM15_assumptions!$G52,0,MATCH(VLOOKUP(Assumptions!AG$2,TIAM15_assumptions!$Y$3:$Z$87,2,FALSE),TIAM15_assumptions!$H$2:$V$2,0))</f>
        <v>0.7</v>
      </c>
      <c r="AH52" s="59">
        <f ca="1">OFFSET(TIAM15_assumptions!$G52,0,MATCH(VLOOKUP(Assumptions!AH$2,TIAM15_assumptions!$Y$3:$Z$87,2,FALSE),TIAM15_assumptions!$H$2:$V$2,0))</f>
        <v>0.682</v>
      </c>
      <c r="AI52" s="59">
        <f ca="1">OFFSET(TIAM15_assumptions!$G52,0,MATCH(VLOOKUP(Assumptions!AI$2,TIAM15_assumptions!$Y$3:$Z$87,2,FALSE),TIAM15_assumptions!$H$2:$V$2,0))</f>
        <v>0.25</v>
      </c>
      <c r="AJ52" s="59">
        <f ca="1">OFFSET(TIAM15_assumptions!$G52,0,MATCH(VLOOKUP(Assumptions!AJ$2,TIAM15_assumptions!$Y$3:$Z$87,2,FALSE),TIAM15_assumptions!$H$2:$V$2,0))</f>
        <v>0.682</v>
      </c>
      <c r="AK52" s="59">
        <f ca="1">OFFSET(TIAM15_assumptions!$G52,0,MATCH(VLOOKUP(Assumptions!AK$2,TIAM15_assumptions!$Y$3:$Z$87,2,FALSE),TIAM15_assumptions!$H$2:$V$2,0))</f>
        <v>0.682</v>
      </c>
      <c r="AL52" s="59">
        <f ca="1">OFFSET(TIAM15_assumptions!$G52,0,MATCH(VLOOKUP(Assumptions!AL$2,TIAM15_assumptions!$Y$3:$Z$87,2,FALSE),TIAM15_assumptions!$H$2:$V$2,0))</f>
        <v>0.682</v>
      </c>
      <c r="AM52" s="59">
        <f ca="1">OFFSET(TIAM15_assumptions!$G52,0,MATCH(VLOOKUP(Assumptions!AM$2,TIAM15_assumptions!$Y$3:$Z$87,2,FALSE),TIAM15_assumptions!$H$2:$V$2,0))</f>
        <v>0.682</v>
      </c>
      <c r="AN52" s="59">
        <f ca="1">OFFSET(TIAM15_assumptions!$G52,0,MATCH(VLOOKUP(Assumptions!AN$2,TIAM15_assumptions!$Y$3:$Z$87,2,FALSE),TIAM15_assumptions!$H$2:$V$2,0))</f>
        <v>0.682</v>
      </c>
      <c r="AO52" s="59">
        <f ca="1">OFFSET(TIAM15_assumptions!$G52,0,MATCH(VLOOKUP(Assumptions!AO$2,TIAM15_assumptions!$Y$3:$Z$87,2,FALSE),TIAM15_assumptions!$H$2:$V$2,0))</f>
        <v>0.7</v>
      </c>
      <c r="AP52" s="59">
        <f ca="1">OFFSET(TIAM15_assumptions!$G52,0,MATCH(VLOOKUP(Assumptions!AP$2,TIAM15_assumptions!$Y$3:$Z$87,2,FALSE),TIAM15_assumptions!$H$2:$V$2,0))</f>
        <v>0</v>
      </c>
      <c r="AQ52" s="59">
        <f ca="1">OFFSET(TIAM15_assumptions!$G52,0,MATCH(VLOOKUP(Assumptions!AQ$2,TIAM15_assumptions!$Y$3:$Z$87,2,FALSE),TIAM15_assumptions!$H$2:$V$2,0))</f>
        <v>0.97916979455979</v>
      </c>
      <c r="AR52" s="59">
        <f ca="1">OFFSET(TIAM15_assumptions!$G52,0,MATCH(VLOOKUP(Assumptions!AR$2,TIAM15_assumptions!$Y$3:$Z$87,2,FALSE),TIAM15_assumptions!$H$2:$V$2,0))</f>
        <v>0.97916979455979</v>
      </c>
      <c r="AS52" s="59">
        <f ca="1">OFFSET(TIAM15_assumptions!$G52,0,MATCH(VLOOKUP(Assumptions!AS$2,TIAM15_assumptions!$Y$3:$Z$87,2,FALSE),TIAM15_assumptions!$H$2:$V$2,0))</f>
        <v>0.97916979455979</v>
      </c>
      <c r="AT52" s="59">
        <f ca="1">OFFSET(TIAM15_assumptions!$G52,0,MATCH(VLOOKUP(Assumptions!AT$2,TIAM15_assumptions!$Y$3:$Z$87,2,FALSE),TIAM15_assumptions!$H$2:$V$2,0))</f>
        <v>0.97916979455979</v>
      </c>
      <c r="AU52" s="59">
        <f ca="1">OFFSET(TIAM15_assumptions!$G52,0,MATCH(VLOOKUP(Assumptions!AU$2,TIAM15_assumptions!$Y$3:$Z$87,2,FALSE),TIAM15_assumptions!$H$2:$V$2,0))</f>
        <v>0.97916979455979</v>
      </c>
      <c r="AV52" s="59">
        <f ca="1">OFFSET(TIAM15_assumptions!$G52,0,MATCH(VLOOKUP(Assumptions!AV$2,TIAM15_assumptions!$Y$3:$Z$87,2,FALSE),TIAM15_assumptions!$H$2:$V$2,0))</f>
        <v>0.97916979455979</v>
      </c>
      <c r="AW52" s="59">
        <f ca="1">OFFSET(TIAM15_assumptions!$G52,0,MATCH(VLOOKUP(Assumptions!AW$2,TIAM15_assumptions!$Y$3:$Z$87,2,FALSE),TIAM15_assumptions!$H$2:$V$2,0))</f>
        <v>0.97916979455979</v>
      </c>
      <c r="AX52" s="59">
        <f ca="1">OFFSET(TIAM15_assumptions!$G52,0,MATCH(VLOOKUP(Assumptions!AX$2,TIAM15_assumptions!$Y$3:$Z$87,2,FALSE),TIAM15_assumptions!$H$2:$V$2,0))</f>
        <v>0.97916979455979</v>
      </c>
      <c r="AY52" s="59">
        <f ca="1">OFFSET(TIAM15_assumptions!$G52,0,MATCH(VLOOKUP(Assumptions!AY$2,TIAM15_assumptions!$Y$3:$Z$87,2,FALSE),TIAM15_assumptions!$H$2:$V$2,0))</f>
        <v>0.97916979455979</v>
      </c>
      <c r="AZ52" s="59">
        <f ca="1">OFFSET(TIAM15_assumptions!$G52,0,MATCH(VLOOKUP(Assumptions!AZ$2,TIAM15_assumptions!$Y$3:$Z$87,2,FALSE),TIAM15_assumptions!$H$2:$V$2,0))</f>
        <v>0.97916979455979</v>
      </c>
      <c r="BA52" s="59">
        <f ca="1">OFFSET(TIAM15_assumptions!$G52,0,MATCH(VLOOKUP(Assumptions!BA$2,TIAM15_assumptions!$Y$3:$Z$87,2,FALSE),TIAM15_assumptions!$H$2:$V$2,0))</f>
        <v>0.97916979455979</v>
      </c>
      <c r="BD52" s="41">
        <f ca="1">IFERROR(SUMIFS('TRA balance'!E$5:E$40,'TRA balance'!$C$5:$C$40,Assumptions!$C52,'TRA balance'!$D$5:$D$40,Assumptions!$B52)*CY52*H52,"")</f>
        <v>0</v>
      </c>
      <c r="BE52" s="41">
        <f ca="1">IFERROR(SUMIFS('TRA balance'!F$5:F$40,'TRA balance'!$C$5:$C$40,Assumptions!$C52,'TRA balance'!$D$5:$D$40,Assumptions!$B52)*CZ52*I52,"")</f>
        <v>0</v>
      </c>
      <c r="BF52" s="41">
        <f ca="1">IFERROR(SUMIFS('TRA balance'!G$5:G$40,'TRA balance'!$C$5:$C$40,Assumptions!$C52,'TRA balance'!$D$5:$D$40,Assumptions!$B52)*DA52*J52,"")</f>
        <v>0</v>
      </c>
      <c r="BG52" s="41">
        <f ca="1">IFERROR(SUMIFS('TRA balance'!H$5:H$40,'TRA balance'!$C$5:$C$40,Assumptions!$C52,'TRA balance'!$D$5:$D$40,Assumptions!$B52)*DB52*K52,"")</f>
        <v>0</v>
      </c>
      <c r="BH52" s="41">
        <f ca="1">IFERROR(SUMIFS('TRA balance'!I$5:I$40,'TRA balance'!$C$5:$C$40,Assumptions!$C52,'TRA balance'!$D$5:$D$40,Assumptions!$B52)*DC52*L52,"")</f>
        <v>0</v>
      </c>
      <c r="BI52" s="41">
        <f ca="1">IFERROR(SUMIFS('TRA balance'!J$5:J$40,'TRA balance'!$C$5:$C$40,Assumptions!$C52,'TRA balance'!$D$5:$D$40,Assumptions!$B52)*DD52*M52,"")</f>
        <v>0</v>
      </c>
      <c r="BJ52" s="41">
        <f ca="1">IFERROR(SUMIFS('TRA balance'!K$5:K$40,'TRA balance'!$C$5:$C$40,Assumptions!$C52,'TRA balance'!$D$5:$D$40,Assumptions!$B52)*DE52*N52,"")</f>
        <v>0</v>
      </c>
      <c r="BK52" s="41">
        <f ca="1">IFERROR(SUMIFS('TRA balance'!L$5:L$40,'TRA balance'!$C$5:$C$40,Assumptions!$C52,'TRA balance'!$D$5:$D$40,Assumptions!$B52)*DF52*O52,"")</f>
        <v>0</v>
      </c>
      <c r="BL52" s="41">
        <f ca="1">IFERROR(SUMIFS('TRA balance'!M$5:M$40,'TRA balance'!$C$5:$C$40,Assumptions!$C52,'TRA balance'!$D$5:$D$40,Assumptions!$B52)*DG52*P52,"")</f>
        <v>0</v>
      </c>
      <c r="BM52" s="41">
        <f ca="1">IFERROR(SUMIFS('TRA balance'!N$5:N$40,'TRA balance'!$C$5:$C$40,Assumptions!$C52,'TRA balance'!$D$5:$D$40,Assumptions!$B52)*DH52*Q52,"")</f>
        <v>0</v>
      </c>
      <c r="BN52" s="41">
        <f ca="1">IFERROR(SUMIFS('TRA balance'!O$5:O$40,'TRA balance'!$C$5:$C$40,Assumptions!$C52,'TRA balance'!$D$5:$D$40,Assumptions!$B52)*DI52*R52,"")</f>
        <v>0</v>
      </c>
      <c r="BO52" s="41">
        <f ca="1">IFERROR(SUMIFS('TRA balance'!P$5:P$40,'TRA balance'!$C$5:$C$40,Assumptions!$C52,'TRA balance'!$D$5:$D$40,Assumptions!$B52)*DJ52*S52,"")</f>
        <v>0</v>
      </c>
      <c r="BP52" s="41">
        <f ca="1">IFERROR(SUMIFS('TRA balance'!Q$5:Q$40,'TRA balance'!$C$5:$C$40,Assumptions!$C52,'TRA balance'!$D$5:$D$40,Assumptions!$B52)*DK52*T52,"")</f>
        <v>0</v>
      </c>
      <c r="BQ52" s="41">
        <f ca="1">IFERROR(SUMIFS('TRA balance'!R$5:R$40,'TRA balance'!$C$5:$C$40,Assumptions!$C52,'TRA balance'!$D$5:$D$40,Assumptions!$B52)*DL52*U52,"")</f>
        <v>0</v>
      </c>
      <c r="BR52" s="41">
        <f ca="1">IFERROR(SUMIFS('TRA balance'!S$5:S$40,'TRA balance'!$C$5:$C$40,Assumptions!$C52,'TRA balance'!$D$5:$D$40,Assumptions!$B52)*DM52*V52,"")</f>
        <v>0</v>
      </c>
      <c r="BS52" s="41">
        <f ca="1">IFERROR(SUMIFS('TRA balance'!T$5:T$40,'TRA balance'!$C$5:$C$40,Assumptions!$C52,'TRA balance'!$D$5:$D$40,Assumptions!$B52)*DN52*W52,"")</f>
        <v>0</v>
      </c>
      <c r="BT52" s="41">
        <f ca="1">IFERROR(SUMIFS('TRA balance'!U$5:U$40,'TRA balance'!$C$5:$C$40,Assumptions!$C52,'TRA balance'!$D$5:$D$40,Assumptions!$B52)*DO52*X52,"")</f>
        <v>0</v>
      </c>
      <c r="BU52" s="41">
        <f ca="1">IFERROR(SUMIFS('TRA balance'!V$5:V$40,'TRA balance'!$C$5:$C$40,Assumptions!$C52,'TRA balance'!$D$5:$D$40,Assumptions!$B52)*DP52*Y52,"")</f>
        <v>0</v>
      </c>
      <c r="BV52" s="41">
        <f ca="1">IFERROR(SUMIFS('TRA balance'!W$5:W$40,'TRA balance'!$C$5:$C$40,Assumptions!$C52,'TRA balance'!$D$5:$D$40,Assumptions!$B52)*DQ52*Z52,"")</f>
        <v>0</v>
      </c>
      <c r="BW52" s="41">
        <f ca="1">IFERROR(SUMIFS('TRA balance'!X$5:X$40,'TRA balance'!$C$5:$C$40,Assumptions!$C52,'TRA balance'!$D$5:$D$40,Assumptions!$B52)*DR52*AA52,"")</f>
        <v>0</v>
      </c>
      <c r="BX52" s="41">
        <f ca="1">IFERROR(SUMIFS('TRA balance'!Y$5:Y$40,'TRA balance'!$C$5:$C$40,Assumptions!$C52,'TRA balance'!$D$5:$D$40,Assumptions!$B52)*DS52*AB52,"")</f>
        <v>0</v>
      </c>
      <c r="BY52" s="41">
        <f ca="1">IFERROR(SUMIFS('TRA balance'!Z$5:Z$40,'TRA balance'!$C$5:$C$40,Assumptions!$C52,'TRA balance'!$D$5:$D$40,Assumptions!$B52)*DT52*AC52,"")</f>
        <v>0</v>
      </c>
      <c r="BZ52" s="41">
        <f ca="1">IFERROR(SUMIFS('TRA balance'!AA$5:AA$40,'TRA balance'!$C$5:$C$40,Assumptions!$C52,'TRA balance'!$D$5:$D$40,Assumptions!$B52)*DU52*AD52,"")</f>
        <v>0</v>
      </c>
      <c r="CA52" s="41">
        <f ca="1">IFERROR(SUMIFS('TRA balance'!AB$5:AB$40,'TRA balance'!$C$5:$C$40,Assumptions!$C52,'TRA balance'!$D$5:$D$40,Assumptions!$B52)*DV52*AE52,"")</f>
        <v>0</v>
      </c>
      <c r="CB52" s="41">
        <f ca="1">IFERROR(SUMIFS('TRA balance'!AC$5:AC$40,'TRA balance'!$C$5:$C$40,Assumptions!$C52,'TRA balance'!$D$5:$D$40,Assumptions!$B52)*DW52*AF52,"")</f>
        <v>0</v>
      </c>
      <c r="CC52" s="41">
        <f ca="1">IFERROR(SUMIFS('TRA balance'!AD$5:AD$40,'TRA balance'!$C$5:$C$40,Assumptions!$C52,'TRA balance'!$D$5:$D$40,Assumptions!$B52)*DX52*AG52,"")</f>
        <v>0</v>
      </c>
      <c r="CD52" s="41">
        <f ca="1">IFERROR(SUMIFS('TRA balance'!AE$5:AE$40,'TRA balance'!$C$5:$C$40,Assumptions!$C52,'TRA balance'!$D$5:$D$40,Assumptions!$B52)*DY52*AH52,"")</f>
        <v>0</v>
      </c>
      <c r="CE52" s="41">
        <f ca="1">IFERROR(SUMIFS('TRA balance'!AF$5:AF$40,'TRA balance'!$C$5:$C$40,Assumptions!$C52,'TRA balance'!$D$5:$D$40,Assumptions!$B52)*DZ52*AI52,"")</f>
        <v>0</v>
      </c>
      <c r="CF52" s="41">
        <f ca="1">IFERROR(SUMIFS('TRA balance'!AG$5:AG$40,'TRA balance'!$C$5:$C$40,Assumptions!$C52,'TRA balance'!$D$5:$D$40,Assumptions!$B52)*EA52*AJ52,"")</f>
        <v>0</v>
      </c>
      <c r="CG52" s="41">
        <f ca="1">IFERROR(SUMIFS('TRA balance'!AH$5:AH$40,'TRA balance'!$C$5:$C$40,Assumptions!$C52,'TRA balance'!$D$5:$D$40,Assumptions!$B52)*EB52*AK52,"")</f>
        <v>0</v>
      </c>
      <c r="CH52" s="41">
        <f ca="1">IFERROR(SUMIFS('TRA balance'!AI$5:AI$40,'TRA balance'!$C$5:$C$40,Assumptions!$C52,'TRA balance'!$D$5:$D$40,Assumptions!$B52)*EC52*AL52,"")</f>
        <v>0</v>
      </c>
      <c r="CI52" s="41">
        <f ca="1">IFERROR(SUMIFS('TRA balance'!AJ$5:AJ$40,'TRA balance'!$C$5:$C$40,Assumptions!$C52,'TRA balance'!$D$5:$D$40,Assumptions!$B52)*ED52*AM52,"")</f>
        <v>0</v>
      </c>
      <c r="CJ52" s="41">
        <f ca="1">IFERROR(SUMIFS('TRA balance'!AK$5:AK$40,'TRA balance'!$C$5:$C$40,Assumptions!$C52,'TRA balance'!$D$5:$D$40,Assumptions!$B52)*EE52*AN52,"")</f>
        <v>0</v>
      </c>
      <c r="CK52" s="41">
        <f ca="1">IFERROR(SUMIFS('TRA balance'!AL$5:AL$40,'TRA balance'!$C$5:$C$40,Assumptions!$C52,'TRA balance'!$D$5:$D$40,Assumptions!$B52)*EF52*AO52,"")</f>
        <v>0</v>
      </c>
      <c r="CL52" s="41">
        <f ca="1">IFERROR(SUMIFS('TRA balance'!AM$5:AM$40,'TRA balance'!$C$5:$C$40,Assumptions!$C52,'TRA balance'!$D$5:$D$40,Assumptions!$B52)*EG52*AP52,"")</f>
        <v>0</v>
      </c>
      <c r="CM52" s="41">
        <f ca="1">IFERROR(SUMIFS('TRA balance'!AN$5:AN$40,'TRA balance'!$C$5:$C$40,Assumptions!$C52,'TRA balance'!$D$5:$D$40,Assumptions!$B52)*EH52*AQ52,"")</f>
        <v>0</v>
      </c>
      <c r="CN52" s="41">
        <f ca="1">IFERROR(SUMIFS('TRA balance'!AO$5:AO$40,'TRA balance'!$C$5:$C$40,Assumptions!$C52,'TRA balance'!$D$5:$D$40,Assumptions!$B52)*EI52*AR52,"")</f>
        <v>0</v>
      </c>
      <c r="CO52" s="41">
        <f ca="1">IFERROR(SUMIFS('TRA balance'!AP$5:AP$40,'TRA balance'!$C$5:$C$40,Assumptions!$C52,'TRA balance'!$D$5:$D$40,Assumptions!$B52)*EJ52*AS52,"")</f>
        <v>0</v>
      </c>
      <c r="CP52" s="41">
        <f ca="1">IFERROR(SUMIFS('TRA balance'!AQ$5:AQ$40,'TRA balance'!$C$5:$C$40,Assumptions!$C52,'TRA balance'!$D$5:$D$40,Assumptions!$B52)*EK52*AT52,"")</f>
        <v>0</v>
      </c>
      <c r="CQ52" s="41">
        <f ca="1">IFERROR(SUMIFS('TRA balance'!AR$5:AR$40,'TRA balance'!$C$5:$C$40,Assumptions!$C52,'TRA balance'!$D$5:$D$40,Assumptions!$B52)*EL52*AU52,"")</f>
        <v>0</v>
      </c>
      <c r="CR52" s="41">
        <f ca="1">IFERROR(SUMIFS('TRA balance'!AS$5:AS$40,'TRA balance'!$C$5:$C$40,Assumptions!$C52,'TRA balance'!$D$5:$D$40,Assumptions!$B52)*EM52*AV52,"")</f>
        <v>0</v>
      </c>
      <c r="CS52" s="41">
        <f ca="1">IFERROR(SUMIFS('TRA balance'!AT$5:AT$40,'TRA balance'!$C$5:$C$40,Assumptions!$C52,'TRA balance'!$D$5:$D$40,Assumptions!$B52)*EN52*AW52,"")</f>
        <v>0</v>
      </c>
      <c r="CT52" s="41">
        <f ca="1">IFERROR(SUMIFS('TRA balance'!AU$5:AU$40,'TRA balance'!$C$5:$C$40,Assumptions!$C52,'TRA balance'!$D$5:$D$40,Assumptions!$B52)*EO52*AX52,"")</f>
        <v>0</v>
      </c>
      <c r="CU52" s="41">
        <f ca="1">IFERROR(SUMIFS('TRA balance'!AV$5:AV$40,'TRA balance'!$C$5:$C$40,Assumptions!$C52,'TRA balance'!$D$5:$D$40,Assumptions!$B52)*EP52*AY52,"")</f>
        <v>0</v>
      </c>
      <c r="CV52" s="41">
        <f ca="1">IFERROR(SUMIFS('TRA balance'!AW$5:AW$40,'TRA balance'!$C$5:$C$40,Assumptions!$C52,'TRA balance'!$D$5:$D$40,Assumptions!$B52)*EQ52*AZ52,"")</f>
        <v>0</v>
      </c>
      <c r="CW52" s="41">
        <f ca="1">IFERROR(SUMIFS('TRA balance'!AX$5:AX$40,'TRA balance'!$C$5:$C$40,Assumptions!$C52,'TRA balance'!$D$5:$D$40,Assumptions!$B52)*ER52*BA52,"")</f>
        <v>0</v>
      </c>
      <c r="CY52" s="40">
        <f ca="1" t="shared" si="66"/>
        <v>1</v>
      </c>
      <c r="CZ52" s="40">
        <f ca="1" t="shared" si="3"/>
        <v>1</v>
      </c>
      <c r="DA52" s="40">
        <f ca="1" t="shared" si="4"/>
        <v>1</v>
      </c>
      <c r="DB52" s="40">
        <f ca="1" t="shared" si="5"/>
        <v>1</v>
      </c>
      <c r="DC52" s="40">
        <f ca="1" t="shared" si="6"/>
        <v>1</v>
      </c>
      <c r="DD52" s="40">
        <f ca="1" t="shared" si="7"/>
        <v>1</v>
      </c>
      <c r="DE52" s="40">
        <f ca="1" t="shared" si="8"/>
        <v>1</v>
      </c>
      <c r="DF52" s="40">
        <f ca="1" t="shared" si="9"/>
        <v>1</v>
      </c>
      <c r="DG52" s="40">
        <f ca="1" t="shared" si="10"/>
        <v>1</v>
      </c>
      <c r="DH52" s="40">
        <f ca="1" t="shared" si="11"/>
        <v>1</v>
      </c>
      <c r="DI52" s="40">
        <f ca="1" t="shared" si="12"/>
        <v>1</v>
      </c>
      <c r="DJ52" s="40">
        <f ca="1" t="shared" si="13"/>
        <v>1</v>
      </c>
      <c r="DK52" s="40">
        <f ca="1" t="shared" si="14"/>
        <v>1</v>
      </c>
      <c r="DL52" s="40">
        <f ca="1" t="shared" si="15"/>
        <v>1</v>
      </c>
      <c r="DM52" s="40">
        <f ca="1" t="shared" si="16"/>
        <v>1</v>
      </c>
      <c r="DN52" s="40">
        <f ca="1" t="shared" si="17"/>
        <v>1</v>
      </c>
      <c r="DO52" s="40">
        <f ca="1" t="shared" si="18"/>
        <v>1</v>
      </c>
      <c r="DP52" s="40">
        <f ca="1" t="shared" si="19"/>
        <v>1</v>
      </c>
      <c r="DQ52" s="40">
        <f ca="1" t="shared" si="20"/>
        <v>1</v>
      </c>
      <c r="DR52" s="40">
        <f ca="1" t="shared" si="21"/>
        <v>1</v>
      </c>
      <c r="DS52" s="40">
        <f ca="1" t="shared" si="22"/>
        <v>1</v>
      </c>
      <c r="DT52" s="40">
        <f ca="1" t="shared" si="23"/>
        <v>1</v>
      </c>
      <c r="DU52" s="40">
        <f ca="1" t="shared" si="24"/>
        <v>1</v>
      </c>
      <c r="DV52" s="40">
        <f ca="1" t="shared" si="25"/>
        <v>1</v>
      </c>
      <c r="DW52" s="40">
        <f ca="1" t="shared" si="26"/>
        <v>1</v>
      </c>
      <c r="DX52" s="40">
        <f ca="1" t="shared" si="27"/>
        <v>1</v>
      </c>
      <c r="DY52" s="40">
        <f ca="1" t="shared" si="28"/>
        <v>1</v>
      </c>
      <c r="DZ52" s="40">
        <f ca="1" t="shared" si="29"/>
        <v>1</v>
      </c>
      <c r="EA52" s="40">
        <f ca="1" t="shared" si="30"/>
        <v>1</v>
      </c>
      <c r="EB52" s="40">
        <f ca="1" t="shared" si="31"/>
        <v>1</v>
      </c>
      <c r="EC52" s="40">
        <f ca="1" t="shared" si="32"/>
        <v>1</v>
      </c>
      <c r="ED52" s="40">
        <f ca="1" t="shared" si="33"/>
        <v>1</v>
      </c>
      <c r="EE52" s="40">
        <f ca="1" t="shared" si="34"/>
        <v>1</v>
      </c>
      <c r="EF52" s="40">
        <f ca="1" t="shared" si="35"/>
        <v>1</v>
      </c>
      <c r="EG52" s="40">
        <f ca="1" t="shared" si="36"/>
        <v>1</v>
      </c>
      <c r="EH52" s="40">
        <f ca="1" t="shared" si="37"/>
        <v>1</v>
      </c>
      <c r="EI52" s="40">
        <f ca="1" t="shared" si="38"/>
        <v>1</v>
      </c>
      <c r="EJ52" s="40">
        <f ca="1" t="shared" si="39"/>
        <v>1</v>
      </c>
      <c r="EK52" s="40">
        <f ca="1" t="shared" si="40"/>
        <v>1</v>
      </c>
      <c r="EL52" s="40">
        <f ca="1" t="shared" si="41"/>
        <v>1</v>
      </c>
      <c r="EM52" s="40">
        <f ca="1" t="shared" si="42"/>
        <v>1</v>
      </c>
      <c r="EN52" s="40">
        <f ca="1" t="shared" si="43"/>
        <v>1</v>
      </c>
      <c r="EO52" s="40">
        <f ca="1" t="shared" si="44"/>
        <v>1</v>
      </c>
      <c r="EP52" s="40">
        <f ca="1" t="shared" si="45"/>
        <v>1</v>
      </c>
      <c r="EQ52" s="40">
        <f ca="1" t="shared" si="46"/>
        <v>1</v>
      </c>
      <c r="ER52" s="40">
        <f ca="1" t="shared" si="47"/>
        <v>1</v>
      </c>
    </row>
    <row r="53" spans="1:148">
      <c r="A53">
        <v>1</v>
      </c>
      <c r="B53" t="str">
        <f>VLOOKUP(F53,'TRA balance'!$BA$5:$BB$14,2,FALSE)</f>
        <v>TRANGA</v>
      </c>
      <c r="C53" s="56" t="str">
        <f t="shared" si="48"/>
        <v>TR</v>
      </c>
      <c r="D53" s="57" t="s">
        <v>200</v>
      </c>
      <c r="E53" s="68" t="s">
        <v>202</v>
      </c>
      <c r="F53" s="58" t="str">
        <f>F52</f>
        <v>Natural Gas</v>
      </c>
      <c r="G53" s="56" t="s">
        <v>203</v>
      </c>
      <c r="H53" s="59">
        <f ca="1">OFFSET(TIAM15_assumptions!$G53,0,MATCH(VLOOKUP(Assumptions!H$2,TIAM15_assumptions!$Y$3:$Z$87,2,FALSE),TIAM15_assumptions!$H$2:$V$2,0))</f>
        <v>0.5</v>
      </c>
      <c r="I53" s="59">
        <f ca="1">OFFSET(TIAM15_assumptions!$G53,0,MATCH(VLOOKUP(Assumptions!I$2,TIAM15_assumptions!$Y$3:$Z$87,2,FALSE),TIAM15_assumptions!$H$2:$V$2,0))</f>
        <v>0.5</v>
      </c>
      <c r="J53" s="59">
        <f ca="1">OFFSET(TIAM15_assumptions!$G53,0,MATCH(VLOOKUP(Assumptions!J$2,TIAM15_assumptions!$Y$3:$Z$87,2,FALSE),TIAM15_assumptions!$H$2:$V$2,0))</f>
        <v>0.5</v>
      </c>
      <c r="K53" s="59">
        <f ca="1">OFFSET(TIAM15_assumptions!$G53,0,MATCH(VLOOKUP(Assumptions!K$2,TIAM15_assumptions!$Y$3:$Z$87,2,FALSE),TIAM15_assumptions!$H$2:$V$2,0))</f>
        <v>0.92</v>
      </c>
      <c r="L53" s="59">
        <f ca="1">OFFSET(TIAM15_assumptions!$G53,0,MATCH(VLOOKUP(Assumptions!L$2,TIAM15_assumptions!$Y$3:$Z$87,2,FALSE),TIAM15_assumptions!$H$2:$V$2,0))</f>
        <v>0.8</v>
      </c>
      <c r="M53" s="59">
        <f ca="1">OFFSET(TIAM15_assumptions!$G53,0,MATCH(VLOOKUP(Assumptions!M$2,TIAM15_assumptions!$Y$3:$Z$87,2,FALSE),TIAM15_assumptions!$H$2:$V$2,0))</f>
        <v>0.92</v>
      </c>
      <c r="N53" s="59">
        <f ca="1">OFFSET(TIAM15_assumptions!$G53,0,MATCH(VLOOKUP(Assumptions!N$2,TIAM15_assumptions!$Y$3:$Z$87,2,FALSE),TIAM15_assumptions!$H$2:$V$2,0))</f>
        <v>0.6</v>
      </c>
      <c r="O53" s="59">
        <f ca="1">OFFSET(TIAM15_assumptions!$G53,0,MATCH(VLOOKUP(Assumptions!O$2,TIAM15_assumptions!$Y$3:$Z$87,2,FALSE),TIAM15_assumptions!$H$2:$V$2,0))</f>
        <v>0.67</v>
      </c>
      <c r="P53" s="59">
        <f ca="1">OFFSET(TIAM15_assumptions!$G53,0,MATCH(VLOOKUP(Assumptions!P$2,TIAM15_assumptions!$Y$3:$Z$87,2,FALSE),TIAM15_assumptions!$H$2:$V$2,0))</f>
        <v>0.92</v>
      </c>
      <c r="Q53" s="59">
        <f ca="1">OFFSET(TIAM15_assumptions!$G53,0,MATCH(VLOOKUP(Assumptions!Q$2,TIAM15_assumptions!$Y$3:$Z$87,2,FALSE),TIAM15_assumptions!$H$2:$V$2,0))</f>
        <v>0.92</v>
      </c>
      <c r="R53" s="59">
        <f ca="1">OFFSET(TIAM15_assumptions!$G53,0,MATCH(VLOOKUP(Assumptions!R$2,TIAM15_assumptions!$Y$3:$Z$87,2,FALSE),TIAM15_assumptions!$H$2:$V$2,0))</f>
        <v>0.92</v>
      </c>
      <c r="S53" s="59">
        <f ca="1">OFFSET(TIAM15_assumptions!$G53,0,MATCH(VLOOKUP(Assumptions!S$2,TIAM15_assumptions!$Y$3:$Z$87,2,FALSE),TIAM15_assumptions!$H$2:$V$2,0))</f>
        <v>0.92</v>
      </c>
      <c r="T53" s="59">
        <f ca="1">OFFSET(TIAM15_assumptions!$G53,0,MATCH(VLOOKUP(Assumptions!T$2,TIAM15_assumptions!$Y$3:$Z$87,2,FALSE),TIAM15_assumptions!$H$2:$V$2,0))</f>
        <v>0.92</v>
      </c>
      <c r="U53" s="59">
        <f ca="1">OFFSET(TIAM15_assumptions!$G53,0,MATCH(VLOOKUP(Assumptions!U$2,TIAM15_assumptions!$Y$3:$Z$87,2,FALSE),TIAM15_assumptions!$H$2:$V$2,0))</f>
        <v>0.92</v>
      </c>
      <c r="V53" s="59">
        <f ca="1">OFFSET(TIAM15_assumptions!$G53,0,MATCH(VLOOKUP(Assumptions!V$2,TIAM15_assumptions!$Y$3:$Z$87,2,FALSE),TIAM15_assumptions!$H$2:$V$2,0))</f>
        <v>0.92</v>
      </c>
      <c r="W53" s="59">
        <f ca="1">OFFSET(TIAM15_assumptions!$G53,0,MATCH(VLOOKUP(Assumptions!W$2,TIAM15_assumptions!$Y$3:$Z$87,2,FALSE),TIAM15_assumptions!$H$2:$V$2,0))</f>
        <v>0.5</v>
      </c>
      <c r="X53" s="59">
        <f ca="1">OFFSET(TIAM15_assumptions!$G53,0,MATCH(VLOOKUP(Assumptions!X$2,TIAM15_assumptions!$Y$3:$Z$87,2,FALSE),TIAM15_assumptions!$H$2:$V$2,0))</f>
        <v>0.92</v>
      </c>
      <c r="Y53" s="59">
        <f ca="1">OFFSET(TIAM15_assumptions!$G53,0,MATCH(VLOOKUP(Assumptions!Y$2,TIAM15_assumptions!$Y$3:$Z$87,2,FALSE),TIAM15_assumptions!$H$2:$V$2,0))</f>
        <v>0.92</v>
      </c>
      <c r="Z53" s="59">
        <f ca="1">OFFSET(TIAM15_assumptions!$G53,0,MATCH(VLOOKUP(Assumptions!Z$2,TIAM15_assumptions!$Y$3:$Z$87,2,FALSE),TIAM15_assumptions!$H$2:$V$2,0))</f>
        <v>0.8</v>
      </c>
      <c r="AA53" s="59">
        <f ca="1">OFFSET(TIAM15_assumptions!$G53,0,MATCH(VLOOKUP(Assumptions!AA$2,TIAM15_assumptions!$Y$3:$Z$87,2,FALSE),TIAM15_assumptions!$H$2:$V$2,0))</f>
        <v>0.6</v>
      </c>
      <c r="AB53" s="59">
        <f ca="1">OFFSET(TIAM15_assumptions!$G53,0,MATCH(VLOOKUP(Assumptions!AB$2,TIAM15_assumptions!$Y$3:$Z$87,2,FALSE),TIAM15_assumptions!$H$2:$V$2,0))</f>
        <v>0.92</v>
      </c>
      <c r="AC53" s="59">
        <f ca="1">OFFSET(TIAM15_assumptions!$G53,0,MATCH(VLOOKUP(Assumptions!AC$2,TIAM15_assumptions!$Y$3:$Z$87,2,FALSE),TIAM15_assumptions!$H$2:$V$2,0))</f>
        <v>0.523697274532045</v>
      </c>
      <c r="AD53" s="59">
        <f ca="1">OFFSET(TIAM15_assumptions!$G53,0,MATCH(VLOOKUP(Assumptions!AD$2,TIAM15_assumptions!$Y$3:$Z$87,2,FALSE),TIAM15_assumptions!$H$2:$V$2,0))</f>
        <v>0.92</v>
      </c>
      <c r="AE53" s="59">
        <f ca="1">OFFSET(TIAM15_assumptions!$G53,0,MATCH(VLOOKUP(Assumptions!AE$2,TIAM15_assumptions!$Y$3:$Z$87,2,FALSE),TIAM15_assumptions!$H$2:$V$2,0))</f>
        <v>0.92</v>
      </c>
      <c r="AF53" s="59">
        <f ca="1">OFFSET(TIAM15_assumptions!$G53,0,MATCH(VLOOKUP(Assumptions!AF$2,TIAM15_assumptions!$Y$3:$Z$87,2,FALSE),TIAM15_assumptions!$H$2:$V$2,0))</f>
        <v>0.8</v>
      </c>
      <c r="AG53" s="59">
        <f ca="1">OFFSET(TIAM15_assumptions!$G53,0,MATCH(VLOOKUP(Assumptions!AG$2,TIAM15_assumptions!$Y$3:$Z$87,2,FALSE),TIAM15_assumptions!$H$2:$V$2,0))</f>
        <v>0.8</v>
      </c>
      <c r="AH53" s="59">
        <f ca="1">OFFSET(TIAM15_assumptions!$G53,0,MATCH(VLOOKUP(Assumptions!AH$2,TIAM15_assumptions!$Y$3:$Z$87,2,FALSE),TIAM15_assumptions!$H$2:$V$2,0))</f>
        <v>0.92</v>
      </c>
      <c r="AI53" s="59">
        <f ca="1">OFFSET(TIAM15_assumptions!$G53,0,MATCH(VLOOKUP(Assumptions!AI$2,TIAM15_assumptions!$Y$3:$Z$87,2,FALSE),TIAM15_assumptions!$H$2:$V$2,0))</f>
        <v>0.5</v>
      </c>
      <c r="AJ53" s="59">
        <f ca="1">OFFSET(TIAM15_assumptions!$G53,0,MATCH(VLOOKUP(Assumptions!AJ$2,TIAM15_assumptions!$Y$3:$Z$87,2,FALSE),TIAM15_assumptions!$H$2:$V$2,0))</f>
        <v>0.92</v>
      </c>
      <c r="AK53" s="59">
        <f ca="1">OFFSET(TIAM15_assumptions!$G53,0,MATCH(VLOOKUP(Assumptions!AK$2,TIAM15_assumptions!$Y$3:$Z$87,2,FALSE),TIAM15_assumptions!$H$2:$V$2,0))</f>
        <v>0.92</v>
      </c>
      <c r="AL53" s="59">
        <f ca="1">OFFSET(TIAM15_assumptions!$G53,0,MATCH(VLOOKUP(Assumptions!AL$2,TIAM15_assumptions!$Y$3:$Z$87,2,FALSE),TIAM15_assumptions!$H$2:$V$2,0))</f>
        <v>0.92</v>
      </c>
      <c r="AM53" s="59">
        <f ca="1">OFFSET(TIAM15_assumptions!$G53,0,MATCH(VLOOKUP(Assumptions!AM$2,TIAM15_assumptions!$Y$3:$Z$87,2,FALSE),TIAM15_assumptions!$H$2:$V$2,0))</f>
        <v>0.92</v>
      </c>
      <c r="AN53" s="59">
        <f ca="1">OFFSET(TIAM15_assumptions!$G53,0,MATCH(VLOOKUP(Assumptions!AN$2,TIAM15_assumptions!$Y$3:$Z$87,2,FALSE),TIAM15_assumptions!$H$2:$V$2,0))</f>
        <v>0.92</v>
      </c>
      <c r="AO53" s="59">
        <f ca="1">OFFSET(TIAM15_assumptions!$G53,0,MATCH(VLOOKUP(Assumptions!AO$2,TIAM15_assumptions!$Y$3:$Z$87,2,FALSE),TIAM15_assumptions!$H$2:$V$2,0))</f>
        <v>0.8</v>
      </c>
      <c r="AP53" s="59">
        <f ca="1">OFFSET(TIAM15_assumptions!$G53,0,MATCH(VLOOKUP(Assumptions!AP$2,TIAM15_assumptions!$Y$3:$Z$87,2,FALSE),TIAM15_assumptions!$H$2:$V$2,0))</f>
        <v>0.92</v>
      </c>
      <c r="AQ53" s="59">
        <f ca="1">OFFSET(TIAM15_assumptions!$G53,0,MATCH(VLOOKUP(Assumptions!AQ$2,TIAM15_assumptions!$Y$3:$Z$87,2,FALSE),TIAM15_assumptions!$H$2:$V$2,0))</f>
        <v>0.523697274532045</v>
      </c>
      <c r="AR53" s="59">
        <f ca="1">OFFSET(TIAM15_assumptions!$G53,0,MATCH(VLOOKUP(Assumptions!AR$2,TIAM15_assumptions!$Y$3:$Z$87,2,FALSE),TIAM15_assumptions!$H$2:$V$2,0))</f>
        <v>0.523697274532045</v>
      </c>
      <c r="AS53" s="59">
        <f ca="1">OFFSET(TIAM15_assumptions!$G53,0,MATCH(VLOOKUP(Assumptions!AS$2,TIAM15_assumptions!$Y$3:$Z$87,2,FALSE),TIAM15_assumptions!$H$2:$V$2,0))</f>
        <v>0.523697274532045</v>
      </c>
      <c r="AT53" s="59">
        <f ca="1">OFFSET(TIAM15_assumptions!$G53,0,MATCH(VLOOKUP(Assumptions!AT$2,TIAM15_assumptions!$Y$3:$Z$87,2,FALSE),TIAM15_assumptions!$H$2:$V$2,0))</f>
        <v>0.523697274532045</v>
      </c>
      <c r="AU53" s="59">
        <f ca="1">OFFSET(TIAM15_assumptions!$G53,0,MATCH(VLOOKUP(Assumptions!AU$2,TIAM15_assumptions!$Y$3:$Z$87,2,FALSE),TIAM15_assumptions!$H$2:$V$2,0))</f>
        <v>0.523697274532045</v>
      </c>
      <c r="AV53" s="59">
        <f ca="1">OFFSET(TIAM15_assumptions!$G53,0,MATCH(VLOOKUP(Assumptions!AV$2,TIAM15_assumptions!$Y$3:$Z$87,2,FALSE),TIAM15_assumptions!$H$2:$V$2,0))</f>
        <v>0.523697274532045</v>
      </c>
      <c r="AW53" s="59">
        <f ca="1">OFFSET(TIAM15_assumptions!$G53,0,MATCH(VLOOKUP(Assumptions!AW$2,TIAM15_assumptions!$Y$3:$Z$87,2,FALSE),TIAM15_assumptions!$H$2:$V$2,0))</f>
        <v>0.523697274532045</v>
      </c>
      <c r="AX53" s="59">
        <f ca="1">OFFSET(TIAM15_assumptions!$G53,0,MATCH(VLOOKUP(Assumptions!AX$2,TIAM15_assumptions!$Y$3:$Z$87,2,FALSE),TIAM15_assumptions!$H$2:$V$2,0))</f>
        <v>0.523697274532045</v>
      </c>
      <c r="AY53" s="59">
        <f ca="1">OFFSET(TIAM15_assumptions!$G53,0,MATCH(VLOOKUP(Assumptions!AY$2,TIAM15_assumptions!$Y$3:$Z$87,2,FALSE),TIAM15_assumptions!$H$2:$V$2,0))</f>
        <v>0.523697274532045</v>
      </c>
      <c r="AZ53" s="59">
        <f ca="1">OFFSET(TIAM15_assumptions!$G53,0,MATCH(VLOOKUP(Assumptions!AZ$2,TIAM15_assumptions!$Y$3:$Z$87,2,FALSE),TIAM15_assumptions!$H$2:$V$2,0))</f>
        <v>0.523697274532045</v>
      </c>
      <c r="BA53" s="59">
        <f ca="1">OFFSET(TIAM15_assumptions!$G53,0,MATCH(VLOOKUP(Assumptions!BA$2,TIAM15_assumptions!$Y$3:$Z$87,2,FALSE),TIAM15_assumptions!$H$2:$V$2,0))</f>
        <v>0.523697274532045</v>
      </c>
      <c r="BD53" s="41">
        <f ca="1">IFERROR(SUMIFS('TRA balance'!E$5:E$40,'TRA balance'!$C$5:$C$40,Assumptions!$C53,'TRA balance'!$D$5:$D$40,Assumptions!$B53)*CY53*H53,"")</f>
        <v>2.54350664415</v>
      </c>
      <c r="BE53" s="41">
        <f ca="1">IFERROR(SUMIFS('TRA balance'!F$5:F$40,'TRA balance'!$C$5:$C$40,Assumptions!$C53,'TRA balance'!$D$5:$D$40,Assumptions!$B53)*CZ53*I53,"")</f>
        <v>0.00933604065</v>
      </c>
      <c r="BF53" s="41">
        <f ca="1">IFERROR(SUMIFS('TRA balance'!G$5:G$40,'TRA balance'!$C$5:$C$40,Assumptions!$C53,'TRA balance'!$D$5:$D$40,Assumptions!$B53)*DA53*J53,"")</f>
        <v>0.3904316604</v>
      </c>
      <c r="BG53" s="41">
        <f ca="1">IFERROR(SUMIFS('TRA balance'!H$5:H$40,'TRA balance'!$C$5:$C$40,Assumptions!$C53,'TRA balance'!$D$5:$D$40,Assumptions!$B53)*DB53*K53,"")</f>
        <v>0.491904598483584</v>
      </c>
      <c r="BH53" s="41">
        <f ca="1">IFERROR(SUMIFS('TRA balance'!I$5:I$40,'TRA balance'!$C$5:$C$40,Assumptions!$C53,'TRA balance'!$D$5:$D$40,Assumptions!$B53)*DC53*L53,"")</f>
        <v>0.450380439936</v>
      </c>
      <c r="BI53" s="41">
        <f ca="1">IFERROR(SUMIFS('TRA balance'!J$5:J$40,'TRA balance'!$C$5:$C$40,Assumptions!$C53,'TRA balance'!$D$5:$D$40,Assumptions!$B53)*DD53*M53,"")</f>
        <v>2.4074171259336</v>
      </c>
      <c r="BJ53" s="41">
        <f ca="1">IFERROR(SUMIFS('TRA balance'!K$5:K$40,'TRA balance'!$C$5:$C$40,Assumptions!$C53,'TRA balance'!$D$5:$D$40,Assumptions!$B53)*DE53*N53,"")</f>
        <v>25.25192052768</v>
      </c>
      <c r="BK53" s="41">
        <f ca="1">IFERROR(SUMIFS('TRA balance'!L$5:L$40,'TRA balance'!$C$5:$C$40,Assumptions!$C53,'TRA balance'!$D$5:$D$40,Assumptions!$B53)*DF53*O53,"")</f>
        <v>275.595208263763</v>
      </c>
      <c r="BL53" s="41">
        <f ca="1">IFERROR(SUMIFS('TRA balance'!M$5:M$40,'TRA balance'!$C$5:$C$40,Assumptions!$C53,'TRA balance'!$D$5:$D$40,Assumptions!$B53)*DG53*P53,"")</f>
        <v>0</v>
      </c>
      <c r="BM53" s="41">
        <f ca="1">IFERROR(SUMIFS('TRA balance'!N$5:N$40,'TRA balance'!$C$5:$C$40,Assumptions!$C53,'TRA balance'!$D$5:$D$40,Assumptions!$B53)*DH53*Q53,"")</f>
        <v>0</v>
      </c>
      <c r="BN53" s="41">
        <f ca="1">IFERROR(SUMIFS('TRA balance'!O$5:O$40,'TRA balance'!$C$5:$C$40,Assumptions!$C53,'TRA balance'!$D$5:$D$40,Assumptions!$B53)*DI53*R53,"")</f>
        <v>4.27416528738672</v>
      </c>
      <c r="BO53" s="41">
        <f ca="1">IFERROR(SUMIFS('TRA balance'!P$5:P$40,'TRA balance'!$C$5:$C$40,Assumptions!$C53,'TRA balance'!$D$5:$D$40,Assumptions!$B53)*DJ53*S53,"")</f>
        <v>5.23068556370659</v>
      </c>
      <c r="BP53" s="41">
        <f ca="1">IFERROR(SUMIFS('TRA balance'!Q$5:Q$40,'TRA balance'!$C$5:$C$40,Assumptions!$C53,'TRA balance'!$D$5:$D$40,Assumptions!$B53)*DK53*T53,"")</f>
        <v>0.46999044984672</v>
      </c>
      <c r="BQ53" s="41">
        <f ca="1">IFERROR(SUMIFS('TRA balance'!R$5:R$40,'TRA balance'!$C$5:$C$40,Assumptions!$C53,'TRA balance'!$D$5:$D$40,Assumptions!$B53)*DL53*U53,"")</f>
        <v>0</v>
      </c>
      <c r="BR53" s="41">
        <f ca="1">IFERROR(SUMIFS('TRA balance'!S$5:S$40,'TRA balance'!$C$5:$C$40,Assumptions!$C53,'TRA balance'!$D$5:$D$40,Assumptions!$B53)*DM53*V53,"")</f>
        <v>0.04670745178176</v>
      </c>
      <c r="BS53" s="41">
        <f ca="1">IFERROR(SUMIFS('TRA balance'!T$5:T$40,'TRA balance'!$C$5:$C$40,Assumptions!$C53,'TRA balance'!$D$5:$D$40,Assumptions!$B53)*DN53*W53,"")</f>
        <v>15.4225927764</v>
      </c>
      <c r="BT53" s="41">
        <f ca="1">IFERROR(SUMIFS('TRA balance'!U$5:U$40,'TRA balance'!$C$5:$C$40,Assumptions!$C53,'TRA balance'!$D$5:$D$40,Assumptions!$B53)*DO53*X53,"")</f>
        <v>0</v>
      </c>
      <c r="BU53" s="41">
        <f ca="1">IFERROR(SUMIFS('TRA balance'!V$5:V$40,'TRA balance'!$C$5:$C$40,Assumptions!$C53,'TRA balance'!$D$5:$D$40,Assumptions!$B53)*DP53*Y53,"")</f>
        <v>25.2161106621526</v>
      </c>
      <c r="BV53" s="41">
        <f ca="1">IFERROR(SUMIFS('TRA balance'!W$5:W$40,'TRA balance'!$C$5:$C$40,Assumptions!$C53,'TRA balance'!$D$5:$D$40,Assumptions!$B53)*DQ53*Z53,"")</f>
        <v>1.063245061296</v>
      </c>
      <c r="BW53" s="41">
        <f ca="1">IFERROR(SUMIFS('TRA balance'!X$5:X$40,'TRA balance'!$C$5:$C$40,Assumptions!$C53,'TRA balance'!$D$5:$D$40,Assumptions!$B53)*DR53*AA53,"")</f>
        <v>48.56458814568</v>
      </c>
      <c r="BX53" s="41">
        <f ca="1">IFERROR(SUMIFS('TRA balance'!Y$5:Y$40,'TRA balance'!$C$5:$C$40,Assumptions!$C53,'TRA balance'!$D$5:$D$40,Assumptions!$B53)*DS53*AB53,"")</f>
        <v>175.333787133687</v>
      </c>
      <c r="BY53" s="41">
        <f ca="1">IFERROR(SUMIFS('TRA balance'!Z$5:Z$40,'TRA balance'!$C$5:$C$40,Assumptions!$C53,'TRA balance'!$D$5:$D$40,Assumptions!$B53)*DT53*AC53,"")</f>
        <v>27.8692602899771</v>
      </c>
      <c r="BZ53" s="41">
        <f ca="1">IFERROR(SUMIFS('TRA balance'!AA$5:AA$40,'TRA balance'!$C$5:$C$40,Assumptions!$C53,'TRA balance'!$D$5:$D$40,Assumptions!$B53)*DU53*AD53,"")</f>
        <v>1.48692305848522</v>
      </c>
      <c r="CA53" s="41">
        <f ca="1">IFERROR(SUMIFS('TRA balance'!AB$5:AB$40,'TRA balance'!$C$5:$C$40,Assumptions!$C53,'TRA balance'!$D$5:$D$40,Assumptions!$B53)*DV53*AE53,"")</f>
        <v>0</v>
      </c>
      <c r="CB53" s="41">
        <f ca="1">IFERROR(SUMIFS('TRA balance'!AC$5:AC$40,'TRA balance'!$C$5:$C$40,Assumptions!$C53,'TRA balance'!$D$5:$D$40,Assumptions!$B53)*DW53*AF53,"")</f>
        <v>262.724425774272</v>
      </c>
      <c r="CC53" s="41">
        <f ca="1">IFERROR(SUMIFS('TRA balance'!AD$5:AD$40,'TRA balance'!$C$5:$C$40,Assumptions!$C53,'TRA balance'!$D$5:$D$40,Assumptions!$B53)*DX53*AG53,"")</f>
        <v>4.98714533856</v>
      </c>
      <c r="CD53" s="41">
        <f ca="1">IFERROR(SUMIFS('TRA balance'!AE$5:AE$40,'TRA balance'!$C$5:$C$40,Assumptions!$C53,'TRA balance'!$D$5:$D$40,Assumptions!$B53)*DY53*AH53,"")</f>
        <v>0</v>
      </c>
      <c r="CE53" s="41">
        <f ca="1">IFERROR(SUMIFS('TRA balance'!AF$5:AF$40,'TRA balance'!$C$5:$C$40,Assumptions!$C53,'TRA balance'!$D$5:$D$40,Assumptions!$B53)*DZ53*AI53,"")</f>
        <v>0.00091638585</v>
      </c>
      <c r="CF53" s="41">
        <f ca="1">IFERROR(SUMIFS('TRA balance'!AG$5:AG$40,'TRA balance'!$C$5:$C$40,Assumptions!$C53,'TRA balance'!$D$5:$D$40,Assumptions!$B53)*EA53*AJ53,"")</f>
        <v>5.56424191818</v>
      </c>
      <c r="CG53" s="41">
        <f ca="1">IFERROR(SUMIFS('TRA balance'!AH$5:AH$40,'TRA balance'!$C$5:$C$40,Assumptions!$C53,'TRA balance'!$D$5:$D$40,Assumptions!$B53)*EB53*AK53,"")</f>
        <v>3.31041297424147</v>
      </c>
      <c r="CH53" s="41">
        <f ca="1">IFERROR(SUMIFS('TRA balance'!AI$5:AI$40,'TRA balance'!$C$5:$C$40,Assumptions!$C53,'TRA balance'!$D$5:$D$40,Assumptions!$B53)*EC53*AL53,"")</f>
        <v>0.366480116744544</v>
      </c>
      <c r="CI53" s="41">
        <f ca="1">IFERROR(SUMIFS('TRA balance'!AJ$5:AJ$40,'TRA balance'!$C$5:$C$40,Assumptions!$C53,'TRA balance'!$D$5:$D$40,Assumptions!$B53)*ED53*AM53,"")</f>
        <v>2.09790276238858</v>
      </c>
      <c r="CJ53" s="41">
        <f ca="1">IFERROR(SUMIFS('TRA balance'!AK$5:AK$40,'TRA balance'!$C$5:$C$40,Assumptions!$C53,'TRA balance'!$D$5:$D$40,Assumptions!$B53)*EE53*AN53,"")</f>
        <v>0.357453862283232</v>
      </c>
      <c r="CK53" s="41">
        <f ca="1">IFERROR(SUMIFS('TRA balance'!AL$5:AL$40,'TRA balance'!$C$5:$C$40,Assumptions!$C53,'TRA balance'!$D$5:$D$40,Assumptions!$B53)*EF53*AO53,"")</f>
        <v>0.753479639136</v>
      </c>
      <c r="CL53" s="41">
        <f ca="1">IFERROR(SUMIFS('TRA balance'!AM$5:AM$40,'TRA balance'!$C$5:$C$40,Assumptions!$C53,'TRA balance'!$D$5:$D$40,Assumptions!$B53)*EG53*AP53,"")</f>
        <v>0</v>
      </c>
      <c r="CM53" s="41">
        <f ca="1">IFERROR(SUMIFS('TRA balance'!AN$5:AN$40,'TRA balance'!$C$5:$C$40,Assumptions!$C53,'TRA balance'!$D$5:$D$40,Assumptions!$B53)*EH53*AQ53,"")</f>
        <v>0</v>
      </c>
      <c r="CN53" s="41">
        <f ca="1">IFERROR(SUMIFS('TRA balance'!AO$5:AO$40,'TRA balance'!$C$5:$C$40,Assumptions!$C53,'TRA balance'!$D$5:$D$40,Assumptions!$B53)*EI53*AR53,"")</f>
        <v>0</v>
      </c>
      <c r="CO53" s="41">
        <f ca="1">IFERROR(SUMIFS('TRA balance'!AP$5:AP$40,'TRA balance'!$C$5:$C$40,Assumptions!$C53,'TRA balance'!$D$5:$D$40,Assumptions!$B53)*EJ53*AS53,"")</f>
        <v>0</v>
      </c>
      <c r="CP53" s="41">
        <f ca="1">IFERROR(SUMIFS('TRA balance'!AQ$5:AQ$40,'TRA balance'!$C$5:$C$40,Assumptions!$C53,'TRA balance'!$D$5:$D$40,Assumptions!$B53)*EK53*AT53,"")</f>
        <v>0</v>
      </c>
      <c r="CQ53" s="41">
        <f ca="1">IFERROR(SUMIFS('TRA balance'!AR$5:AR$40,'TRA balance'!$C$5:$C$40,Assumptions!$C53,'TRA balance'!$D$5:$D$40,Assumptions!$B53)*EL53*AU53,"")</f>
        <v>0</v>
      </c>
      <c r="CR53" s="41">
        <f ca="1">IFERROR(SUMIFS('TRA balance'!AS$5:AS$40,'TRA balance'!$C$5:$C$40,Assumptions!$C53,'TRA balance'!$D$5:$D$40,Assumptions!$B53)*EM53*AV53,"")</f>
        <v>0</v>
      </c>
      <c r="CS53" s="41">
        <f ca="1">IFERROR(SUMIFS('TRA balance'!AT$5:AT$40,'TRA balance'!$C$5:$C$40,Assumptions!$C53,'TRA balance'!$D$5:$D$40,Assumptions!$B53)*EN53*AW53,"")</f>
        <v>0</v>
      </c>
      <c r="CT53" s="41">
        <f ca="1">IFERROR(SUMIFS('TRA balance'!AU$5:AU$40,'TRA balance'!$C$5:$C$40,Assumptions!$C53,'TRA balance'!$D$5:$D$40,Assumptions!$B53)*EO53*AX53,"")</f>
        <v>0</v>
      </c>
      <c r="CU53" s="41">
        <f ca="1">IFERROR(SUMIFS('TRA balance'!AV$5:AV$40,'TRA balance'!$C$5:$C$40,Assumptions!$C53,'TRA balance'!$D$5:$D$40,Assumptions!$B53)*EP53*AY53,"")</f>
        <v>0</v>
      </c>
      <c r="CV53" s="41">
        <f ca="1">IFERROR(SUMIFS('TRA balance'!AW$5:AW$40,'TRA balance'!$C$5:$C$40,Assumptions!$C53,'TRA balance'!$D$5:$D$40,Assumptions!$B53)*EQ53*AZ53,"")</f>
        <v>0</v>
      </c>
      <c r="CW53" s="41">
        <f ca="1">IFERROR(SUMIFS('TRA balance'!AX$5:AX$40,'TRA balance'!$C$5:$C$40,Assumptions!$C53,'TRA balance'!$D$5:$D$40,Assumptions!$B53)*ER53*BA53,"")</f>
        <v>0</v>
      </c>
      <c r="CY53" s="40">
        <f ca="1" t="shared" si="66"/>
        <v>0.25</v>
      </c>
      <c r="CZ53" s="40">
        <f ca="1" t="shared" si="3"/>
        <v>0.25</v>
      </c>
      <c r="DA53" s="40">
        <f ca="1" t="shared" si="4"/>
        <v>0.25</v>
      </c>
      <c r="DB53" s="40">
        <f ca="1" t="shared" si="5"/>
        <v>0.682</v>
      </c>
      <c r="DC53" s="40">
        <f ca="1" t="shared" si="6"/>
        <v>0.7</v>
      </c>
      <c r="DD53" s="40">
        <f ca="1" t="shared" si="7"/>
        <v>0.682</v>
      </c>
      <c r="DE53" s="40">
        <f ca="1" t="shared" si="8"/>
        <v>0.5</v>
      </c>
      <c r="DF53" s="40">
        <f ca="1" t="shared" si="9"/>
        <v>0.4</v>
      </c>
      <c r="DG53" s="40">
        <f ca="1" t="shared" si="10"/>
        <v>0</v>
      </c>
      <c r="DH53" s="40">
        <f ca="1" t="shared" si="11"/>
        <v>0</v>
      </c>
      <c r="DI53" s="40">
        <f ca="1" t="shared" si="12"/>
        <v>0.682</v>
      </c>
      <c r="DJ53" s="40">
        <f ca="1" t="shared" si="13"/>
        <v>0.682</v>
      </c>
      <c r="DK53" s="40">
        <f ca="1" t="shared" si="14"/>
        <v>0.682</v>
      </c>
      <c r="DL53" s="40">
        <f ca="1" t="shared" si="15"/>
        <v>0</v>
      </c>
      <c r="DM53" s="40">
        <f ca="1" t="shared" si="16"/>
        <v>0.682</v>
      </c>
      <c r="DN53" s="40">
        <f ca="1" t="shared" si="17"/>
        <v>0.25</v>
      </c>
      <c r="DO53" s="40">
        <f ca="1" t="shared" si="18"/>
        <v>0.682</v>
      </c>
      <c r="DP53" s="40">
        <f ca="1" t="shared" si="19"/>
        <v>0.682</v>
      </c>
      <c r="DQ53" s="40">
        <f ca="1" t="shared" si="20"/>
        <v>0.95</v>
      </c>
      <c r="DR53" s="40">
        <f ca="1" t="shared" si="21"/>
        <v>0.5</v>
      </c>
      <c r="DS53" s="40">
        <f ca="1" t="shared" si="22"/>
        <v>0.682</v>
      </c>
      <c r="DT53" s="40">
        <f ca="1" t="shared" si="23"/>
        <v>0.97916979455979</v>
      </c>
      <c r="DU53" s="40">
        <f ca="1" t="shared" si="24"/>
        <v>0.682</v>
      </c>
      <c r="DV53" s="40">
        <f ca="1" t="shared" si="25"/>
        <v>0</v>
      </c>
      <c r="DW53" s="40">
        <f ca="1" t="shared" si="26"/>
        <v>0.9</v>
      </c>
      <c r="DX53" s="40">
        <f ca="1" t="shared" si="27"/>
        <v>0.7</v>
      </c>
      <c r="DY53" s="40">
        <f ca="1" t="shared" si="28"/>
        <v>0.682</v>
      </c>
      <c r="DZ53" s="40">
        <f ca="1" t="shared" si="29"/>
        <v>0.25</v>
      </c>
      <c r="EA53" s="40">
        <f ca="1" t="shared" si="30"/>
        <v>0.682</v>
      </c>
      <c r="EB53" s="40">
        <f ca="1" t="shared" si="31"/>
        <v>0.682</v>
      </c>
      <c r="EC53" s="40">
        <f ca="1" t="shared" si="32"/>
        <v>0.682</v>
      </c>
      <c r="ED53" s="40">
        <f ca="1" t="shared" si="33"/>
        <v>0.682</v>
      </c>
      <c r="EE53" s="40">
        <f ca="1" t="shared" si="34"/>
        <v>0.682</v>
      </c>
      <c r="EF53" s="40">
        <f ca="1" t="shared" si="35"/>
        <v>0.7</v>
      </c>
      <c r="EG53" s="40">
        <f ca="1" t="shared" si="36"/>
        <v>0</v>
      </c>
      <c r="EH53" s="40">
        <f ca="1" t="shared" si="37"/>
        <v>0.97916979455979</v>
      </c>
      <c r="EI53" s="40">
        <f ca="1" t="shared" si="38"/>
        <v>0.97916979455979</v>
      </c>
      <c r="EJ53" s="40">
        <f ca="1" t="shared" si="39"/>
        <v>0.97916979455979</v>
      </c>
      <c r="EK53" s="40">
        <f ca="1" t="shared" si="40"/>
        <v>0.97916979455979</v>
      </c>
      <c r="EL53" s="40">
        <f ca="1" t="shared" si="41"/>
        <v>0.97916979455979</v>
      </c>
      <c r="EM53" s="40">
        <f ca="1" t="shared" si="42"/>
        <v>0.97916979455979</v>
      </c>
      <c r="EN53" s="40">
        <f ca="1" t="shared" si="43"/>
        <v>0.97916979455979</v>
      </c>
      <c r="EO53" s="40">
        <f ca="1" t="shared" si="44"/>
        <v>0.97916979455979</v>
      </c>
      <c r="EP53" s="40">
        <f ca="1" t="shared" si="45"/>
        <v>0.97916979455979</v>
      </c>
      <c r="EQ53" s="40">
        <f ca="1" t="shared" si="46"/>
        <v>0.97916979455979</v>
      </c>
      <c r="ER53" s="40">
        <f ca="1" t="shared" si="47"/>
        <v>0.97916979455979</v>
      </c>
    </row>
    <row r="54" spans="1:148">
      <c r="A54">
        <v>1</v>
      </c>
      <c r="B54" t="str">
        <f>VLOOKUP(F54,'TRA balance'!$BA$5:$BB$14,2,FALSE)</f>
        <v>TRANGA</v>
      </c>
      <c r="C54" s="56" t="str">
        <f t="shared" si="48"/>
        <v>TR</v>
      </c>
      <c r="D54" s="57" t="s">
        <v>200</v>
      </c>
      <c r="E54" s="68" t="s">
        <v>204</v>
      </c>
      <c r="F54" s="58" t="str">
        <f t="shared" ref="F54:F57" si="78">F53</f>
        <v>Natural Gas</v>
      </c>
      <c r="G54" s="56" t="s">
        <v>205</v>
      </c>
      <c r="H54" s="59">
        <f ca="1">OFFSET(TIAM15_assumptions!$G54,0,MATCH(VLOOKUP(Assumptions!H$2,TIAM15_assumptions!$Y$3:$Z$87,2,FALSE),TIAM15_assumptions!$H$2:$V$2,0))</f>
        <v>0.5</v>
      </c>
      <c r="I54" s="59">
        <f ca="1">OFFSET(TIAM15_assumptions!$G54,0,MATCH(VLOOKUP(Assumptions!I$2,TIAM15_assumptions!$Y$3:$Z$87,2,FALSE),TIAM15_assumptions!$H$2:$V$2,0))</f>
        <v>0.5</v>
      </c>
      <c r="J54" s="59">
        <f ca="1">OFFSET(TIAM15_assumptions!$G54,0,MATCH(VLOOKUP(Assumptions!J$2,TIAM15_assumptions!$Y$3:$Z$87,2,FALSE),TIAM15_assumptions!$H$2:$V$2,0))</f>
        <v>0.5</v>
      </c>
      <c r="K54" s="59">
        <f ca="1">OFFSET(TIAM15_assumptions!$G54,0,MATCH(VLOOKUP(Assumptions!K$2,TIAM15_assumptions!$Y$3:$Z$87,2,FALSE),TIAM15_assumptions!$H$2:$V$2,0))</f>
        <v>0.08</v>
      </c>
      <c r="L54" s="59">
        <f ca="1">OFFSET(TIAM15_assumptions!$G54,0,MATCH(VLOOKUP(Assumptions!L$2,TIAM15_assumptions!$Y$3:$Z$87,2,FALSE),TIAM15_assumptions!$H$2:$V$2,0))</f>
        <v>0.2</v>
      </c>
      <c r="M54" s="59">
        <f ca="1">OFFSET(TIAM15_assumptions!$G54,0,MATCH(VLOOKUP(Assumptions!M$2,TIAM15_assumptions!$Y$3:$Z$87,2,FALSE),TIAM15_assumptions!$H$2:$V$2,0))</f>
        <v>0.08</v>
      </c>
      <c r="N54" s="59">
        <f ca="1">OFFSET(TIAM15_assumptions!$G54,0,MATCH(VLOOKUP(Assumptions!N$2,TIAM15_assumptions!$Y$3:$Z$87,2,FALSE),TIAM15_assumptions!$H$2:$V$2,0))</f>
        <v>0.4</v>
      </c>
      <c r="O54" s="59">
        <f ca="1">OFFSET(TIAM15_assumptions!$G54,0,MATCH(VLOOKUP(Assumptions!O$2,TIAM15_assumptions!$Y$3:$Z$87,2,FALSE),TIAM15_assumptions!$H$2:$V$2,0))</f>
        <v>0.33</v>
      </c>
      <c r="P54" s="59">
        <f ca="1">OFFSET(TIAM15_assumptions!$G54,0,MATCH(VLOOKUP(Assumptions!P$2,TIAM15_assumptions!$Y$3:$Z$87,2,FALSE),TIAM15_assumptions!$H$2:$V$2,0))</f>
        <v>0.08</v>
      </c>
      <c r="Q54" s="59">
        <f ca="1">OFFSET(TIAM15_assumptions!$G54,0,MATCH(VLOOKUP(Assumptions!Q$2,TIAM15_assumptions!$Y$3:$Z$87,2,FALSE),TIAM15_assumptions!$H$2:$V$2,0))</f>
        <v>0.08</v>
      </c>
      <c r="R54" s="59">
        <f ca="1">OFFSET(TIAM15_assumptions!$G54,0,MATCH(VLOOKUP(Assumptions!R$2,TIAM15_assumptions!$Y$3:$Z$87,2,FALSE),TIAM15_assumptions!$H$2:$V$2,0))</f>
        <v>0.08</v>
      </c>
      <c r="S54" s="59">
        <f ca="1">OFFSET(TIAM15_assumptions!$G54,0,MATCH(VLOOKUP(Assumptions!S$2,TIAM15_assumptions!$Y$3:$Z$87,2,FALSE),TIAM15_assumptions!$H$2:$V$2,0))</f>
        <v>0.08</v>
      </c>
      <c r="T54" s="59">
        <f ca="1">OFFSET(TIAM15_assumptions!$G54,0,MATCH(VLOOKUP(Assumptions!T$2,TIAM15_assumptions!$Y$3:$Z$87,2,FALSE),TIAM15_assumptions!$H$2:$V$2,0))</f>
        <v>0.08</v>
      </c>
      <c r="U54" s="59">
        <f ca="1">OFFSET(TIAM15_assumptions!$G54,0,MATCH(VLOOKUP(Assumptions!U$2,TIAM15_assumptions!$Y$3:$Z$87,2,FALSE),TIAM15_assumptions!$H$2:$V$2,0))</f>
        <v>0.08</v>
      </c>
      <c r="V54" s="59">
        <f ca="1">OFFSET(TIAM15_assumptions!$G54,0,MATCH(VLOOKUP(Assumptions!V$2,TIAM15_assumptions!$Y$3:$Z$87,2,FALSE),TIAM15_assumptions!$H$2:$V$2,0))</f>
        <v>0.08</v>
      </c>
      <c r="W54" s="59">
        <f ca="1">OFFSET(TIAM15_assumptions!$G54,0,MATCH(VLOOKUP(Assumptions!W$2,TIAM15_assumptions!$Y$3:$Z$87,2,FALSE),TIAM15_assumptions!$H$2:$V$2,0))</f>
        <v>0.5</v>
      </c>
      <c r="X54" s="59">
        <f ca="1">OFFSET(TIAM15_assumptions!$G54,0,MATCH(VLOOKUP(Assumptions!X$2,TIAM15_assumptions!$Y$3:$Z$87,2,FALSE),TIAM15_assumptions!$H$2:$V$2,0))</f>
        <v>0.08</v>
      </c>
      <c r="Y54" s="59">
        <f ca="1">OFFSET(TIAM15_assumptions!$G54,0,MATCH(VLOOKUP(Assumptions!Y$2,TIAM15_assumptions!$Y$3:$Z$87,2,FALSE),TIAM15_assumptions!$H$2:$V$2,0))</f>
        <v>0.08</v>
      </c>
      <c r="Z54" s="59">
        <f ca="1">OFFSET(TIAM15_assumptions!$G54,0,MATCH(VLOOKUP(Assumptions!Z$2,TIAM15_assumptions!$Y$3:$Z$87,2,FALSE),TIAM15_assumptions!$H$2:$V$2,0))</f>
        <v>0.2</v>
      </c>
      <c r="AA54" s="59">
        <f ca="1">OFFSET(TIAM15_assumptions!$G54,0,MATCH(VLOOKUP(Assumptions!AA$2,TIAM15_assumptions!$Y$3:$Z$87,2,FALSE),TIAM15_assumptions!$H$2:$V$2,0))</f>
        <v>0.4</v>
      </c>
      <c r="AB54" s="59">
        <f ca="1">OFFSET(TIAM15_assumptions!$G54,0,MATCH(VLOOKUP(Assumptions!AB$2,TIAM15_assumptions!$Y$3:$Z$87,2,FALSE),TIAM15_assumptions!$H$2:$V$2,0))</f>
        <v>0.08</v>
      </c>
      <c r="AC54" s="59">
        <f ca="1">OFFSET(TIAM15_assumptions!$G54,0,MATCH(VLOOKUP(Assumptions!AC$2,TIAM15_assumptions!$Y$3:$Z$87,2,FALSE),TIAM15_assumptions!$H$2:$V$2,0))</f>
        <v>0.476302725467955</v>
      </c>
      <c r="AD54" s="59">
        <f ca="1">OFFSET(TIAM15_assumptions!$G54,0,MATCH(VLOOKUP(Assumptions!AD$2,TIAM15_assumptions!$Y$3:$Z$87,2,FALSE),TIAM15_assumptions!$H$2:$V$2,0))</f>
        <v>0.08</v>
      </c>
      <c r="AE54" s="59">
        <f ca="1">OFFSET(TIAM15_assumptions!$G54,0,MATCH(VLOOKUP(Assumptions!AE$2,TIAM15_assumptions!$Y$3:$Z$87,2,FALSE),TIAM15_assumptions!$H$2:$V$2,0))</f>
        <v>0.08</v>
      </c>
      <c r="AF54" s="59">
        <f ca="1">OFFSET(TIAM15_assumptions!$G54,0,MATCH(VLOOKUP(Assumptions!AF$2,TIAM15_assumptions!$Y$3:$Z$87,2,FALSE),TIAM15_assumptions!$H$2:$V$2,0))</f>
        <v>0.2</v>
      </c>
      <c r="AG54" s="59">
        <f ca="1">OFFSET(TIAM15_assumptions!$G54,0,MATCH(VLOOKUP(Assumptions!AG$2,TIAM15_assumptions!$Y$3:$Z$87,2,FALSE),TIAM15_assumptions!$H$2:$V$2,0))</f>
        <v>0.2</v>
      </c>
      <c r="AH54" s="59">
        <f ca="1">OFFSET(TIAM15_assumptions!$G54,0,MATCH(VLOOKUP(Assumptions!AH$2,TIAM15_assumptions!$Y$3:$Z$87,2,FALSE),TIAM15_assumptions!$H$2:$V$2,0))</f>
        <v>0.08</v>
      </c>
      <c r="AI54" s="59">
        <f ca="1">OFFSET(TIAM15_assumptions!$G54,0,MATCH(VLOOKUP(Assumptions!AI$2,TIAM15_assumptions!$Y$3:$Z$87,2,FALSE),TIAM15_assumptions!$H$2:$V$2,0))</f>
        <v>0.5</v>
      </c>
      <c r="AJ54" s="59">
        <f ca="1">OFFSET(TIAM15_assumptions!$G54,0,MATCH(VLOOKUP(Assumptions!AJ$2,TIAM15_assumptions!$Y$3:$Z$87,2,FALSE),TIAM15_assumptions!$H$2:$V$2,0))</f>
        <v>0.08</v>
      </c>
      <c r="AK54" s="59">
        <f ca="1">OFFSET(TIAM15_assumptions!$G54,0,MATCH(VLOOKUP(Assumptions!AK$2,TIAM15_assumptions!$Y$3:$Z$87,2,FALSE),TIAM15_assumptions!$H$2:$V$2,0))</f>
        <v>0.08</v>
      </c>
      <c r="AL54" s="59">
        <f ca="1">OFFSET(TIAM15_assumptions!$G54,0,MATCH(VLOOKUP(Assumptions!AL$2,TIAM15_assumptions!$Y$3:$Z$87,2,FALSE),TIAM15_assumptions!$H$2:$V$2,0))</f>
        <v>0.08</v>
      </c>
      <c r="AM54" s="59">
        <f ca="1">OFFSET(TIAM15_assumptions!$G54,0,MATCH(VLOOKUP(Assumptions!AM$2,TIAM15_assumptions!$Y$3:$Z$87,2,FALSE),TIAM15_assumptions!$H$2:$V$2,0))</f>
        <v>0.08</v>
      </c>
      <c r="AN54" s="59">
        <f ca="1">OFFSET(TIAM15_assumptions!$G54,0,MATCH(VLOOKUP(Assumptions!AN$2,TIAM15_assumptions!$Y$3:$Z$87,2,FALSE),TIAM15_assumptions!$H$2:$V$2,0))</f>
        <v>0.08</v>
      </c>
      <c r="AO54" s="59">
        <f ca="1">OFFSET(TIAM15_assumptions!$G54,0,MATCH(VLOOKUP(Assumptions!AO$2,TIAM15_assumptions!$Y$3:$Z$87,2,FALSE),TIAM15_assumptions!$H$2:$V$2,0))</f>
        <v>0.2</v>
      </c>
      <c r="AP54" s="59">
        <f ca="1">OFFSET(TIAM15_assumptions!$G54,0,MATCH(VLOOKUP(Assumptions!AP$2,TIAM15_assumptions!$Y$3:$Z$87,2,FALSE),TIAM15_assumptions!$H$2:$V$2,0))</f>
        <v>0.08</v>
      </c>
      <c r="AQ54" s="59">
        <f ca="1">OFFSET(TIAM15_assumptions!$G54,0,MATCH(VLOOKUP(Assumptions!AQ$2,TIAM15_assumptions!$Y$3:$Z$87,2,FALSE),TIAM15_assumptions!$H$2:$V$2,0))</f>
        <v>0.476302725467955</v>
      </c>
      <c r="AR54" s="59">
        <f ca="1">OFFSET(TIAM15_assumptions!$G54,0,MATCH(VLOOKUP(Assumptions!AR$2,TIAM15_assumptions!$Y$3:$Z$87,2,FALSE),TIAM15_assumptions!$H$2:$V$2,0))</f>
        <v>0.476302725467955</v>
      </c>
      <c r="AS54" s="59">
        <f ca="1">OFFSET(TIAM15_assumptions!$G54,0,MATCH(VLOOKUP(Assumptions!AS$2,TIAM15_assumptions!$Y$3:$Z$87,2,FALSE),TIAM15_assumptions!$H$2:$V$2,0))</f>
        <v>0.476302725467955</v>
      </c>
      <c r="AT54" s="59">
        <f ca="1">OFFSET(TIAM15_assumptions!$G54,0,MATCH(VLOOKUP(Assumptions!AT$2,TIAM15_assumptions!$Y$3:$Z$87,2,FALSE),TIAM15_assumptions!$H$2:$V$2,0))</f>
        <v>0.476302725467955</v>
      </c>
      <c r="AU54" s="59">
        <f ca="1">OFFSET(TIAM15_assumptions!$G54,0,MATCH(VLOOKUP(Assumptions!AU$2,TIAM15_assumptions!$Y$3:$Z$87,2,FALSE),TIAM15_assumptions!$H$2:$V$2,0))</f>
        <v>0.476302725467955</v>
      </c>
      <c r="AV54" s="59">
        <f ca="1">OFFSET(TIAM15_assumptions!$G54,0,MATCH(VLOOKUP(Assumptions!AV$2,TIAM15_assumptions!$Y$3:$Z$87,2,FALSE),TIAM15_assumptions!$H$2:$V$2,0))</f>
        <v>0.476302725467955</v>
      </c>
      <c r="AW54" s="59">
        <f ca="1">OFFSET(TIAM15_assumptions!$G54,0,MATCH(VLOOKUP(Assumptions!AW$2,TIAM15_assumptions!$Y$3:$Z$87,2,FALSE),TIAM15_assumptions!$H$2:$V$2,0))</f>
        <v>0.476302725467955</v>
      </c>
      <c r="AX54" s="59">
        <f ca="1">OFFSET(TIAM15_assumptions!$G54,0,MATCH(VLOOKUP(Assumptions!AX$2,TIAM15_assumptions!$Y$3:$Z$87,2,FALSE),TIAM15_assumptions!$H$2:$V$2,0))</f>
        <v>0.476302725467955</v>
      </c>
      <c r="AY54" s="59">
        <f ca="1">OFFSET(TIAM15_assumptions!$G54,0,MATCH(VLOOKUP(Assumptions!AY$2,TIAM15_assumptions!$Y$3:$Z$87,2,FALSE),TIAM15_assumptions!$H$2:$V$2,0))</f>
        <v>0.476302725467955</v>
      </c>
      <c r="AZ54" s="59">
        <f ca="1">OFFSET(TIAM15_assumptions!$G54,0,MATCH(VLOOKUP(Assumptions!AZ$2,TIAM15_assumptions!$Y$3:$Z$87,2,FALSE),TIAM15_assumptions!$H$2:$V$2,0))</f>
        <v>0.476302725467955</v>
      </c>
      <c r="BA54" s="59">
        <f ca="1">OFFSET(TIAM15_assumptions!$G54,0,MATCH(VLOOKUP(Assumptions!BA$2,TIAM15_assumptions!$Y$3:$Z$87,2,FALSE),TIAM15_assumptions!$H$2:$V$2,0))</f>
        <v>0.476302725467955</v>
      </c>
      <c r="BD54" s="41">
        <f ca="1">IFERROR(SUMIFS('TRA balance'!E$5:E$40,'TRA balance'!$C$5:$C$40,Assumptions!$C54,'TRA balance'!$D$5:$D$40,Assumptions!$B54)*CY54*H54,"")</f>
        <v>2.54350664415</v>
      </c>
      <c r="BE54" s="41">
        <f ca="1">IFERROR(SUMIFS('TRA balance'!F$5:F$40,'TRA balance'!$C$5:$C$40,Assumptions!$C54,'TRA balance'!$D$5:$D$40,Assumptions!$B54)*CZ54*I54,"")</f>
        <v>0.00933604065</v>
      </c>
      <c r="BF54" s="41">
        <f ca="1">IFERROR(SUMIFS('TRA balance'!G$5:G$40,'TRA balance'!$C$5:$C$40,Assumptions!$C54,'TRA balance'!$D$5:$D$40,Assumptions!$B54)*DA54*J54,"")</f>
        <v>0.3904316604</v>
      </c>
      <c r="BG54" s="41">
        <f ca="1">IFERROR(SUMIFS('TRA balance'!H$5:H$40,'TRA balance'!$C$5:$C$40,Assumptions!$C54,'TRA balance'!$D$5:$D$40,Assumptions!$B54)*DB54*K54,"")</f>
        <v>0.042774312911616</v>
      </c>
      <c r="BH54" s="41">
        <f ca="1">IFERROR(SUMIFS('TRA balance'!I$5:I$40,'TRA balance'!$C$5:$C$40,Assumptions!$C54,'TRA balance'!$D$5:$D$40,Assumptions!$B54)*DC54*L54,"")</f>
        <v>0.112595109984</v>
      </c>
      <c r="BI54" s="41">
        <f ca="1">IFERROR(SUMIFS('TRA balance'!J$5:J$40,'TRA balance'!$C$5:$C$40,Assumptions!$C54,'TRA balance'!$D$5:$D$40,Assumptions!$B54)*DD54*M54,"")</f>
        <v>0.2093406196464</v>
      </c>
      <c r="BJ54" s="41">
        <f ca="1">IFERROR(SUMIFS('TRA balance'!K$5:K$40,'TRA balance'!$C$5:$C$40,Assumptions!$C54,'TRA balance'!$D$5:$D$40,Assumptions!$B54)*DE54*N54,"")</f>
        <v>16.83461368512</v>
      </c>
      <c r="BK54" s="41">
        <f ca="1">IFERROR(SUMIFS('TRA balance'!L$5:L$40,'TRA balance'!$C$5:$C$40,Assumptions!$C54,'TRA balance'!$D$5:$D$40,Assumptions!$B54)*DF54*O54,"")</f>
        <v>135.740923473197</v>
      </c>
      <c r="BL54" s="41">
        <f ca="1">IFERROR(SUMIFS('TRA balance'!M$5:M$40,'TRA balance'!$C$5:$C$40,Assumptions!$C54,'TRA balance'!$D$5:$D$40,Assumptions!$B54)*DG54*P54,"")</f>
        <v>0</v>
      </c>
      <c r="BM54" s="41">
        <f ca="1">IFERROR(SUMIFS('TRA balance'!N$5:N$40,'TRA balance'!$C$5:$C$40,Assumptions!$C54,'TRA balance'!$D$5:$D$40,Assumptions!$B54)*DH54*Q54,"")</f>
        <v>0</v>
      </c>
      <c r="BN54" s="41">
        <f ca="1">IFERROR(SUMIFS('TRA balance'!O$5:O$40,'TRA balance'!$C$5:$C$40,Assumptions!$C54,'TRA balance'!$D$5:$D$40,Assumptions!$B54)*DI54*R54,"")</f>
        <v>0.37166654672928</v>
      </c>
      <c r="BO54" s="41">
        <f ca="1">IFERROR(SUMIFS('TRA balance'!P$5:P$40,'TRA balance'!$C$5:$C$40,Assumptions!$C54,'TRA balance'!$D$5:$D$40,Assumptions!$B54)*DJ54*S54,"")</f>
        <v>0.454842222931008</v>
      </c>
      <c r="BP54" s="41">
        <f ca="1">IFERROR(SUMIFS('TRA balance'!Q$5:Q$40,'TRA balance'!$C$5:$C$40,Assumptions!$C54,'TRA balance'!$D$5:$D$40,Assumptions!$B54)*DK54*T54,"")</f>
        <v>0.04086873476928</v>
      </c>
      <c r="BQ54" s="41">
        <f ca="1">IFERROR(SUMIFS('TRA balance'!R$5:R$40,'TRA balance'!$C$5:$C$40,Assumptions!$C54,'TRA balance'!$D$5:$D$40,Assumptions!$B54)*DL54*U54,"")</f>
        <v>0</v>
      </c>
      <c r="BR54" s="41">
        <f ca="1">IFERROR(SUMIFS('TRA balance'!S$5:S$40,'TRA balance'!$C$5:$C$40,Assumptions!$C54,'TRA balance'!$D$5:$D$40,Assumptions!$B54)*DM54*V54,"")</f>
        <v>0.00406151754624</v>
      </c>
      <c r="BS54" s="41">
        <f ca="1">IFERROR(SUMIFS('TRA balance'!T$5:T$40,'TRA balance'!$C$5:$C$40,Assumptions!$C54,'TRA balance'!$D$5:$D$40,Assumptions!$B54)*DN54*W54,"")</f>
        <v>15.4225927764</v>
      </c>
      <c r="BT54" s="41">
        <f ca="1">IFERROR(SUMIFS('TRA balance'!U$5:U$40,'TRA balance'!$C$5:$C$40,Assumptions!$C54,'TRA balance'!$D$5:$D$40,Assumptions!$B54)*DO54*X54,"")</f>
        <v>0</v>
      </c>
      <c r="BU54" s="41">
        <f ca="1">IFERROR(SUMIFS('TRA balance'!V$5:V$40,'TRA balance'!$C$5:$C$40,Assumptions!$C54,'TRA balance'!$D$5:$D$40,Assumptions!$B54)*DP54*Y54,"")</f>
        <v>2.19270527496979</v>
      </c>
      <c r="BV54" s="41">
        <f ca="1">IFERROR(SUMIFS('TRA balance'!W$5:W$40,'TRA balance'!$C$5:$C$40,Assumptions!$C54,'TRA balance'!$D$5:$D$40,Assumptions!$B54)*DQ54*Z54,"")</f>
        <v>0.265811265324</v>
      </c>
      <c r="BW54" s="41">
        <f ca="1">IFERROR(SUMIFS('TRA balance'!X$5:X$40,'TRA balance'!$C$5:$C$40,Assumptions!$C54,'TRA balance'!$D$5:$D$40,Assumptions!$B54)*DR54*AA54,"")</f>
        <v>32.37639209712</v>
      </c>
      <c r="BX54" s="41">
        <f ca="1">IFERROR(SUMIFS('TRA balance'!Y$5:Y$40,'TRA balance'!$C$5:$C$40,Assumptions!$C54,'TRA balance'!$D$5:$D$40,Assumptions!$B54)*DS54*AB54,"")</f>
        <v>15.2464162724945</v>
      </c>
      <c r="BY54" s="41">
        <f ca="1">IFERROR(SUMIFS('TRA balance'!Z$5:Z$40,'TRA balance'!$C$5:$C$40,Assumptions!$C54,'TRA balance'!$D$5:$D$40,Assumptions!$B54)*DT54*AC54,"")</f>
        <v>25.3470951223743</v>
      </c>
      <c r="BZ54" s="41">
        <f ca="1">IFERROR(SUMIFS('TRA balance'!AA$5:AA$40,'TRA balance'!$C$5:$C$40,Assumptions!$C54,'TRA balance'!$D$5:$D$40,Assumptions!$B54)*DU54*AD54,"")</f>
        <v>0.129297657259584</v>
      </c>
      <c r="CA54" s="41">
        <f ca="1">IFERROR(SUMIFS('TRA balance'!AB$5:AB$40,'TRA balance'!$C$5:$C$40,Assumptions!$C54,'TRA balance'!$D$5:$D$40,Assumptions!$B54)*DV54*AE54,"")</f>
        <v>0</v>
      </c>
      <c r="CB54" s="41">
        <f ca="1">IFERROR(SUMIFS('TRA balance'!AC$5:AC$40,'TRA balance'!$C$5:$C$40,Assumptions!$C54,'TRA balance'!$D$5:$D$40,Assumptions!$B54)*DW54*AF54,"")</f>
        <v>65.681106443568</v>
      </c>
      <c r="CC54" s="41">
        <f ca="1">IFERROR(SUMIFS('TRA balance'!AD$5:AD$40,'TRA balance'!$C$5:$C$40,Assumptions!$C54,'TRA balance'!$D$5:$D$40,Assumptions!$B54)*DX54*AG54,"")</f>
        <v>1.24678633464</v>
      </c>
      <c r="CD54" s="41">
        <f ca="1">IFERROR(SUMIFS('TRA balance'!AE$5:AE$40,'TRA balance'!$C$5:$C$40,Assumptions!$C54,'TRA balance'!$D$5:$D$40,Assumptions!$B54)*DY54*AH54,"")</f>
        <v>0</v>
      </c>
      <c r="CE54" s="41">
        <f ca="1">IFERROR(SUMIFS('TRA balance'!AF$5:AF$40,'TRA balance'!$C$5:$C$40,Assumptions!$C54,'TRA balance'!$D$5:$D$40,Assumptions!$B54)*DZ54*AI54,"")</f>
        <v>0.00091638585</v>
      </c>
      <c r="CF54" s="41">
        <f ca="1">IFERROR(SUMIFS('TRA balance'!AG$5:AG$40,'TRA balance'!$C$5:$C$40,Assumptions!$C54,'TRA balance'!$D$5:$D$40,Assumptions!$B54)*EA54*AJ54,"")</f>
        <v>0.48384712332</v>
      </c>
      <c r="CG54" s="41">
        <f ca="1">IFERROR(SUMIFS('TRA balance'!AH$5:AH$40,'TRA balance'!$C$5:$C$40,Assumptions!$C54,'TRA balance'!$D$5:$D$40,Assumptions!$B54)*EB54*AK54,"")</f>
        <v>0.287861997760128</v>
      </c>
      <c r="CH54" s="41">
        <f ca="1">IFERROR(SUMIFS('TRA balance'!AI$5:AI$40,'TRA balance'!$C$5:$C$40,Assumptions!$C54,'TRA balance'!$D$5:$D$40,Assumptions!$B54)*EC54*AL54,"")</f>
        <v>0.031867836238656</v>
      </c>
      <c r="CI54" s="41">
        <f ca="1">IFERROR(SUMIFS('TRA balance'!AJ$5:AJ$40,'TRA balance'!$C$5:$C$40,Assumptions!$C54,'TRA balance'!$D$5:$D$40,Assumptions!$B54)*ED54*AM54,"")</f>
        <v>0.182426327164224</v>
      </c>
      <c r="CJ54" s="41">
        <f ca="1">IFERROR(SUMIFS('TRA balance'!AK$5:AK$40,'TRA balance'!$C$5:$C$40,Assumptions!$C54,'TRA balance'!$D$5:$D$40,Assumptions!$B54)*EE54*AN54,"")</f>
        <v>0.031082944546368</v>
      </c>
      <c r="CK54" s="41">
        <f ca="1">IFERROR(SUMIFS('TRA balance'!AL$5:AL$40,'TRA balance'!$C$5:$C$40,Assumptions!$C54,'TRA balance'!$D$5:$D$40,Assumptions!$B54)*EF54*AO54,"")</f>
        <v>0.188369909784</v>
      </c>
      <c r="CL54" s="41">
        <f ca="1">IFERROR(SUMIFS('TRA balance'!AM$5:AM$40,'TRA balance'!$C$5:$C$40,Assumptions!$C54,'TRA balance'!$D$5:$D$40,Assumptions!$B54)*EG54*AP54,"")</f>
        <v>0</v>
      </c>
      <c r="CM54" s="41">
        <f ca="1">IFERROR(SUMIFS('TRA balance'!AN$5:AN$40,'TRA balance'!$C$5:$C$40,Assumptions!$C54,'TRA balance'!$D$5:$D$40,Assumptions!$B54)*EH54*AQ54,"")</f>
        <v>0</v>
      </c>
      <c r="CN54" s="41">
        <f ca="1">IFERROR(SUMIFS('TRA balance'!AO$5:AO$40,'TRA balance'!$C$5:$C$40,Assumptions!$C54,'TRA balance'!$D$5:$D$40,Assumptions!$B54)*EI54*AR54,"")</f>
        <v>0</v>
      </c>
      <c r="CO54" s="41">
        <f ca="1">IFERROR(SUMIFS('TRA balance'!AP$5:AP$40,'TRA balance'!$C$5:$C$40,Assumptions!$C54,'TRA balance'!$D$5:$D$40,Assumptions!$B54)*EJ54*AS54,"")</f>
        <v>0</v>
      </c>
      <c r="CP54" s="41">
        <f ca="1">IFERROR(SUMIFS('TRA balance'!AQ$5:AQ$40,'TRA balance'!$C$5:$C$40,Assumptions!$C54,'TRA balance'!$D$5:$D$40,Assumptions!$B54)*EK54*AT54,"")</f>
        <v>0</v>
      </c>
      <c r="CQ54" s="41">
        <f ca="1">IFERROR(SUMIFS('TRA balance'!AR$5:AR$40,'TRA balance'!$C$5:$C$40,Assumptions!$C54,'TRA balance'!$D$5:$D$40,Assumptions!$B54)*EL54*AU54,"")</f>
        <v>0</v>
      </c>
      <c r="CR54" s="41">
        <f ca="1">IFERROR(SUMIFS('TRA balance'!AS$5:AS$40,'TRA balance'!$C$5:$C$40,Assumptions!$C54,'TRA balance'!$D$5:$D$40,Assumptions!$B54)*EM54*AV54,"")</f>
        <v>0</v>
      </c>
      <c r="CS54" s="41">
        <f ca="1">IFERROR(SUMIFS('TRA balance'!AT$5:AT$40,'TRA balance'!$C$5:$C$40,Assumptions!$C54,'TRA balance'!$D$5:$D$40,Assumptions!$B54)*EN54*AW54,"")</f>
        <v>0</v>
      </c>
      <c r="CT54" s="41">
        <f ca="1">IFERROR(SUMIFS('TRA balance'!AU$5:AU$40,'TRA balance'!$C$5:$C$40,Assumptions!$C54,'TRA balance'!$D$5:$D$40,Assumptions!$B54)*EO54*AX54,"")</f>
        <v>0</v>
      </c>
      <c r="CU54" s="41">
        <f ca="1">IFERROR(SUMIFS('TRA balance'!AV$5:AV$40,'TRA balance'!$C$5:$C$40,Assumptions!$C54,'TRA balance'!$D$5:$D$40,Assumptions!$B54)*EP54*AY54,"")</f>
        <v>0</v>
      </c>
      <c r="CV54" s="41">
        <f ca="1">IFERROR(SUMIFS('TRA balance'!AW$5:AW$40,'TRA balance'!$C$5:$C$40,Assumptions!$C54,'TRA balance'!$D$5:$D$40,Assumptions!$B54)*EQ54*AZ54,"")</f>
        <v>0</v>
      </c>
      <c r="CW54" s="41">
        <f ca="1">IFERROR(SUMIFS('TRA balance'!AX$5:AX$40,'TRA balance'!$C$5:$C$40,Assumptions!$C54,'TRA balance'!$D$5:$D$40,Assumptions!$B54)*ER54*BA54,"")</f>
        <v>0</v>
      </c>
      <c r="CY54" s="40">
        <f ca="1" t="shared" si="66"/>
        <v>0.25</v>
      </c>
      <c r="CZ54" s="40">
        <f ca="1" t="shared" si="3"/>
        <v>0.25</v>
      </c>
      <c r="DA54" s="40">
        <f ca="1" t="shared" si="4"/>
        <v>0.25</v>
      </c>
      <c r="DB54" s="40">
        <f ca="1" t="shared" si="5"/>
        <v>0.682</v>
      </c>
      <c r="DC54" s="40">
        <f ca="1" t="shared" si="6"/>
        <v>0.7</v>
      </c>
      <c r="DD54" s="40">
        <f ca="1" t="shared" si="7"/>
        <v>0.682</v>
      </c>
      <c r="DE54" s="40">
        <f ca="1" t="shared" si="8"/>
        <v>0.5</v>
      </c>
      <c r="DF54" s="40">
        <f ca="1" t="shared" si="9"/>
        <v>0.4</v>
      </c>
      <c r="DG54" s="40">
        <f ca="1" t="shared" si="10"/>
        <v>0</v>
      </c>
      <c r="DH54" s="40">
        <f ca="1" t="shared" si="11"/>
        <v>0</v>
      </c>
      <c r="DI54" s="40">
        <f ca="1" t="shared" si="12"/>
        <v>0.682</v>
      </c>
      <c r="DJ54" s="40">
        <f ca="1" t="shared" si="13"/>
        <v>0.682</v>
      </c>
      <c r="DK54" s="40">
        <f ca="1" t="shared" si="14"/>
        <v>0.682</v>
      </c>
      <c r="DL54" s="40">
        <f ca="1" t="shared" si="15"/>
        <v>0</v>
      </c>
      <c r="DM54" s="40">
        <f ca="1" t="shared" si="16"/>
        <v>0.682</v>
      </c>
      <c r="DN54" s="40">
        <f ca="1" t="shared" si="17"/>
        <v>0.25</v>
      </c>
      <c r="DO54" s="40">
        <f ca="1" t="shared" si="18"/>
        <v>0.682</v>
      </c>
      <c r="DP54" s="40">
        <f ca="1" t="shared" si="19"/>
        <v>0.682</v>
      </c>
      <c r="DQ54" s="40">
        <f ca="1" t="shared" si="20"/>
        <v>0.95</v>
      </c>
      <c r="DR54" s="40">
        <f ca="1" t="shared" si="21"/>
        <v>0.5</v>
      </c>
      <c r="DS54" s="40">
        <f ca="1" t="shared" si="22"/>
        <v>0.682</v>
      </c>
      <c r="DT54" s="40">
        <f ca="1" t="shared" si="23"/>
        <v>0.97916979455979</v>
      </c>
      <c r="DU54" s="40">
        <f ca="1" t="shared" si="24"/>
        <v>0.682</v>
      </c>
      <c r="DV54" s="40">
        <f ca="1" t="shared" si="25"/>
        <v>0</v>
      </c>
      <c r="DW54" s="40">
        <f ca="1" t="shared" si="26"/>
        <v>0.9</v>
      </c>
      <c r="DX54" s="40">
        <f ca="1" t="shared" si="27"/>
        <v>0.7</v>
      </c>
      <c r="DY54" s="40">
        <f ca="1" t="shared" si="28"/>
        <v>0.682</v>
      </c>
      <c r="DZ54" s="40">
        <f ca="1" t="shared" si="29"/>
        <v>0.25</v>
      </c>
      <c r="EA54" s="40">
        <f ca="1" t="shared" si="30"/>
        <v>0.682</v>
      </c>
      <c r="EB54" s="40">
        <f ca="1" t="shared" si="31"/>
        <v>0.682</v>
      </c>
      <c r="EC54" s="40">
        <f ca="1" t="shared" si="32"/>
        <v>0.682</v>
      </c>
      <c r="ED54" s="40">
        <f ca="1" t="shared" si="33"/>
        <v>0.682</v>
      </c>
      <c r="EE54" s="40">
        <f ca="1" t="shared" si="34"/>
        <v>0.682</v>
      </c>
      <c r="EF54" s="40">
        <f ca="1" t="shared" si="35"/>
        <v>0.7</v>
      </c>
      <c r="EG54" s="40">
        <f ca="1" t="shared" si="36"/>
        <v>0</v>
      </c>
      <c r="EH54" s="40">
        <f ca="1" t="shared" si="37"/>
        <v>0.97916979455979</v>
      </c>
      <c r="EI54" s="40">
        <f ca="1" t="shared" si="38"/>
        <v>0.97916979455979</v>
      </c>
      <c r="EJ54" s="40">
        <f ca="1" t="shared" si="39"/>
        <v>0.97916979455979</v>
      </c>
      <c r="EK54" s="40">
        <f ca="1" t="shared" si="40"/>
        <v>0.97916979455979</v>
      </c>
      <c r="EL54" s="40">
        <f ca="1" t="shared" si="41"/>
        <v>0.97916979455979</v>
      </c>
      <c r="EM54" s="40">
        <f ca="1" t="shared" si="42"/>
        <v>0.97916979455979</v>
      </c>
      <c r="EN54" s="40">
        <f ca="1" t="shared" si="43"/>
        <v>0.97916979455979</v>
      </c>
      <c r="EO54" s="40">
        <f ca="1" t="shared" si="44"/>
        <v>0.97916979455979</v>
      </c>
      <c r="EP54" s="40">
        <f ca="1" t="shared" si="45"/>
        <v>0.97916979455979</v>
      </c>
      <c r="EQ54" s="40">
        <f ca="1" t="shared" si="46"/>
        <v>0.97916979455979</v>
      </c>
      <c r="ER54" s="40">
        <f ca="1" t="shared" si="47"/>
        <v>0.97916979455979</v>
      </c>
    </row>
    <row r="55" spans="1:148">
      <c r="A55">
        <v>1</v>
      </c>
      <c r="B55" t="str">
        <f>VLOOKUP(F55,'TRA balance'!$BA$5:$BB$14,2,FALSE)</f>
        <v>TRANGA</v>
      </c>
      <c r="C55" s="56" t="str">
        <f t="shared" si="48"/>
        <v/>
      </c>
      <c r="D55" s="57"/>
      <c r="E55" s="69" t="s">
        <v>210</v>
      </c>
      <c r="F55" s="58" t="str">
        <f t="shared" si="78"/>
        <v>Natural Gas</v>
      </c>
      <c r="G55" s="56"/>
      <c r="H55" s="69" t="str">
        <f ca="1">IF(SUM(H53:H54)=1,"-","&lt;&gt;1!!")</f>
        <v>-</v>
      </c>
      <c r="I55" s="69" t="str">
        <f ca="1" t="shared" ref="I55:BA55" si="79">IF(SUM(I53:I54)=1,"-","&lt;&gt;1!!")</f>
        <v>-</v>
      </c>
      <c r="J55" s="69" t="str">
        <f ca="1" t="shared" si="79"/>
        <v>-</v>
      </c>
      <c r="K55" s="69" t="str">
        <f ca="1" t="shared" si="79"/>
        <v>-</v>
      </c>
      <c r="L55" s="69" t="str">
        <f ca="1" t="shared" si="79"/>
        <v>-</v>
      </c>
      <c r="M55" s="69" t="str">
        <f ca="1" t="shared" si="79"/>
        <v>-</v>
      </c>
      <c r="N55" s="69" t="str">
        <f ca="1" t="shared" si="79"/>
        <v>-</v>
      </c>
      <c r="O55" s="69" t="str">
        <f ca="1" t="shared" si="79"/>
        <v>-</v>
      </c>
      <c r="P55" s="69" t="str">
        <f ca="1" t="shared" si="79"/>
        <v>-</v>
      </c>
      <c r="Q55" s="69" t="str">
        <f ca="1" t="shared" si="79"/>
        <v>-</v>
      </c>
      <c r="R55" s="69" t="str">
        <f ca="1" t="shared" si="79"/>
        <v>-</v>
      </c>
      <c r="S55" s="69" t="str">
        <f ca="1" t="shared" si="79"/>
        <v>-</v>
      </c>
      <c r="T55" s="69" t="str">
        <f ca="1" t="shared" si="79"/>
        <v>-</v>
      </c>
      <c r="U55" s="69" t="str">
        <f ca="1" t="shared" si="79"/>
        <v>-</v>
      </c>
      <c r="V55" s="69" t="str">
        <f ca="1" t="shared" si="79"/>
        <v>-</v>
      </c>
      <c r="W55" s="69" t="str">
        <f ca="1" t="shared" si="79"/>
        <v>-</v>
      </c>
      <c r="X55" s="69" t="str">
        <f ca="1" t="shared" si="79"/>
        <v>-</v>
      </c>
      <c r="Y55" s="69" t="str">
        <f ca="1" t="shared" si="79"/>
        <v>-</v>
      </c>
      <c r="Z55" s="69" t="str">
        <f ca="1" t="shared" si="79"/>
        <v>-</v>
      </c>
      <c r="AA55" s="69" t="str">
        <f ca="1" t="shared" si="79"/>
        <v>-</v>
      </c>
      <c r="AB55" s="69" t="str">
        <f ca="1" t="shared" si="79"/>
        <v>-</v>
      </c>
      <c r="AC55" s="69" t="str">
        <f ca="1" t="shared" si="79"/>
        <v>-</v>
      </c>
      <c r="AD55" s="69" t="str">
        <f ca="1" t="shared" si="79"/>
        <v>-</v>
      </c>
      <c r="AE55" s="69" t="str">
        <f ca="1" t="shared" si="79"/>
        <v>-</v>
      </c>
      <c r="AF55" s="69" t="str">
        <f ca="1" t="shared" si="79"/>
        <v>-</v>
      </c>
      <c r="AG55" s="69" t="str">
        <f ca="1" t="shared" si="79"/>
        <v>-</v>
      </c>
      <c r="AH55" s="69" t="str">
        <f ca="1" t="shared" si="79"/>
        <v>-</v>
      </c>
      <c r="AI55" s="69" t="str">
        <f ca="1" t="shared" si="79"/>
        <v>-</v>
      </c>
      <c r="AJ55" s="69" t="str">
        <f ca="1" t="shared" si="79"/>
        <v>-</v>
      </c>
      <c r="AK55" s="69" t="str">
        <f ca="1" t="shared" si="79"/>
        <v>-</v>
      </c>
      <c r="AL55" s="69" t="str">
        <f ca="1" t="shared" si="79"/>
        <v>-</v>
      </c>
      <c r="AM55" s="69" t="str">
        <f ca="1" t="shared" si="79"/>
        <v>-</v>
      </c>
      <c r="AN55" s="69" t="str">
        <f ca="1" t="shared" si="79"/>
        <v>-</v>
      </c>
      <c r="AO55" s="69" t="str">
        <f ca="1" t="shared" si="79"/>
        <v>-</v>
      </c>
      <c r="AP55" s="69" t="str">
        <f ca="1" t="shared" si="79"/>
        <v>-</v>
      </c>
      <c r="AQ55" s="69" t="str">
        <f ca="1" t="shared" si="79"/>
        <v>-</v>
      </c>
      <c r="AR55" s="69" t="str">
        <f ca="1" t="shared" si="79"/>
        <v>-</v>
      </c>
      <c r="AS55" s="69" t="str">
        <f ca="1" t="shared" si="79"/>
        <v>-</v>
      </c>
      <c r="AT55" s="69" t="str">
        <f ca="1" t="shared" si="79"/>
        <v>-</v>
      </c>
      <c r="AU55" s="69" t="str">
        <f ca="1" t="shared" si="79"/>
        <v>-</v>
      </c>
      <c r="AV55" s="69" t="str">
        <f ca="1" t="shared" si="79"/>
        <v>-</v>
      </c>
      <c r="AW55" s="69" t="str">
        <f ca="1" t="shared" si="79"/>
        <v>-</v>
      </c>
      <c r="AX55" s="69" t="str">
        <f ca="1" t="shared" si="79"/>
        <v>-</v>
      </c>
      <c r="AY55" s="69" t="str">
        <f ca="1" t="shared" si="79"/>
        <v>-</v>
      </c>
      <c r="AZ55" s="69" t="str">
        <f ca="1" t="shared" si="79"/>
        <v>-</v>
      </c>
      <c r="BA55" s="69" t="str">
        <f ca="1" t="shared" si="79"/>
        <v>-</v>
      </c>
      <c r="BD55" s="41" t="str">
        <f ca="1">IFERROR(SUMIFS('TRA balance'!E$5:E$40,'TRA balance'!$C$5:$C$40,Assumptions!$C55,'TRA balance'!$D$5:$D$40,Assumptions!$B55)*CY55*H55,"")</f>
        <v/>
      </c>
      <c r="BE55" s="41" t="str">
        <f ca="1">IFERROR(SUMIFS('TRA balance'!F$5:F$40,'TRA balance'!$C$5:$C$40,Assumptions!$C55,'TRA balance'!$D$5:$D$40,Assumptions!$B55)*CZ55*I55,"")</f>
        <v/>
      </c>
      <c r="BF55" s="41" t="str">
        <f ca="1">IFERROR(SUMIFS('TRA balance'!G$5:G$40,'TRA balance'!$C$5:$C$40,Assumptions!$C55,'TRA balance'!$D$5:$D$40,Assumptions!$B55)*DA55*J55,"")</f>
        <v/>
      </c>
      <c r="BG55" s="41" t="str">
        <f ca="1">IFERROR(SUMIFS('TRA balance'!H$5:H$40,'TRA balance'!$C$5:$C$40,Assumptions!$C55,'TRA balance'!$D$5:$D$40,Assumptions!$B55)*DB55*K55,"")</f>
        <v/>
      </c>
      <c r="BH55" s="41" t="str">
        <f ca="1">IFERROR(SUMIFS('TRA balance'!I$5:I$40,'TRA balance'!$C$5:$C$40,Assumptions!$C55,'TRA balance'!$D$5:$D$40,Assumptions!$B55)*DC55*L55,"")</f>
        <v/>
      </c>
      <c r="BI55" s="41" t="str">
        <f ca="1">IFERROR(SUMIFS('TRA balance'!J$5:J$40,'TRA balance'!$C$5:$C$40,Assumptions!$C55,'TRA balance'!$D$5:$D$40,Assumptions!$B55)*DD55*M55,"")</f>
        <v/>
      </c>
      <c r="BJ55" s="41" t="str">
        <f ca="1">IFERROR(SUMIFS('TRA balance'!K$5:K$40,'TRA balance'!$C$5:$C$40,Assumptions!$C55,'TRA balance'!$D$5:$D$40,Assumptions!$B55)*DE55*N55,"")</f>
        <v/>
      </c>
      <c r="BK55" s="41" t="str">
        <f ca="1">IFERROR(SUMIFS('TRA balance'!L$5:L$40,'TRA balance'!$C$5:$C$40,Assumptions!$C55,'TRA balance'!$D$5:$D$40,Assumptions!$B55)*DF55*O55,"")</f>
        <v/>
      </c>
      <c r="BL55" s="41" t="str">
        <f ca="1">IFERROR(SUMIFS('TRA balance'!M$5:M$40,'TRA balance'!$C$5:$C$40,Assumptions!$C55,'TRA balance'!$D$5:$D$40,Assumptions!$B55)*DG55*P55,"")</f>
        <v/>
      </c>
      <c r="BM55" s="41" t="str">
        <f ca="1">IFERROR(SUMIFS('TRA balance'!N$5:N$40,'TRA balance'!$C$5:$C$40,Assumptions!$C55,'TRA balance'!$D$5:$D$40,Assumptions!$B55)*DH55*Q55,"")</f>
        <v/>
      </c>
      <c r="BN55" s="41" t="str">
        <f ca="1">IFERROR(SUMIFS('TRA balance'!O$5:O$40,'TRA balance'!$C$5:$C$40,Assumptions!$C55,'TRA balance'!$D$5:$D$40,Assumptions!$B55)*DI55*R55,"")</f>
        <v/>
      </c>
      <c r="BO55" s="41" t="str">
        <f ca="1">IFERROR(SUMIFS('TRA balance'!P$5:P$40,'TRA balance'!$C$5:$C$40,Assumptions!$C55,'TRA balance'!$D$5:$D$40,Assumptions!$B55)*DJ55*S55,"")</f>
        <v/>
      </c>
      <c r="BP55" s="41" t="str">
        <f ca="1">IFERROR(SUMIFS('TRA balance'!Q$5:Q$40,'TRA balance'!$C$5:$C$40,Assumptions!$C55,'TRA balance'!$D$5:$D$40,Assumptions!$B55)*DK55*T55,"")</f>
        <v/>
      </c>
      <c r="BQ55" s="41" t="str">
        <f ca="1">IFERROR(SUMIFS('TRA balance'!R$5:R$40,'TRA balance'!$C$5:$C$40,Assumptions!$C55,'TRA balance'!$D$5:$D$40,Assumptions!$B55)*DL55*U55,"")</f>
        <v/>
      </c>
      <c r="BR55" s="41" t="str">
        <f ca="1">IFERROR(SUMIFS('TRA balance'!S$5:S$40,'TRA balance'!$C$5:$C$40,Assumptions!$C55,'TRA balance'!$D$5:$D$40,Assumptions!$B55)*DM55*V55,"")</f>
        <v/>
      </c>
      <c r="BS55" s="41" t="str">
        <f ca="1">IFERROR(SUMIFS('TRA balance'!T$5:T$40,'TRA balance'!$C$5:$C$40,Assumptions!$C55,'TRA balance'!$D$5:$D$40,Assumptions!$B55)*DN55*W55,"")</f>
        <v/>
      </c>
      <c r="BT55" s="41" t="str">
        <f ca="1">IFERROR(SUMIFS('TRA balance'!U$5:U$40,'TRA balance'!$C$5:$C$40,Assumptions!$C55,'TRA balance'!$D$5:$D$40,Assumptions!$B55)*DO55*X55,"")</f>
        <v/>
      </c>
      <c r="BU55" s="41" t="str">
        <f ca="1">IFERROR(SUMIFS('TRA balance'!V$5:V$40,'TRA balance'!$C$5:$C$40,Assumptions!$C55,'TRA balance'!$D$5:$D$40,Assumptions!$B55)*DP55*Y55,"")</f>
        <v/>
      </c>
      <c r="BV55" s="41" t="str">
        <f ca="1">IFERROR(SUMIFS('TRA balance'!W$5:W$40,'TRA balance'!$C$5:$C$40,Assumptions!$C55,'TRA balance'!$D$5:$D$40,Assumptions!$B55)*DQ55*Z55,"")</f>
        <v/>
      </c>
      <c r="BW55" s="41" t="str">
        <f ca="1">IFERROR(SUMIFS('TRA balance'!X$5:X$40,'TRA balance'!$C$5:$C$40,Assumptions!$C55,'TRA balance'!$D$5:$D$40,Assumptions!$B55)*DR55*AA55,"")</f>
        <v/>
      </c>
      <c r="BX55" s="41" t="str">
        <f ca="1">IFERROR(SUMIFS('TRA balance'!Y$5:Y$40,'TRA balance'!$C$5:$C$40,Assumptions!$C55,'TRA balance'!$D$5:$D$40,Assumptions!$B55)*DS55*AB55,"")</f>
        <v/>
      </c>
      <c r="BY55" s="41" t="str">
        <f ca="1">IFERROR(SUMIFS('TRA balance'!Z$5:Z$40,'TRA balance'!$C$5:$C$40,Assumptions!$C55,'TRA balance'!$D$5:$D$40,Assumptions!$B55)*DT55*AC55,"")</f>
        <v/>
      </c>
      <c r="BZ55" s="41" t="str">
        <f ca="1">IFERROR(SUMIFS('TRA balance'!AA$5:AA$40,'TRA balance'!$C$5:$C$40,Assumptions!$C55,'TRA balance'!$D$5:$D$40,Assumptions!$B55)*DU55*AD55,"")</f>
        <v/>
      </c>
      <c r="CA55" s="41" t="str">
        <f ca="1">IFERROR(SUMIFS('TRA balance'!AB$5:AB$40,'TRA balance'!$C$5:$C$40,Assumptions!$C55,'TRA balance'!$D$5:$D$40,Assumptions!$B55)*DV55*AE55,"")</f>
        <v/>
      </c>
      <c r="CB55" s="41" t="str">
        <f ca="1">IFERROR(SUMIFS('TRA balance'!AC$5:AC$40,'TRA balance'!$C$5:$C$40,Assumptions!$C55,'TRA balance'!$D$5:$D$40,Assumptions!$B55)*DW55*AF55,"")</f>
        <v/>
      </c>
      <c r="CC55" s="41" t="str">
        <f ca="1">IFERROR(SUMIFS('TRA balance'!AD$5:AD$40,'TRA balance'!$C$5:$C$40,Assumptions!$C55,'TRA balance'!$D$5:$D$40,Assumptions!$B55)*DX55*AG55,"")</f>
        <v/>
      </c>
      <c r="CD55" s="41" t="str">
        <f ca="1">IFERROR(SUMIFS('TRA balance'!AE$5:AE$40,'TRA balance'!$C$5:$C$40,Assumptions!$C55,'TRA balance'!$D$5:$D$40,Assumptions!$B55)*DY55*AH55,"")</f>
        <v/>
      </c>
      <c r="CE55" s="41" t="str">
        <f ca="1">IFERROR(SUMIFS('TRA balance'!AF$5:AF$40,'TRA balance'!$C$5:$C$40,Assumptions!$C55,'TRA balance'!$D$5:$D$40,Assumptions!$B55)*DZ55*AI55,"")</f>
        <v/>
      </c>
      <c r="CF55" s="41" t="str">
        <f ca="1">IFERROR(SUMIFS('TRA balance'!AG$5:AG$40,'TRA balance'!$C$5:$C$40,Assumptions!$C55,'TRA balance'!$D$5:$D$40,Assumptions!$B55)*EA55*AJ55,"")</f>
        <v/>
      </c>
      <c r="CG55" s="41" t="str">
        <f ca="1">IFERROR(SUMIFS('TRA balance'!AH$5:AH$40,'TRA balance'!$C$5:$C$40,Assumptions!$C55,'TRA balance'!$D$5:$D$40,Assumptions!$B55)*EB55*AK55,"")</f>
        <v/>
      </c>
      <c r="CH55" s="41" t="str">
        <f ca="1">IFERROR(SUMIFS('TRA balance'!AI$5:AI$40,'TRA balance'!$C$5:$C$40,Assumptions!$C55,'TRA balance'!$D$5:$D$40,Assumptions!$B55)*EC55*AL55,"")</f>
        <v/>
      </c>
      <c r="CI55" s="41" t="str">
        <f ca="1">IFERROR(SUMIFS('TRA balance'!AJ$5:AJ$40,'TRA balance'!$C$5:$C$40,Assumptions!$C55,'TRA balance'!$D$5:$D$40,Assumptions!$B55)*ED55*AM55,"")</f>
        <v/>
      </c>
      <c r="CJ55" s="41" t="str">
        <f ca="1">IFERROR(SUMIFS('TRA balance'!AK$5:AK$40,'TRA balance'!$C$5:$C$40,Assumptions!$C55,'TRA balance'!$D$5:$D$40,Assumptions!$B55)*EE55*AN55,"")</f>
        <v/>
      </c>
      <c r="CK55" s="41" t="str">
        <f ca="1">IFERROR(SUMIFS('TRA balance'!AL$5:AL$40,'TRA balance'!$C$5:$C$40,Assumptions!$C55,'TRA balance'!$D$5:$D$40,Assumptions!$B55)*EF55*AO55,"")</f>
        <v/>
      </c>
      <c r="CL55" s="41" t="str">
        <f ca="1">IFERROR(SUMIFS('TRA balance'!AM$5:AM$40,'TRA balance'!$C$5:$C$40,Assumptions!$C55,'TRA balance'!$D$5:$D$40,Assumptions!$B55)*EG55*AP55,"")</f>
        <v/>
      </c>
      <c r="CM55" s="41" t="str">
        <f ca="1">IFERROR(SUMIFS('TRA balance'!AN$5:AN$40,'TRA balance'!$C$5:$C$40,Assumptions!$C55,'TRA balance'!$D$5:$D$40,Assumptions!$B55)*EH55*AQ55,"")</f>
        <v/>
      </c>
      <c r="CN55" s="41" t="str">
        <f ca="1">IFERROR(SUMIFS('TRA balance'!AO$5:AO$40,'TRA balance'!$C$5:$C$40,Assumptions!$C55,'TRA balance'!$D$5:$D$40,Assumptions!$B55)*EI55*AR55,"")</f>
        <v/>
      </c>
      <c r="CO55" s="41" t="str">
        <f ca="1">IFERROR(SUMIFS('TRA balance'!AP$5:AP$40,'TRA balance'!$C$5:$C$40,Assumptions!$C55,'TRA balance'!$D$5:$D$40,Assumptions!$B55)*EJ55*AS55,"")</f>
        <v/>
      </c>
      <c r="CP55" s="41" t="str">
        <f ca="1">IFERROR(SUMIFS('TRA balance'!AQ$5:AQ$40,'TRA balance'!$C$5:$C$40,Assumptions!$C55,'TRA balance'!$D$5:$D$40,Assumptions!$B55)*EK55*AT55,"")</f>
        <v/>
      </c>
      <c r="CQ55" s="41" t="str">
        <f ca="1">IFERROR(SUMIFS('TRA balance'!AR$5:AR$40,'TRA balance'!$C$5:$C$40,Assumptions!$C55,'TRA balance'!$D$5:$D$40,Assumptions!$B55)*EL55*AU55,"")</f>
        <v/>
      </c>
      <c r="CR55" s="41" t="str">
        <f ca="1">IFERROR(SUMIFS('TRA balance'!AS$5:AS$40,'TRA balance'!$C$5:$C$40,Assumptions!$C55,'TRA balance'!$D$5:$D$40,Assumptions!$B55)*EM55*AV55,"")</f>
        <v/>
      </c>
      <c r="CS55" s="41" t="str">
        <f ca="1">IFERROR(SUMIFS('TRA balance'!AT$5:AT$40,'TRA balance'!$C$5:$C$40,Assumptions!$C55,'TRA balance'!$D$5:$D$40,Assumptions!$B55)*EN55*AW55,"")</f>
        <v/>
      </c>
      <c r="CT55" s="41" t="str">
        <f ca="1">IFERROR(SUMIFS('TRA balance'!AU$5:AU$40,'TRA balance'!$C$5:$C$40,Assumptions!$C55,'TRA balance'!$D$5:$D$40,Assumptions!$B55)*EO55*AX55,"")</f>
        <v/>
      </c>
      <c r="CU55" s="41" t="str">
        <f ca="1">IFERROR(SUMIFS('TRA balance'!AV$5:AV$40,'TRA balance'!$C$5:$C$40,Assumptions!$C55,'TRA balance'!$D$5:$D$40,Assumptions!$B55)*EP55*AY55,"")</f>
        <v/>
      </c>
      <c r="CV55" s="41" t="str">
        <f ca="1">IFERROR(SUMIFS('TRA balance'!AW$5:AW$40,'TRA balance'!$C$5:$C$40,Assumptions!$C55,'TRA balance'!$D$5:$D$40,Assumptions!$B55)*EQ55*AZ55,"")</f>
        <v/>
      </c>
      <c r="CW55" s="41" t="str">
        <f ca="1">IFERROR(SUMIFS('TRA balance'!AX$5:AX$40,'TRA balance'!$C$5:$C$40,Assumptions!$C55,'TRA balance'!$D$5:$D$40,Assumptions!$B55)*ER55*BA55,"")</f>
        <v/>
      </c>
      <c r="CY55" s="40">
        <f ca="1" t="shared" si="66"/>
        <v>1</v>
      </c>
      <c r="CZ55" s="40">
        <f ca="1" t="shared" si="3"/>
        <v>1</v>
      </c>
      <c r="DA55" s="40">
        <f ca="1" t="shared" si="4"/>
        <v>1</v>
      </c>
      <c r="DB55" s="40">
        <f ca="1" t="shared" si="5"/>
        <v>1</v>
      </c>
      <c r="DC55" s="40">
        <f ca="1" t="shared" si="6"/>
        <v>1</v>
      </c>
      <c r="DD55" s="40">
        <f ca="1" t="shared" si="7"/>
        <v>1</v>
      </c>
      <c r="DE55" s="40">
        <f ca="1" t="shared" si="8"/>
        <v>1</v>
      </c>
      <c r="DF55" s="40">
        <f ca="1" t="shared" si="9"/>
        <v>1</v>
      </c>
      <c r="DG55" s="40">
        <f ca="1" t="shared" si="10"/>
        <v>1</v>
      </c>
      <c r="DH55" s="40">
        <f ca="1" t="shared" si="11"/>
        <v>1</v>
      </c>
      <c r="DI55" s="40">
        <f ca="1" t="shared" si="12"/>
        <v>1</v>
      </c>
      <c r="DJ55" s="40">
        <f ca="1" t="shared" si="13"/>
        <v>1</v>
      </c>
      <c r="DK55" s="40">
        <f ca="1" t="shared" si="14"/>
        <v>1</v>
      </c>
      <c r="DL55" s="40">
        <f ca="1" t="shared" si="15"/>
        <v>1</v>
      </c>
      <c r="DM55" s="40">
        <f ca="1" t="shared" si="16"/>
        <v>1</v>
      </c>
      <c r="DN55" s="40">
        <f ca="1" t="shared" si="17"/>
        <v>1</v>
      </c>
      <c r="DO55" s="40">
        <f ca="1" t="shared" si="18"/>
        <v>1</v>
      </c>
      <c r="DP55" s="40">
        <f ca="1" t="shared" si="19"/>
        <v>1</v>
      </c>
      <c r="DQ55" s="40">
        <f ca="1" t="shared" si="20"/>
        <v>1</v>
      </c>
      <c r="DR55" s="40">
        <f ca="1" t="shared" si="21"/>
        <v>1</v>
      </c>
      <c r="DS55" s="40">
        <f ca="1" t="shared" si="22"/>
        <v>1</v>
      </c>
      <c r="DT55" s="40">
        <f ca="1" t="shared" si="23"/>
        <v>1</v>
      </c>
      <c r="DU55" s="40">
        <f ca="1" t="shared" si="24"/>
        <v>1</v>
      </c>
      <c r="DV55" s="40">
        <f ca="1" t="shared" si="25"/>
        <v>1</v>
      </c>
      <c r="DW55" s="40">
        <f ca="1" t="shared" si="26"/>
        <v>1</v>
      </c>
      <c r="DX55" s="40">
        <f ca="1" t="shared" si="27"/>
        <v>1</v>
      </c>
      <c r="DY55" s="40">
        <f ca="1" t="shared" si="28"/>
        <v>1</v>
      </c>
      <c r="DZ55" s="40">
        <f ca="1" t="shared" si="29"/>
        <v>1</v>
      </c>
      <c r="EA55" s="40">
        <f ca="1" t="shared" si="30"/>
        <v>1</v>
      </c>
      <c r="EB55" s="40">
        <f ca="1" t="shared" si="31"/>
        <v>1</v>
      </c>
      <c r="EC55" s="40">
        <f ca="1" t="shared" si="32"/>
        <v>1</v>
      </c>
      <c r="ED55" s="40">
        <f ca="1" t="shared" si="33"/>
        <v>1</v>
      </c>
      <c r="EE55" s="40">
        <f ca="1" t="shared" si="34"/>
        <v>1</v>
      </c>
      <c r="EF55" s="40">
        <f ca="1" t="shared" si="35"/>
        <v>1</v>
      </c>
      <c r="EG55" s="40">
        <f ca="1" t="shared" si="36"/>
        <v>1</v>
      </c>
      <c r="EH55" s="40">
        <f ca="1" t="shared" si="37"/>
        <v>1</v>
      </c>
      <c r="EI55" s="40">
        <f ca="1" t="shared" si="38"/>
        <v>1</v>
      </c>
      <c r="EJ55" s="40">
        <f ca="1" t="shared" si="39"/>
        <v>1</v>
      </c>
      <c r="EK55" s="40">
        <f ca="1" t="shared" si="40"/>
        <v>1</v>
      </c>
      <c r="EL55" s="40">
        <f ca="1" t="shared" si="41"/>
        <v>1</v>
      </c>
      <c r="EM55" s="40">
        <f ca="1" t="shared" si="42"/>
        <v>1</v>
      </c>
      <c r="EN55" s="40">
        <f ca="1" t="shared" si="43"/>
        <v>1</v>
      </c>
      <c r="EO55" s="40">
        <f ca="1" t="shared" si="44"/>
        <v>1</v>
      </c>
      <c r="EP55" s="40">
        <f ca="1" t="shared" si="45"/>
        <v>1</v>
      </c>
      <c r="EQ55" s="40">
        <f ca="1" t="shared" si="46"/>
        <v>1</v>
      </c>
      <c r="ER55" s="40">
        <f ca="1" t="shared" si="47"/>
        <v>1</v>
      </c>
    </row>
    <row r="56" spans="1:148">
      <c r="A56">
        <v>1</v>
      </c>
      <c r="B56" t="str">
        <f>VLOOKUP(F56,'TRA balance'!$BA$5:$BB$14,2,FALSE)</f>
        <v>TRANGA</v>
      </c>
      <c r="C56" s="64">
        <v>2</v>
      </c>
      <c r="D56" s="65" t="s">
        <v>200</v>
      </c>
      <c r="E56" s="65" t="s">
        <v>211</v>
      </c>
      <c r="F56" s="66" t="str">
        <f t="shared" si="78"/>
        <v>Natural Gas</v>
      </c>
      <c r="G56" s="64"/>
      <c r="H56" s="70">
        <f ca="1" t="shared" ref="H56" si="80">1-H52</f>
        <v>0.75</v>
      </c>
      <c r="I56" s="70">
        <f ca="1" t="shared" ref="I56:BA56" si="81">1-I52</f>
        <v>0.75</v>
      </c>
      <c r="J56" s="70">
        <f ca="1" t="shared" si="81"/>
        <v>0.75</v>
      </c>
      <c r="K56" s="70">
        <f ca="1" t="shared" si="81"/>
        <v>0.318</v>
      </c>
      <c r="L56" s="70">
        <f ca="1" t="shared" si="81"/>
        <v>0.3</v>
      </c>
      <c r="M56" s="70">
        <f ca="1" t="shared" si="81"/>
        <v>0.318</v>
      </c>
      <c r="N56" s="70">
        <f ca="1" t="shared" si="81"/>
        <v>0.5</v>
      </c>
      <c r="O56" s="70">
        <f ca="1" t="shared" si="81"/>
        <v>0.6</v>
      </c>
      <c r="P56" s="70">
        <f ca="1" t="shared" si="81"/>
        <v>1</v>
      </c>
      <c r="Q56" s="70">
        <f ca="1" t="shared" si="81"/>
        <v>1</v>
      </c>
      <c r="R56" s="70">
        <f ca="1" t="shared" si="81"/>
        <v>0.318</v>
      </c>
      <c r="S56" s="70">
        <f ca="1" t="shared" si="81"/>
        <v>0.318</v>
      </c>
      <c r="T56" s="70">
        <f ca="1" t="shared" si="81"/>
        <v>0.318</v>
      </c>
      <c r="U56" s="70">
        <f ca="1" t="shared" si="81"/>
        <v>1</v>
      </c>
      <c r="V56" s="70">
        <f ca="1" t="shared" si="81"/>
        <v>0.318</v>
      </c>
      <c r="W56" s="70">
        <f ca="1" t="shared" si="81"/>
        <v>0.75</v>
      </c>
      <c r="X56" s="70">
        <f ca="1" t="shared" si="81"/>
        <v>0.318</v>
      </c>
      <c r="Y56" s="70">
        <f ca="1" t="shared" si="81"/>
        <v>0.318</v>
      </c>
      <c r="Z56" s="70">
        <f ca="1" t="shared" si="81"/>
        <v>0.05</v>
      </c>
      <c r="AA56" s="70">
        <f ca="1" t="shared" si="81"/>
        <v>0.5</v>
      </c>
      <c r="AB56" s="70">
        <f ca="1" t="shared" si="81"/>
        <v>0.318</v>
      </c>
      <c r="AC56" s="70">
        <f ca="1" t="shared" si="81"/>
        <v>0.02083020544021</v>
      </c>
      <c r="AD56" s="70">
        <f ca="1" t="shared" si="81"/>
        <v>0.318</v>
      </c>
      <c r="AE56" s="70">
        <f ca="1" t="shared" si="81"/>
        <v>1</v>
      </c>
      <c r="AF56" s="70">
        <f ca="1" t="shared" si="81"/>
        <v>0.1</v>
      </c>
      <c r="AG56" s="70">
        <f ca="1" t="shared" si="81"/>
        <v>0.3</v>
      </c>
      <c r="AH56" s="70">
        <f ca="1" t="shared" si="81"/>
        <v>0.318</v>
      </c>
      <c r="AI56" s="70">
        <f ca="1" t="shared" si="81"/>
        <v>0.75</v>
      </c>
      <c r="AJ56" s="70">
        <f ca="1" t="shared" si="81"/>
        <v>0.318</v>
      </c>
      <c r="AK56" s="70">
        <f ca="1" t="shared" si="81"/>
        <v>0.318</v>
      </c>
      <c r="AL56" s="70">
        <f ca="1" t="shared" si="81"/>
        <v>0.318</v>
      </c>
      <c r="AM56" s="70">
        <f ca="1" t="shared" si="81"/>
        <v>0.318</v>
      </c>
      <c r="AN56" s="70">
        <f ca="1" t="shared" si="81"/>
        <v>0.318</v>
      </c>
      <c r="AO56" s="70">
        <f ca="1" t="shared" si="81"/>
        <v>0.3</v>
      </c>
      <c r="AP56" s="70">
        <f ca="1" t="shared" si="81"/>
        <v>1</v>
      </c>
      <c r="AQ56" s="70">
        <f ca="1" t="shared" si="81"/>
        <v>0.02083020544021</v>
      </c>
      <c r="AR56" s="70">
        <f ca="1" t="shared" si="81"/>
        <v>0.02083020544021</v>
      </c>
      <c r="AS56" s="70">
        <f ca="1" t="shared" si="81"/>
        <v>0.02083020544021</v>
      </c>
      <c r="AT56" s="70">
        <f ca="1" t="shared" si="81"/>
        <v>0.02083020544021</v>
      </c>
      <c r="AU56" s="70">
        <f ca="1" t="shared" si="81"/>
        <v>0.02083020544021</v>
      </c>
      <c r="AV56" s="70">
        <f ca="1" t="shared" si="81"/>
        <v>0.02083020544021</v>
      </c>
      <c r="AW56" s="70">
        <f ca="1" t="shared" si="81"/>
        <v>0.02083020544021</v>
      </c>
      <c r="AX56" s="70">
        <f ca="1" t="shared" si="81"/>
        <v>0.02083020544021</v>
      </c>
      <c r="AY56" s="70">
        <f ca="1" t="shared" si="81"/>
        <v>0.02083020544021</v>
      </c>
      <c r="AZ56" s="70">
        <f ca="1" t="shared" si="81"/>
        <v>0.02083020544021</v>
      </c>
      <c r="BA56" s="70">
        <f ca="1" t="shared" si="81"/>
        <v>0.02083020544021</v>
      </c>
      <c r="BD56" s="41">
        <f ca="1">IFERROR(SUMIFS('TRA balance'!E$5:E$40,'TRA balance'!$C$5:$C$40,Assumptions!$C56,'TRA balance'!$D$5:$D$40,Assumptions!$B56)*CY56*H56,"")</f>
        <v>0</v>
      </c>
      <c r="BE56" s="41">
        <f ca="1">IFERROR(SUMIFS('TRA balance'!F$5:F$40,'TRA balance'!$C$5:$C$40,Assumptions!$C56,'TRA balance'!$D$5:$D$40,Assumptions!$B56)*CZ56*I56,"")</f>
        <v>0</v>
      </c>
      <c r="BF56" s="41">
        <f ca="1">IFERROR(SUMIFS('TRA balance'!G$5:G$40,'TRA balance'!$C$5:$C$40,Assumptions!$C56,'TRA balance'!$D$5:$D$40,Assumptions!$B56)*DA56*J56,"")</f>
        <v>0</v>
      </c>
      <c r="BG56" s="41">
        <f ca="1">IFERROR(SUMIFS('TRA balance'!H$5:H$40,'TRA balance'!$C$5:$C$40,Assumptions!$C56,'TRA balance'!$D$5:$D$40,Assumptions!$B56)*DB56*K56,"")</f>
        <v>0</v>
      </c>
      <c r="BH56" s="41">
        <f ca="1">IFERROR(SUMIFS('TRA balance'!I$5:I$40,'TRA balance'!$C$5:$C$40,Assumptions!$C56,'TRA balance'!$D$5:$D$40,Assumptions!$B56)*DC56*L56,"")</f>
        <v>0</v>
      </c>
      <c r="BI56" s="41">
        <f ca="1">IFERROR(SUMIFS('TRA balance'!J$5:J$40,'TRA balance'!$C$5:$C$40,Assumptions!$C56,'TRA balance'!$D$5:$D$40,Assumptions!$B56)*DD56*M56,"")</f>
        <v>0</v>
      </c>
      <c r="BJ56" s="41">
        <f ca="1">IFERROR(SUMIFS('TRA balance'!K$5:K$40,'TRA balance'!$C$5:$C$40,Assumptions!$C56,'TRA balance'!$D$5:$D$40,Assumptions!$B56)*DE56*N56,"")</f>
        <v>0</v>
      </c>
      <c r="BK56" s="41">
        <f ca="1">IFERROR(SUMIFS('TRA balance'!L$5:L$40,'TRA balance'!$C$5:$C$40,Assumptions!$C56,'TRA balance'!$D$5:$D$40,Assumptions!$B56)*DF56*O56,"")</f>
        <v>0</v>
      </c>
      <c r="BL56" s="41">
        <f ca="1">IFERROR(SUMIFS('TRA balance'!M$5:M$40,'TRA balance'!$C$5:$C$40,Assumptions!$C56,'TRA balance'!$D$5:$D$40,Assumptions!$B56)*DG56*P56,"")</f>
        <v>0</v>
      </c>
      <c r="BM56" s="41">
        <f ca="1">IFERROR(SUMIFS('TRA balance'!N$5:N$40,'TRA balance'!$C$5:$C$40,Assumptions!$C56,'TRA balance'!$D$5:$D$40,Assumptions!$B56)*DH56*Q56,"")</f>
        <v>0</v>
      </c>
      <c r="BN56" s="41">
        <f ca="1">IFERROR(SUMIFS('TRA balance'!O$5:O$40,'TRA balance'!$C$5:$C$40,Assumptions!$C56,'TRA balance'!$D$5:$D$40,Assumptions!$B56)*DI56*R56,"")</f>
        <v>0</v>
      </c>
      <c r="BO56" s="41">
        <f ca="1">IFERROR(SUMIFS('TRA balance'!P$5:P$40,'TRA balance'!$C$5:$C$40,Assumptions!$C56,'TRA balance'!$D$5:$D$40,Assumptions!$B56)*DJ56*S56,"")</f>
        <v>0</v>
      </c>
      <c r="BP56" s="41">
        <f ca="1">IFERROR(SUMIFS('TRA balance'!Q$5:Q$40,'TRA balance'!$C$5:$C$40,Assumptions!$C56,'TRA balance'!$D$5:$D$40,Assumptions!$B56)*DK56*T56,"")</f>
        <v>0</v>
      </c>
      <c r="BQ56" s="41">
        <f ca="1">IFERROR(SUMIFS('TRA balance'!R$5:R$40,'TRA balance'!$C$5:$C$40,Assumptions!$C56,'TRA balance'!$D$5:$D$40,Assumptions!$B56)*DL56*U56,"")</f>
        <v>0</v>
      </c>
      <c r="BR56" s="41">
        <f ca="1">IFERROR(SUMIFS('TRA balance'!S$5:S$40,'TRA balance'!$C$5:$C$40,Assumptions!$C56,'TRA balance'!$D$5:$D$40,Assumptions!$B56)*DM56*V56,"")</f>
        <v>0</v>
      </c>
      <c r="BS56" s="41">
        <f ca="1">IFERROR(SUMIFS('TRA balance'!T$5:T$40,'TRA balance'!$C$5:$C$40,Assumptions!$C56,'TRA balance'!$D$5:$D$40,Assumptions!$B56)*DN56*W56,"")</f>
        <v>0</v>
      </c>
      <c r="BT56" s="41">
        <f ca="1">IFERROR(SUMIFS('TRA balance'!U$5:U$40,'TRA balance'!$C$5:$C$40,Assumptions!$C56,'TRA balance'!$D$5:$D$40,Assumptions!$B56)*DO56*X56,"")</f>
        <v>0</v>
      </c>
      <c r="BU56" s="41">
        <f ca="1">IFERROR(SUMIFS('TRA balance'!V$5:V$40,'TRA balance'!$C$5:$C$40,Assumptions!$C56,'TRA balance'!$D$5:$D$40,Assumptions!$B56)*DP56*Y56,"")</f>
        <v>0</v>
      </c>
      <c r="BV56" s="41">
        <f ca="1">IFERROR(SUMIFS('TRA balance'!W$5:W$40,'TRA balance'!$C$5:$C$40,Assumptions!$C56,'TRA balance'!$D$5:$D$40,Assumptions!$B56)*DQ56*Z56,"")</f>
        <v>0</v>
      </c>
      <c r="BW56" s="41">
        <f ca="1">IFERROR(SUMIFS('TRA balance'!X$5:X$40,'TRA balance'!$C$5:$C$40,Assumptions!$C56,'TRA balance'!$D$5:$D$40,Assumptions!$B56)*DR56*AA56,"")</f>
        <v>0</v>
      </c>
      <c r="BX56" s="41">
        <f ca="1">IFERROR(SUMIFS('TRA balance'!Y$5:Y$40,'TRA balance'!$C$5:$C$40,Assumptions!$C56,'TRA balance'!$D$5:$D$40,Assumptions!$B56)*DS56*AB56,"")</f>
        <v>0</v>
      </c>
      <c r="BY56" s="41">
        <f ca="1">IFERROR(SUMIFS('TRA balance'!Z$5:Z$40,'TRA balance'!$C$5:$C$40,Assumptions!$C56,'TRA balance'!$D$5:$D$40,Assumptions!$B56)*DT56*AC56,"")</f>
        <v>0</v>
      </c>
      <c r="BZ56" s="41">
        <f ca="1">IFERROR(SUMIFS('TRA balance'!AA$5:AA$40,'TRA balance'!$C$5:$C$40,Assumptions!$C56,'TRA balance'!$D$5:$D$40,Assumptions!$B56)*DU56*AD56,"")</f>
        <v>0</v>
      </c>
      <c r="CA56" s="41">
        <f ca="1">IFERROR(SUMIFS('TRA balance'!AB$5:AB$40,'TRA balance'!$C$5:$C$40,Assumptions!$C56,'TRA balance'!$D$5:$D$40,Assumptions!$B56)*DV56*AE56,"")</f>
        <v>0</v>
      </c>
      <c r="CB56" s="41">
        <f ca="1">IFERROR(SUMIFS('TRA balance'!AC$5:AC$40,'TRA balance'!$C$5:$C$40,Assumptions!$C56,'TRA balance'!$D$5:$D$40,Assumptions!$B56)*DW56*AF56,"")</f>
        <v>0</v>
      </c>
      <c r="CC56" s="41">
        <f ca="1">IFERROR(SUMIFS('TRA balance'!AD$5:AD$40,'TRA balance'!$C$5:$C$40,Assumptions!$C56,'TRA balance'!$D$5:$D$40,Assumptions!$B56)*DX56*AG56,"")</f>
        <v>0</v>
      </c>
      <c r="CD56" s="41">
        <f ca="1">IFERROR(SUMIFS('TRA balance'!AE$5:AE$40,'TRA balance'!$C$5:$C$40,Assumptions!$C56,'TRA balance'!$D$5:$D$40,Assumptions!$B56)*DY56*AH56,"")</f>
        <v>0</v>
      </c>
      <c r="CE56" s="41">
        <f ca="1">IFERROR(SUMIFS('TRA balance'!AF$5:AF$40,'TRA balance'!$C$5:$C$40,Assumptions!$C56,'TRA balance'!$D$5:$D$40,Assumptions!$B56)*DZ56*AI56,"")</f>
        <v>0</v>
      </c>
      <c r="CF56" s="41">
        <f ca="1">IFERROR(SUMIFS('TRA balance'!AG$5:AG$40,'TRA balance'!$C$5:$C$40,Assumptions!$C56,'TRA balance'!$D$5:$D$40,Assumptions!$B56)*EA56*AJ56,"")</f>
        <v>0</v>
      </c>
      <c r="CG56" s="41">
        <f ca="1">IFERROR(SUMIFS('TRA balance'!AH$5:AH$40,'TRA balance'!$C$5:$C$40,Assumptions!$C56,'TRA balance'!$D$5:$D$40,Assumptions!$B56)*EB56*AK56,"")</f>
        <v>0</v>
      </c>
      <c r="CH56" s="41">
        <f ca="1">IFERROR(SUMIFS('TRA balance'!AI$5:AI$40,'TRA balance'!$C$5:$C$40,Assumptions!$C56,'TRA balance'!$D$5:$D$40,Assumptions!$B56)*EC56*AL56,"")</f>
        <v>0</v>
      </c>
      <c r="CI56" s="41">
        <f ca="1">IFERROR(SUMIFS('TRA balance'!AJ$5:AJ$40,'TRA balance'!$C$5:$C$40,Assumptions!$C56,'TRA balance'!$D$5:$D$40,Assumptions!$B56)*ED56*AM56,"")</f>
        <v>0</v>
      </c>
      <c r="CJ56" s="41">
        <f ca="1">IFERROR(SUMIFS('TRA balance'!AK$5:AK$40,'TRA balance'!$C$5:$C$40,Assumptions!$C56,'TRA balance'!$D$5:$D$40,Assumptions!$B56)*EE56*AN56,"")</f>
        <v>0</v>
      </c>
      <c r="CK56" s="41">
        <f ca="1">IFERROR(SUMIFS('TRA balance'!AL$5:AL$40,'TRA balance'!$C$5:$C$40,Assumptions!$C56,'TRA balance'!$D$5:$D$40,Assumptions!$B56)*EF56*AO56,"")</f>
        <v>0</v>
      </c>
      <c r="CL56" s="41">
        <f ca="1">IFERROR(SUMIFS('TRA balance'!AM$5:AM$40,'TRA balance'!$C$5:$C$40,Assumptions!$C56,'TRA balance'!$D$5:$D$40,Assumptions!$B56)*EG56*AP56,"")</f>
        <v>0</v>
      </c>
      <c r="CM56" s="41">
        <f ca="1">IFERROR(SUMIFS('TRA balance'!AN$5:AN$40,'TRA balance'!$C$5:$C$40,Assumptions!$C56,'TRA balance'!$D$5:$D$40,Assumptions!$B56)*EH56*AQ56,"")</f>
        <v>0</v>
      </c>
      <c r="CN56" s="41">
        <f ca="1">IFERROR(SUMIFS('TRA balance'!AO$5:AO$40,'TRA balance'!$C$5:$C$40,Assumptions!$C56,'TRA balance'!$D$5:$D$40,Assumptions!$B56)*EI56*AR56,"")</f>
        <v>0</v>
      </c>
      <c r="CO56" s="41">
        <f ca="1">IFERROR(SUMIFS('TRA balance'!AP$5:AP$40,'TRA balance'!$C$5:$C$40,Assumptions!$C56,'TRA balance'!$D$5:$D$40,Assumptions!$B56)*EJ56*AS56,"")</f>
        <v>0</v>
      </c>
      <c r="CP56" s="41">
        <f ca="1">IFERROR(SUMIFS('TRA balance'!AQ$5:AQ$40,'TRA balance'!$C$5:$C$40,Assumptions!$C56,'TRA balance'!$D$5:$D$40,Assumptions!$B56)*EK56*AT56,"")</f>
        <v>0</v>
      </c>
      <c r="CQ56" s="41">
        <f ca="1">IFERROR(SUMIFS('TRA balance'!AR$5:AR$40,'TRA balance'!$C$5:$C$40,Assumptions!$C56,'TRA balance'!$D$5:$D$40,Assumptions!$B56)*EL56*AU56,"")</f>
        <v>0</v>
      </c>
      <c r="CR56" s="41">
        <f ca="1">IFERROR(SUMIFS('TRA balance'!AS$5:AS$40,'TRA balance'!$C$5:$C$40,Assumptions!$C56,'TRA balance'!$D$5:$D$40,Assumptions!$B56)*EM56*AV56,"")</f>
        <v>0</v>
      </c>
      <c r="CS56" s="41">
        <f ca="1">IFERROR(SUMIFS('TRA balance'!AT$5:AT$40,'TRA balance'!$C$5:$C$40,Assumptions!$C56,'TRA balance'!$D$5:$D$40,Assumptions!$B56)*EN56*AW56,"")</f>
        <v>0</v>
      </c>
      <c r="CT56" s="41">
        <f ca="1">IFERROR(SUMIFS('TRA balance'!AU$5:AU$40,'TRA balance'!$C$5:$C$40,Assumptions!$C56,'TRA balance'!$D$5:$D$40,Assumptions!$B56)*EO56*AX56,"")</f>
        <v>0</v>
      </c>
      <c r="CU56" s="41">
        <f ca="1">IFERROR(SUMIFS('TRA balance'!AV$5:AV$40,'TRA balance'!$C$5:$C$40,Assumptions!$C56,'TRA balance'!$D$5:$D$40,Assumptions!$B56)*EP56*AY56,"")</f>
        <v>0</v>
      </c>
      <c r="CV56" s="41">
        <f ca="1">IFERROR(SUMIFS('TRA balance'!AW$5:AW$40,'TRA balance'!$C$5:$C$40,Assumptions!$C56,'TRA balance'!$D$5:$D$40,Assumptions!$B56)*EQ56*AZ56,"")</f>
        <v>0</v>
      </c>
      <c r="CW56" s="41">
        <f ca="1">IFERROR(SUMIFS('TRA balance'!AX$5:AX$40,'TRA balance'!$C$5:$C$40,Assumptions!$C56,'TRA balance'!$D$5:$D$40,Assumptions!$B56)*ER56*BA56,"")</f>
        <v>0</v>
      </c>
      <c r="CY56" s="40">
        <f ca="1" t="shared" si="66"/>
        <v>1</v>
      </c>
      <c r="CZ56" s="40">
        <f ca="1" t="shared" si="3"/>
        <v>1</v>
      </c>
      <c r="DA56" s="40">
        <f ca="1" t="shared" si="4"/>
        <v>1</v>
      </c>
      <c r="DB56" s="40">
        <f ca="1" t="shared" si="5"/>
        <v>1</v>
      </c>
      <c r="DC56" s="40">
        <f ca="1" t="shared" si="6"/>
        <v>1</v>
      </c>
      <c r="DD56" s="40">
        <f ca="1" t="shared" si="7"/>
        <v>1</v>
      </c>
      <c r="DE56" s="40">
        <f ca="1" t="shared" si="8"/>
        <v>1</v>
      </c>
      <c r="DF56" s="40">
        <f ca="1" t="shared" si="9"/>
        <v>1</v>
      </c>
      <c r="DG56" s="40">
        <f ca="1" t="shared" si="10"/>
        <v>1</v>
      </c>
      <c r="DH56" s="40">
        <f ca="1" t="shared" si="11"/>
        <v>1</v>
      </c>
      <c r="DI56" s="40">
        <f ca="1" t="shared" si="12"/>
        <v>1</v>
      </c>
      <c r="DJ56" s="40">
        <f ca="1" t="shared" si="13"/>
        <v>1</v>
      </c>
      <c r="DK56" s="40">
        <f ca="1" t="shared" si="14"/>
        <v>1</v>
      </c>
      <c r="DL56" s="40">
        <f ca="1" t="shared" si="15"/>
        <v>1</v>
      </c>
      <c r="DM56" s="40">
        <f ca="1" t="shared" si="16"/>
        <v>1</v>
      </c>
      <c r="DN56" s="40">
        <f ca="1" t="shared" si="17"/>
        <v>1</v>
      </c>
      <c r="DO56" s="40">
        <f ca="1" t="shared" si="18"/>
        <v>1</v>
      </c>
      <c r="DP56" s="40">
        <f ca="1" t="shared" si="19"/>
        <v>1</v>
      </c>
      <c r="DQ56" s="40">
        <f ca="1" t="shared" si="20"/>
        <v>1</v>
      </c>
      <c r="DR56" s="40">
        <f ca="1" t="shared" si="21"/>
        <v>1</v>
      </c>
      <c r="DS56" s="40">
        <f ca="1" t="shared" si="22"/>
        <v>1</v>
      </c>
      <c r="DT56" s="40">
        <f ca="1" t="shared" si="23"/>
        <v>1</v>
      </c>
      <c r="DU56" s="40">
        <f ca="1" t="shared" si="24"/>
        <v>1</v>
      </c>
      <c r="DV56" s="40">
        <f ca="1" t="shared" si="25"/>
        <v>1</v>
      </c>
      <c r="DW56" s="40">
        <f ca="1" t="shared" si="26"/>
        <v>1</v>
      </c>
      <c r="DX56" s="40">
        <f ca="1" t="shared" si="27"/>
        <v>1</v>
      </c>
      <c r="DY56" s="40">
        <f ca="1" t="shared" si="28"/>
        <v>1</v>
      </c>
      <c r="DZ56" s="40">
        <f ca="1" t="shared" si="29"/>
        <v>1</v>
      </c>
      <c r="EA56" s="40">
        <f ca="1" t="shared" si="30"/>
        <v>1</v>
      </c>
      <c r="EB56" s="40">
        <f ca="1" t="shared" si="31"/>
        <v>1</v>
      </c>
      <c r="EC56" s="40">
        <f ca="1" t="shared" si="32"/>
        <v>1</v>
      </c>
      <c r="ED56" s="40">
        <f ca="1" t="shared" si="33"/>
        <v>1</v>
      </c>
      <c r="EE56" s="40">
        <f ca="1" t="shared" si="34"/>
        <v>1</v>
      </c>
      <c r="EF56" s="40">
        <f ca="1" t="shared" si="35"/>
        <v>1</v>
      </c>
      <c r="EG56" s="40">
        <f ca="1" t="shared" si="36"/>
        <v>1</v>
      </c>
      <c r="EH56" s="40">
        <f ca="1" t="shared" si="37"/>
        <v>1</v>
      </c>
      <c r="EI56" s="40">
        <f ca="1" t="shared" si="38"/>
        <v>1</v>
      </c>
      <c r="EJ56" s="40">
        <f ca="1" t="shared" si="39"/>
        <v>1</v>
      </c>
      <c r="EK56" s="40">
        <f ca="1" t="shared" si="40"/>
        <v>1</v>
      </c>
      <c r="EL56" s="40">
        <f ca="1" t="shared" si="41"/>
        <v>1</v>
      </c>
      <c r="EM56" s="40">
        <f ca="1" t="shared" si="42"/>
        <v>1</v>
      </c>
      <c r="EN56" s="40">
        <f ca="1" t="shared" si="43"/>
        <v>1</v>
      </c>
      <c r="EO56" s="40">
        <f ca="1" t="shared" si="44"/>
        <v>1</v>
      </c>
      <c r="EP56" s="40">
        <f ca="1" t="shared" si="45"/>
        <v>1</v>
      </c>
      <c r="EQ56" s="40">
        <f ca="1" t="shared" si="46"/>
        <v>1</v>
      </c>
      <c r="ER56" s="40">
        <f ca="1" t="shared" si="47"/>
        <v>1</v>
      </c>
    </row>
    <row r="57" spans="1:148">
      <c r="A57">
        <v>2</v>
      </c>
      <c r="B57" t="str">
        <f>VLOOKUP(F57,'TRA balance'!$BA$5:$BB$14,2,FALSE)</f>
        <v>TRANGA</v>
      </c>
      <c r="C57" s="56" t="str">
        <f t="shared" si="48"/>
        <v>TR</v>
      </c>
      <c r="D57" s="57" t="s">
        <v>200</v>
      </c>
      <c r="E57" s="68" t="s">
        <v>212</v>
      </c>
      <c r="F57" s="58" t="str">
        <f t="shared" si="78"/>
        <v>Natural Gas</v>
      </c>
      <c r="G57" s="56" t="s">
        <v>213</v>
      </c>
      <c r="H57" s="59">
        <f ca="1">OFFSET(TIAM15_assumptions!$G57,0,MATCH(VLOOKUP(Assumptions!H$2,TIAM15_assumptions!$Y$3:$Z$87,2,FALSE),TIAM15_assumptions!$H$2:$V$2,0))</f>
        <v>0.8</v>
      </c>
      <c r="I57" s="59">
        <f ca="1">OFFSET(TIAM15_assumptions!$G57,0,MATCH(VLOOKUP(Assumptions!I$2,TIAM15_assumptions!$Y$3:$Z$87,2,FALSE),TIAM15_assumptions!$H$2:$V$2,0))</f>
        <v>0.8</v>
      </c>
      <c r="J57" s="59">
        <f ca="1">OFFSET(TIAM15_assumptions!$G57,0,MATCH(VLOOKUP(Assumptions!J$2,TIAM15_assumptions!$Y$3:$Z$87,2,FALSE),TIAM15_assumptions!$H$2:$V$2,0))</f>
        <v>0.8</v>
      </c>
      <c r="K57" s="59">
        <f ca="1">OFFSET(TIAM15_assumptions!$G57,0,MATCH(VLOOKUP(Assumptions!K$2,TIAM15_assumptions!$Y$3:$Z$87,2,FALSE),TIAM15_assumptions!$H$2:$V$2,0))</f>
        <v>1</v>
      </c>
      <c r="L57" s="59">
        <f ca="1">OFFSET(TIAM15_assumptions!$G57,0,MATCH(VLOOKUP(Assumptions!L$2,TIAM15_assumptions!$Y$3:$Z$87,2,FALSE),TIAM15_assumptions!$H$2:$V$2,0))</f>
        <v>0</v>
      </c>
      <c r="M57" s="59">
        <f ca="1">OFFSET(TIAM15_assumptions!$G57,0,MATCH(VLOOKUP(Assumptions!M$2,TIAM15_assumptions!$Y$3:$Z$87,2,FALSE),TIAM15_assumptions!$H$2:$V$2,0))</f>
        <v>1</v>
      </c>
      <c r="N57" s="59">
        <f ca="1">OFFSET(TIAM15_assumptions!$G57,0,MATCH(VLOOKUP(Assumptions!N$2,TIAM15_assumptions!$Y$3:$Z$87,2,FALSE),TIAM15_assumptions!$H$2:$V$2,0))</f>
        <v>0.6</v>
      </c>
      <c r="O57" s="59">
        <f ca="1">OFFSET(TIAM15_assumptions!$G57,0,MATCH(VLOOKUP(Assumptions!O$2,TIAM15_assumptions!$Y$3:$Z$87,2,FALSE),TIAM15_assumptions!$H$2:$V$2,0))</f>
        <v>0.8</v>
      </c>
      <c r="P57" s="59">
        <f ca="1">OFFSET(TIAM15_assumptions!$G57,0,MATCH(VLOOKUP(Assumptions!P$2,TIAM15_assumptions!$Y$3:$Z$87,2,FALSE),TIAM15_assumptions!$H$2:$V$2,0))</f>
        <v>1</v>
      </c>
      <c r="Q57" s="59">
        <f ca="1">OFFSET(TIAM15_assumptions!$G57,0,MATCH(VLOOKUP(Assumptions!Q$2,TIAM15_assumptions!$Y$3:$Z$87,2,FALSE),TIAM15_assumptions!$H$2:$V$2,0))</f>
        <v>1</v>
      </c>
      <c r="R57" s="59">
        <f ca="1">OFFSET(TIAM15_assumptions!$G57,0,MATCH(VLOOKUP(Assumptions!R$2,TIAM15_assumptions!$Y$3:$Z$87,2,FALSE),TIAM15_assumptions!$H$2:$V$2,0))</f>
        <v>1</v>
      </c>
      <c r="S57" s="59">
        <f ca="1">OFFSET(TIAM15_assumptions!$G57,0,MATCH(VLOOKUP(Assumptions!S$2,TIAM15_assumptions!$Y$3:$Z$87,2,FALSE),TIAM15_assumptions!$H$2:$V$2,0))</f>
        <v>1</v>
      </c>
      <c r="T57" s="59">
        <f ca="1">OFFSET(TIAM15_assumptions!$G57,0,MATCH(VLOOKUP(Assumptions!T$2,TIAM15_assumptions!$Y$3:$Z$87,2,FALSE),TIAM15_assumptions!$H$2:$V$2,0))</f>
        <v>1</v>
      </c>
      <c r="U57" s="59">
        <f ca="1">OFFSET(TIAM15_assumptions!$G57,0,MATCH(VLOOKUP(Assumptions!U$2,TIAM15_assumptions!$Y$3:$Z$87,2,FALSE),TIAM15_assumptions!$H$2:$V$2,0))</f>
        <v>1</v>
      </c>
      <c r="V57" s="59">
        <f ca="1">OFFSET(TIAM15_assumptions!$G57,0,MATCH(VLOOKUP(Assumptions!V$2,TIAM15_assumptions!$Y$3:$Z$87,2,FALSE),TIAM15_assumptions!$H$2:$V$2,0))</f>
        <v>1</v>
      </c>
      <c r="W57" s="59">
        <f ca="1">OFFSET(TIAM15_assumptions!$G57,0,MATCH(VLOOKUP(Assumptions!W$2,TIAM15_assumptions!$Y$3:$Z$87,2,FALSE),TIAM15_assumptions!$H$2:$V$2,0))</f>
        <v>0.8</v>
      </c>
      <c r="X57" s="59">
        <f ca="1">OFFSET(TIAM15_assumptions!$G57,0,MATCH(VLOOKUP(Assumptions!X$2,TIAM15_assumptions!$Y$3:$Z$87,2,FALSE),TIAM15_assumptions!$H$2:$V$2,0))</f>
        <v>1</v>
      </c>
      <c r="Y57" s="59">
        <f ca="1">OFFSET(TIAM15_assumptions!$G57,0,MATCH(VLOOKUP(Assumptions!Y$2,TIAM15_assumptions!$Y$3:$Z$87,2,FALSE),TIAM15_assumptions!$H$2:$V$2,0))</f>
        <v>1</v>
      </c>
      <c r="Z57" s="59">
        <f ca="1">OFFSET(TIAM15_assumptions!$G57,0,MATCH(VLOOKUP(Assumptions!Z$2,TIAM15_assumptions!$Y$3:$Z$87,2,FALSE),TIAM15_assumptions!$H$2:$V$2,0))</f>
        <v>0</v>
      </c>
      <c r="AA57" s="59">
        <f ca="1">OFFSET(TIAM15_assumptions!$G57,0,MATCH(VLOOKUP(Assumptions!AA$2,TIAM15_assumptions!$Y$3:$Z$87,2,FALSE),TIAM15_assumptions!$H$2:$V$2,0))</f>
        <v>0.6</v>
      </c>
      <c r="AB57" s="59">
        <f ca="1">OFFSET(TIAM15_assumptions!$G57,0,MATCH(VLOOKUP(Assumptions!AB$2,TIAM15_assumptions!$Y$3:$Z$87,2,FALSE),TIAM15_assumptions!$H$2:$V$2,0))</f>
        <v>1</v>
      </c>
      <c r="AC57" s="59">
        <f ca="1">OFFSET(TIAM15_assumptions!$G57,0,MATCH(VLOOKUP(Assumptions!AC$2,TIAM15_assumptions!$Y$3:$Z$87,2,FALSE),TIAM15_assumptions!$H$2:$V$2,0))</f>
        <v>0.02</v>
      </c>
      <c r="AD57" s="59">
        <f ca="1">OFFSET(TIAM15_assumptions!$G57,0,MATCH(VLOOKUP(Assumptions!AD$2,TIAM15_assumptions!$Y$3:$Z$87,2,FALSE),TIAM15_assumptions!$H$2:$V$2,0))</f>
        <v>1</v>
      </c>
      <c r="AE57" s="59">
        <f ca="1">OFFSET(TIAM15_assumptions!$G57,0,MATCH(VLOOKUP(Assumptions!AE$2,TIAM15_assumptions!$Y$3:$Z$87,2,FALSE),TIAM15_assumptions!$H$2:$V$2,0))</f>
        <v>1</v>
      </c>
      <c r="AF57" s="59">
        <f ca="1">OFFSET(TIAM15_assumptions!$G57,0,MATCH(VLOOKUP(Assumptions!AF$2,TIAM15_assumptions!$Y$3:$Z$87,2,FALSE),TIAM15_assumptions!$H$2:$V$2,0))</f>
        <v>0.7</v>
      </c>
      <c r="AG57" s="59">
        <f ca="1">OFFSET(TIAM15_assumptions!$G57,0,MATCH(VLOOKUP(Assumptions!AG$2,TIAM15_assumptions!$Y$3:$Z$87,2,FALSE),TIAM15_assumptions!$H$2:$V$2,0))</f>
        <v>0</v>
      </c>
      <c r="AH57" s="59">
        <f ca="1">OFFSET(TIAM15_assumptions!$G57,0,MATCH(VLOOKUP(Assumptions!AH$2,TIAM15_assumptions!$Y$3:$Z$87,2,FALSE),TIAM15_assumptions!$H$2:$V$2,0))</f>
        <v>1</v>
      </c>
      <c r="AI57" s="59">
        <f ca="1">OFFSET(TIAM15_assumptions!$G57,0,MATCH(VLOOKUP(Assumptions!AI$2,TIAM15_assumptions!$Y$3:$Z$87,2,FALSE),TIAM15_assumptions!$H$2:$V$2,0))</f>
        <v>0.8</v>
      </c>
      <c r="AJ57" s="59">
        <f ca="1">OFFSET(TIAM15_assumptions!$G57,0,MATCH(VLOOKUP(Assumptions!AJ$2,TIAM15_assumptions!$Y$3:$Z$87,2,FALSE),TIAM15_assumptions!$H$2:$V$2,0))</f>
        <v>1</v>
      </c>
      <c r="AK57" s="59">
        <f ca="1">OFFSET(TIAM15_assumptions!$G57,0,MATCH(VLOOKUP(Assumptions!AK$2,TIAM15_assumptions!$Y$3:$Z$87,2,FALSE),TIAM15_assumptions!$H$2:$V$2,0))</f>
        <v>1</v>
      </c>
      <c r="AL57" s="59">
        <f ca="1">OFFSET(TIAM15_assumptions!$G57,0,MATCH(VLOOKUP(Assumptions!AL$2,TIAM15_assumptions!$Y$3:$Z$87,2,FALSE),TIAM15_assumptions!$H$2:$V$2,0))</f>
        <v>1</v>
      </c>
      <c r="AM57" s="59">
        <f ca="1">OFFSET(TIAM15_assumptions!$G57,0,MATCH(VLOOKUP(Assumptions!AM$2,TIAM15_assumptions!$Y$3:$Z$87,2,FALSE),TIAM15_assumptions!$H$2:$V$2,0))</f>
        <v>1</v>
      </c>
      <c r="AN57" s="59">
        <f ca="1">OFFSET(TIAM15_assumptions!$G57,0,MATCH(VLOOKUP(Assumptions!AN$2,TIAM15_assumptions!$Y$3:$Z$87,2,FALSE),TIAM15_assumptions!$H$2:$V$2,0))</f>
        <v>1</v>
      </c>
      <c r="AO57" s="59">
        <f ca="1">OFFSET(TIAM15_assumptions!$G57,0,MATCH(VLOOKUP(Assumptions!AO$2,TIAM15_assumptions!$Y$3:$Z$87,2,FALSE),TIAM15_assumptions!$H$2:$V$2,0))</f>
        <v>0</v>
      </c>
      <c r="AP57" s="59">
        <f ca="1">OFFSET(TIAM15_assumptions!$G57,0,MATCH(VLOOKUP(Assumptions!AP$2,TIAM15_assumptions!$Y$3:$Z$87,2,FALSE),TIAM15_assumptions!$H$2:$V$2,0))</f>
        <v>1</v>
      </c>
      <c r="AQ57" s="59">
        <f ca="1">OFFSET(TIAM15_assumptions!$G57,0,MATCH(VLOOKUP(Assumptions!AQ$2,TIAM15_assumptions!$Y$3:$Z$87,2,FALSE),TIAM15_assumptions!$H$2:$V$2,0))</f>
        <v>0.02</v>
      </c>
      <c r="AR57" s="59">
        <f ca="1">OFFSET(TIAM15_assumptions!$G57,0,MATCH(VLOOKUP(Assumptions!AR$2,TIAM15_assumptions!$Y$3:$Z$87,2,FALSE),TIAM15_assumptions!$H$2:$V$2,0))</f>
        <v>0.02</v>
      </c>
      <c r="AS57" s="59">
        <f ca="1">OFFSET(TIAM15_assumptions!$G57,0,MATCH(VLOOKUP(Assumptions!AS$2,TIAM15_assumptions!$Y$3:$Z$87,2,FALSE),TIAM15_assumptions!$H$2:$V$2,0))</f>
        <v>0.02</v>
      </c>
      <c r="AT57" s="59">
        <f ca="1">OFFSET(TIAM15_assumptions!$G57,0,MATCH(VLOOKUP(Assumptions!AT$2,TIAM15_assumptions!$Y$3:$Z$87,2,FALSE),TIAM15_assumptions!$H$2:$V$2,0))</f>
        <v>0.02</v>
      </c>
      <c r="AU57" s="59">
        <f ca="1">OFFSET(TIAM15_assumptions!$G57,0,MATCH(VLOOKUP(Assumptions!AU$2,TIAM15_assumptions!$Y$3:$Z$87,2,FALSE),TIAM15_assumptions!$H$2:$V$2,0))</f>
        <v>0.02</v>
      </c>
      <c r="AV57" s="59">
        <f ca="1">OFFSET(TIAM15_assumptions!$G57,0,MATCH(VLOOKUP(Assumptions!AV$2,TIAM15_assumptions!$Y$3:$Z$87,2,FALSE),TIAM15_assumptions!$H$2:$V$2,0))</f>
        <v>0.02</v>
      </c>
      <c r="AW57" s="59">
        <f ca="1">OFFSET(TIAM15_assumptions!$G57,0,MATCH(VLOOKUP(Assumptions!AW$2,TIAM15_assumptions!$Y$3:$Z$87,2,FALSE),TIAM15_assumptions!$H$2:$V$2,0))</f>
        <v>0.02</v>
      </c>
      <c r="AX57" s="59">
        <f ca="1">OFFSET(TIAM15_assumptions!$G57,0,MATCH(VLOOKUP(Assumptions!AX$2,TIAM15_assumptions!$Y$3:$Z$87,2,FALSE),TIAM15_assumptions!$H$2:$V$2,0))</f>
        <v>0.02</v>
      </c>
      <c r="AY57" s="59">
        <f ca="1">OFFSET(TIAM15_assumptions!$G57,0,MATCH(VLOOKUP(Assumptions!AY$2,TIAM15_assumptions!$Y$3:$Z$87,2,FALSE),TIAM15_assumptions!$H$2:$V$2,0))</f>
        <v>0.02</v>
      </c>
      <c r="AZ57" s="59">
        <f ca="1">OFFSET(TIAM15_assumptions!$G57,0,MATCH(VLOOKUP(Assumptions!AZ$2,TIAM15_assumptions!$Y$3:$Z$87,2,FALSE),TIAM15_assumptions!$H$2:$V$2,0))</f>
        <v>0.02</v>
      </c>
      <c r="BA57" s="59">
        <f ca="1">OFFSET(TIAM15_assumptions!$G57,0,MATCH(VLOOKUP(Assumptions!BA$2,TIAM15_assumptions!$Y$3:$Z$87,2,FALSE),TIAM15_assumptions!$H$2:$V$2,0))</f>
        <v>0.02</v>
      </c>
      <c r="BD57" s="41">
        <f ca="1">IFERROR(SUMIFS('TRA balance'!E$5:E$40,'TRA balance'!$C$5:$C$40,Assumptions!$C57,'TRA balance'!$D$5:$D$40,Assumptions!$B57)*CY57*H57,"")</f>
        <v>12.20883189192</v>
      </c>
      <c r="BE57" s="41">
        <f ca="1">IFERROR(SUMIFS('TRA balance'!F$5:F$40,'TRA balance'!$C$5:$C$40,Assumptions!$C57,'TRA balance'!$D$5:$D$40,Assumptions!$B57)*CZ57*I57,"")</f>
        <v>0.04481299512</v>
      </c>
      <c r="BF57" s="41">
        <f ca="1">IFERROR(SUMIFS('TRA balance'!G$5:G$40,'TRA balance'!$C$5:$C$40,Assumptions!$C57,'TRA balance'!$D$5:$D$40,Assumptions!$B57)*DA57*J57,"")</f>
        <v>1.87407196992</v>
      </c>
      <c r="BG57" s="41">
        <f ca="1">IFERROR(SUMIFS('TRA balance'!H$5:H$40,'TRA balance'!$C$5:$C$40,Assumptions!$C57,'TRA balance'!$D$5:$D$40,Assumptions!$B57)*DB57*K57,"")</f>
        <v>0.2493077622048</v>
      </c>
      <c r="BH57" s="41">
        <f ca="1">IFERROR(SUMIFS('TRA balance'!I$5:I$40,'TRA balance'!$C$5:$C$40,Assumptions!$C57,'TRA balance'!$D$5:$D$40,Assumptions!$B57)*DC57*L57,"")</f>
        <v>0</v>
      </c>
      <c r="BI57" s="41">
        <f ca="1">IFERROR(SUMIFS('TRA balance'!J$5:J$40,'TRA balance'!$C$5:$C$40,Assumptions!$C57,'TRA balance'!$D$5:$D$40,Assumptions!$B57)*DD57*M57,"")</f>
        <v>1.22013044442</v>
      </c>
      <c r="BJ57" s="41">
        <f ca="1">IFERROR(SUMIFS('TRA balance'!K$5:K$40,'TRA balance'!$C$5:$C$40,Assumptions!$C57,'TRA balance'!$D$5:$D$40,Assumptions!$B57)*DE57*N57,"")</f>
        <v>25.25192052768</v>
      </c>
      <c r="BK57" s="41">
        <f ca="1">IFERROR(SUMIFS('TRA balance'!L$5:L$40,'TRA balance'!$C$5:$C$40,Assumptions!$C57,'TRA balance'!$D$5:$D$40,Assumptions!$B57)*DF57*O57,"")</f>
        <v>493.603358084352</v>
      </c>
      <c r="BL57" s="41">
        <f ca="1">IFERROR(SUMIFS('TRA balance'!M$5:M$40,'TRA balance'!$C$5:$C$40,Assumptions!$C57,'TRA balance'!$D$5:$D$40,Assumptions!$B57)*DG57*P57,"")</f>
        <v>0.3512432124</v>
      </c>
      <c r="BM57" s="41">
        <f ca="1">IFERROR(SUMIFS('TRA balance'!N$5:N$40,'TRA balance'!$C$5:$C$40,Assumptions!$C57,'TRA balance'!$D$5:$D$40,Assumptions!$B57)*DH57*Q57,"")</f>
        <v>3.1564536408</v>
      </c>
      <c r="BN57" s="41">
        <f ca="1">IFERROR(SUMIFS('TRA balance'!O$5:O$40,'TRA balance'!$C$5:$C$40,Assumptions!$C57,'TRA balance'!$D$5:$D$40,Assumptions!$B57)*DI57*R57,"")</f>
        <v>2.166238303884</v>
      </c>
      <c r="BO57" s="41">
        <f ca="1">IFERROR(SUMIFS('TRA balance'!P$5:P$40,'TRA balance'!$C$5:$C$40,Assumptions!$C57,'TRA balance'!$D$5:$D$40,Assumptions!$B57)*DJ57*S57,"")</f>
        <v>2.6510232201624</v>
      </c>
      <c r="BP57" s="41">
        <f ca="1">IFERROR(SUMIFS('TRA balance'!Q$5:Q$40,'TRA balance'!$C$5:$C$40,Assumptions!$C57,'TRA balance'!$D$5:$D$40,Assumptions!$B57)*DK57*T57,"")</f>
        <v>0.238201203384</v>
      </c>
      <c r="BQ57" s="41">
        <f ca="1">IFERROR(SUMIFS('TRA balance'!R$5:R$40,'TRA balance'!$C$5:$C$40,Assumptions!$C57,'TRA balance'!$D$5:$D$40,Assumptions!$B57)*DL57*U57,"")</f>
        <v>4.0482462276</v>
      </c>
      <c r="BR57" s="41">
        <f ca="1">IFERROR(SUMIFS('TRA balance'!S$5:S$40,'TRA balance'!$C$5:$C$40,Assumptions!$C57,'TRA balance'!$D$5:$D$40,Assumptions!$B57)*DM57*V57,"")</f>
        <v>0.023672334672</v>
      </c>
      <c r="BS57" s="41">
        <f ca="1">IFERROR(SUMIFS('TRA balance'!T$5:T$40,'TRA balance'!$C$5:$C$40,Assumptions!$C57,'TRA balance'!$D$5:$D$40,Assumptions!$B57)*DN57*W57,"")</f>
        <v>74.02844532672</v>
      </c>
      <c r="BT57" s="41">
        <f ca="1">IFERROR(SUMIFS('TRA balance'!U$5:U$40,'TRA balance'!$C$5:$C$40,Assumptions!$C57,'TRA balance'!$D$5:$D$40,Assumptions!$B57)*DO57*X57,"")</f>
        <v>0</v>
      </c>
      <c r="BU57" s="41">
        <f ca="1">IFERROR(SUMIFS('TRA balance'!V$5:V$40,'TRA balance'!$C$5:$C$40,Assumptions!$C57,'TRA balance'!$D$5:$D$40,Assumptions!$B57)*DP57*Y57,"")</f>
        <v>12.7800637360776</v>
      </c>
      <c r="BV57" s="41">
        <f ca="1">IFERROR(SUMIFS('TRA balance'!W$5:W$40,'TRA balance'!$C$5:$C$40,Assumptions!$C57,'TRA balance'!$D$5:$D$40,Assumptions!$B57)*DQ57*Z57,"")</f>
        <v>0</v>
      </c>
      <c r="BW57" s="41">
        <f ca="1">IFERROR(SUMIFS('TRA balance'!X$5:X$40,'TRA balance'!$C$5:$C$40,Assumptions!$C57,'TRA balance'!$D$5:$D$40,Assumptions!$B57)*DR57*AA57,"")</f>
        <v>48.56458814568</v>
      </c>
      <c r="BX57" s="41">
        <f ca="1">IFERROR(SUMIFS('TRA balance'!Y$5:Y$40,'TRA balance'!$C$5:$C$40,Assumptions!$C57,'TRA balance'!$D$5:$D$40,Assumptions!$B57)*DS57*AB57,"")</f>
        <v>88.8629100926184</v>
      </c>
      <c r="BY57" s="41">
        <f ca="1">IFERROR(SUMIFS('TRA balance'!Z$5:Z$40,'TRA balance'!$C$5:$C$40,Assumptions!$C57,'TRA balance'!$D$5:$D$40,Assumptions!$B57)*DT57*AC57,"")</f>
        <v>0.0226417853609724</v>
      </c>
      <c r="BZ57" s="41">
        <f ca="1">IFERROR(SUMIFS('TRA balance'!AA$5:AA$40,'TRA balance'!$C$5:$C$40,Assumptions!$C57,'TRA balance'!$D$5:$D$40,Assumptions!$B57)*DU57*AD57,"")</f>
        <v>0.7536043806552</v>
      </c>
      <c r="CA57" s="41">
        <f ca="1">IFERROR(SUMIFS('TRA balance'!AB$5:AB$40,'TRA balance'!$C$5:$C$40,Assumptions!$C57,'TRA balance'!$D$5:$D$40,Assumptions!$B57)*DV57*AE57,"")</f>
        <v>0.7183669572</v>
      </c>
      <c r="CB57" s="41">
        <f ca="1">IFERROR(SUMIFS('TRA balance'!AC$5:AC$40,'TRA balance'!$C$5:$C$40,Assumptions!$C57,'TRA balance'!$D$5:$D$40,Assumptions!$B57)*DW57*AF57,"")</f>
        <v>25.542652505832</v>
      </c>
      <c r="CC57" s="41">
        <f ca="1">IFERROR(SUMIFS('TRA balance'!AD$5:AD$40,'TRA balance'!$C$5:$C$40,Assumptions!$C57,'TRA balance'!$D$5:$D$40,Assumptions!$B57)*DX57*AG57,"")</f>
        <v>0</v>
      </c>
      <c r="CD57" s="41">
        <f ca="1">IFERROR(SUMIFS('TRA balance'!AE$5:AE$40,'TRA balance'!$C$5:$C$40,Assumptions!$C57,'TRA balance'!$D$5:$D$40,Assumptions!$B57)*DY57*AH57,"")</f>
        <v>0</v>
      </c>
      <c r="CE57" s="41">
        <f ca="1">IFERROR(SUMIFS('TRA balance'!AF$5:AF$40,'TRA balance'!$C$5:$C$40,Assumptions!$C57,'TRA balance'!$D$5:$D$40,Assumptions!$B57)*DZ57*AI57,"")</f>
        <v>0.00439865208</v>
      </c>
      <c r="CF57" s="41">
        <f ca="1">IFERROR(SUMIFS('TRA balance'!AG$5:AG$40,'TRA balance'!$C$5:$C$40,Assumptions!$C57,'TRA balance'!$D$5:$D$40,Assumptions!$B57)*EA57*AJ57,"")</f>
        <v>2.8200767085</v>
      </c>
      <c r="CG57" s="41">
        <f ca="1">IFERROR(SUMIFS('TRA balance'!AH$5:AH$40,'TRA balance'!$C$5:$C$40,Assumptions!$C57,'TRA balance'!$D$5:$D$40,Assumptions!$B57)*EB57*AK57,"")</f>
        <v>1.6777880367984</v>
      </c>
      <c r="CH57" s="41">
        <f ca="1">IFERROR(SUMIFS('TRA balance'!AI$5:AI$40,'TRA balance'!$C$5:$C$40,Assumptions!$C57,'TRA balance'!$D$5:$D$40,Assumptions!$B57)*EC57*AL57,"")</f>
        <v>0.1857399546168</v>
      </c>
      <c r="CI57" s="41">
        <f ca="1">IFERROR(SUMIFS('TRA balance'!AJ$5:AJ$40,'TRA balance'!$C$5:$C$40,Assumptions!$C57,'TRA balance'!$D$5:$D$40,Assumptions!$B57)*ED57*AM57,"")</f>
        <v>1.0632619508472</v>
      </c>
      <c r="CJ57" s="41">
        <f ca="1">IFERROR(SUMIFS('TRA balance'!AK$5:AK$40,'TRA balance'!$C$5:$C$40,Assumptions!$C57,'TRA balance'!$D$5:$D$40,Assumptions!$B57)*EE57*AN57,"")</f>
        <v>0.1811652559704</v>
      </c>
      <c r="CK57" s="41">
        <f ca="1">IFERROR(SUMIFS('TRA balance'!AL$5:AL$40,'TRA balance'!$C$5:$C$40,Assumptions!$C57,'TRA balance'!$D$5:$D$40,Assumptions!$B57)*EF57*AO57,"")</f>
        <v>0</v>
      </c>
      <c r="CL57" s="41">
        <f ca="1">IFERROR(SUMIFS('TRA balance'!AM$5:AM$40,'TRA balance'!$C$5:$C$40,Assumptions!$C57,'TRA balance'!$D$5:$D$40,Assumptions!$B57)*EG57*AP57,"")</f>
        <v>0.5497184664</v>
      </c>
      <c r="CM57" s="41">
        <f ca="1">IFERROR(SUMIFS('TRA balance'!AN$5:AN$40,'TRA balance'!$C$5:$C$40,Assumptions!$C57,'TRA balance'!$D$5:$D$40,Assumptions!$B57)*EH57*AQ57,"")</f>
        <v>0</v>
      </c>
      <c r="CN57" s="41">
        <f ca="1">IFERROR(SUMIFS('TRA balance'!AO$5:AO$40,'TRA balance'!$C$5:$C$40,Assumptions!$C57,'TRA balance'!$D$5:$D$40,Assumptions!$B57)*EI57*AR57,"")</f>
        <v>0</v>
      </c>
      <c r="CO57" s="41">
        <f ca="1">IFERROR(SUMIFS('TRA balance'!AP$5:AP$40,'TRA balance'!$C$5:$C$40,Assumptions!$C57,'TRA balance'!$D$5:$D$40,Assumptions!$B57)*EJ57*AS57,"")</f>
        <v>0</v>
      </c>
      <c r="CP57" s="41">
        <f ca="1">IFERROR(SUMIFS('TRA balance'!AQ$5:AQ$40,'TRA balance'!$C$5:$C$40,Assumptions!$C57,'TRA balance'!$D$5:$D$40,Assumptions!$B57)*EK57*AT57,"")</f>
        <v>0</v>
      </c>
      <c r="CQ57" s="41">
        <f ca="1">IFERROR(SUMIFS('TRA balance'!AR$5:AR$40,'TRA balance'!$C$5:$C$40,Assumptions!$C57,'TRA balance'!$D$5:$D$40,Assumptions!$B57)*EL57*AU57,"")</f>
        <v>0</v>
      </c>
      <c r="CR57" s="41">
        <f ca="1">IFERROR(SUMIFS('TRA balance'!AS$5:AS$40,'TRA balance'!$C$5:$C$40,Assumptions!$C57,'TRA balance'!$D$5:$D$40,Assumptions!$B57)*EM57*AV57,"")</f>
        <v>0</v>
      </c>
      <c r="CS57" s="41">
        <f ca="1">IFERROR(SUMIFS('TRA balance'!AT$5:AT$40,'TRA balance'!$C$5:$C$40,Assumptions!$C57,'TRA balance'!$D$5:$D$40,Assumptions!$B57)*EN57*AW57,"")</f>
        <v>0</v>
      </c>
      <c r="CT57" s="41">
        <f ca="1">IFERROR(SUMIFS('TRA balance'!AU$5:AU$40,'TRA balance'!$C$5:$C$40,Assumptions!$C57,'TRA balance'!$D$5:$D$40,Assumptions!$B57)*EO57*AX57,"")</f>
        <v>0</v>
      </c>
      <c r="CU57" s="41">
        <f ca="1">IFERROR(SUMIFS('TRA balance'!AV$5:AV$40,'TRA balance'!$C$5:$C$40,Assumptions!$C57,'TRA balance'!$D$5:$D$40,Assumptions!$B57)*EP57*AY57,"")</f>
        <v>0</v>
      </c>
      <c r="CV57" s="41">
        <f ca="1">IFERROR(SUMIFS('TRA balance'!AW$5:AW$40,'TRA balance'!$C$5:$C$40,Assumptions!$C57,'TRA balance'!$D$5:$D$40,Assumptions!$B57)*EQ57*AZ57,"")</f>
        <v>0</v>
      </c>
      <c r="CW57" s="41">
        <f ca="1">IFERROR(SUMIFS('TRA balance'!AX$5:AX$40,'TRA balance'!$C$5:$C$40,Assumptions!$C57,'TRA balance'!$D$5:$D$40,Assumptions!$B57)*ER57*BA57,"")</f>
        <v>0</v>
      </c>
      <c r="CY57" s="40">
        <f ca="1" t="shared" si="66"/>
        <v>0.75</v>
      </c>
      <c r="CZ57" s="40">
        <f ca="1" t="shared" si="3"/>
        <v>0.75</v>
      </c>
      <c r="DA57" s="40">
        <f ca="1" t="shared" si="4"/>
        <v>0.75</v>
      </c>
      <c r="DB57" s="40">
        <f ca="1" t="shared" si="5"/>
        <v>0.318</v>
      </c>
      <c r="DC57" s="40">
        <f ca="1" t="shared" si="6"/>
        <v>0.3</v>
      </c>
      <c r="DD57" s="40">
        <f ca="1" t="shared" si="7"/>
        <v>0.318</v>
      </c>
      <c r="DE57" s="40">
        <f ca="1" t="shared" si="8"/>
        <v>0.5</v>
      </c>
      <c r="DF57" s="40">
        <f ca="1" t="shared" si="9"/>
        <v>0.6</v>
      </c>
      <c r="DG57" s="40">
        <f ca="1" t="shared" si="10"/>
        <v>1</v>
      </c>
      <c r="DH57" s="40">
        <f ca="1" t="shared" si="11"/>
        <v>1</v>
      </c>
      <c r="DI57" s="40">
        <f ca="1" t="shared" si="12"/>
        <v>0.318</v>
      </c>
      <c r="DJ57" s="40">
        <f ca="1" t="shared" si="13"/>
        <v>0.318</v>
      </c>
      <c r="DK57" s="40">
        <f ca="1" t="shared" si="14"/>
        <v>0.318</v>
      </c>
      <c r="DL57" s="40">
        <f ca="1" t="shared" si="15"/>
        <v>1</v>
      </c>
      <c r="DM57" s="40">
        <f ca="1" t="shared" si="16"/>
        <v>0.318</v>
      </c>
      <c r="DN57" s="40">
        <f ca="1" t="shared" si="17"/>
        <v>0.75</v>
      </c>
      <c r="DO57" s="40">
        <f ca="1" t="shared" si="18"/>
        <v>0.318</v>
      </c>
      <c r="DP57" s="40">
        <f ca="1" t="shared" si="19"/>
        <v>0.318</v>
      </c>
      <c r="DQ57" s="40">
        <f ca="1" t="shared" si="20"/>
        <v>0.05</v>
      </c>
      <c r="DR57" s="40">
        <f ca="1" t="shared" si="21"/>
        <v>0.5</v>
      </c>
      <c r="DS57" s="40">
        <f ca="1" t="shared" si="22"/>
        <v>0.318</v>
      </c>
      <c r="DT57" s="40">
        <f ca="1" t="shared" si="23"/>
        <v>0.02083020544021</v>
      </c>
      <c r="DU57" s="40">
        <f ca="1" t="shared" si="24"/>
        <v>0.318</v>
      </c>
      <c r="DV57" s="40">
        <f ca="1" t="shared" si="25"/>
        <v>1</v>
      </c>
      <c r="DW57" s="40">
        <f ca="1" t="shared" si="26"/>
        <v>0.1</v>
      </c>
      <c r="DX57" s="40">
        <f ca="1" t="shared" si="27"/>
        <v>0.3</v>
      </c>
      <c r="DY57" s="40">
        <f ca="1" t="shared" si="28"/>
        <v>0.318</v>
      </c>
      <c r="DZ57" s="40">
        <f ca="1" t="shared" si="29"/>
        <v>0.75</v>
      </c>
      <c r="EA57" s="40">
        <f ca="1" t="shared" si="30"/>
        <v>0.318</v>
      </c>
      <c r="EB57" s="40">
        <f ca="1" t="shared" si="31"/>
        <v>0.318</v>
      </c>
      <c r="EC57" s="40">
        <f ca="1" t="shared" si="32"/>
        <v>0.318</v>
      </c>
      <c r="ED57" s="40">
        <f ca="1" t="shared" si="33"/>
        <v>0.318</v>
      </c>
      <c r="EE57" s="40">
        <f ca="1" t="shared" si="34"/>
        <v>0.318</v>
      </c>
      <c r="EF57" s="40">
        <f ca="1" t="shared" si="35"/>
        <v>0.3</v>
      </c>
      <c r="EG57" s="40">
        <f ca="1" t="shared" si="36"/>
        <v>1</v>
      </c>
      <c r="EH57" s="40">
        <f ca="1" t="shared" si="37"/>
        <v>0.02083020544021</v>
      </c>
      <c r="EI57" s="40">
        <f ca="1" t="shared" si="38"/>
        <v>0.02083020544021</v>
      </c>
      <c r="EJ57" s="40">
        <f ca="1" t="shared" si="39"/>
        <v>0.02083020544021</v>
      </c>
      <c r="EK57" s="40">
        <f ca="1" t="shared" si="40"/>
        <v>0.02083020544021</v>
      </c>
      <c r="EL57" s="40">
        <f ca="1" t="shared" si="41"/>
        <v>0.02083020544021</v>
      </c>
      <c r="EM57" s="40">
        <f ca="1" t="shared" si="42"/>
        <v>0.02083020544021</v>
      </c>
      <c r="EN57" s="40">
        <f ca="1" t="shared" si="43"/>
        <v>0.02083020544021</v>
      </c>
      <c r="EO57" s="40">
        <f ca="1" t="shared" si="44"/>
        <v>0.02083020544021</v>
      </c>
      <c r="EP57" s="40">
        <f ca="1" t="shared" si="45"/>
        <v>0.02083020544021</v>
      </c>
      <c r="EQ57" s="40">
        <f ca="1" t="shared" si="46"/>
        <v>0.02083020544021</v>
      </c>
      <c r="ER57" s="40">
        <f ca="1" t="shared" si="47"/>
        <v>0.02083020544021</v>
      </c>
    </row>
    <row r="58" spans="1:148">
      <c r="A58">
        <v>2</v>
      </c>
      <c r="B58" t="str">
        <f>VLOOKUP(F58,'TRA balance'!$BA$5:$BB$14,2,FALSE)</f>
        <v>TRANGA</v>
      </c>
      <c r="C58" s="56" t="str">
        <f t="shared" si="48"/>
        <v>TR</v>
      </c>
      <c r="D58" s="57" t="s">
        <v>200</v>
      </c>
      <c r="E58" s="68" t="s">
        <v>214</v>
      </c>
      <c r="F58" s="58" t="str">
        <f t="shared" ref="F58:F61" si="82">F57</f>
        <v>Natural Gas</v>
      </c>
      <c r="G58" s="56" t="s">
        <v>215</v>
      </c>
      <c r="H58" s="59">
        <f ca="1">OFFSET(TIAM15_assumptions!$G58,0,MATCH(VLOOKUP(Assumptions!H$2,TIAM15_assumptions!$Y$3:$Z$87,2,FALSE),TIAM15_assumptions!$H$2:$V$2,0))</f>
        <v>0</v>
      </c>
      <c r="I58" s="59">
        <f ca="1">OFFSET(TIAM15_assumptions!$G58,0,MATCH(VLOOKUP(Assumptions!I$2,TIAM15_assumptions!$Y$3:$Z$87,2,FALSE),TIAM15_assumptions!$H$2:$V$2,0))</f>
        <v>0</v>
      </c>
      <c r="J58" s="59">
        <f ca="1">OFFSET(TIAM15_assumptions!$G58,0,MATCH(VLOOKUP(Assumptions!J$2,TIAM15_assumptions!$Y$3:$Z$87,2,FALSE),TIAM15_assumptions!$H$2:$V$2,0))</f>
        <v>0</v>
      </c>
      <c r="K58" s="59">
        <f ca="1">OFFSET(TIAM15_assumptions!$G58,0,MATCH(VLOOKUP(Assumptions!K$2,TIAM15_assumptions!$Y$3:$Z$87,2,FALSE),TIAM15_assumptions!$H$2:$V$2,0))</f>
        <v>0</v>
      </c>
      <c r="L58" s="59">
        <f ca="1">OFFSET(TIAM15_assumptions!$G58,0,MATCH(VLOOKUP(Assumptions!L$2,TIAM15_assumptions!$Y$3:$Z$87,2,FALSE),TIAM15_assumptions!$H$2:$V$2,0))</f>
        <v>0</v>
      </c>
      <c r="M58" s="59">
        <f ca="1">OFFSET(TIAM15_assumptions!$G58,0,MATCH(VLOOKUP(Assumptions!M$2,TIAM15_assumptions!$Y$3:$Z$87,2,FALSE),TIAM15_assumptions!$H$2:$V$2,0))</f>
        <v>0</v>
      </c>
      <c r="N58" s="59">
        <f ca="1">OFFSET(TIAM15_assumptions!$G58,0,MATCH(VLOOKUP(Assumptions!N$2,TIAM15_assumptions!$Y$3:$Z$87,2,FALSE),TIAM15_assumptions!$H$2:$V$2,0))</f>
        <v>0</v>
      </c>
      <c r="O58" s="59">
        <f ca="1">OFFSET(TIAM15_assumptions!$G58,0,MATCH(VLOOKUP(Assumptions!O$2,TIAM15_assumptions!$Y$3:$Z$87,2,FALSE),TIAM15_assumptions!$H$2:$V$2,0))</f>
        <v>0</v>
      </c>
      <c r="P58" s="59">
        <f ca="1">OFFSET(TIAM15_assumptions!$G58,0,MATCH(VLOOKUP(Assumptions!P$2,TIAM15_assumptions!$Y$3:$Z$87,2,FALSE),TIAM15_assumptions!$H$2:$V$2,0))</f>
        <v>0</v>
      </c>
      <c r="Q58" s="59">
        <f ca="1">OFFSET(TIAM15_assumptions!$G58,0,MATCH(VLOOKUP(Assumptions!Q$2,TIAM15_assumptions!$Y$3:$Z$87,2,FALSE),TIAM15_assumptions!$H$2:$V$2,0))</f>
        <v>0</v>
      </c>
      <c r="R58" s="59">
        <f ca="1">OFFSET(TIAM15_assumptions!$G58,0,MATCH(VLOOKUP(Assumptions!R$2,TIAM15_assumptions!$Y$3:$Z$87,2,FALSE),TIAM15_assumptions!$H$2:$V$2,0))</f>
        <v>0</v>
      </c>
      <c r="S58" s="59">
        <f ca="1">OFFSET(TIAM15_assumptions!$G58,0,MATCH(VLOOKUP(Assumptions!S$2,TIAM15_assumptions!$Y$3:$Z$87,2,FALSE),TIAM15_assumptions!$H$2:$V$2,0))</f>
        <v>0</v>
      </c>
      <c r="T58" s="59">
        <f ca="1">OFFSET(TIAM15_assumptions!$G58,0,MATCH(VLOOKUP(Assumptions!T$2,TIAM15_assumptions!$Y$3:$Z$87,2,FALSE),TIAM15_assumptions!$H$2:$V$2,0))</f>
        <v>0</v>
      </c>
      <c r="U58" s="59">
        <f ca="1">OFFSET(TIAM15_assumptions!$G58,0,MATCH(VLOOKUP(Assumptions!U$2,TIAM15_assumptions!$Y$3:$Z$87,2,FALSE),TIAM15_assumptions!$H$2:$V$2,0))</f>
        <v>0</v>
      </c>
      <c r="V58" s="59">
        <f ca="1">OFFSET(TIAM15_assumptions!$G58,0,MATCH(VLOOKUP(Assumptions!V$2,TIAM15_assumptions!$Y$3:$Z$87,2,FALSE),TIAM15_assumptions!$H$2:$V$2,0))</f>
        <v>0</v>
      </c>
      <c r="W58" s="59">
        <f ca="1">OFFSET(TIAM15_assumptions!$G58,0,MATCH(VLOOKUP(Assumptions!W$2,TIAM15_assumptions!$Y$3:$Z$87,2,FALSE),TIAM15_assumptions!$H$2:$V$2,0))</f>
        <v>0</v>
      </c>
      <c r="X58" s="59">
        <f ca="1">OFFSET(TIAM15_assumptions!$G58,0,MATCH(VLOOKUP(Assumptions!X$2,TIAM15_assumptions!$Y$3:$Z$87,2,FALSE),TIAM15_assumptions!$H$2:$V$2,0))</f>
        <v>0</v>
      </c>
      <c r="Y58" s="59">
        <f ca="1">OFFSET(TIAM15_assumptions!$G58,0,MATCH(VLOOKUP(Assumptions!Y$2,TIAM15_assumptions!$Y$3:$Z$87,2,FALSE),TIAM15_assumptions!$H$2:$V$2,0))</f>
        <v>0</v>
      </c>
      <c r="Z58" s="59">
        <f ca="1">OFFSET(TIAM15_assumptions!$G58,0,MATCH(VLOOKUP(Assumptions!Z$2,TIAM15_assumptions!$Y$3:$Z$87,2,FALSE),TIAM15_assumptions!$H$2:$V$2,0))</f>
        <v>0</v>
      </c>
      <c r="AA58" s="59">
        <f ca="1">OFFSET(TIAM15_assumptions!$G58,0,MATCH(VLOOKUP(Assumptions!AA$2,TIAM15_assumptions!$Y$3:$Z$87,2,FALSE),TIAM15_assumptions!$H$2:$V$2,0))</f>
        <v>0</v>
      </c>
      <c r="AB58" s="59">
        <f ca="1">OFFSET(TIAM15_assumptions!$G58,0,MATCH(VLOOKUP(Assumptions!AB$2,TIAM15_assumptions!$Y$3:$Z$87,2,FALSE),TIAM15_assumptions!$H$2:$V$2,0))</f>
        <v>0</v>
      </c>
      <c r="AC58" s="59">
        <f ca="1">OFFSET(TIAM15_assumptions!$G58,0,MATCH(VLOOKUP(Assumptions!AC$2,TIAM15_assumptions!$Y$3:$Z$87,2,FALSE),TIAM15_assumptions!$H$2:$V$2,0))</f>
        <v>0</v>
      </c>
      <c r="AD58" s="59">
        <f ca="1">OFFSET(TIAM15_assumptions!$G58,0,MATCH(VLOOKUP(Assumptions!AD$2,TIAM15_assumptions!$Y$3:$Z$87,2,FALSE),TIAM15_assumptions!$H$2:$V$2,0))</f>
        <v>0</v>
      </c>
      <c r="AE58" s="59">
        <f ca="1">OFFSET(TIAM15_assumptions!$G58,0,MATCH(VLOOKUP(Assumptions!AE$2,TIAM15_assumptions!$Y$3:$Z$87,2,FALSE),TIAM15_assumptions!$H$2:$V$2,0))</f>
        <v>0</v>
      </c>
      <c r="AF58" s="59">
        <f ca="1">OFFSET(TIAM15_assumptions!$G58,0,MATCH(VLOOKUP(Assumptions!AF$2,TIAM15_assumptions!$Y$3:$Z$87,2,FALSE),TIAM15_assumptions!$H$2:$V$2,0))</f>
        <v>0</v>
      </c>
      <c r="AG58" s="59">
        <f ca="1">OFFSET(TIAM15_assumptions!$G58,0,MATCH(VLOOKUP(Assumptions!AG$2,TIAM15_assumptions!$Y$3:$Z$87,2,FALSE),TIAM15_assumptions!$H$2:$V$2,0))</f>
        <v>0</v>
      </c>
      <c r="AH58" s="59">
        <f ca="1">OFFSET(TIAM15_assumptions!$G58,0,MATCH(VLOOKUP(Assumptions!AH$2,TIAM15_assumptions!$Y$3:$Z$87,2,FALSE),TIAM15_assumptions!$H$2:$V$2,0))</f>
        <v>0</v>
      </c>
      <c r="AI58" s="59">
        <f ca="1">OFFSET(TIAM15_assumptions!$G58,0,MATCH(VLOOKUP(Assumptions!AI$2,TIAM15_assumptions!$Y$3:$Z$87,2,FALSE),TIAM15_assumptions!$H$2:$V$2,0))</f>
        <v>0</v>
      </c>
      <c r="AJ58" s="59">
        <f ca="1">OFFSET(TIAM15_assumptions!$G58,0,MATCH(VLOOKUP(Assumptions!AJ$2,TIAM15_assumptions!$Y$3:$Z$87,2,FALSE),TIAM15_assumptions!$H$2:$V$2,0))</f>
        <v>0</v>
      </c>
      <c r="AK58" s="59">
        <f ca="1">OFFSET(TIAM15_assumptions!$G58,0,MATCH(VLOOKUP(Assumptions!AK$2,TIAM15_assumptions!$Y$3:$Z$87,2,FALSE),TIAM15_assumptions!$H$2:$V$2,0))</f>
        <v>0</v>
      </c>
      <c r="AL58" s="59">
        <f ca="1">OFFSET(TIAM15_assumptions!$G58,0,MATCH(VLOOKUP(Assumptions!AL$2,TIAM15_assumptions!$Y$3:$Z$87,2,FALSE),TIAM15_assumptions!$H$2:$V$2,0))</f>
        <v>0</v>
      </c>
      <c r="AM58" s="59">
        <f ca="1">OFFSET(TIAM15_assumptions!$G58,0,MATCH(VLOOKUP(Assumptions!AM$2,TIAM15_assumptions!$Y$3:$Z$87,2,FALSE),TIAM15_assumptions!$H$2:$V$2,0))</f>
        <v>0</v>
      </c>
      <c r="AN58" s="59">
        <f ca="1">OFFSET(TIAM15_assumptions!$G58,0,MATCH(VLOOKUP(Assumptions!AN$2,TIAM15_assumptions!$Y$3:$Z$87,2,FALSE),TIAM15_assumptions!$H$2:$V$2,0))</f>
        <v>0</v>
      </c>
      <c r="AO58" s="59">
        <f ca="1">OFFSET(TIAM15_assumptions!$G58,0,MATCH(VLOOKUP(Assumptions!AO$2,TIAM15_assumptions!$Y$3:$Z$87,2,FALSE),TIAM15_assumptions!$H$2:$V$2,0))</f>
        <v>0</v>
      </c>
      <c r="AP58" s="59">
        <f ca="1">OFFSET(TIAM15_assumptions!$G58,0,MATCH(VLOOKUP(Assumptions!AP$2,TIAM15_assumptions!$Y$3:$Z$87,2,FALSE),TIAM15_assumptions!$H$2:$V$2,0))</f>
        <v>0</v>
      </c>
      <c r="AQ58" s="59">
        <f ca="1">OFFSET(TIAM15_assumptions!$G58,0,MATCH(VLOOKUP(Assumptions!AQ$2,TIAM15_assumptions!$Y$3:$Z$87,2,FALSE),TIAM15_assumptions!$H$2:$V$2,0))</f>
        <v>0</v>
      </c>
      <c r="AR58" s="59">
        <f ca="1">OFFSET(TIAM15_assumptions!$G58,0,MATCH(VLOOKUP(Assumptions!AR$2,TIAM15_assumptions!$Y$3:$Z$87,2,FALSE),TIAM15_assumptions!$H$2:$V$2,0))</f>
        <v>0</v>
      </c>
      <c r="AS58" s="59">
        <f ca="1">OFFSET(TIAM15_assumptions!$G58,0,MATCH(VLOOKUP(Assumptions!AS$2,TIAM15_assumptions!$Y$3:$Z$87,2,FALSE),TIAM15_assumptions!$H$2:$V$2,0))</f>
        <v>0</v>
      </c>
      <c r="AT58" s="59">
        <f ca="1">OFFSET(TIAM15_assumptions!$G58,0,MATCH(VLOOKUP(Assumptions!AT$2,TIAM15_assumptions!$Y$3:$Z$87,2,FALSE),TIAM15_assumptions!$H$2:$V$2,0))</f>
        <v>0</v>
      </c>
      <c r="AU58" s="59">
        <f ca="1">OFFSET(TIAM15_assumptions!$G58,0,MATCH(VLOOKUP(Assumptions!AU$2,TIAM15_assumptions!$Y$3:$Z$87,2,FALSE),TIAM15_assumptions!$H$2:$V$2,0))</f>
        <v>0</v>
      </c>
      <c r="AV58" s="59">
        <f ca="1">OFFSET(TIAM15_assumptions!$G58,0,MATCH(VLOOKUP(Assumptions!AV$2,TIAM15_assumptions!$Y$3:$Z$87,2,FALSE),TIAM15_assumptions!$H$2:$V$2,0))</f>
        <v>0</v>
      </c>
      <c r="AW58" s="59">
        <f ca="1">OFFSET(TIAM15_assumptions!$G58,0,MATCH(VLOOKUP(Assumptions!AW$2,TIAM15_assumptions!$Y$3:$Z$87,2,FALSE),TIAM15_assumptions!$H$2:$V$2,0))</f>
        <v>0</v>
      </c>
      <c r="AX58" s="59">
        <f ca="1">OFFSET(TIAM15_assumptions!$G58,0,MATCH(VLOOKUP(Assumptions!AX$2,TIAM15_assumptions!$Y$3:$Z$87,2,FALSE),TIAM15_assumptions!$H$2:$V$2,0))</f>
        <v>0</v>
      </c>
      <c r="AY58" s="59">
        <f ca="1">OFFSET(TIAM15_assumptions!$G58,0,MATCH(VLOOKUP(Assumptions!AY$2,TIAM15_assumptions!$Y$3:$Z$87,2,FALSE),TIAM15_assumptions!$H$2:$V$2,0))</f>
        <v>0</v>
      </c>
      <c r="AZ58" s="59">
        <f ca="1">OFFSET(TIAM15_assumptions!$G58,0,MATCH(VLOOKUP(Assumptions!AZ$2,TIAM15_assumptions!$Y$3:$Z$87,2,FALSE),TIAM15_assumptions!$H$2:$V$2,0))</f>
        <v>0</v>
      </c>
      <c r="BA58" s="59">
        <f ca="1">OFFSET(TIAM15_assumptions!$G58,0,MATCH(VLOOKUP(Assumptions!BA$2,TIAM15_assumptions!$Y$3:$Z$87,2,FALSE),TIAM15_assumptions!$H$2:$V$2,0))</f>
        <v>0</v>
      </c>
      <c r="BD58" s="41">
        <f ca="1">IFERROR(SUMIFS('TRA balance'!E$5:E$40,'TRA balance'!$C$5:$C$40,Assumptions!$C58,'TRA balance'!$D$5:$D$40,Assumptions!$B58)*CY58*H58,"")</f>
        <v>0</v>
      </c>
      <c r="BE58" s="41">
        <f ca="1">IFERROR(SUMIFS('TRA balance'!F$5:F$40,'TRA balance'!$C$5:$C$40,Assumptions!$C58,'TRA balance'!$D$5:$D$40,Assumptions!$B58)*CZ58*I58,"")</f>
        <v>0</v>
      </c>
      <c r="BF58" s="41">
        <f ca="1">IFERROR(SUMIFS('TRA balance'!G$5:G$40,'TRA balance'!$C$5:$C$40,Assumptions!$C58,'TRA balance'!$D$5:$D$40,Assumptions!$B58)*DA58*J58,"")</f>
        <v>0</v>
      </c>
      <c r="BG58" s="41">
        <f ca="1">IFERROR(SUMIFS('TRA balance'!H$5:H$40,'TRA balance'!$C$5:$C$40,Assumptions!$C58,'TRA balance'!$D$5:$D$40,Assumptions!$B58)*DB58*K58,"")</f>
        <v>0</v>
      </c>
      <c r="BH58" s="41">
        <f ca="1">IFERROR(SUMIFS('TRA balance'!I$5:I$40,'TRA balance'!$C$5:$C$40,Assumptions!$C58,'TRA balance'!$D$5:$D$40,Assumptions!$B58)*DC58*L58,"")</f>
        <v>0</v>
      </c>
      <c r="BI58" s="41">
        <f ca="1">IFERROR(SUMIFS('TRA balance'!J$5:J$40,'TRA balance'!$C$5:$C$40,Assumptions!$C58,'TRA balance'!$D$5:$D$40,Assumptions!$B58)*DD58*M58,"")</f>
        <v>0</v>
      </c>
      <c r="BJ58" s="41">
        <f ca="1">IFERROR(SUMIFS('TRA balance'!K$5:K$40,'TRA balance'!$C$5:$C$40,Assumptions!$C58,'TRA balance'!$D$5:$D$40,Assumptions!$B58)*DE58*N58,"")</f>
        <v>0</v>
      </c>
      <c r="BK58" s="41">
        <f ca="1">IFERROR(SUMIFS('TRA balance'!L$5:L$40,'TRA balance'!$C$5:$C$40,Assumptions!$C58,'TRA balance'!$D$5:$D$40,Assumptions!$B58)*DF58*O58,"")</f>
        <v>0</v>
      </c>
      <c r="BL58" s="41">
        <f ca="1">IFERROR(SUMIFS('TRA balance'!M$5:M$40,'TRA balance'!$C$5:$C$40,Assumptions!$C58,'TRA balance'!$D$5:$D$40,Assumptions!$B58)*DG58*P58,"")</f>
        <v>0</v>
      </c>
      <c r="BM58" s="41">
        <f ca="1">IFERROR(SUMIFS('TRA balance'!N$5:N$40,'TRA balance'!$C$5:$C$40,Assumptions!$C58,'TRA balance'!$D$5:$D$40,Assumptions!$B58)*DH58*Q58,"")</f>
        <v>0</v>
      </c>
      <c r="BN58" s="41">
        <f ca="1">IFERROR(SUMIFS('TRA balance'!O$5:O$40,'TRA balance'!$C$5:$C$40,Assumptions!$C58,'TRA balance'!$D$5:$D$40,Assumptions!$B58)*DI58*R58,"")</f>
        <v>0</v>
      </c>
      <c r="BO58" s="41">
        <f ca="1">IFERROR(SUMIFS('TRA balance'!P$5:P$40,'TRA balance'!$C$5:$C$40,Assumptions!$C58,'TRA balance'!$D$5:$D$40,Assumptions!$B58)*DJ58*S58,"")</f>
        <v>0</v>
      </c>
      <c r="BP58" s="41">
        <f ca="1">IFERROR(SUMIFS('TRA balance'!Q$5:Q$40,'TRA balance'!$C$5:$C$40,Assumptions!$C58,'TRA balance'!$D$5:$D$40,Assumptions!$B58)*DK58*T58,"")</f>
        <v>0</v>
      </c>
      <c r="BQ58" s="41">
        <f ca="1">IFERROR(SUMIFS('TRA balance'!R$5:R$40,'TRA balance'!$C$5:$C$40,Assumptions!$C58,'TRA balance'!$D$5:$D$40,Assumptions!$B58)*DL58*U58,"")</f>
        <v>0</v>
      </c>
      <c r="BR58" s="41">
        <f ca="1">IFERROR(SUMIFS('TRA balance'!S$5:S$40,'TRA balance'!$C$5:$C$40,Assumptions!$C58,'TRA balance'!$D$5:$D$40,Assumptions!$B58)*DM58*V58,"")</f>
        <v>0</v>
      </c>
      <c r="BS58" s="41">
        <f ca="1">IFERROR(SUMIFS('TRA balance'!T$5:T$40,'TRA balance'!$C$5:$C$40,Assumptions!$C58,'TRA balance'!$D$5:$D$40,Assumptions!$B58)*DN58*W58,"")</f>
        <v>0</v>
      </c>
      <c r="BT58" s="41">
        <f ca="1">IFERROR(SUMIFS('TRA balance'!U$5:U$40,'TRA balance'!$C$5:$C$40,Assumptions!$C58,'TRA balance'!$D$5:$D$40,Assumptions!$B58)*DO58*X58,"")</f>
        <v>0</v>
      </c>
      <c r="BU58" s="41">
        <f ca="1">IFERROR(SUMIFS('TRA balance'!V$5:V$40,'TRA balance'!$C$5:$C$40,Assumptions!$C58,'TRA balance'!$D$5:$D$40,Assumptions!$B58)*DP58*Y58,"")</f>
        <v>0</v>
      </c>
      <c r="BV58" s="41">
        <f ca="1">IFERROR(SUMIFS('TRA balance'!W$5:W$40,'TRA balance'!$C$5:$C$40,Assumptions!$C58,'TRA balance'!$D$5:$D$40,Assumptions!$B58)*DQ58*Z58,"")</f>
        <v>0</v>
      </c>
      <c r="BW58" s="41">
        <f ca="1">IFERROR(SUMIFS('TRA balance'!X$5:X$40,'TRA balance'!$C$5:$C$40,Assumptions!$C58,'TRA balance'!$D$5:$D$40,Assumptions!$B58)*DR58*AA58,"")</f>
        <v>0</v>
      </c>
      <c r="BX58" s="41">
        <f ca="1">IFERROR(SUMIFS('TRA balance'!Y$5:Y$40,'TRA balance'!$C$5:$C$40,Assumptions!$C58,'TRA balance'!$D$5:$D$40,Assumptions!$B58)*DS58*AB58,"")</f>
        <v>0</v>
      </c>
      <c r="BY58" s="41">
        <f ca="1">IFERROR(SUMIFS('TRA balance'!Z$5:Z$40,'TRA balance'!$C$5:$C$40,Assumptions!$C58,'TRA balance'!$D$5:$D$40,Assumptions!$B58)*DT58*AC58,"")</f>
        <v>0</v>
      </c>
      <c r="BZ58" s="41">
        <f ca="1">IFERROR(SUMIFS('TRA balance'!AA$5:AA$40,'TRA balance'!$C$5:$C$40,Assumptions!$C58,'TRA balance'!$D$5:$D$40,Assumptions!$B58)*DU58*AD58,"")</f>
        <v>0</v>
      </c>
      <c r="CA58" s="41">
        <f ca="1">IFERROR(SUMIFS('TRA balance'!AB$5:AB$40,'TRA balance'!$C$5:$C$40,Assumptions!$C58,'TRA balance'!$D$5:$D$40,Assumptions!$B58)*DV58*AE58,"")</f>
        <v>0</v>
      </c>
      <c r="CB58" s="41">
        <f ca="1">IFERROR(SUMIFS('TRA balance'!AC$5:AC$40,'TRA balance'!$C$5:$C$40,Assumptions!$C58,'TRA balance'!$D$5:$D$40,Assumptions!$B58)*DW58*AF58,"")</f>
        <v>0</v>
      </c>
      <c r="CC58" s="41">
        <f ca="1">IFERROR(SUMIFS('TRA balance'!AD$5:AD$40,'TRA balance'!$C$5:$C$40,Assumptions!$C58,'TRA balance'!$D$5:$D$40,Assumptions!$B58)*DX58*AG58,"")</f>
        <v>0</v>
      </c>
      <c r="CD58" s="41">
        <f ca="1">IFERROR(SUMIFS('TRA balance'!AE$5:AE$40,'TRA balance'!$C$5:$C$40,Assumptions!$C58,'TRA balance'!$D$5:$D$40,Assumptions!$B58)*DY58*AH58,"")</f>
        <v>0</v>
      </c>
      <c r="CE58" s="41">
        <f ca="1">IFERROR(SUMIFS('TRA balance'!AF$5:AF$40,'TRA balance'!$C$5:$C$40,Assumptions!$C58,'TRA balance'!$D$5:$D$40,Assumptions!$B58)*DZ58*AI58,"")</f>
        <v>0</v>
      </c>
      <c r="CF58" s="41">
        <f ca="1">IFERROR(SUMIFS('TRA balance'!AG$5:AG$40,'TRA balance'!$C$5:$C$40,Assumptions!$C58,'TRA balance'!$D$5:$D$40,Assumptions!$B58)*EA58*AJ58,"")</f>
        <v>0</v>
      </c>
      <c r="CG58" s="41">
        <f ca="1">IFERROR(SUMIFS('TRA balance'!AH$5:AH$40,'TRA balance'!$C$5:$C$40,Assumptions!$C58,'TRA balance'!$D$5:$D$40,Assumptions!$B58)*EB58*AK58,"")</f>
        <v>0</v>
      </c>
      <c r="CH58" s="41">
        <f ca="1">IFERROR(SUMIFS('TRA balance'!AI$5:AI$40,'TRA balance'!$C$5:$C$40,Assumptions!$C58,'TRA balance'!$D$5:$D$40,Assumptions!$B58)*EC58*AL58,"")</f>
        <v>0</v>
      </c>
      <c r="CI58" s="41">
        <f ca="1">IFERROR(SUMIFS('TRA balance'!AJ$5:AJ$40,'TRA balance'!$C$5:$C$40,Assumptions!$C58,'TRA balance'!$D$5:$D$40,Assumptions!$B58)*ED58*AM58,"")</f>
        <v>0</v>
      </c>
      <c r="CJ58" s="41">
        <f ca="1">IFERROR(SUMIFS('TRA balance'!AK$5:AK$40,'TRA balance'!$C$5:$C$40,Assumptions!$C58,'TRA balance'!$D$5:$D$40,Assumptions!$B58)*EE58*AN58,"")</f>
        <v>0</v>
      </c>
      <c r="CK58" s="41">
        <f ca="1">IFERROR(SUMIFS('TRA balance'!AL$5:AL$40,'TRA balance'!$C$5:$C$40,Assumptions!$C58,'TRA balance'!$D$5:$D$40,Assumptions!$B58)*EF58*AO58,"")</f>
        <v>0</v>
      </c>
      <c r="CL58" s="41">
        <f ca="1">IFERROR(SUMIFS('TRA balance'!AM$5:AM$40,'TRA balance'!$C$5:$C$40,Assumptions!$C58,'TRA balance'!$D$5:$D$40,Assumptions!$B58)*EG58*AP58,"")</f>
        <v>0</v>
      </c>
      <c r="CM58" s="41">
        <f ca="1">IFERROR(SUMIFS('TRA balance'!AN$5:AN$40,'TRA balance'!$C$5:$C$40,Assumptions!$C58,'TRA balance'!$D$5:$D$40,Assumptions!$B58)*EH58*AQ58,"")</f>
        <v>0</v>
      </c>
      <c r="CN58" s="41">
        <f ca="1">IFERROR(SUMIFS('TRA balance'!AO$5:AO$40,'TRA balance'!$C$5:$C$40,Assumptions!$C58,'TRA balance'!$D$5:$D$40,Assumptions!$B58)*EI58*AR58,"")</f>
        <v>0</v>
      </c>
      <c r="CO58" s="41">
        <f ca="1">IFERROR(SUMIFS('TRA balance'!AP$5:AP$40,'TRA balance'!$C$5:$C$40,Assumptions!$C58,'TRA balance'!$D$5:$D$40,Assumptions!$B58)*EJ58*AS58,"")</f>
        <v>0</v>
      </c>
      <c r="CP58" s="41">
        <f ca="1">IFERROR(SUMIFS('TRA balance'!AQ$5:AQ$40,'TRA balance'!$C$5:$C$40,Assumptions!$C58,'TRA balance'!$D$5:$D$40,Assumptions!$B58)*EK58*AT58,"")</f>
        <v>0</v>
      </c>
      <c r="CQ58" s="41">
        <f ca="1">IFERROR(SUMIFS('TRA balance'!AR$5:AR$40,'TRA balance'!$C$5:$C$40,Assumptions!$C58,'TRA balance'!$D$5:$D$40,Assumptions!$B58)*EL58*AU58,"")</f>
        <v>0</v>
      </c>
      <c r="CR58" s="41">
        <f ca="1">IFERROR(SUMIFS('TRA balance'!AS$5:AS$40,'TRA balance'!$C$5:$C$40,Assumptions!$C58,'TRA balance'!$D$5:$D$40,Assumptions!$B58)*EM58*AV58,"")</f>
        <v>0</v>
      </c>
      <c r="CS58" s="41">
        <f ca="1">IFERROR(SUMIFS('TRA balance'!AT$5:AT$40,'TRA balance'!$C$5:$C$40,Assumptions!$C58,'TRA balance'!$D$5:$D$40,Assumptions!$B58)*EN58*AW58,"")</f>
        <v>0</v>
      </c>
      <c r="CT58" s="41">
        <f ca="1">IFERROR(SUMIFS('TRA balance'!AU$5:AU$40,'TRA balance'!$C$5:$C$40,Assumptions!$C58,'TRA balance'!$D$5:$D$40,Assumptions!$B58)*EO58*AX58,"")</f>
        <v>0</v>
      </c>
      <c r="CU58" s="41">
        <f ca="1">IFERROR(SUMIFS('TRA balance'!AV$5:AV$40,'TRA balance'!$C$5:$C$40,Assumptions!$C58,'TRA balance'!$D$5:$D$40,Assumptions!$B58)*EP58*AY58,"")</f>
        <v>0</v>
      </c>
      <c r="CV58" s="41">
        <f ca="1">IFERROR(SUMIFS('TRA balance'!AW$5:AW$40,'TRA balance'!$C$5:$C$40,Assumptions!$C58,'TRA balance'!$D$5:$D$40,Assumptions!$B58)*EQ58*AZ58,"")</f>
        <v>0</v>
      </c>
      <c r="CW58" s="41">
        <f ca="1">IFERROR(SUMIFS('TRA balance'!AX$5:AX$40,'TRA balance'!$C$5:$C$40,Assumptions!$C58,'TRA balance'!$D$5:$D$40,Assumptions!$B58)*ER58*BA58,"")</f>
        <v>0</v>
      </c>
      <c r="CY58" s="40">
        <f ca="1" t="shared" si="66"/>
        <v>0.75</v>
      </c>
      <c r="CZ58" s="40">
        <f ca="1" t="shared" si="3"/>
        <v>0.75</v>
      </c>
      <c r="DA58" s="40">
        <f ca="1" t="shared" si="4"/>
        <v>0.75</v>
      </c>
      <c r="DB58" s="40">
        <f ca="1" t="shared" si="5"/>
        <v>0.318</v>
      </c>
      <c r="DC58" s="40">
        <f ca="1" t="shared" si="6"/>
        <v>0.3</v>
      </c>
      <c r="DD58" s="40">
        <f ca="1" t="shared" si="7"/>
        <v>0.318</v>
      </c>
      <c r="DE58" s="40">
        <f ca="1" t="shared" si="8"/>
        <v>0.5</v>
      </c>
      <c r="DF58" s="40">
        <f ca="1" t="shared" si="9"/>
        <v>0.6</v>
      </c>
      <c r="DG58" s="40">
        <f ca="1" t="shared" si="10"/>
        <v>1</v>
      </c>
      <c r="DH58" s="40">
        <f ca="1" t="shared" si="11"/>
        <v>1</v>
      </c>
      <c r="DI58" s="40">
        <f ca="1" t="shared" si="12"/>
        <v>0.318</v>
      </c>
      <c r="DJ58" s="40">
        <f ca="1" t="shared" si="13"/>
        <v>0.318</v>
      </c>
      <c r="DK58" s="40">
        <f ca="1" t="shared" si="14"/>
        <v>0.318</v>
      </c>
      <c r="DL58" s="40">
        <f ca="1" t="shared" si="15"/>
        <v>1</v>
      </c>
      <c r="DM58" s="40">
        <f ca="1" t="shared" si="16"/>
        <v>0.318</v>
      </c>
      <c r="DN58" s="40">
        <f ca="1" t="shared" si="17"/>
        <v>0.75</v>
      </c>
      <c r="DO58" s="40">
        <f ca="1" t="shared" si="18"/>
        <v>0.318</v>
      </c>
      <c r="DP58" s="40">
        <f ca="1" t="shared" si="19"/>
        <v>0.318</v>
      </c>
      <c r="DQ58" s="40">
        <f ca="1" t="shared" si="20"/>
        <v>0.05</v>
      </c>
      <c r="DR58" s="40">
        <f ca="1" t="shared" si="21"/>
        <v>0.5</v>
      </c>
      <c r="DS58" s="40">
        <f ca="1" t="shared" si="22"/>
        <v>0.318</v>
      </c>
      <c r="DT58" s="40">
        <f ca="1" t="shared" si="23"/>
        <v>0.02083020544021</v>
      </c>
      <c r="DU58" s="40">
        <f ca="1" t="shared" si="24"/>
        <v>0.318</v>
      </c>
      <c r="DV58" s="40">
        <f ca="1" t="shared" si="25"/>
        <v>1</v>
      </c>
      <c r="DW58" s="40">
        <f ca="1" t="shared" si="26"/>
        <v>0.1</v>
      </c>
      <c r="DX58" s="40">
        <f ca="1" t="shared" si="27"/>
        <v>0.3</v>
      </c>
      <c r="DY58" s="40">
        <f ca="1" t="shared" si="28"/>
        <v>0.318</v>
      </c>
      <c r="DZ58" s="40">
        <f ca="1" t="shared" si="29"/>
        <v>0.75</v>
      </c>
      <c r="EA58" s="40">
        <f ca="1" t="shared" si="30"/>
        <v>0.318</v>
      </c>
      <c r="EB58" s="40">
        <f ca="1" t="shared" si="31"/>
        <v>0.318</v>
      </c>
      <c r="EC58" s="40">
        <f ca="1" t="shared" si="32"/>
        <v>0.318</v>
      </c>
      <c r="ED58" s="40">
        <f ca="1" t="shared" si="33"/>
        <v>0.318</v>
      </c>
      <c r="EE58" s="40">
        <f ca="1" t="shared" si="34"/>
        <v>0.318</v>
      </c>
      <c r="EF58" s="40">
        <f ca="1" t="shared" si="35"/>
        <v>0.3</v>
      </c>
      <c r="EG58" s="40">
        <f ca="1" t="shared" si="36"/>
        <v>1</v>
      </c>
      <c r="EH58" s="40">
        <f ca="1" t="shared" si="37"/>
        <v>0.02083020544021</v>
      </c>
      <c r="EI58" s="40">
        <f ca="1" t="shared" si="38"/>
        <v>0.02083020544021</v>
      </c>
      <c r="EJ58" s="40">
        <f ca="1" t="shared" si="39"/>
        <v>0.02083020544021</v>
      </c>
      <c r="EK58" s="40">
        <f ca="1" t="shared" si="40"/>
        <v>0.02083020544021</v>
      </c>
      <c r="EL58" s="40">
        <f ca="1" t="shared" si="41"/>
        <v>0.02083020544021</v>
      </c>
      <c r="EM58" s="40">
        <f ca="1" t="shared" si="42"/>
        <v>0.02083020544021</v>
      </c>
      <c r="EN58" s="40">
        <f ca="1" t="shared" si="43"/>
        <v>0.02083020544021</v>
      </c>
      <c r="EO58" s="40">
        <f ca="1" t="shared" si="44"/>
        <v>0.02083020544021</v>
      </c>
      <c r="EP58" s="40">
        <f ca="1" t="shared" si="45"/>
        <v>0.02083020544021</v>
      </c>
      <c r="EQ58" s="40">
        <f ca="1" t="shared" si="46"/>
        <v>0.02083020544021</v>
      </c>
      <c r="ER58" s="40">
        <f ca="1" t="shared" si="47"/>
        <v>0.02083020544021</v>
      </c>
    </row>
    <row r="59" spans="1:148">
      <c r="A59">
        <v>2</v>
      </c>
      <c r="B59" t="str">
        <f>VLOOKUP(F59,'TRA balance'!$BA$5:$BB$14,2,FALSE)</f>
        <v>TRANGA</v>
      </c>
      <c r="C59" s="56" t="str">
        <f t="shared" si="48"/>
        <v>TR</v>
      </c>
      <c r="D59" s="57" t="s">
        <v>200</v>
      </c>
      <c r="E59" s="68" t="s">
        <v>216</v>
      </c>
      <c r="F59" s="58" t="str">
        <f t="shared" si="82"/>
        <v>Natural Gas</v>
      </c>
      <c r="G59" s="56" t="s">
        <v>217</v>
      </c>
      <c r="H59" s="59">
        <f ca="1">OFFSET(TIAM15_assumptions!$G59,0,MATCH(VLOOKUP(Assumptions!H$2,TIAM15_assumptions!$Y$3:$Z$87,2,FALSE),TIAM15_assumptions!$H$2:$V$2,0))</f>
        <v>0</v>
      </c>
      <c r="I59" s="59">
        <f ca="1">OFFSET(TIAM15_assumptions!$G59,0,MATCH(VLOOKUP(Assumptions!I$2,TIAM15_assumptions!$Y$3:$Z$87,2,FALSE),TIAM15_assumptions!$H$2:$V$2,0))</f>
        <v>0</v>
      </c>
      <c r="J59" s="59">
        <f ca="1">OFFSET(TIAM15_assumptions!$G59,0,MATCH(VLOOKUP(Assumptions!J$2,TIAM15_assumptions!$Y$3:$Z$87,2,FALSE),TIAM15_assumptions!$H$2:$V$2,0))</f>
        <v>0</v>
      </c>
      <c r="K59" s="59">
        <f ca="1">OFFSET(TIAM15_assumptions!$G59,0,MATCH(VLOOKUP(Assumptions!K$2,TIAM15_assumptions!$Y$3:$Z$87,2,FALSE),TIAM15_assumptions!$H$2:$V$2,0))</f>
        <v>0</v>
      </c>
      <c r="L59" s="59">
        <f ca="1">OFFSET(TIAM15_assumptions!$G59,0,MATCH(VLOOKUP(Assumptions!L$2,TIAM15_assumptions!$Y$3:$Z$87,2,FALSE),TIAM15_assumptions!$H$2:$V$2,0))</f>
        <v>0</v>
      </c>
      <c r="M59" s="59">
        <f ca="1">OFFSET(TIAM15_assumptions!$G59,0,MATCH(VLOOKUP(Assumptions!M$2,TIAM15_assumptions!$Y$3:$Z$87,2,FALSE),TIAM15_assumptions!$H$2:$V$2,0))</f>
        <v>0</v>
      </c>
      <c r="N59" s="59">
        <f ca="1">OFFSET(TIAM15_assumptions!$G59,0,MATCH(VLOOKUP(Assumptions!N$2,TIAM15_assumptions!$Y$3:$Z$87,2,FALSE),TIAM15_assumptions!$H$2:$V$2,0))</f>
        <v>0</v>
      </c>
      <c r="O59" s="59">
        <f ca="1">OFFSET(TIAM15_assumptions!$G59,0,MATCH(VLOOKUP(Assumptions!O$2,TIAM15_assumptions!$Y$3:$Z$87,2,FALSE),TIAM15_assumptions!$H$2:$V$2,0))</f>
        <v>0</v>
      </c>
      <c r="P59" s="59">
        <f ca="1">OFFSET(TIAM15_assumptions!$G59,0,MATCH(VLOOKUP(Assumptions!P$2,TIAM15_assumptions!$Y$3:$Z$87,2,FALSE),TIAM15_assumptions!$H$2:$V$2,0))</f>
        <v>0</v>
      </c>
      <c r="Q59" s="59">
        <f ca="1">OFFSET(TIAM15_assumptions!$G59,0,MATCH(VLOOKUP(Assumptions!Q$2,TIAM15_assumptions!$Y$3:$Z$87,2,FALSE),TIAM15_assumptions!$H$2:$V$2,0))</f>
        <v>0</v>
      </c>
      <c r="R59" s="59">
        <f ca="1">OFFSET(TIAM15_assumptions!$G59,0,MATCH(VLOOKUP(Assumptions!R$2,TIAM15_assumptions!$Y$3:$Z$87,2,FALSE),TIAM15_assumptions!$H$2:$V$2,0))</f>
        <v>0</v>
      </c>
      <c r="S59" s="59">
        <f ca="1">OFFSET(TIAM15_assumptions!$G59,0,MATCH(VLOOKUP(Assumptions!S$2,TIAM15_assumptions!$Y$3:$Z$87,2,FALSE),TIAM15_assumptions!$H$2:$V$2,0))</f>
        <v>0</v>
      </c>
      <c r="T59" s="59">
        <f ca="1">OFFSET(TIAM15_assumptions!$G59,0,MATCH(VLOOKUP(Assumptions!T$2,TIAM15_assumptions!$Y$3:$Z$87,2,FALSE),TIAM15_assumptions!$H$2:$V$2,0))</f>
        <v>0</v>
      </c>
      <c r="U59" s="59">
        <f ca="1">OFFSET(TIAM15_assumptions!$G59,0,MATCH(VLOOKUP(Assumptions!U$2,TIAM15_assumptions!$Y$3:$Z$87,2,FALSE),TIAM15_assumptions!$H$2:$V$2,0))</f>
        <v>0</v>
      </c>
      <c r="V59" s="59">
        <f ca="1">OFFSET(TIAM15_assumptions!$G59,0,MATCH(VLOOKUP(Assumptions!V$2,TIAM15_assumptions!$Y$3:$Z$87,2,FALSE),TIAM15_assumptions!$H$2:$V$2,0))</f>
        <v>0</v>
      </c>
      <c r="W59" s="59">
        <f ca="1">OFFSET(TIAM15_assumptions!$G59,0,MATCH(VLOOKUP(Assumptions!W$2,TIAM15_assumptions!$Y$3:$Z$87,2,FALSE),TIAM15_assumptions!$H$2:$V$2,0))</f>
        <v>0</v>
      </c>
      <c r="X59" s="59">
        <f ca="1">OFFSET(TIAM15_assumptions!$G59,0,MATCH(VLOOKUP(Assumptions!X$2,TIAM15_assumptions!$Y$3:$Z$87,2,FALSE),TIAM15_assumptions!$H$2:$V$2,0))</f>
        <v>0</v>
      </c>
      <c r="Y59" s="59">
        <f ca="1">OFFSET(TIAM15_assumptions!$G59,0,MATCH(VLOOKUP(Assumptions!Y$2,TIAM15_assumptions!$Y$3:$Z$87,2,FALSE),TIAM15_assumptions!$H$2:$V$2,0))</f>
        <v>0</v>
      </c>
      <c r="Z59" s="59">
        <f ca="1">OFFSET(TIAM15_assumptions!$G59,0,MATCH(VLOOKUP(Assumptions!Z$2,TIAM15_assumptions!$Y$3:$Z$87,2,FALSE),TIAM15_assumptions!$H$2:$V$2,0))</f>
        <v>0</v>
      </c>
      <c r="AA59" s="59">
        <f ca="1">OFFSET(TIAM15_assumptions!$G59,0,MATCH(VLOOKUP(Assumptions!AA$2,TIAM15_assumptions!$Y$3:$Z$87,2,FALSE),TIAM15_assumptions!$H$2:$V$2,0))</f>
        <v>0</v>
      </c>
      <c r="AB59" s="59">
        <f ca="1">OFFSET(TIAM15_assumptions!$G59,0,MATCH(VLOOKUP(Assumptions!AB$2,TIAM15_assumptions!$Y$3:$Z$87,2,FALSE),TIAM15_assumptions!$H$2:$V$2,0))</f>
        <v>0</v>
      </c>
      <c r="AC59" s="59">
        <f ca="1">OFFSET(TIAM15_assumptions!$G59,0,MATCH(VLOOKUP(Assumptions!AC$2,TIAM15_assumptions!$Y$3:$Z$87,2,FALSE),TIAM15_assumptions!$H$2:$V$2,0))</f>
        <v>0</v>
      </c>
      <c r="AD59" s="59">
        <f ca="1">OFFSET(TIAM15_assumptions!$G59,0,MATCH(VLOOKUP(Assumptions!AD$2,TIAM15_assumptions!$Y$3:$Z$87,2,FALSE),TIAM15_assumptions!$H$2:$V$2,0))</f>
        <v>0</v>
      </c>
      <c r="AE59" s="59">
        <f ca="1">OFFSET(TIAM15_assumptions!$G59,0,MATCH(VLOOKUP(Assumptions!AE$2,TIAM15_assumptions!$Y$3:$Z$87,2,FALSE),TIAM15_assumptions!$H$2:$V$2,0))</f>
        <v>0</v>
      </c>
      <c r="AF59" s="59">
        <f ca="1">OFFSET(TIAM15_assumptions!$G59,0,MATCH(VLOOKUP(Assumptions!AF$2,TIAM15_assumptions!$Y$3:$Z$87,2,FALSE),TIAM15_assumptions!$H$2:$V$2,0))</f>
        <v>0</v>
      </c>
      <c r="AG59" s="59">
        <f ca="1">OFFSET(TIAM15_assumptions!$G59,0,MATCH(VLOOKUP(Assumptions!AG$2,TIAM15_assumptions!$Y$3:$Z$87,2,FALSE),TIAM15_assumptions!$H$2:$V$2,0))</f>
        <v>0</v>
      </c>
      <c r="AH59" s="59">
        <f ca="1">OFFSET(TIAM15_assumptions!$G59,0,MATCH(VLOOKUP(Assumptions!AH$2,TIAM15_assumptions!$Y$3:$Z$87,2,FALSE),TIAM15_assumptions!$H$2:$V$2,0))</f>
        <v>0</v>
      </c>
      <c r="AI59" s="59">
        <f ca="1">OFFSET(TIAM15_assumptions!$G59,0,MATCH(VLOOKUP(Assumptions!AI$2,TIAM15_assumptions!$Y$3:$Z$87,2,FALSE),TIAM15_assumptions!$H$2:$V$2,0))</f>
        <v>0</v>
      </c>
      <c r="AJ59" s="59">
        <f ca="1">OFFSET(TIAM15_assumptions!$G59,0,MATCH(VLOOKUP(Assumptions!AJ$2,TIAM15_assumptions!$Y$3:$Z$87,2,FALSE),TIAM15_assumptions!$H$2:$V$2,0))</f>
        <v>0</v>
      </c>
      <c r="AK59" s="59">
        <f ca="1">OFFSET(TIAM15_assumptions!$G59,0,MATCH(VLOOKUP(Assumptions!AK$2,TIAM15_assumptions!$Y$3:$Z$87,2,FALSE),TIAM15_assumptions!$H$2:$V$2,0))</f>
        <v>0</v>
      </c>
      <c r="AL59" s="59">
        <f ca="1">OFFSET(TIAM15_assumptions!$G59,0,MATCH(VLOOKUP(Assumptions!AL$2,TIAM15_assumptions!$Y$3:$Z$87,2,FALSE),TIAM15_assumptions!$H$2:$V$2,0))</f>
        <v>0</v>
      </c>
      <c r="AM59" s="59">
        <f ca="1">OFFSET(TIAM15_assumptions!$G59,0,MATCH(VLOOKUP(Assumptions!AM$2,TIAM15_assumptions!$Y$3:$Z$87,2,FALSE),TIAM15_assumptions!$H$2:$V$2,0))</f>
        <v>0</v>
      </c>
      <c r="AN59" s="59">
        <f ca="1">OFFSET(TIAM15_assumptions!$G59,0,MATCH(VLOOKUP(Assumptions!AN$2,TIAM15_assumptions!$Y$3:$Z$87,2,FALSE),TIAM15_assumptions!$H$2:$V$2,0))</f>
        <v>0</v>
      </c>
      <c r="AO59" s="59">
        <f ca="1">OFFSET(TIAM15_assumptions!$G59,0,MATCH(VLOOKUP(Assumptions!AO$2,TIAM15_assumptions!$Y$3:$Z$87,2,FALSE),TIAM15_assumptions!$H$2:$V$2,0))</f>
        <v>0</v>
      </c>
      <c r="AP59" s="59">
        <f ca="1">OFFSET(TIAM15_assumptions!$G59,0,MATCH(VLOOKUP(Assumptions!AP$2,TIAM15_assumptions!$Y$3:$Z$87,2,FALSE),TIAM15_assumptions!$H$2:$V$2,0))</f>
        <v>0</v>
      </c>
      <c r="AQ59" s="59">
        <f ca="1">OFFSET(TIAM15_assumptions!$G59,0,MATCH(VLOOKUP(Assumptions!AQ$2,TIAM15_assumptions!$Y$3:$Z$87,2,FALSE),TIAM15_assumptions!$H$2:$V$2,0))</f>
        <v>0</v>
      </c>
      <c r="AR59" s="59">
        <f ca="1">OFFSET(TIAM15_assumptions!$G59,0,MATCH(VLOOKUP(Assumptions!AR$2,TIAM15_assumptions!$Y$3:$Z$87,2,FALSE),TIAM15_assumptions!$H$2:$V$2,0))</f>
        <v>0</v>
      </c>
      <c r="AS59" s="59">
        <f ca="1">OFFSET(TIAM15_assumptions!$G59,0,MATCH(VLOOKUP(Assumptions!AS$2,TIAM15_assumptions!$Y$3:$Z$87,2,FALSE),TIAM15_assumptions!$H$2:$V$2,0))</f>
        <v>0</v>
      </c>
      <c r="AT59" s="59">
        <f ca="1">OFFSET(TIAM15_assumptions!$G59,0,MATCH(VLOOKUP(Assumptions!AT$2,TIAM15_assumptions!$Y$3:$Z$87,2,FALSE),TIAM15_assumptions!$H$2:$V$2,0))</f>
        <v>0</v>
      </c>
      <c r="AU59" s="59">
        <f ca="1">OFFSET(TIAM15_assumptions!$G59,0,MATCH(VLOOKUP(Assumptions!AU$2,TIAM15_assumptions!$Y$3:$Z$87,2,FALSE),TIAM15_assumptions!$H$2:$V$2,0))</f>
        <v>0</v>
      </c>
      <c r="AV59" s="59">
        <f ca="1">OFFSET(TIAM15_assumptions!$G59,0,MATCH(VLOOKUP(Assumptions!AV$2,TIAM15_assumptions!$Y$3:$Z$87,2,FALSE),TIAM15_assumptions!$H$2:$V$2,0))</f>
        <v>0</v>
      </c>
      <c r="AW59" s="59">
        <f ca="1">OFFSET(TIAM15_assumptions!$G59,0,MATCH(VLOOKUP(Assumptions!AW$2,TIAM15_assumptions!$Y$3:$Z$87,2,FALSE),TIAM15_assumptions!$H$2:$V$2,0))</f>
        <v>0</v>
      </c>
      <c r="AX59" s="59">
        <f ca="1">OFFSET(TIAM15_assumptions!$G59,0,MATCH(VLOOKUP(Assumptions!AX$2,TIAM15_assumptions!$Y$3:$Z$87,2,FALSE),TIAM15_assumptions!$H$2:$V$2,0))</f>
        <v>0</v>
      </c>
      <c r="AY59" s="59">
        <f ca="1">OFFSET(TIAM15_assumptions!$G59,0,MATCH(VLOOKUP(Assumptions!AY$2,TIAM15_assumptions!$Y$3:$Z$87,2,FALSE),TIAM15_assumptions!$H$2:$V$2,0))</f>
        <v>0</v>
      </c>
      <c r="AZ59" s="59">
        <f ca="1">OFFSET(TIAM15_assumptions!$G59,0,MATCH(VLOOKUP(Assumptions!AZ$2,TIAM15_assumptions!$Y$3:$Z$87,2,FALSE),TIAM15_assumptions!$H$2:$V$2,0))</f>
        <v>0</v>
      </c>
      <c r="BA59" s="59">
        <f ca="1">OFFSET(TIAM15_assumptions!$G59,0,MATCH(VLOOKUP(Assumptions!BA$2,TIAM15_assumptions!$Y$3:$Z$87,2,FALSE),TIAM15_assumptions!$H$2:$V$2,0))</f>
        <v>0</v>
      </c>
      <c r="BD59" s="41">
        <f ca="1">IFERROR(SUMIFS('TRA balance'!E$5:E$40,'TRA balance'!$C$5:$C$40,Assumptions!$C59,'TRA balance'!$D$5:$D$40,Assumptions!$B59)*CY59*H59,"")</f>
        <v>0</v>
      </c>
      <c r="BE59" s="41">
        <f ca="1">IFERROR(SUMIFS('TRA balance'!F$5:F$40,'TRA balance'!$C$5:$C$40,Assumptions!$C59,'TRA balance'!$D$5:$D$40,Assumptions!$B59)*CZ59*I59,"")</f>
        <v>0</v>
      </c>
      <c r="BF59" s="41">
        <f ca="1">IFERROR(SUMIFS('TRA balance'!G$5:G$40,'TRA balance'!$C$5:$C$40,Assumptions!$C59,'TRA balance'!$D$5:$D$40,Assumptions!$B59)*DA59*J59,"")</f>
        <v>0</v>
      </c>
      <c r="BG59" s="41">
        <f ca="1">IFERROR(SUMIFS('TRA balance'!H$5:H$40,'TRA balance'!$C$5:$C$40,Assumptions!$C59,'TRA balance'!$D$5:$D$40,Assumptions!$B59)*DB59*K59,"")</f>
        <v>0</v>
      </c>
      <c r="BH59" s="41">
        <f ca="1">IFERROR(SUMIFS('TRA balance'!I$5:I$40,'TRA balance'!$C$5:$C$40,Assumptions!$C59,'TRA balance'!$D$5:$D$40,Assumptions!$B59)*DC59*L59,"")</f>
        <v>0</v>
      </c>
      <c r="BI59" s="41">
        <f ca="1">IFERROR(SUMIFS('TRA balance'!J$5:J$40,'TRA balance'!$C$5:$C$40,Assumptions!$C59,'TRA balance'!$D$5:$D$40,Assumptions!$B59)*DD59*M59,"")</f>
        <v>0</v>
      </c>
      <c r="BJ59" s="41">
        <f ca="1">IFERROR(SUMIFS('TRA balance'!K$5:K$40,'TRA balance'!$C$5:$C$40,Assumptions!$C59,'TRA balance'!$D$5:$D$40,Assumptions!$B59)*DE59*N59,"")</f>
        <v>0</v>
      </c>
      <c r="BK59" s="41">
        <f ca="1">IFERROR(SUMIFS('TRA balance'!L$5:L$40,'TRA balance'!$C$5:$C$40,Assumptions!$C59,'TRA balance'!$D$5:$D$40,Assumptions!$B59)*DF59*O59,"")</f>
        <v>0</v>
      </c>
      <c r="BL59" s="41">
        <f ca="1">IFERROR(SUMIFS('TRA balance'!M$5:M$40,'TRA balance'!$C$5:$C$40,Assumptions!$C59,'TRA balance'!$D$5:$D$40,Assumptions!$B59)*DG59*P59,"")</f>
        <v>0</v>
      </c>
      <c r="BM59" s="41">
        <f ca="1">IFERROR(SUMIFS('TRA balance'!N$5:N$40,'TRA balance'!$C$5:$C$40,Assumptions!$C59,'TRA balance'!$D$5:$D$40,Assumptions!$B59)*DH59*Q59,"")</f>
        <v>0</v>
      </c>
      <c r="BN59" s="41">
        <f ca="1">IFERROR(SUMIFS('TRA balance'!O$5:O$40,'TRA balance'!$C$5:$C$40,Assumptions!$C59,'TRA balance'!$D$5:$D$40,Assumptions!$B59)*DI59*R59,"")</f>
        <v>0</v>
      </c>
      <c r="BO59" s="41">
        <f ca="1">IFERROR(SUMIFS('TRA balance'!P$5:P$40,'TRA balance'!$C$5:$C$40,Assumptions!$C59,'TRA balance'!$D$5:$D$40,Assumptions!$B59)*DJ59*S59,"")</f>
        <v>0</v>
      </c>
      <c r="BP59" s="41">
        <f ca="1">IFERROR(SUMIFS('TRA balance'!Q$5:Q$40,'TRA balance'!$C$5:$C$40,Assumptions!$C59,'TRA balance'!$D$5:$D$40,Assumptions!$B59)*DK59*T59,"")</f>
        <v>0</v>
      </c>
      <c r="BQ59" s="41">
        <f ca="1">IFERROR(SUMIFS('TRA balance'!R$5:R$40,'TRA balance'!$C$5:$C$40,Assumptions!$C59,'TRA balance'!$D$5:$D$40,Assumptions!$B59)*DL59*U59,"")</f>
        <v>0</v>
      </c>
      <c r="BR59" s="41">
        <f ca="1">IFERROR(SUMIFS('TRA balance'!S$5:S$40,'TRA balance'!$C$5:$C$40,Assumptions!$C59,'TRA balance'!$D$5:$D$40,Assumptions!$B59)*DM59*V59,"")</f>
        <v>0</v>
      </c>
      <c r="BS59" s="41">
        <f ca="1">IFERROR(SUMIFS('TRA balance'!T$5:T$40,'TRA balance'!$C$5:$C$40,Assumptions!$C59,'TRA balance'!$D$5:$D$40,Assumptions!$B59)*DN59*W59,"")</f>
        <v>0</v>
      </c>
      <c r="BT59" s="41">
        <f ca="1">IFERROR(SUMIFS('TRA balance'!U$5:U$40,'TRA balance'!$C$5:$C$40,Assumptions!$C59,'TRA balance'!$D$5:$D$40,Assumptions!$B59)*DO59*X59,"")</f>
        <v>0</v>
      </c>
      <c r="BU59" s="41">
        <f ca="1">IFERROR(SUMIFS('TRA balance'!V$5:V$40,'TRA balance'!$C$5:$C$40,Assumptions!$C59,'TRA balance'!$D$5:$D$40,Assumptions!$B59)*DP59*Y59,"")</f>
        <v>0</v>
      </c>
      <c r="BV59" s="41">
        <f ca="1">IFERROR(SUMIFS('TRA balance'!W$5:W$40,'TRA balance'!$C$5:$C$40,Assumptions!$C59,'TRA balance'!$D$5:$D$40,Assumptions!$B59)*DQ59*Z59,"")</f>
        <v>0</v>
      </c>
      <c r="BW59" s="41">
        <f ca="1">IFERROR(SUMIFS('TRA balance'!X$5:X$40,'TRA balance'!$C$5:$C$40,Assumptions!$C59,'TRA balance'!$D$5:$D$40,Assumptions!$B59)*DR59*AA59,"")</f>
        <v>0</v>
      </c>
      <c r="BX59" s="41">
        <f ca="1">IFERROR(SUMIFS('TRA balance'!Y$5:Y$40,'TRA balance'!$C$5:$C$40,Assumptions!$C59,'TRA balance'!$D$5:$D$40,Assumptions!$B59)*DS59*AB59,"")</f>
        <v>0</v>
      </c>
      <c r="BY59" s="41">
        <f ca="1">IFERROR(SUMIFS('TRA balance'!Z$5:Z$40,'TRA balance'!$C$5:$C$40,Assumptions!$C59,'TRA balance'!$D$5:$D$40,Assumptions!$B59)*DT59*AC59,"")</f>
        <v>0</v>
      </c>
      <c r="BZ59" s="41">
        <f ca="1">IFERROR(SUMIFS('TRA balance'!AA$5:AA$40,'TRA balance'!$C$5:$C$40,Assumptions!$C59,'TRA balance'!$D$5:$D$40,Assumptions!$B59)*DU59*AD59,"")</f>
        <v>0</v>
      </c>
      <c r="CA59" s="41">
        <f ca="1">IFERROR(SUMIFS('TRA balance'!AB$5:AB$40,'TRA balance'!$C$5:$C$40,Assumptions!$C59,'TRA balance'!$D$5:$D$40,Assumptions!$B59)*DV59*AE59,"")</f>
        <v>0</v>
      </c>
      <c r="CB59" s="41">
        <f ca="1">IFERROR(SUMIFS('TRA balance'!AC$5:AC$40,'TRA balance'!$C$5:$C$40,Assumptions!$C59,'TRA balance'!$D$5:$D$40,Assumptions!$B59)*DW59*AF59,"")</f>
        <v>0</v>
      </c>
      <c r="CC59" s="41">
        <f ca="1">IFERROR(SUMIFS('TRA balance'!AD$5:AD$40,'TRA balance'!$C$5:$C$40,Assumptions!$C59,'TRA balance'!$D$5:$D$40,Assumptions!$B59)*DX59*AG59,"")</f>
        <v>0</v>
      </c>
      <c r="CD59" s="41">
        <f ca="1">IFERROR(SUMIFS('TRA balance'!AE$5:AE$40,'TRA balance'!$C$5:$C$40,Assumptions!$C59,'TRA balance'!$D$5:$D$40,Assumptions!$B59)*DY59*AH59,"")</f>
        <v>0</v>
      </c>
      <c r="CE59" s="41">
        <f ca="1">IFERROR(SUMIFS('TRA balance'!AF$5:AF$40,'TRA balance'!$C$5:$C$40,Assumptions!$C59,'TRA balance'!$D$5:$D$40,Assumptions!$B59)*DZ59*AI59,"")</f>
        <v>0</v>
      </c>
      <c r="CF59" s="41">
        <f ca="1">IFERROR(SUMIFS('TRA balance'!AG$5:AG$40,'TRA balance'!$C$5:$C$40,Assumptions!$C59,'TRA balance'!$D$5:$D$40,Assumptions!$B59)*EA59*AJ59,"")</f>
        <v>0</v>
      </c>
      <c r="CG59" s="41">
        <f ca="1">IFERROR(SUMIFS('TRA balance'!AH$5:AH$40,'TRA balance'!$C$5:$C$40,Assumptions!$C59,'TRA balance'!$D$5:$D$40,Assumptions!$B59)*EB59*AK59,"")</f>
        <v>0</v>
      </c>
      <c r="CH59" s="41">
        <f ca="1">IFERROR(SUMIFS('TRA balance'!AI$5:AI$40,'TRA balance'!$C$5:$C$40,Assumptions!$C59,'TRA balance'!$D$5:$D$40,Assumptions!$B59)*EC59*AL59,"")</f>
        <v>0</v>
      </c>
      <c r="CI59" s="41">
        <f ca="1">IFERROR(SUMIFS('TRA balance'!AJ$5:AJ$40,'TRA balance'!$C$5:$C$40,Assumptions!$C59,'TRA balance'!$D$5:$D$40,Assumptions!$B59)*ED59*AM59,"")</f>
        <v>0</v>
      </c>
      <c r="CJ59" s="41">
        <f ca="1">IFERROR(SUMIFS('TRA balance'!AK$5:AK$40,'TRA balance'!$C$5:$C$40,Assumptions!$C59,'TRA balance'!$D$5:$D$40,Assumptions!$B59)*EE59*AN59,"")</f>
        <v>0</v>
      </c>
      <c r="CK59" s="41">
        <f ca="1">IFERROR(SUMIFS('TRA balance'!AL$5:AL$40,'TRA balance'!$C$5:$C$40,Assumptions!$C59,'TRA balance'!$D$5:$D$40,Assumptions!$B59)*EF59*AO59,"")</f>
        <v>0</v>
      </c>
      <c r="CL59" s="41">
        <f ca="1">IFERROR(SUMIFS('TRA balance'!AM$5:AM$40,'TRA balance'!$C$5:$C$40,Assumptions!$C59,'TRA balance'!$D$5:$D$40,Assumptions!$B59)*EG59*AP59,"")</f>
        <v>0</v>
      </c>
      <c r="CM59" s="41">
        <f ca="1">IFERROR(SUMIFS('TRA balance'!AN$5:AN$40,'TRA balance'!$C$5:$C$40,Assumptions!$C59,'TRA balance'!$D$5:$D$40,Assumptions!$B59)*EH59*AQ59,"")</f>
        <v>0</v>
      </c>
      <c r="CN59" s="41">
        <f ca="1">IFERROR(SUMIFS('TRA balance'!AO$5:AO$40,'TRA balance'!$C$5:$C$40,Assumptions!$C59,'TRA balance'!$D$5:$D$40,Assumptions!$B59)*EI59*AR59,"")</f>
        <v>0</v>
      </c>
      <c r="CO59" s="41">
        <f ca="1">IFERROR(SUMIFS('TRA balance'!AP$5:AP$40,'TRA balance'!$C$5:$C$40,Assumptions!$C59,'TRA balance'!$D$5:$D$40,Assumptions!$B59)*EJ59*AS59,"")</f>
        <v>0</v>
      </c>
      <c r="CP59" s="41">
        <f ca="1">IFERROR(SUMIFS('TRA balance'!AQ$5:AQ$40,'TRA balance'!$C$5:$C$40,Assumptions!$C59,'TRA balance'!$D$5:$D$40,Assumptions!$B59)*EK59*AT59,"")</f>
        <v>0</v>
      </c>
      <c r="CQ59" s="41">
        <f ca="1">IFERROR(SUMIFS('TRA balance'!AR$5:AR$40,'TRA balance'!$C$5:$C$40,Assumptions!$C59,'TRA balance'!$D$5:$D$40,Assumptions!$B59)*EL59*AU59,"")</f>
        <v>0</v>
      </c>
      <c r="CR59" s="41">
        <f ca="1">IFERROR(SUMIFS('TRA balance'!AS$5:AS$40,'TRA balance'!$C$5:$C$40,Assumptions!$C59,'TRA balance'!$D$5:$D$40,Assumptions!$B59)*EM59*AV59,"")</f>
        <v>0</v>
      </c>
      <c r="CS59" s="41">
        <f ca="1">IFERROR(SUMIFS('TRA balance'!AT$5:AT$40,'TRA balance'!$C$5:$C$40,Assumptions!$C59,'TRA balance'!$D$5:$D$40,Assumptions!$B59)*EN59*AW59,"")</f>
        <v>0</v>
      </c>
      <c r="CT59" s="41">
        <f ca="1">IFERROR(SUMIFS('TRA balance'!AU$5:AU$40,'TRA balance'!$C$5:$C$40,Assumptions!$C59,'TRA balance'!$D$5:$D$40,Assumptions!$B59)*EO59*AX59,"")</f>
        <v>0</v>
      </c>
      <c r="CU59" s="41">
        <f ca="1">IFERROR(SUMIFS('TRA balance'!AV$5:AV$40,'TRA balance'!$C$5:$C$40,Assumptions!$C59,'TRA balance'!$D$5:$D$40,Assumptions!$B59)*EP59*AY59,"")</f>
        <v>0</v>
      </c>
      <c r="CV59" s="41">
        <f ca="1">IFERROR(SUMIFS('TRA balance'!AW$5:AW$40,'TRA balance'!$C$5:$C$40,Assumptions!$C59,'TRA balance'!$D$5:$D$40,Assumptions!$B59)*EQ59*AZ59,"")</f>
        <v>0</v>
      </c>
      <c r="CW59" s="41">
        <f ca="1">IFERROR(SUMIFS('TRA balance'!AX$5:AX$40,'TRA balance'!$C$5:$C$40,Assumptions!$C59,'TRA balance'!$D$5:$D$40,Assumptions!$B59)*ER59*BA59,"")</f>
        <v>0</v>
      </c>
      <c r="CY59" s="40">
        <f ca="1" t="shared" si="66"/>
        <v>0.75</v>
      </c>
      <c r="CZ59" s="40">
        <f ca="1" t="shared" si="3"/>
        <v>0.75</v>
      </c>
      <c r="DA59" s="40">
        <f ca="1" t="shared" si="4"/>
        <v>0.75</v>
      </c>
      <c r="DB59" s="40">
        <f ca="1" t="shared" si="5"/>
        <v>0.318</v>
      </c>
      <c r="DC59" s="40">
        <f ca="1" t="shared" si="6"/>
        <v>0.3</v>
      </c>
      <c r="DD59" s="40">
        <f ca="1" t="shared" si="7"/>
        <v>0.318</v>
      </c>
      <c r="DE59" s="40">
        <f ca="1" t="shared" si="8"/>
        <v>0.5</v>
      </c>
      <c r="DF59" s="40">
        <f ca="1" t="shared" si="9"/>
        <v>0.6</v>
      </c>
      <c r="DG59" s="40">
        <f ca="1" t="shared" si="10"/>
        <v>1</v>
      </c>
      <c r="DH59" s="40">
        <f ca="1" t="shared" si="11"/>
        <v>1</v>
      </c>
      <c r="DI59" s="40">
        <f ca="1" t="shared" si="12"/>
        <v>0.318</v>
      </c>
      <c r="DJ59" s="40">
        <f ca="1" t="shared" si="13"/>
        <v>0.318</v>
      </c>
      <c r="DK59" s="40">
        <f ca="1" t="shared" si="14"/>
        <v>0.318</v>
      </c>
      <c r="DL59" s="40">
        <f ca="1" t="shared" si="15"/>
        <v>1</v>
      </c>
      <c r="DM59" s="40">
        <f ca="1" t="shared" si="16"/>
        <v>0.318</v>
      </c>
      <c r="DN59" s="40">
        <f ca="1" t="shared" si="17"/>
        <v>0.75</v>
      </c>
      <c r="DO59" s="40">
        <f ca="1" t="shared" si="18"/>
        <v>0.318</v>
      </c>
      <c r="DP59" s="40">
        <f ca="1" t="shared" si="19"/>
        <v>0.318</v>
      </c>
      <c r="DQ59" s="40">
        <f ca="1" t="shared" si="20"/>
        <v>0.05</v>
      </c>
      <c r="DR59" s="40">
        <f ca="1" t="shared" si="21"/>
        <v>0.5</v>
      </c>
      <c r="DS59" s="40">
        <f ca="1" t="shared" si="22"/>
        <v>0.318</v>
      </c>
      <c r="DT59" s="40">
        <f ca="1" t="shared" si="23"/>
        <v>0.02083020544021</v>
      </c>
      <c r="DU59" s="40">
        <f ca="1" t="shared" si="24"/>
        <v>0.318</v>
      </c>
      <c r="DV59" s="40">
        <f ca="1" t="shared" si="25"/>
        <v>1</v>
      </c>
      <c r="DW59" s="40">
        <f ca="1" t="shared" si="26"/>
        <v>0.1</v>
      </c>
      <c r="DX59" s="40">
        <f ca="1" t="shared" si="27"/>
        <v>0.3</v>
      </c>
      <c r="DY59" s="40">
        <f ca="1" t="shared" si="28"/>
        <v>0.318</v>
      </c>
      <c r="DZ59" s="40">
        <f ca="1" t="shared" si="29"/>
        <v>0.75</v>
      </c>
      <c r="EA59" s="40">
        <f ca="1" t="shared" si="30"/>
        <v>0.318</v>
      </c>
      <c r="EB59" s="40">
        <f ca="1" t="shared" si="31"/>
        <v>0.318</v>
      </c>
      <c r="EC59" s="40">
        <f ca="1" t="shared" si="32"/>
        <v>0.318</v>
      </c>
      <c r="ED59" s="40">
        <f ca="1" t="shared" si="33"/>
        <v>0.318</v>
      </c>
      <c r="EE59" s="40">
        <f ca="1" t="shared" si="34"/>
        <v>0.318</v>
      </c>
      <c r="EF59" s="40">
        <f ca="1" t="shared" si="35"/>
        <v>0.3</v>
      </c>
      <c r="EG59" s="40">
        <f ca="1" t="shared" si="36"/>
        <v>1</v>
      </c>
      <c r="EH59" s="40">
        <f ca="1" t="shared" si="37"/>
        <v>0.02083020544021</v>
      </c>
      <c r="EI59" s="40">
        <f ca="1" t="shared" si="38"/>
        <v>0.02083020544021</v>
      </c>
      <c r="EJ59" s="40">
        <f ca="1" t="shared" si="39"/>
        <v>0.02083020544021</v>
      </c>
      <c r="EK59" s="40">
        <f ca="1" t="shared" si="40"/>
        <v>0.02083020544021</v>
      </c>
      <c r="EL59" s="40">
        <f ca="1" t="shared" si="41"/>
        <v>0.02083020544021</v>
      </c>
      <c r="EM59" s="40">
        <f ca="1" t="shared" si="42"/>
        <v>0.02083020544021</v>
      </c>
      <c r="EN59" s="40">
        <f ca="1" t="shared" si="43"/>
        <v>0.02083020544021</v>
      </c>
      <c r="EO59" s="40">
        <f ca="1" t="shared" si="44"/>
        <v>0.02083020544021</v>
      </c>
      <c r="EP59" s="40">
        <f ca="1" t="shared" si="45"/>
        <v>0.02083020544021</v>
      </c>
      <c r="EQ59" s="40">
        <f ca="1" t="shared" si="46"/>
        <v>0.02083020544021</v>
      </c>
      <c r="ER59" s="40">
        <f ca="1" t="shared" si="47"/>
        <v>0.02083020544021</v>
      </c>
    </row>
    <row r="60" spans="1:148">
      <c r="A60">
        <v>2</v>
      </c>
      <c r="B60" t="str">
        <f>VLOOKUP(F60,'TRA balance'!$BA$5:$BB$14,2,FALSE)</f>
        <v>TRANGA</v>
      </c>
      <c r="C60" s="56" t="str">
        <f t="shared" si="48"/>
        <v>TR</v>
      </c>
      <c r="D60" s="57" t="s">
        <v>200</v>
      </c>
      <c r="E60" s="68" t="s">
        <v>218</v>
      </c>
      <c r="F60" s="58" t="str">
        <f t="shared" si="82"/>
        <v>Natural Gas</v>
      </c>
      <c r="G60" s="56" t="s">
        <v>219</v>
      </c>
      <c r="H60" s="59">
        <f ca="1">OFFSET(TIAM15_assumptions!$G60,0,MATCH(VLOOKUP(Assumptions!H$2,TIAM15_assumptions!$Y$3:$Z$87,2,FALSE),TIAM15_assumptions!$H$2:$V$2,0))</f>
        <v>0.2</v>
      </c>
      <c r="I60" s="59">
        <f ca="1">OFFSET(TIAM15_assumptions!$G60,0,MATCH(VLOOKUP(Assumptions!I$2,TIAM15_assumptions!$Y$3:$Z$87,2,FALSE),TIAM15_assumptions!$H$2:$V$2,0))</f>
        <v>0.2</v>
      </c>
      <c r="J60" s="59">
        <f ca="1">OFFSET(TIAM15_assumptions!$G60,0,MATCH(VLOOKUP(Assumptions!J$2,TIAM15_assumptions!$Y$3:$Z$87,2,FALSE),TIAM15_assumptions!$H$2:$V$2,0))</f>
        <v>0.2</v>
      </c>
      <c r="K60" s="59">
        <f ca="1">OFFSET(TIAM15_assumptions!$G60,0,MATCH(VLOOKUP(Assumptions!K$2,TIAM15_assumptions!$Y$3:$Z$87,2,FALSE),TIAM15_assumptions!$H$2:$V$2,0))</f>
        <v>0</v>
      </c>
      <c r="L60" s="59">
        <f ca="1">OFFSET(TIAM15_assumptions!$G60,0,MATCH(VLOOKUP(Assumptions!L$2,TIAM15_assumptions!$Y$3:$Z$87,2,FALSE),TIAM15_assumptions!$H$2:$V$2,0))</f>
        <v>1</v>
      </c>
      <c r="M60" s="59">
        <f ca="1">OFFSET(TIAM15_assumptions!$G60,0,MATCH(VLOOKUP(Assumptions!M$2,TIAM15_assumptions!$Y$3:$Z$87,2,FALSE),TIAM15_assumptions!$H$2:$V$2,0))</f>
        <v>0</v>
      </c>
      <c r="N60" s="59">
        <f ca="1">OFFSET(TIAM15_assumptions!$G60,0,MATCH(VLOOKUP(Assumptions!N$2,TIAM15_assumptions!$Y$3:$Z$87,2,FALSE),TIAM15_assumptions!$H$2:$V$2,0))</f>
        <v>0.4</v>
      </c>
      <c r="O60" s="59">
        <f ca="1">OFFSET(TIAM15_assumptions!$G60,0,MATCH(VLOOKUP(Assumptions!O$2,TIAM15_assumptions!$Y$3:$Z$87,2,FALSE),TIAM15_assumptions!$H$2:$V$2,0))</f>
        <v>0.2</v>
      </c>
      <c r="P60" s="59">
        <f ca="1">OFFSET(TIAM15_assumptions!$G60,0,MATCH(VLOOKUP(Assumptions!P$2,TIAM15_assumptions!$Y$3:$Z$87,2,FALSE),TIAM15_assumptions!$H$2:$V$2,0))</f>
        <v>0</v>
      </c>
      <c r="Q60" s="59">
        <f ca="1">OFFSET(TIAM15_assumptions!$G60,0,MATCH(VLOOKUP(Assumptions!Q$2,TIAM15_assumptions!$Y$3:$Z$87,2,FALSE),TIAM15_assumptions!$H$2:$V$2,0))</f>
        <v>0</v>
      </c>
      <c r="R60" s="59">
        <f ca="1">OFFSET(TIAM15_assumptions!$G60,0,MATCH(VLOOKUP(Assumptions!R$2,TIAM15_assumptions!$Y$3:$Z$87,2,FALSE),TIAM15_assumptions!$H$2:$V$2,0))</f>
        <v>0</v>
      </c>
      <c r="S60" s="59">
        <f ca="1">OFFSET(TIAM15_assumptions!$G60,0,MATCH(VLOOKUP(Assumptions!S$2,TIAM15_assumptions!$Y$3:$Z$87,2,FALSE),TIAM15_assumptions!$H$2:$V$2,0))</f>
        <v>0</v>
      </c>
      <c r="T60" s="59">
        <f ca="1">OFFSET(TIAM15_assumptions!$G60,0,MATCH(VLOOKUP(Assumptions!T$2,TIAM15_assumptions!$Y$3:$Z$87,2,FALSE),TIAM15_assumptions!$H$2:$V$2,0))</f>
        <v>0</v>
      </c>
      <c r="U60" s="59">
        <f ca="1">OFFSET(TIAM15_assumptions!$G60,0,MATCH(VLOOKUP(Assumptions!U$2,TIAM15_assumptions!$Y$3:$Z$87,2,FALSE),TIAM15_assumptions!$H$2:$V$2,0))</f>
        <v>0</v>
      </c>
      <c r="V60" s="59">
        <f ca="1">OFFSET(TIAM15_assumptions!$G60,0,MATCH(VLOOKUP(Assumptions!V$2,TIAM15_assumptions!$Y$3:$Z$87,2,FALSE),TIAM15_assumptions!$H$2:$V$2,0))</f>
        <v>0</v>
      </c>
      <c r="W60" s="59">
        <f ca="1">OFFSET(TIAM15_assumptions!$G60,0,MATCH(VLOOKUP(Assumptions!W$2,TIAM15_assumptions!$Y$3:$Z$87,2,FALSE),TIAM15_assumptions!$H$2:$V$2,0))</f>
        <v>0.2</v>
      </c>
      <c r="X60" s="59">
        <f ca="1">OFFSET(TIAM15_assumptions!$G60,0,MATCH(VLOOKUP(Assumptions!X$2,TIAM15_assumptions!$Y$3:$Z$87,2,FALSE),TIAM15_assumptions!$H$2:$V$2,0))</f>
        <v>0</v>
      </c>
      <c r="Y60" s="59">
        <f ca="1">OFFSET(TIAM15_assumptions!$G60,0,MATCH(VLOOKUP(Assumptions!Y$2,TIAM15_assumptions!$Y$3:$Z$87,2,FALSE),TIAM15_assumptions!$H$2:$V$2,0))</f>
        <v>0</v>
      </c>
      <c r="Z60" s="59">
        <f ca="1">OFFSET(TIAM15_assumptions!$G60,0,MATCH(VLOOKUP(Assumptions!Z$2,TIAM15_assumptions!$Y$3:$Z$87,2,FALSE),TIAM15_assumptions!$H$2:$V$2,0))</f>
        <v>1</v>
      </c>
      <c r="AA60" s="59">
        <f ca="1">OFFSET(TIAM15_assumptions!$G60,0,MATCH(VLOOKUP(Assumptions!AA$2,TIAM15_assumptions!$Y$3:$Z$87,2,FALSE),TIAM15_assumptions!$H$2:$V$2,0))</f>
        <v>0.4</v>
      </c>
      <c r="AB60" s="59">
        <f ca="1">OFFSET(TIAM15_assumptions!$G60,0,MATCH(VLOOKUP(Assumptions!AB$2,TIAM15_assumptions!$Y$3:$Z$87,2,FALSE),TIAM15_assumptions!$H$2:$V$2,0))</f>
        <v>0</v>
      </c>
      <c r="AC60" s="59">
        <f ca="1">OFFSET(TIAM15_assumptions!$G60,0,MATCH(VLOOKUP(Assumptions!AC$2,TIAM15_assumptions!$Y$3:$Z$87,2,FALSE),TIAM15_assumptions!$H$2:$V$2,0))</f>
        <v>0.98</v>
      </c>
      <c r="AD60" s="59">
        <f ca="1">OFFSET(TIAM15_assumptions!$G60,0,MATCH(VLOOKUP(Assumptions!AD$2,TIAM15_assumptions!$Y$3:$Z$87,2,FALSE),TIAM15_assumptions!$H$2:$V$2,0))</f>
        <v>0</v>
      </c>
      <c r="AE60" s="59">
        <f ca="1">OFFSET(TIAM15_assumptions!$G60,0,MATCH(VLOOKUP(Assumptions!AE$2,TIAM15_assumptions!$Y$3:$Z$87,2,FALSE),TIAM15_assumptions!$H$2:$V$2,0))</f>
        <v>0</v>
      </c>
      <c r="AF60" s="59">
        <f ca="1">OFFSET(TIAM15_assumptions!$G60,0,MATCH(VLOOKUP(Assumptions!AF$2,TIAM15_assumptions!$Y$3:$Z$87,2,FALSE),TIAM15_assumptions!$H$2:$V$2,0))</f>
        <v>0.3</v>
      </c>
      <c r="AG60" s="59">
        <f ca="1">OFFSET(TIAM15_assumptions!$G60,0,MATCH(VLOOKUP(Assumptions!AG$2,TIAM15_assumptions!$Y$3:$Z$87,2,FALSE),TIAM15_assumptions!$H$2:$V$2,0))</f>
        <v>1</v>
      </c>
      <c r="AH60" s="59">
        <f ca="1">OFFSET(TIAM15_assumptions!$G60,0,MATCH(VLOOKUP(Assumptions!AH$2,TIAM15_assumptions!$Y$3:$Z$87,2,FALSE),TIAM15_assumptions!$H$2:$V$2,0))</f>
        <v>0</v>
      </c>
      <c r="AI60" s="59">
        <f ca="1">OFFSET(TIAM15_assumptions!$G60,0,MATCH(VLOOKUP(Assumptions!AI$2,TIAM15_assumptions!$Y$3:$Z$87,2,FALSE),TIAM15_assumptions!$H$2:$V$2,0))</f>
        <v>0.2</v>
      </c>
      <c r="AJ60" s="59">
        <f ca="1">OFFSET(TIAM15_assumptions!$G60,0,MATCH(VLOOKUP(Assumptions!AJ$2,TIAM15_assumptions!$Y$3:$Z$87,2,FALSE),TIAM15_assumptions!$H$2:$V$2,0))</f>
        <v>0</v>
      </c>
      <c r="AK60" s="59">
        <f ca="1">OFFSET(TIAM15_assumptions!$G60,0,MATCH(VLOOKUP(Assumptions!AK$2,TIAM15_assumptions!$Y$3:$Z$87,2,FALSE),TIAM15_assumptions!$H$2:$V$2,0))</f>
        <v>0</v>
      </c>
      <c r="AL60" s="59">
        <f ca="1">OFFSET(TIAM15_assumptions!$G60,0,MATCH(VLOOKUP(Assumptions!AL$2,TIAM15_assumptions!$Y$3:$Z$87,2,FALSE),TIAM15_assumptions!$H$2:$V$2,0))</f>
        <v>0</v>
      </c>
      <c r="AM60" s="59">
        <f ca="1">OFFSET(TIAM15_assumptions!$G60,0,MATCH(VLOOKUP(Assumptions!AM$2,TIAM15_assumptions!$Y$3:$Z$87,2,FALSE),TIAM15_assumptions!$H$2:$V$2,0))</f>
        <v>0</v>
      </c>
      <c r="AN60" s="59">
        <f ca="1">OFFSET(TIAM15_assumptions!$G60,0,MATCH(VLOOKUP(Assumptions!AN$2,TIAM15_assumptions!$Y$3:$Z$87,2,FALSE),TIAM15_assumptions!$H$2:$V$2,0))</f>
        <v>0</v>
      </c>
      <c r="AO60" s="59">
        <f ca="1">OFFSET(TIAM15_assumptions!$G60,0,MATCH(VLOOKUP(Assumptions!AO$2,TIAM15_assumptions!$Y$3:$Z$87,2,FALSE),TIAM15_assumptions!$H$2:$V$2,0))</f>
        <v>1</v>
      </c>
      <c r="AP60" s="59">
        <f ca="1">OFFSET(TIAM15_assumptions!$G60,0,MATCH(VLOOKUP(Assumptions!AP$2,TIAM15_assumptions!$Y$3:$Z$87,2,FALSE),TIAM15_assumptions!$H$2:$V$2,0))</f>
        <v>0</v>
      </c>
      <c r="AQ60" s="59">
        <f ca="1">OFFSET(TIAM15_assumptions!$G60,0,MATCH(VLOOKUP(Assumptions!AQ$2,TIAM15_assumptions!$Y$3:$Z$87,2,FALSE),TIAM15_assumptions!$H$2:$V$2,0))</f>
        <v>0.98</v>
      </c>
      <c r="AR60" s="59">
        <f ca="1">OFFSET(TIAM15_assumptions!$G60,0,MATCH(VLOOKUP(Assumptions!AR$2,TIAM15_assumptions!$Y$3:$Z$87,2,FALSE),TIAM15_assumptions!$H$2:$V$2,0))</f>
        <v>0.98</v>
      </c>
      <c r="AS60" s="59">
        <f ca="1">OFFSET(TIAM15_assumptions!$G60,0,MATCH(VLOOKUP(Assumptions!AS$2,TIAM15_assumptions!$Y$3:$Z$87,2,FALSE),TIAM15_assumptions!$H$2:$V$2,0))</f>
        <v>0.98</v>
      </c>
      <c r="AT60" s="59">
        <f ca="1">OFFSET(TIAM15_assumptions!$G60,0,MATCH(VLOOKUP(Assumptions!AT$2,TIAM15_assumptions!$Y$3:$Z$87,2,FALSE),TIAM15_assumptions!$H$2:$V$2,0))</f>
        <v>0.98</v>
      </c>
      <c r="AU60" s="59">
        <f ca="1">OFFSET(TIAM15_assumptions!$G60,0,MATCH(VLOOKUP(Assumptions!AU$2,TIAM15_assumptions!$Y$3:$Z$87,2,FALSE),TIAM15_assumptions!$H$2:$V$2,0))</f>
        <v>0.98</v>
      </c>
      <c r="AV60" s="59">
        <f ca="1">OFFSET(TIAM15_assumptions!$G60,0,MATCH(VLOOKUP(Assumptions!AV$2,TIAM15_assumptions!$Y$3:$Z$87,2,FALSE),TIAM15_assumptions!$H$2:$V$2,0))</f>
        <v>0.98</v>
      </c>
      <c r="AW60" s="59">
        <f ca="1">OFFSET(TIAM15_assumptions!$G60,0,MATCH(VLOOKUP(Assumptions!AW$2,TIAM15_assumptions!$Y$3:$Z$87,2,FALSE),TIAM15_assumptions!$H$2:$V$2,0))</f>
        <v>0.98</v>
      </c>
      <c r="AX60" s="59">
        <f ca="1">OFFSET(TIAM15_assumptions!$G60,0,MATCH(VLOOKUP(Assumptions!AX$2,TIAM15_assumptions!$Y$3:$Z$87,2,FALSE),TIAM15_assumptions!$H$2:$V$2,0))</f>
        <v>0.98</v>
      </c>
      <c r="AY60" s="59">
        <f ca="1">OFFSET(TIAM15_assumptions!$G60,0,MATCH(VLOOKUP(Assumptions!AY$2,TIAM15_assumptions!$Y$3:$Z$87,2,FALSE),TIAM15_assumptions!$H$2:$V$2,0))</f>
        <v>0.98</v>
      </c>
      <c r="AZ60" s="59">
        <f ca="1">OFFSET(TIAM15_assumptions!$G60,0,MATCH(VLOOKUP(Assumptions!AZ$2,TIAM15_assumptions!$Y$3:$Z$87,2,FALSE),TIAM15_assumptions!$H$2:$V$2,0))</f>
        <v>0.98</v>
      </c>
      <c r="BA60" s="59">
        <f ca="1">OFFSET(TIAM15_assumptions!$G60,0,MATCH(VLOOKUP(Assumptions!BA$2,TIAM15_assumptions!$Y$3:$Z$87,2,FALSE),TIAM15_assumptions!$H$2:$V$2,0))</f>
        <v>0.98</v>
      </c>
      <c r="BD60" s="41">
        <f ca="1">IFERROR(SUMIFS('TRA balance'!E$5:E$40,'TRA balance'!$C$5:$C$40,Assumptions!$C60,'TRA balance'!$D$5:$D$40,Assumptions!$B60)*CY60*H60,"")</f>
        <v>3.05220797298</v>
      </c>
      <c r="BE60" s="41">
        <f ca="1">IFERROR(SUMIFS('TRA balance'!F$5:F$40,'TRA balance'!$C$5:$C$40,Assumptions!$C60,'TRA balance'!$D$5:$D$40,Assumptions!$B60)*CZ60*I60,"")</f>
        <v>0.01120324878</v>
      </c>
      <c r="BF60" s="41">
        <f ca="1">IFERROR(SUMIFS('TRA balance'!G$5:G$40,'TRA balance'!$C$5:$C$40,Assumptions!$C60,'TRA balance'!$D$5:$D$40,Assumptions!$B60)*DA60*J60,"")</f>
        <v>0.46851799248</v>
      </c>
      <c r="BG60" s="41">
        <f ca="1">IFERROR(SUMIFS('TRA balance'!H$5:H$40,'TRA balance'!$C$5:$C$40,Assumptions!$C60,'TRA balance'!$D$5:$D$40,Assumptions!$B60)*DB60*K60,"")</f>
        <v>0</v>
      </c>
      <c r="BH60" s="41">
        <f ca="1">IFERROR(SUMIFS('TRA balance'!I$5:I$40,'TRA balance'!$C$5:$C$40,Assumptions!$C60,'TRA balance'!$D$5:$D$40,Assumptions!$B60)*DC60*L60,"")</f>
        <v>0.24127523568</v>
      </c>
      <c r="BI60" s="41">
        <f ca="1">IFERROR(SUMIFS('TRA balance'!J$5:J$40,'TRA balance'!$C$5:$C$40,Assumptions!$C60,'TRA balance'!$D$5:$D$40,Assumptions!$B60)*DD60*M60,"")</f>
        <v>0</v>
      </c>
      <c r="BJ60" s="41">
        <f ca="1">IFERROR(SUMIFS('TRA balance'!K$5:K$40,'TRA balance'!$C$5:$C$40,Assumptions!$C60,'TRA balance'!$D$5:$D$40,Assumptions!$B60)*DE60*N60,"")</f>
        <v>16.83461368512</v>
      </c>
      <c r="BK60" s="41">
        <f ca="1">IFERROR(SUMIFS('TRA balance'!L$5:L$40,'TRA balance'!$C$5:$C$40,Assumptions!$C60,'TRA balance'!$D$5:$D$40,Assumptions!$B60)*DF60*O60,"")</f>
        <v>123.400839521088</v>
      </c>
      <c r="BL60" s="41">
        <f ca="1">IFERROR(SUMIFS('TRA balance'!M$5:M$40,'TRA balance'!$C$5:$C$40,Assumptions!$C60,'TRA balance'!$D$5:$D$40,Assumptions!$B60)*DG60*P60,"")</f>
        <v>0</v>
      </c>
      <c r="BM60" s="41">
        <f ca="1">IFERROR(SUMIFS('TRA balance'!N$5:N$40,'TRA balance'!$C$5:$C$40,Assumptions!$C60,'TRA balance'!$D$5:$D$40,Assumptions!$B60)*DH60*Q60,"")</f>
        <v>0</v>
      </c>
      <c r="BN60" s="41">
        <f ca="1">IFERROR(SUMIFS('TRA balance'!O$5:O$40,'TRA balance'!$C$5:$C$40,Assumptions!$C60,'TRA balance'!$D$5:$D$40,Assumptions!$B60)*DI60*R60,"")</f>
        <v>0</v>
      </c>
      <c r="BO60" s="41">
        <f ca="1">IFERROR(SUMIFS('TRA balance'!P$5:P$40,'TRA balance'!$C$5:$C$40,Assumptions!$C60,'TRA balance'!$D$5:$D$40,Assumptions!$B60)*DJ60*S60,"")</f>
        <v>0</v>
      </c>
      <c r="BP60" s="41">
        <f ca="1">IFERROR(SUMIFS('TRA balance'!Q$5:Q$40,'TRA balance'!$C$5:$C$40,Assumptions!$C60,'TRA balance'!$D$5:$D$40,Assumptions!$B60)*DK60*T60,"")</f>
        <v>0</v>
      </c>
      <c r="BQ60" s="41">
        <f ca="1">IFERROR(SUMIFS('TRA balance'!R$5:R$40,'TRA balance'!$C$5:$C$40,Assumptions!$C60,'TRA balance'!$D$5:$D$40,Assumptions!$B60)*DL60*U60,"")</f>
        <v>0</v>
      </c>
      <c r="BR60" s="41">
        <f ca="1">IFERROR(SUMIFS('TRA balance'!S$5:S$40,'TRA balance'!$C$5:$C$40,Assumptions!$C60,'TRA balance'!$D$5:$D$40,Assumptions!$B60)*DM60*V60,"")</f>
        <v>0</v>
      </c>
      <c r="BS60" s="41">
        <f ca="1">IFERROR(SUMIFS('TRA balance'!T$5:T$40,'TRA balance'!$C$5:$C$40,Assumptions!$C60,'TRA balance'!$D$5:$D$40,Assumptions!$B60)*DN60*W60,"")</f>
        <v>18.50711133168</v>
      </c>
      <c r="BT60" s="41">
        <f ca="1">IFERROR(SUMIFS('TRA balance'!U$5:U$40,'TRA balance'!$C$5:$C$40,Assumptions!$C60,'TRA balance'!$D$5:$D$40,Assumptions!$B60)*DO60*X60,"")</f>
        <v>0</v>
      </c>
      <c r="BU60" s="41">
        <f ca="1">IFERROR(SUMIFS('TRA balance'!V$5:V$40,'TRA balance'!$C$5:$C$40,Assumptions!$C60,'TRA balance'!$D$5:$D$40,Assumptions!$B60)*DP60*Y60,"")</f>
        <v>0</v>
      </c>
      <c r="BV60" s="41">
        <f ca="1">IFERROR(SUMIFS('TRA balance'!W$5:W$40,'TRA balance'!$C$5:$C$40,Assumptions!$C60,'TRA balance'!$D$5:$D$40,Assumptions!$B60)*DQ60*Z60,"")</f>
        <v>0.0699503329800001</v>
      </c>
      <c r="BW60" s="41">
        <f ca="1">IFERROR(SUMIFS('TRA balance'!X$5:X$40,'TRA balance'!$C$5:$C$40,Assumptions!$C60,'TRA balance'!$D$5:$D$40,Assumptions!$B60)*DR60*AA60,"")</f>
        <v>32.37639209712</v>
      </c>
      <c r="BX60" s="41">
        <f ca="1">IFERROR(SUMIFS('TRA balance'!Y$5:Y$40,'TRA balance'!$C$5:$C$40,Assumptions!$C60,'TRA balance'!$D$5:$D$40,Assumptions!$B60)*DS60*AB60,"")</f>
        <v>0</v>
      </c>
      <c r="BY60" s="41">
        <f ca="1">IFERROR(SUMIFS('TRA balance'!Z$5:Z$40,'TRA balance'!$C$5:$C$40,Assumptions!$C60,'TRA balance'!$D$5:$D$40,Assumptions!$B60)*DT60*AC60,"")</f>
        <v>1.10944748268765</v>
      </c>
      <c r="BZ60" s="41">
        <f ca="1">IFERROR(SUMIFS('TRA balance'!AA$5:AA$40,'TRA balance'!$C$5:$C$40,Assumptions!$C60,'TRA balance'!$D$5:$D$40,Assumptions!$B60)*DU60*AD60,"")</f>
        <v>0</v>
      </c>
      <c r="CA60" s="41">
        <f ca="1">IFERROR(SUMIFS('TRA balance'!AB$5:AB$40,'TRA balance'!$C$5:$C$40,Assumptions!$C60,'TRA balance'!$D$5:$D$40,Assumptions!$B60)*DV60*AE60,"")</f>
        <v>0</v>
      </c>
      <c r="CB60" s="41">
        <f ca="1">IFERROR(SUMIFS('TRA balance'!AC$5:AC$40,'TRA balance'!$C$5:$C$40,Assumptions!$C60,'TRA balance'!$D$5:$D$40,Assumptions!$B60)*DW60*AF60,"")</f>
        <v>10.946851073928</v>
      </c>
      <c r="CC60" s="41">
        <f ca="1">IFERROR(SUMIFS('TRA balance'!AD$5:AD$40,'TRA balance'!$C$5:$C$40,Assumptions!$C60,'TRA balance'!$D$5:$D$40,Assumptions!$B60)*DX60*AG60,"")</f>
        <v>2.6716850028</v>
      </c>
      <c r="CD60" s="41">
        <f ca="1">IFERROR(SUMIFS('TRA balance'!AE$5:AE$40,'TRA balance'!$C$5:$C$40,Assumptions!$C60,'TRA balance'!$D$5:$D$40,Assumptions!$B60)*DY60*AH60,"")</f>
        <v>0</v>
      </c>
      <c r="CE60" s="41">
        <f ca="1">IFERROR(SUMIFS('TRA balance'!AF$5:AF$40,'TRA balance'!$C$5:$C$40,Assumptions!$C60,'TRA balance'!$D$5:$D$40,Assumptions!$B60)*DZ60*AI60,"")</f>
        <v>0.00109966302</v>
      </c>
      <c r="CF60" s="41">
        <f ca="1">IFERROR(SUMIFS('TRA balance'!AG$5:AG$40,'TRA balance'!$C$5:$C$40,Assumptions!$C60,'TRA balance'!$D$5:$D$40,Assumptions!$B60)*EA60*AJ60,"")</f>
        <v>0</v>
      </c>
      <c r="CG60" s="41">
        <f ca="1">IFERROR(SUMIFS('TRA balance'!AH$5:AH$40,'TRA balance'!$C$5:$C$40,Assumptions!$C60,'TRA balance'!$D$5:$D$40,Assumptions!$B60)*EB60*AK60,"")</f>
        <v>0</v>
      </c>
      <c r="CH60" s="41">
        <f ca="1">IFERROR(SUMIFS('TRA balance'!AI$5:AI$40,'TRA balance'!$C$5:$C$40,Assumptions!$C60,'TRA balance'!$D$5:$D$40,Assumptions!$B60)*EC60*AL60,"")</f>
        <v>0</v>
      </c>
      <c r="CI60" s="41">
        <f ca="1">IFERROR(SUMIFS('TRA balance'!AJ$5:AJ$40,'TRA balance'!$C$5:$C$40,Assumptions!$C60,'TRA balance'!$D$5:$D$40,Assumptions!$B60)*ED60*AM60,"")</f>
        <v>0</v>
      </c>
      <c r="CJ60" s="41">
        <f ca="1">IFERROR(SUMIFS('TRA balance'!AK$5:AK$40,'TRA balance'!$C$5:$C$40,Assumptions!$C60,'TRA balance'!$D$5:$D$40,Assumptions!$B60)*EE60*AN60,"")</f>
        <v>0</v>
      </c>
      <c r="CK60" s="41">
        <f ca="1">IFERROR(SUMIFS('TRA balance'!AL$5:AL$40,'TRA balance'!$C$5:$C$40,Assumptions!$C60,'TRA balance'!$D$5:$D$40,Assumptions!$B60)*EF60*AO60,"")</f>
        <v>0.40364980668</v>
      </c>
      <c r="CL60" s="41">
        <f ca="1">IFERROR(SUMIFS('TRA balance'!AM$5:AM$40,'TRA balance'!$C$5:$C$40,Assumptions!$C60,'TRA balance'!$D$5:$D$40,Assumptions!$B60)*EG60*AP60,"")</f>
        <v>0</v>
      </c>
      <c r="CM60" s="41">
        <f ca="1">IFERROR(SUMIFS('TRA balance'!AN$5:AN$40,'TRA balance'!$C$5:$C$40,Assumptions!$C60,'TRA balance'!$D$5:$D$40,Assumptions!$B60)*EH60*AQ60,"")</f>
        <v>0</v>
      </c>
      <c r="CN60" s="41">
        <f ca="1">IFERROR(SUMIFS('TRA balance'!AO$5:AO$40,'TRA balance'!$C$5:$C$40,Assumptions!$C60,'TRA balance'!$D$5:$D$40,Assumptions!$B60)*EI60*AR60,"")</f>
        <v>0</v>
      </c>
      <c r="CO60" s="41">
        <f ca="1">IFERROR(SUMIFS('TRA balance'!AP$5:AP$40,'TRA balance'!$C$5:$C$40,Assumptions!$C60,'TRA balance'!$D$5:$D$40,Assumptions!$B60)*EJ60*AS60,"")</f>
        <v>0</v>
      </c>
      <c r="CP60" s="41">
        <f ca="1">IFERROR(SUMIFS('TRA balance'!AQ$5:AQ$40,'TRA balance'!$C$5:$C$40,Assumptions!$C60,'TRA balance'!$D$5:$D$40,Assumptions!$B60)*EK60*AT60,"")</f>
        <v>0</v>
      </c>
      <c r="CQ60" s="41">
        <f ca="1">IFERROR(SUMIFS('TRA balance'!AR$5:AR$40,'TRA balance'!$C$5:$C$40,Assumptions!$C60,'TRA balance'!$D$5:$D$40,Assumptions!$B60)*EL60*AU60,"")</f>
        <v>0</v>
      </c>
      <c r="CR60" s="41">
        <f ca="1">IFERROR(SUMIFS('TRA balance'!AS$5:AS$40,'TRA balance'!$C$5:$C$40,Assumptions!$C60,'TRA balance'!$D$5:$D$40,Assumptions!$B60)*EM60*AV60,"")</f>
        <v>0</v>
      </c>
      <c r="CS60" s="41">
        <f ca="1">IFERROR(SUMIFS('TRA balance'!AT$5:AT$40,'TRA balance'!$C$5:$C$40,Assumptions!$C60,'TRA balance'!$D$5:$D$40,Assumptions!$B60)*EN60*AW60,"")</f>
        <v>0</v>
      </c>
      <c r="CT60" s="41">
        <f ca="1">IFERROR(SUMIFS('TRA balance'!AU$5:AU$40,'TRA balance'!$C$5:$C$40,Assumptions!$C60,'TRA balance'!$D$5:$D$40,Assumptions!$B60)*EO60*AX60,"")</f>
        <v>0</v>
      </c>
      <c r="CU60" s="41">
        <f ca="1">IFERROR(SUMIFS('TRA balance'!AV$5:AV$40,'TRA balance'!$C$5:$C$40,Assumptions!$C60,'TRA balance'!$D$5:$D$40,Assumptions!$B60)*EP60*AY60,"")</f>
        <v>0</v>
      </c>
      <c r="CV60" s="41">
        <f ca="1">IFERROR(SUMIFS('TRA balance'!AW$5:AW$40,'TRA balance'!$C$5:$C$40,Assumptions!$C60,'TRA balance'!$D$5:$D$40,Assumptions!$B60)*EQ60*AZ60,"")</f>
        <v>0</v>
      </c>
      <c r="CW60" s="41">
        <f ca="1">IFERROR(SUMIFS('TRA balance'!AX$5:AX$40,'TRA balance'!$C$5:$C$40,Assumptions!$C60,'TRA balance'!$D$5:$D$40,Assumptions!$B60)*ER60*BA60,"")</f>
        <v>0</v>
      </c>
      <c r="CY60" s="40">
        <f ca="1" t="shared" si="66"/>
        <v>0.75</v>
      </c>
      <c r="CZ60" s="40">
        <f ca="1" t="shared" si="3"/>
        <v>0.75</v>
      </c>
      <c r="DA60" s="40">
        <f ca="1" t="shared" si="4"/>
        <v>0.75</v>
      </c>
      <c r="DB60" s="40">
        <f ca="1" t="shared" si="5"/>
        <v>0.318</v>
      </c>
      <c r="DC60" s="40">
        <f ca="1" t="shared" si="6"/>
        <v>0.3</v>
      </c>
      <c r="DD60" s="40">
        <f ca="1" t="shared" si="7"/>
        <v>0.318</v>
      </c>
      <c r="DE60" s="40">
        <f ca="1" t="shared" si="8"/>
        <v>0.5</v>
      </c>
      <c r="DF60" s="40">
        <f ca="1" t="shared" si="9"/>
        <v>0.6</v>
      </c>
      <c r="DG60" s="40">
        <f ca="1" t="shared" si="10"/>
        <v>1</v>
      </c>
      <c r="DH60" s="40">
        <f ca="1" t="shared" si="11"/>
        <v>1</v>
      </c>
      <c r="DI60" s="40">
        <f ca="1" t="shared" si="12"/>
        <v>0.318</v>
      </c>
      <c r="DJ60" s="40">
        <f ca="1" t="shared" si="13"/>
        <v>0.318</v>
      </c>
      <c r="DK60" s="40">
        <f ca="1" t="shared" si="14"/>
        <v>0.318</v>
      </c>
      <c r="DL60" s="40">
        <f ca="1" t="shared" si="15"/>
        <v>1</v>
      </c>
      <c r="DM60" s="40">
        <f ca="1" t="shared" si="16"/>
        <v>0.318</v>
      </c>
      <c r="DN60" s="40">
        <f ca="1" t="shared" si="17"/>
        <v>0.75</v>
      </c>
      <c r="DO60" s="40">
        <f ca="1" t="shared" si="18"/>
        <v>0.318</v>
      </c>
      <c r="DP60" s="40">
        <f ca="1" t="shared" si="19"/>
        <v>0.318</v>
      </c>
      <c r="DQ60" s="40">
        <f ca="1" t="shared" si="20"/>
        <v>0.05</v>
      </c>
      <c r="DR60" s="40">
        <f ca="1" t="shared" si="21"/>
        <v>0.5</v>
      </c>
      <c r="DS60" s="40">
        <f ca="1" t="shared" si="22"/>
        <v>0.318</v>
      </c>
      <c r="DT60" s="40">
        <f ca="1" t="shared" si="23"/>
        <v>0.02083020544021</v>
      </c>
      <c r="DU60" s="40">
        <f ca="1" t="shared" si="24"/>
        <v>0.318</v>
      </c>
      <c r="DV60" s="40">
        <f ca="1" t="shared" si="25"/>
        <v>1</v>
      </c>
      <c r="DW60" s="40">
        <f ca="1" t="shared" si="26"/>
        <v>0.1</v>
      </c>
      <c r="DX60" s="40">
        <f ca="1" t="shared" si="27"/>
        <v>0.3</v>
      </c>
      <c r="DY60" s="40">
        <f ca="1" t="shared" si="28"/>
        <v>0.318</v>
      </c>
      <c r="DZ60" s="40">
        <f ca="1" t="shared" si="29"/>
        <v>0.75</v>
      </c>
      <c r="EA60" s="40">
        <f ca="1" t="shared" si="30"/>
        <v>0.318</v>
      </c>
      <c r="EB60" s="40">
        <f ca="1" t="shared" si="31"/>
        <v>0.318</v>
      </c>
      <c r="EC60" s="40">
        <f ca="1" t="shared" si="32"/>
        <v>0.318</v>
      </c>
      <c r="ED60" s="40">
        <f ca="1" t="shared" si="33"/>
        <v>0.318</v>
      </c>
      <c r="EE60" s="40">
        <f ca="1" t="shared" si="34"/>
        <v>0.318</v>
      </c>
      <c r="EF60" s="40">
        <f ca="1" t="shared" si="35"/>
        <v>0.3</v>
      </c>
      <c r="EG60" s="40">
        <f ca="1" t="shared" si="36"/>
        <v>1</v>
      </c>
      <c r="EH60" s="40">
        <f ca="1" t="shared" si="37"/>
        <v>0.02083020544021</v>
      </c>
      <c r="EI60" s="40">
        <f ca="1" t="shared" si="38"/>
        <v>0.02083020544021</v>
      </c>
      <c r="EJ60" s="40">
        <f ca="1" t="shared" si="39"/>
        <v>0.02083020544021</v>
      </c>
      <c r="EK60" s="40">
        <f ca="1" t="shared" si="40"/>
        <v>0.02083020544021</v>
      </c>
      <c r="EL60" s="40">
        <f ca="1" t="shared" si="41"/>
        <v>0.02083020544021</v>
      </c>
      <c r="EM60" s="40">
        <f ca="1" t="shared" si="42"/>
        <v>0.02083020544021</v>
      </c>
      <c r="EN60" s="40">
        <f ca="1" t="shared" si="43"/>
        <v>0.02083020544021</v>
      </c>
      <c r="EO60" s="40">
        <f ca="1" t="shared" si="44"/>
        <v>0.02083020544021</v>
      </c>
      <c r="EP60" s="40">
        <f ca="1" t="shared" si="45"/>
        <v>0.02083020544021</v>
      </c>
      <c r="EQ60" s="40">
        <f ca="1" t="shared" si="46"/>
        <v>0.02083020544021</v>
      </c>
      <c r="ER60" s="40">
        <f ca="1" t="shared" si="47"/>
        <v>0.02083020544021</v>
      </c>
    </row>
    <row r="61" spans="1:148">
      <c r="A61">
        <v>1</v>
      </c>
      <c r="B61" t="str">
        <f>VLOOKUP(F61,'TRA balance'!$BA$5:$BB$14,2,FALSE)</f>
        <v>TRANGA</v>
      </c>
      <c r="C61" s="60" t="str">
        <f t="shared" si="48"/>
        <v/>
      </c>
      <c r="D61" s="72"/>
      <c r="E61" s="61" t="s">
        <v>220</v>
      </c>
      <c r="F61" s="62" t="str">
        <f t="shared" si="82"/>
        <v>Natural Gas</v>
      </c>
      <c r="G61" s="60"/>
      <c r="H61" s="73" t="str">
        <f ca="1">IF(SUM(H57:H60)=1,"-","&lt;&gt;1!!")</f>
        <v>-</v>
      </c>
      <c r="I61" s="73" t="str">
        <f ca="1" t="shared" ref="I61:BA61" si="83">IF(SUM(I57:I60)=1,"-","&lt;&gt;1!!")</f>
        <v>-</v>
      </c>
      <c r="J61" s="73" t="str">
        <f ca="1" t="shared" si="83"/>
        <v>-</v>
      </c>
      <c r="K61" s="73" t="str">
        <f ca="1" t="shared" si="83"/>
        <v>-</v>
      </c>
      <c r="L61" s="73" t="str">
        <f ca="1" t="shared" si="83"/>
        <v>-</v>
      </c>
      <c r="M61" s="73" t="str">
        <f ca="1" t="shared" si="83"/>
        <v>-</v>
      </c>
      <c r="N61" s="73" t="str">
        <f ca="1" t="shared" si="83"/>
        <v>-</v>
      </c>
      <c r="O61" s="73" t="str">
        <f ca="1" t="shared" si="83"/>
        <v>-</v>
      </c>
      <c r="P61" s="73" t="str">
        <f ca="1" t="shared" si="83"/>
        <v>-</v>
      </c>
      <c r="Q61" s="73" t="str">
        <f ca="1" t="shared" si="83"/>
        <v>-</v>
      </c>
      <c r="R61" s="73" t="str">
        <f ca="1" t="shared" si="83"/>
        <v>-</v>
      </c>
      <c r="S61" s="73" t="str">
        <f ca="1" t="shared" si="83"/>
        <v>-</v>
      </c>
      <c r="T61" s="73" t="str">
        <f ca="1" t="shared" si="83"/>
        <v>-</v>
      </c>
      <c r="U61" s="73" t="str">
        <f ca="1" t="shared" si="83"/>
        <v>-</v>
      </c>
      <c r="V61" s="73" t="str">
        <f ca="1" t="shared" si="83"/>
        <v>-</v>
      </c>
      <c r="W61" s="73" t="str">
        <f ca="1" t="shared" si="83"/>
        <v>-</v>
      </c>
      <c r="X61" s="73" t="str">
        <f ca="1" t="shared" si="83"/>
        <v>-</v>
      </c>
      <c r="Y61" s="73" t="str">
        <f ca="1" t="shared" si="83"/>
        <v>-</v>
      </c>
      <c r="Z61" s="73" t="str">
        <f ca="1" t="shared" si="83"/>
        <v>-</v>
      </c>
      <c r="AA61" s="73" t="str">
        <f ca="1" t="shared" si="83"/>
        <v>-</v>
      </c>
      <c r="AB61" s="73" t="str">
        <f ca="1" t="shared" si="83"/>
        <v>-</v>
      </c>
      <c r="AC61" s="73" t="str">
        <f ca="1" t="shared" si="83"/>
        <v>-</v>
      </c>
      <c r="AD61" s="73" t="str">
        <f ca="1" t="shared" si="83"/>
        <v>-</v>
      </c>
      <c r="AE61" s="73" t="str">
        <f ca="1" t="shared" si="83"/>
        <v>-</v>
      </c>
      <c r="AF61" s="73" t="str">
        <f ca="1" t="shared" si="83"/>
        <v>-</v>
      </c>
      <c r="AG61" s="73" t="str">
        <f ca="1" t="shared" si="83"/>
        <v>-</v>
      </c>
      <c r="AH61" s="73" t="str">
        <f ca="1" t="shared" si="83"/>
        <v>-</v>
      </c>
      <c r="AI61" s="73" t="str">
        <f ca="1" t="shared" si="83"/>
        <v>-</v>
      </c>
      <c r="AJ61" s="73" t="str">
        <f ca="1" t="shared" si="83"/>
        <v>-</v>
      </c>
      <c r="AK61" s="73" t="str">
        <f ca="1" t="shared" si="83"/>
        <v>-</v>
      </c>
      <c r="AL61" s="73" t="str">
        <f ca="1" t="shared" si="83"/>
        <v>-</v>
      </c>
      <c r="AM61" s="73" t="str">
        <f ca="1" t="shared" si="83"/>
        <v>-</v>
      </c>
      <c r="AN61" s="73" t="str">
        <f ca="1" t="shared" si="83"/>
        <v>-</v>
      </c>
      <c r="AO61" s="73" t="str">
        <f ca="1" t="shared" si="83"/>
        <v>-</v>
      </c>
      <c r="AP61" s="73" t="str">
        <f ca="1" t="shared" si="83"/>
        <v>-</v>
      </c>
      <c r="AQ61" s="73" t="str">
        <f ca="1" t="shared" si="83"/>
        <v>-</v>
      </c>
      <c r="AR61" s="73" t="str">
        <f ca="1" t="shared" si="83"/>
        <v>-</v>
      </c>
      <c r="AS61" s="73" t="str">
        <f ca="1" t="shared" si="83"/>
        <v>-</v>
      </c>
      <c r="AT61" s="73" t="str">
        <f ca="1" t="shared" si="83"/>
        <v>-</v>
      </c>
      <c r="AU61" s="73" t="str">
        <f ca="1" t="shared" si="83"/>
        <v>-</v>
      </c>
      <c r="AV61" s="73" t="str">
        <f ca="1" t="shared" si="83"/>
        <v>-</v>
      </c>
      <c r="AW61" s="73" t="str">
        <f ca="1" t="shared" si="83"/>
        <v>-</v>
      </c>
      <c r="AX61" s="73" t="str">
        <f ca="1" t="shared" si="83"/>
        <v>-</v>
      </c>
      <c r="AY61" s="73" t="str">
        <f ca="1" t="shared" si="83"/>
        <v>-</v>
      </c>
      <c r="AZ61" s="73" t="str">
        <f ca="1" t="shared" si="83"/>
        <v>-</v>
      </c>
      <c r="BA61" s="73" t="str">
        <f ca="1" t="shared" si="83"/>
        <v>-</v>
      </c>
      <c r="BD61" s="41" t="str">
        <f ca="1">IFERROR(SUMIFS('TRA balance'!E$5:E$40,'TRA balance'!$C$5:$C$40,Assumptions!$C61,'TRA balance'!$D$5:$D$40,Assumptions!$B61)*CY61*H61,"")</f>
        <v/>
      </c>
      <c r="BE61" s="41" t="str">
        <f ca="1">IFERROR(SUMIFS('TRA balance'!F$5:F$40,'TRA balance'!$C$5:$C$40,Assumptions!$C61,'TRA balance'!$D$5:$D$40,Assumptions!$B61)*CZ61*I61,"")</f>
        <v/>
      </c>
      <c r="BF61" s="41" t="str">
        <f ca="1">IFERROR(SUMIFS('TRA balance'!G$5:G$40,'TRA balance'!$C$5:$C$40,Assumptions!$C61,'TRA balance'!$D$5:$D$40,Assumptions!$B61)*DA61*J61,"")</f>
        <v/>
      </c>
      <c r="BG61" s="41" t="str">
        <f ca="1">IFERROR(SUMIFS('TRA balance'!H$5:H$40,'TRA balance'!$C$5:$C$40,Assumptions!$C61,'TRA balance'!$D$5:$D$40,Assumptions!$B61)*DB61*K61,"")</f>
        <v/>
      </c>
      <c r="BH61" s="41" t="str">
        <f ca="1">IFERROR(SUMIFS('TRA balance'!I$5:I$40,'TRA balance'!$C$5:$C$40,Assumptions!$C61,'TRA balance'!$D$5:$D$40,Assumptions!$B61)*DC61*L61,"")</f>
        <v/>
      </c>
      <c r="BI61" s="41" t="str">
        <f ca="1">IFERROR(SUMIFS('TRA balance'!J$5:J$40,'TRA balance'!$C$5:$C$40,Assumptions!$C61,'TRA balance'!$D$5:$D$40,Assumptions!$B61)*DD61*M61,"")</f>
        <v/>
      </c>
      <c r="BJ61" s="41" t="str">
        <f ca="1">IFERROR(SUMIFS('TRA balance'!K$5:K$40,'TRA balance'!$C$5:$C$40,Assumptions!$C61,'TRA balance'!$D$5:$D$40,Assumptions!$B61)*DE61*N61,"")</f>
        <v/>
      </c>
      <c r="BK61" s="41" t="str">
        <f ca="1">IFERROR(SUMIFS('TRA balance'!L$5:L$40,'TRA balance'!$C$5:$C$40,Assumptions!$C61,'TRA balance'!$D$5:$D$40,Assumptions!$B61)*DF61*O61,"")</f>
        <v/>
      </c>
      <c r="BL61" s="41" t="str">
        <f ca="1">IFERROR(SUMIFS('TRA balance'!M$5:M$40,'TRA balance'!$C$5:$C$40,Assumptions!$C61,'TRA balance'!$D$5:$D$40,Assumptions!$B61)*DG61*P61,"")</f>
        <v/>
      </c>
      <c r="BM61" s="41" t="str">
        <f ca="1">IFERROR(SUMIFS('TRA balance'!N$5:N$40,'TRA balance'!$C$5:$C$40,Assumptions!$C61,'TRA balance'!$D$5:$D$40,Assumptions!$B61)*DH61*Q61,"")</f>
        <v/>
      </c>
      <c r="BN61" s="41" t="str">
        <f ca="1">IFERROR(SUMIFS('TRA balance'!O$5:O$40,'TRA balance'!$C$5:$C$40,Assumptions!$C61,'TRA balance'!$D$5:$D$40,Assumptions!$B61)*DI61*R61,"")</f>
        <v/>
      </c>
      <c r="BO61" s="41" t="str">
        <f ca="1">IFERROR(SUMIFS('TRA balance'!P$5:P$40,'TRA balance'!$C$5:$C$40,Assumptions!$C61,'TRA balance'!$D$5:$D$40,Assumptions!$B61)*DJ61*S61,"")</f>
        <v/>
      </c>
      <c r="BP61" s="41" t="str">
        <f ca="1">IFERROR(SUMIFS('TRA balance'!Q$5:Q$40,'TRA balance'!$C$5:$C$40,Assumptions!$C61,'TRA balance'!$D$5:$D$40,Assumptions!$B61)*DK61*T61,"")</f>
        <v/>
      </c>
      <c r="BQ61" s="41" t="str">
        <f ca="1">IFERROR(SUMIFS('TRA balance'!R$5:R$40,'TRA balance'!$C$5:$C$40,Assumptions!$C61,'TRA balance'!$D$5:$D$40,Assumptions!$B61)*DL61*U61,"")</f>
        <v/>
      </c>
      <c r="BR61" s="41" t="str">
        <f ca="1">IFERROR(SUMIFS('TRA balance'!S$5:S$40,'TRA balance'!$C$5:$C$40,Assumptions!$C61,'TRA balance'!$D$5:$D$40,Assumptions!$B61)*DM61*V61,"")</f>
        <v/>
      </c>
      <c r="BS61" s="41" t="str">
        <f ca="1">IFERROR(SUMIFS('TRA balance'!T$5:T$40,'TRA balance'!$C$5:$C$40,Assumptions!$C61,'TRA balance'!$D$5:$D$40,Assumptions!$B61)*DN61*W61,"")</f>
        <v/>
      </c>
      <c r="BT61" s="41" t="str">
        <f ca="1">IFERROR(SUMIFS('TRA balance'!U$5:U$40,'TRA balance'!$C$5:$C$40,Assumptions!$C61,'TRA balance'!$D$5:$D$40,Assumptions!$B61)*DO61*X61,"")</f>
        <v/>
      </c>
      <c r="BU61" s="41" t="str">
        <f ca="1">IFERROR(SUMIFS('TRA balance'!V$5:V$40,'TRA balance'!$C$5:$C$40,Assumptions!$C61,'TRA balance'!$D$5:$D$40,Assumptions!$B61)*DP61*Y61,"")</f>
        <v/>
      </c>
      <c r="BV61" s="41" t="str">
        <f ca="1">IFERROR(SUMIFS('TRA balance'!W$5:W$40,'TRA balance'!$C$5:$C$40,Assumptions!$C61,'TRA balance'!$D$5:$D$40,Assumptions!$B61)*DQ61*Z61,"")</f>
        <v/>
      </c>
      <c r="BW61" s="41" t="str">
        <f ca="1">IFERROR(SUMIFS('TRA balance'!X$5:X$40,'TRA balance'!$C$5:$C$40,Assumptions!$C61,'TRA balance'!$D$5:$D$40,Assumptions!$B61)*DR61*AA61,"")</f>
        <v/>
      </c>
      <c r="BX61" s="41" t="str">
        <f ca="1">IFERROR(SUMIFS('TRA balance'!Y$5:Y$40,'TRA balance'!$C$5:$C$40,Assumptions!$C61,'TRA balance'!$D$5:$D$40,Assumptions!$B61)*DS61*AB61,"")</f>
        <v/>
      </c>
      <c r="BY61" s="41" t="str">
        <f ca="1">IFERROR(SUMIFS('TRA balance'!Z$5:Z$40,'TRA balance'!$C$5:$C$40,Assumptions!$C61,'TRA balance'!$D$5:$D$40,Assumptions!$B61)*DT61*AC61,"")</f>
        <v/>
      </c>
      <c r="BZ61" s="41" t="str">
        <f ca="1">IFERROR(SUMIFS('TRA balance'!AA$5:AA$40,'TRA balance'!$C$5:$C$40,Assumptions!$C61,'TRA balance'!$D$5:$D$40,Assumptions!$B61)*DU61*AD61,"")</f>
        <v/>
      </c>
      <c r="CA61" s="41" t="str">
        <f ca="1">IFERROR(SUMIFS('TRA balance'!AB$5:AB$40,'TRA balance'!$C$5:$C$40,Assumptions!$C61,'TRA balance'!$D$5:$D$40,Assumptions!$B61)*DV61*AE61,"")</f>
        <v/>
      </c>
      <c r="CB61" s="41" t="str">
        <f ca="1">IFERROR(SUMIFS('TRA balance'!AC$5:AC$40,'TRA balance'!$C$5:$C$40,Assumptions!$C61,'TRA balance'!$D$5:$D$40,Assumptions!$B61)*DW61*AF61,"")</f>
        <v/>
      </c>
      <c r="CC61" s="41" t="str">
        <f ca="1">IFERROR(SUMIFS('TRA balance'!AD$5:AD$40,'TRA balance'!$C$5:$C$40,Assumptions!$C61,'TRA balance'!$D$5:$D$40,Assumptions!$B61)*DX61*AG61,"")</f>
        <v/>
      </c>
      <c r="CD61" s="41" t="str">
        <f ca="1">IFERROR(SUMIFS('TRA balance'!AE$5:AE$40,'TRA balance'!$C$5:$C$40,Assumptions!$C61,'TRA balance'!$D$5:$D$40,Assumptions!$B61)*DY61*AH61,"")</f>
        <v/>
      </c>
      <c r="CE61" s="41" t="str">
        <f ca="1">IFERROR(SUMIFS('TRA balance'!AF$5:AF$40,'TRA balance'!$C$5:$C$40,Assumptions!$C61,'TRA balance'!$D$5:$D$40,Assumptions!$B61)*DZ61*AI61,"")</f>
        <v/>
      </c>
      <c r="CF61" s="41" t="str">
        <f ca="1">IFERROR(SUMIFS('TRA balance'!AG$5:AG$40,'TRA balance'!$C$5:$C$40,Assumptions!$C61,'TRA balance'!$D$5:$D$40,Assumptions!$B61)*EA61*AJ61,"")</f>
        <v/>
      </c>
      <c r="CG61" s="41" t="str">
        <f ca="1">IFERROR(SUMIFS('TRA balance'!AH$5:AH$40,'TRA balance'!$C$5:$C$40,Assumptions!$C61,'TRA balance'!$D$5:$D$40,Assumptions!$B61)*EB61*AK61,"")</f>
        <v/>
      </c>
      <c r="CH61" s="41" t="str">
        <f ca="1">IFERROR(SUMIFS('TRA balance'!AI$5:AI$40,'TRA balance'!$C$5:$C$40,Assumptions!$C61,'TRA balance'!$D$5:$D$40,Assumptions!$B61)*EC61*AL61,"")</f>
        <v/>
      </c>
      <c r="CI61" s="41" t="str">
        <f ca="1">IFERROR(SUMIFS('TRA balance'!AJ$5:AJ$40,'TRA balance'!$C$5:$C$40,Assumptions!$C61,'TRA balance'!$D$5:$D$40,Assumptions!$B61)*ED61*AM61,"")</f>
        <v/>
      </c>
      <c r="CJ61" s="41" t="str">
        <f ca="1">IFERROR(SUMIFS('TRA balance'!AK$5:AK$40,'TRA balance'!$C$5:$C$40,Assumptions!$C61,'TRA balance'!$D$5:$D$40,Assumptions!$B61)*EE61*AN61,"")</f>
        <v/>
      </c>
      <c r="CK61" s="41" t="str">
        <f ca="1">IFERROR(SUMIFS('TRA balance'!AL$5:AL$40,'TRA balance'!$C$5:$C$40,Assumptions!$C61,'TRA balance'!$D$5:$D$40,Assumptions!$B61)*EF61*AO61,"")</f>
        <v/>
      </c>
      <c r="CL61" s="41" t="str">
        <f ca="1">IFERROR(SUMIFS('TRA balance'!AM$5:AM$40,'TRA balance'!$C$5:$C$40,Assumptions!$C61,'TRA balance'!$D$5:$D$40,Assumptions!$B61)*EG61*AP61,"")</f>
        <v/>
      </c>
      <c r="CM61" s="41" t="str">
        <f ca="1">IFERROR(SUMIFS('TRA balance'!AN$5:AN$40,'TRA balance'!$C$5:$C$40,Assumptions!$C61,'TRA balance'!$D$5:$D$40,Assumptions!$B61)*EH61*AQ61,"")</f>
        <v/>
      </c>
      <c r="CN61" s="41" t="str">
        <f ca="1">IFERROR(SUMIFS('TRA balance'!AO$5:AO$40,'TRA balance'!$C$5:$C$40,Assumptions!$C61,'TRA balance'!$D$5:$D$40,Assumptions!$B61)*EI61*AR61,"")</f>
        <v/>
      </c>
      <c r="CO61" s="41" t="str">
        <f ca="1">IFERROR(SUMIFS('TRA balance'!AP$5:AP$40,'TRA balance'!$C$5:$C$40,Assumptions!$C61,'TRA balance'!$D$5:$D$40,Assumptions!$B61)*EJ61*AS61,"")</f>
        <v/>
      </c>
      <c r="CP61" s="41" t="str">
        <f ca="1">IFERROR(SUMIFS('TRA balance'!AQ$5:AQ$40,'TRA balance'!$C$5:$C$40,Assumptions!$C61,'TRA balance'!$D$5:$D$40,Assumptions!$B61)*EK61*AT61,"")</f>
        <v/>
      </c>
      <c r="CQ61" s="41" t="str">
        <f ca="1">IFERROR(SUMIFS('TRA balance'!AR$5:AR$40,'TRA balance'!$C$5:$C$40,Assumptions!$C61,'TRA balance'!$D$5:$D$40,Assumptions!$B61)*EL61*AU61,"")</f>
        <v/>
      </c>
      <c r="CR61" s="41" t="str">
        <f ca="1">IFERROR(SUMIFS('TRA balance'!AS$5:AS$40,'TRA balance'!$C$5:$C$40,Assumptions!$C61,'TRA balance'!$D$5:$D$40,Assumptions!$B61)*EM61*AV61,"")</f>
        <v/>
      </c>
      <c r="CS61" s="41" t="str">
        <f ca="1">IFERROR(SUMIFS('TRA balance'!AT$5:AT$40,'TRA balance'!$C$5:$C$40,Assumptions!$C61,'TRA balance'!$D$5:$D$40,Assumptions!$B61)*EN61*AW61,"")</f>
        <v/>
      </c>
      <c r="CT61" s="41" t="str">
        <f ca="1">IFERROR(SUMIFS('TRA balance'!AU$5:AU$40,'TRA balance'!$C$5:$C$40,Assumptions!$C61,'TRA balance'!$D$5:$D$40,Assumptions!$B61)*EO61*AX61,"")</f>
        <v/>
      </c>
      <c r="CU61" s="41" t="str">
        <f ca="1">IFERROR(SUMIFS('TRA balance'!AV$5:AV$40,'TRA balance'!$C$5:$C$40,Assumptions!$C61,'TRA balance'!$D$5:$D$40,Assumptions!$B61)*EP61*AY61,"")</f>
        <v/>
      </c>
      <c r="CV61" s="41" t="str">
        <f ca="1">IFERROR(SUMIFS('TRA balance'!AW$5:AW$40,'TRA balance'!$C$5:$C$40,Assumptions!$C61,'TRA balance'!$D$5:$D$40,Assumptions!$B61)*EQ61*AZ61,"")</f>
        <v/>
      </c>
      <c r="CW61" s="41" t="str">
        <f ca="1">IFERROR(SUMIFS('TRA balance'!AX$5:AX$40,'TRA balance'!$C$5:$C$40,Assumptions!$C61,'TRA balance'!$D$5:$D$40,Assumptions!$B61)*ER61*BA61,"")</f>
        <v/>
      </c>
      <c r="CY61" s="40">
        <f ca="1" t="shared" si="66"/>
        <v>1</v>
      </c>
      <c r="CZ61" s="40">
        <f ca="1" t="shared" si="3"/>
        <v>1</v>
      </c>
      <c r="DA61" s="40">
        <f ca="1" t="shared" si="4"/>
        <v>1</v>
      </c>
      <c r="DB61" s="40">
        <f ca="1" t="shared" si="5"/>
        <v>1</v>
      </c>
      <c r="DC61" s="40">
        <f ca="1" t="shared" si="6"/>
        <v>1</v>
      </c>
      <c r="DD61" s="40">
        <f ca="1" t="shared" si="7"/>
        <v>1</v>
      </c>
      <c r="DE61" s="40">
        <f ca="1" t="shared" si="8"/>
        <v>1</v>
      </c>
      <c r="DF61" s="40">
        <f ca="1" t="shared" si="9"/>
        <v>1</v>
      </c>
      <c r="DG61" s="40">
        <f ca="1" t="shared" si="10"/>
        <v>1</v>
      </c>
      <c r="DH61" s="40">
        <f ca="1" t="shared" si="11"/>
        <v>1</v>
      </c>
      <c r="DI61" s="40">
        <f ca="1" t="shared" si="12"/>
        <v>1</v>
      </c>
      <c r="DJ61" s="40">
        <f ca="1" t="shared" si="13"/>
        <v>1</v>
      </c>
      <c r="DK61" s="40">
        <f ca="1" t="shared" si="14"/>
        <v>1</v>
      </c>
      <c r="DL61" s="40">
        <f ca="1" t="shared" si="15"/>
        <v>1</v>
      </c>
      <c r="DM61" s="40">
        <f ca="1" t="shared" si="16"/>
        <v>1</v>
      </c>
      <c r="DN61" s="40">
        <f ca="1" t="shared" si="17"/>
        <v>1</v>
      </c>
      <c r="DO61" s="40">
        <f ca="1" t="shared" si="18"/>
        <v>1</v>
      </c>
      <c r="DP61" s="40">
        <f ca="1" t="shared" si="19"/>
        <v>1</v>
      </c>
      <c r="DQ61" s="40">
        <f ca="1" t="shared" si="20"/>
        <v>1</v>
      </c>
      <c r="DR61" s="40">
        <f ca="1" t="shared" si="21"/>
        <v>1</v>
      </c>
      <c r="DS61" s="40">
        <f ca="1" t="shared" si="22"/>
        <v>1</v>
      </c>
      <c r="DT61" s="40">
        <f ca="1" t="shared" si="23"/>
        <v>1</v>
      </c>
      <c r="DU61" s="40">
        <f ca="1" t="shared" si="24"/>
        <v>1</v>
      </c>
      <c r="DV61" s="40">
        <f ca="1" t="shared" si="25"/>
        <v>1</v>
      </c>
      <c r="DW61" s="40">
        <f ca="1" t="shared" si="26"/>
        <v>1</v>
      </c>
      <c r="DX61" s="40">
        <f ca="1" t="shared" si="27"/>
        <v>1</v>
      </c>
      <c r="DY61" s="40">
        <f ca="1" t="shared" si="28"/>
        <v>1</v>
      </c>
      <c r="DZ61" s="40">
        <f ca="1" t="shared" si="29"/>
        <v>1</v>
      </c>
      <c r="EA61" s="40">
        <f ca="1" t="shared" si="30"/>
        <v>1</v>
      </c>
      <c r="EB61" s="40">
        <f ca="1" t="shared" si="31"/>
        <v>1</v>
      </c>
      <c r="EC61" s="40">
        <f ca="1" t="shared" si="32"/>
        <v>1</v>
      </c>
      <c r="ED61" s="40">
        <f ca="1" t="shared" si="33"/>
        <v>1</v>
      </c>
      <c r="EE61" s="40">
        <f ca="1" t="shared" si="34"/>
        <v>1</v>
      </c>
      <c r="EF61" s="40">
        <f ca="1" t="shared" si="35"/>
        <v>1</v>
      </c>
      <c r="EG61" s="40">
        <f ca="1" t="shared" si="36"/>
        <v>1</v>
      </c>
      <c r="EH61" s="40">
        <f ca="1" t="shared" si="37"/>
        <v>1</v>
      </c>
      <c r="EI61" s="40">
        <f ca="1" t="shared" si="38"/>
        <v>1</v>
      </c>
      <c r="EJ61" s="40">
        <f ca="1" t="shared" si="39"/>
        <v>1</v>
      </c>
      <c r="EK61" s="40">
        <f ca="1" t="shared" si="40"/>
        <v>1</v>
      </c>
      <c r="EL61" s="40">
        <f ca="1" t="shared" si="41"/>
        <v>1</v>
      </c>
      <c r="EM61" s="40">
        <f ca="1" t="shared" si="42"/>
        <v>1</v>
      </c>
      <c r="EN61" s="40">
        <f ca="1" t="shared" si="43"/>
        <v>1</v>
      </c>
      <c r="EO61" s="40">
        <f ca="1" t="shared" si="44"/>
        <v>1</v>
      </c>
      <c r="EP61" s="40">
        <f ca="1" t="shared" si="45"/>
        <v>1</v>
      </c>
      <c r="EQ61" s="40">
        <f ca="1" t="shared" si="46"/>
        <v>1</v>
      </c>
      <c r="ER61" s="40">
        <f ca="1" t="shared" si="47"/>
        <v>1</v>
      </c>
    </row>
    <row r="62" spans="1:148">
      <c r="A62">
        <v>1</v>
      </c>
      <c r="B62" t="str">
        <f>VLOOKUP(F62,'TRA balance'!$BA$5:$BB$14,2,FALSE)</f>
        <v>TRABDS</v>
      </c>
      <c r="C62" s="64">
        <v>1</v>
      </c>
      <c r="D62" s="65" t="s">
        <v>200</v>
      </c>
      <c r="E62" s="65" t="s">
        <v>201</v>
      </c>
      <c r="F62" s="66" t="s">
        <v>43</v>
      </c>
      <c r="G62" s="64"/>
      <c r="H62" s="59">
        <f ca="1">OFFSET(TIAM15_assumptions!$G62,0,MATCH(VLOOKUP(Assumptions!H$2,TIAM15_assumptions!$Y$3:$Z$87,2,FALSE),TIAM15_assumptions!$H$2:$V$2,0))</f>
        <v>0.1</v>
      </c>
      <c r="I62" s="59">
        <f ca="1">OFFSET(TIAM15_assumptions!$G62,0,MATCH(VLOOKUP(Assumptions!I$2,TIAM15_assumptions!$Y$3:$Z$87,2,FALSE),TIAM15_assumptions!$H$2:$V$2,0))</f>
        <v>0.1</v>
      </c>
      <c r="J62" s="59">
        <f ca="1">OFFSET(TIAM15_assumptions!$G62,0,MATCH(VLOOKUP(Assumptions!J$2,TIAM15_assumptions!$Y$3:$Z$87,2,FALSE),TIAM15_assumptions!$H$2:$V$2,0))</f>
        <v>0.02</v>
      </c>
      <c r="K62" s="59">
        <f ca="1">OFFSET(TIAM15_assumptions!$G62,0,MATCH(VLOOKUP(Assumptions!K$2,TIAM15_assumptions!$Y$3:$Z$87,2,FALSE),TIAM15_assumptions!$H$2:$V$2,0))</f>
        <v>0.2</v>
      </c>
      <c r="L62" s="59">
        <f ca="1">OFFSET(TIAM15_assumptions!$G62,0,MATCH(VLOOKUP(Assumptions!L$2,TIAM15_assumptions!$Y$3:$Z$87,2,FALSE),TIAM15_assumptions!$H$2:$V$2,0))</f>
        <v>0.05</v>
      </c>
      <c r="M62" s="59">
        <f ca="1">OFFSET(TIAM15_assumptions!$G62,0,MATCH(VLOOKUP(Assumptions!M$2,TIAM15_assumptions!$Y$3:$Z$87,2,FALSE),TIAM15_assumptions!$H$2:$V$2,0))</f>
        <v>0.2</v>
      </c>
      <c r="N62" s="59">
        <f ca="1">OFFSET(TIAM15_assumptions!$G62,0,MATCH(VLOOKUP(Assumptions!N$2,TIAM15_assumptions!$Y$3:$Z$87,2,FALSE),TIAM15_assumptions!$H$2:$V$2,0))</f>
        <v>0.07</v>
      </c>
      <c r="O62" s="59">
        <f ca="1">OFFSET(TIAM15_assumptions!$G62,0,MATCH(VLOOKUP(Assumptions!O$2,TIAM15_assumptions!$Y$3:$Z$87,2,FALSE),TIAM15_assumptions!$H$2:$V$2,0))</f>
        <v>0.1</v>
      </c>
      <c r="P62" s="59">
        <f ca="1">OFFSET(TIAM15_assumptions!$G62,0,MATCH(VLOOKUP(Assumptions!P$2,TIAM15_assumptions!$Y$3:$Z$87,2,FALSE),TIAM15_assumptions!$H$2:$V$2,0))</f>
        <v>0.2</v>
      </c>
      <c r="Q62" s="59">
        <f ca="1">OFFSET(TIAM15_assumptions!$G62,0,MATCH(VLOOKUP(Assumptions!Q$2,TIAM15_assumptions!$Y$3:$Z$87,2,FALSE),TIAM15_assumptions!$H$2:$V$2,0))</f>
        <v>0.2</v>
      </c>
      <c r="R62" s="59">
        <f ca="1">OFFSET(TIAM15_assumptions!$G62,0,MATCH(VLOOKUP(Assumptions!R$2,TIAM15_assumptions!$Y$3:$Z$87,2,FALSE),TIAM15_assumptions!$H$2:$V$2,0))</f>
        <v>0.2</v>
      </c>
      <c r="S62" s="59">
        <f ca="1">OFFSET(TIAM15_assumptions!$G62,0,MATCH(VLOOKUP(Assumptions!S$2,TIAM15_assumptions!$Y$3:$Z$87,2,FALSE),TIAM15_assumptions!$H$2:$V$2,0))</f>
        <v>0.2</v>
      </c>
      <c r="T62" s="59">
        <f ca="1">OFFSET(TIAM15_assumptions!$G62,0,MATCH(VLOOKUP(Assumptions!T$2,TIAM15_assumptions!$Y$3:$Z$87,2,FALSE),TIAM15_assumptions!$H$2:$V$2,0))</f>
        <v>0.2</v>
      </c>
      <c r="U62" s="59">
        <f ca="1">OFFSET(TIAM15_assumptions!$G62,0,MATCH(VLOOKUP(Assumptions!U$2,TIAM15_assumptions!$Y$3:$Z$87,2,FALSE),TIAM15_assumptions!$H$2:$V$2,0))</f>
        <v>0.2</v>
      </c>
      <c r="V62" s="59">
        <f ca="1">OFFSET(TIAM15_assumptions!$G62,0,MATCH(VLOOKUP(Assumptions!V$2,TIAM15_assumptions!$Y$3:$Z$87,2,FALSE),TIAM15_assumptions!$H$2:$V$2,0))</f>
        <v>0.2</v>
      </c>
      <c r="W62" s="59">
        <f ca="1">OFFSET(TIAM15_assumptions!$G62,0,MATCH(VLOOKUP(Assumptions!W$2,TIAM15_assumptions!$Y$3:$Z$87,2,FALSE),TIAM15_assumptions!$H$2:$V$2,0))</f>
        <v>0.25</v>
      </c>
      <c r="X62" s="59">
        <f ca="1">OFFSET(TIAM15_assumptions!$G62,0,MATCH(VLOOKUP(Assumptions!X$2,TIAM15_assumptions!$Y$3:$Z$87,2,FALSE),TIAM15_assumptions!$H$2:$V$2,0))</f>
        <v>0.2</v>
      </c>
      <c r="Y62" s="59">
        <f ca="1">OFFSET(TIAM15_assumptions!$G62,0,MATCH(VLOOKUP(Assumptions!Y$2,TIAM15_assumptions!$Y$3:$Z$87,2,FALSE),TIAM15_assumptions!$H$2:$V$2,0))</f>
        <v>0.2</v>
      </c>
      <c r="Z62" s="59">
        <f ca="1">OFFSET(TIAM15_assumptions!$G62,0,MATCH(VLOOKUP(Assumptions!Z$2,TIAM15_assumptions!$Y$3:$Z$87,2,FALSE),TIAM15_assumptions!$H$2:$V$2,0))</f>
        <v>0.05</v>
      </c>
      <c r="AA62" s="59">
        <f ca="1">OFFSET(TIAM15_assumptions!$G62,0,MATCH(VLOOKUP(Assumptions!AA$2,TIAM15_assumptions!$Y$3:$Z$87,2,FALSE),TIAM15_assumptions!$H$2:$V$2,0))</f>
        <v>0.07</v>
      </c>
      <c r="AB62" s="59">
        <f ca="1">OFFSET(TIAM15_assumptions!$G62,0,MATCH(VLOOKUP(Assumptions!AB$2,TIAM15_assumptions!$Y$3:$Z$87,2,FALSE),TIAM15_assumptions!$H$2:$V$2,0))</f>
        <v>0.1</v>
      </c>
      <c r="AC62" s="59">
        <f ca="1">OFFSET(TIAM15_assumptions!$G62,0,MATCH(VLOOKUP(Assumptions!AC$2,TIAM15_assumptions!$Y$3:$Z$87,2,FALSE),TIAM15_assumptions!$H$2:$V$2,0))</f>
        <v>0.0244064218226165</v>
      </c>
      <c r="AD62" s="59">
        <f ca="1">OFFSET(TIAM15_assumptions!$G62,0,MATCH(VLOOKUP(Assumptions!AD$2,TIAM15_assumptions!$Y$3:$Z$87,2,FALSE),TIAM15_assumptions!$H$2:$V$2,0))</f>
        <v>0.2</v>
      </c>
      <c r="AE62" s="59">
        <f ca="1">OFFSET(TIAM15_assumptions!$G62,0,MATCH(VLOOKUP(Assumptions!AE$2,TIAM15_assumptions!$Y$3:$Z$87,2,FALSE),TIAM15_assumptions!$H$2:$V$2,0))</f>
        <v>0.2</v>
      </c>
      <c r="AF62" s="59">
        <f ca="1">OFFSET(TIAM15_assumptions!$G62,0,MATCH(VLOOKUP(Assumptions!AF$2,TIAM15_assumptions!$Y$3:$Z$87,2,FALSE),TIAM15_assumptions!$H$2:$V$2,0))</f>
        <v>0.08</v>
      </c>
      <c r="AG62" s="59">
        <f ca="1">OFFSET(TIAM15_assumptions!$G62,0,MATCH(VLOOKUP(Assumptions!AG$2,TIAM15_assumptions!$Y$3:$Z$87,2,FALSE),TIAM15_assumptions!$H$2:$V$2,0))</f>
        <v>0.05</v>
      </c>
      <c r="AH62" s="59">
        <f ca="1">OFFSET(TIAM15_assumptions!$G62,0,MATCH(VLOOKUP(Assumptions!AH$2,TIAM15_assumptions!$Y$3:$Z$87,2,FALSE),TIAM15_assumptions!$H$2:$V$2,0))</f>
        <v>0.1</v>
      </c>
      <c r="AI62" s="59">
        <f ca="1">OFFSET(TIAM15_assumptions!$G62,0,MATCH(VLOOKUP(Assumptions!AI$2,TIAM15_assumptions!$Y$3:$Z$87,2,FALSE),TIAM15_assumptions!$H$2:$V$2,0))</f>
        <v>0.1</v>
      </c>
      <c r="AJ62" s="59">
        <f ca="1">OFFSET(TIAM15_assumptions!$G62,0,MATCH(VLOOKUP(Assumptions!AJ$2,TIAM15_assumptions!$Y$3:$Z$87,2,FALSE),TIAM15_assumptions!$H$2:$V$2,0))</f>
        <v>0.2</v>
      </c>
      <c r="AK62" s="59">
        <f ca="1">OFFSET(TIAM15_assumptions!$G62,0,MATCH(VLOOKUP(Assumptions!AK$2,TIAM15_assumptions!$Y$3:$Z$87,2,FALSE),TIAM15_assumptions!$H$2:$V$2,0))</f>
        <v>0.2</v>
      </c>
      <c r="AL62" s="59">
        <f ca="1">OFFSET(TIAM15_assumptions!$G62,0,MATCH(VLOOKUP(Assumptions!AL$2,TIAM15_assumptions!$Y$3:$Z$87,2,FALSE),TIAM15_assumptions!$H$2:$V$2,0))</f>
        <v>0.2</v>
      </c>
      <c r="AM62" s="59">
        <f ca="1">OFFSET(TIAM15_assumptions!$G62,0,MATCH(VLOOKUP(Assumptions!AM$2,TIAM15_assumptions!$Y$3:$Z$87,2,FALSE),TIAM15_assumptions!$H$2:$V$2,0))</f>
        <v>0.1</v>
      </c>
      <c r="AN62" s="59">
        <f ca="1">OFFSET(TIAM15_assumptions!$G62,0,MATCH(VLOOKUP(Assumptions!AN$2,TIAM15_assumptions!$Y$3:$Z$87,2,FALSE),TIAM15_assumptions!$H$2:$V$2,0))</f>
        <v>0.2</v>
      </c>
      <c r="AO62" s="59">
        <f ca="1">OFFSET(TIAM15_assumptions!$G62,0,MATCH(VLOOKUP(Assumptions!AO$2,TIAM15_assumptions!$Y$3:$Z$87,2,FALSE),TIAM15_assumptions!$H$2:$V$2,0))</f>
        <v>0.05</v>
      </c>
      <c r="AP62" s="59">
        <f ca="1">OFFSET(TIAM15_assumptions!$G62,0,MATCH(VLOOKUP(Assumptions!AP$2,TIAM15_assumptions!$Y$3:$Z$87,2,FALSE),TIAM15_assumptions!$H$2:$V$2,0))</f>
        <v>0.2</v>
      </c>
      <c r="AQ62" s="59">
        <f ca="1">OFFSET(TIAM15_assumptions!$G62,0,MATCH(VLOOKUP(Assumptions!AQ$2,TIAM15_assumptions!$Y$3:$Z$87,2,FALSE),TIAM15_assumptions!$H$2:$V$2,0))</f>
        <v>0.0244064218226165</v>
      </c>
      <c r="AR62" s="59">
        <f ca="1">OFFSET(TIAM15_assumptions!$G62,0,MATCH(VLOOKUP(Assumptions!AR$2,TIAM15_assumptions!$Y$3:$Z$87,2,FALSE),TIAM15_assumptions!$H$2:$V$2,0))</f>
        <v>0.0244064218226165</v>
      </c>
      <c r="AS62" s="59">
        <f ca="1">OFFSET(TIAM15_assumptions!$G62,0,MATCH(VLOOKUP(Assumptions!AS$2,TIAM15_assumptions!$Y$3:$Z$87,2,FALSE),TIAM15_assumptions!$H$2:$V$2,0))</f>
        <v>0.0244064218226165</v>
      </c>
      <c r="AT62" s="59">
        <f ca="1">OFFSET(TIAM15_assumptions!$G62,0,MATCH(VLOOKUP(Assumptions!AT$2,TIAM15_assumptions!$Y$3:$Z$87,2,FALSE),TIAM15_assumptions!$H$2:$V$2,0))</f>
        <v>0.0244064218226165</v>
      </c>
      <c r="AU62" s="59">
        <f ca="1">OFFSET(TIAM15_assumptions!$G62,0,MATCH(VLOOKUP(Assumptions!AU$2,TIAM15_assumptions!$Y$3:$Z$87,2,FALSE),TIAM15_assumptions!$H$2:$V$2,0))</f>
        <v>0.0244064218226165</v>
      </c>
      <c r="AV62" s="59">
        <f ca="1">OFFSET(TIAM15_assumptions!$G62,0,MATCH(VLOOKUP(Assumptions!AV$2,TIAM15_assumptions!$Y$3:$Z$87,2,FALSE),TIAM15_assumptions!$H$2:$V$2,0))</f>
        <v>0.0244064218226165</v>
      </c>
      <c r="AW62" s="59">
        <f ca="1">OFFSET(TIAM15_assumptions!$G62,0,MATCH(VLOOKUP(Assumptions!AW$2,TIAM15_assumptions!$Y$3:$Z$87,2,FALSE),TIAM15_assumptions!$H$2:$V$2,0))</f>
        <v>0.0244064218226165</v>
      </c>
      <c r="AX62" s="59">
        <f ca="1">OFFSET(TIAM15_assumptions!$G62,0,MATCH(VLOOKUP(Assumptions!AX$2,TIAM15_assumptions!$Y$3:$Z$87,2,FALSE),TIAM15_assumptions!$H$2:$V$2,0))</f>
        <v>0.0244064218226165</v>
      </c>
      <c r="AY62" s="59">
        <f ca="1">OFFSET(TIAM15_assumptions!$G62,0,MATCH(VLOOKUP(Assumptions!AY$2,TIAM15_assumptions!$Y$3:$Z$87,2,FALSE),TIAM15_assumptions!$H$2:$V$2,0))</f>
        <v>0.0244064218226165</v>
      </c>
      <c r="AZ62" s="59">
        <f ca="1">OFFSET(TIAM15_assumptions!$G62,0,MATCH(VLOOKUP(Assumptions!AZ$2,TIAM15_assumptions!$Y$3:$Z$87,2,FALSE),TIAM15_assumptions!$H$2:$V$2,0))</f>
        <v>0.0244064218226165</v>
      </c>
      <c r="BA62" s="59">
        <f ca="1">OFFSET(TIAM15_assumptions!$G62,0,MATCH(VLOOKUP(Assumptions!BA$2,TIAM15_assumptions!$Y$3:$Z$87,2,FALSE),TIAM15_assumptions!$H$2:$V$2,0))</f>
        <v>0.0244064218226165</v>
      </c>
      <c r="BD62" s="41">
        <f ca="1">IFERROR(SUMIFS('TRA balance'!E$5:E$40,'TRA balance'!$C$5:$C$40,Assumptions!$C62,'TRA balance'!$D$5:$D$40,Assumptions!$B62)*CY62*H62,"")</f>
        <v>0</v>
      </c>
      <c r="BE62" s="41">
        <f ca="1">IFERROR(SUMIFS('TRA balance'!F$5:F$40,'TRA balance'!$C$5:$C$40,Assumptions!$C62,'TRA balance'!$D$5:$D$40,Assumptions!$B62)*CZ62*I62,"")</f>
        <v>0</v>
      </c>
      <c r="BF62" s="41">
        <f ca="1">IFERROR(SUMIFS('TRA balance'!G$5:G$40,'TRA balance'!$C$5:$C$40,Assumptions!$C62,'TRA balance'!$D$5:$D$40,Assumptions!$B62)*DA62*J62,"")</f>
        <v>0</v>
      </c>
      <c r="BG62" s="41">
        <f ca="1">IFERROR(SUMIFS('TRA balance'!H$5:H$40,'TRA balance'!$C$5:$C$40,Assumptions!$C62,'TRA balance'!$D$5:$D$40,Assumptions!$B62)*DB62*K62,"")</f>
        <v>0</v>
      </c>
      <c r="BH62" s="41">
        <f ca="1">IFERROR(SUMIFS('TRA balance'!I$5:I$40,'TRA balance'!$C$5:$C$40,Assumptions!$C62,'TRA balance'!$D$5:$D$40,Assumptions!$B62)*DC62*L62,"")</f>
        <v>0</v>
      </c>
      <c r="BI62" s="41">
        <f ca="1">IFERROR(SUMIFS('TRA balance'!J$5:J$40,'TRA balance'!$C$5:$C$40,Assumptions!$C62,'TRA balance'!$D$5:$D$40,Assumptions!$B62)*DD62*M62,"")</f>
        <v>0</v>
      </c>
      <c r="BJ62" s="41">
        <f ca="1">IFERROR(SUMIFS('TRA balance'!K$5:K$40,'TRA balance'!$C$5:$C$40,Assumptions!$C62,'TRA balance'!$D$5:$D$40,Assumptions!$B62)*DE62*N62,"")</f>
        <v>0</v>
      </c>
      <c r="BK62" s="41">
        <f ca="1">IFERROR(SUMIFS('TRA balance'!L$5:L$40,'TRA balance'!$C$5:$C$40,Assumptions!$C62,'TRA balance'!$D$5:$D$40,Assumptions!$B62)*DF62*O62,"")</f>
        <v>0</v>
      </c>
      <c r="BL62" s="41">
        <f ca="1">IFERROR(SUMIFS('TRA balance'!M$5:M$40,'TRA balance'!$C$5:$C$40,Assumptions!$C62,'TRA balance'!$D$5:$D$40,Assumptions!$B62)*DG62*P62,"")</f>
        <v>0</v>
      </c>
      <c r="BM62" s="41">
        <f ca="1">IFERROR(SUMIFS('TRA balance'!N$5:N$40,'TRA balance'!$C$5:$C$40,Assumptions!$C62,'TRA balance'!$D$5:$D$40,Assumptions!$B62)*DH62*Q62,"")</f>
        <v>0</v>
      </c>
      <c r="BN62" s="41">
        <f ca="1">IFERROR(SUMIFS('TRA balance'!O$5:O$40,'TRA balance'!$C$5:$C$40,Assumptions!$C62,'TRA balance'!$D$5:$D$40,Assumptions!$B62)*DI62*R62,"")</f>
        <v>0</v>
      </c>
      <c r="BO62" s="41">
        <f ca="1">IFERROR(SUMIFS('TRA balance'!P$5:P$40,'TRA balance'!$C$5:$C$40,Assumptions!$C62,'TRA balance'!$D$5:$D$40,Assumptions!$B62)*DJ62*S62,"")</f>
        <v>0</v>
      </c>
      <c r="BP62" s="41">
        <f ca="1">IFERROR(SUMIFS('TRA balance'!Q$5:Q$40,'TRA balance'!$C$5:$C$40,Assumptions!$C62,'TRA balance'!$D$5:$D$40,Assumptions!$B62)*DK62*T62,"")</f>
        <v>0</v>
      </c>
      <c r="BQ62" s="41">
        <f ca="1">IFERROR(SUMIFS('TRA balance'!R$5:R$40,'TRA balance'!$C$5:$C$40,Assumptions!$C62,'TRA balance'!$D$5:$D$40,Assumptions!$B62)*DL62*U62,"")</f>
        <v>0</v>
      </c>
      <c r="BR62" s="41">
        <f ca="1">IFERROR(SUMIFS('TRA balance'!S$5:S$40,'TRA balance'!$C$5:$C$40,Assumptions!$C62,'TRA balance'!$D$5:$D$40,Assumptions!$B62)*DM62*V62,"")</f>
        <v>0</v>
      </c>
      <c r="BS62" s="41">
        <f ca="1">IFERROR(SUMIFS('TRA balance'!T$5:T$40,'TRA balance'!$C$5:$C$40,Assumptions!$C62,'TRA balance'!$D$5:$D$40,Assumptions!$B62)*DN62*W62,"")</f>
        <v>0</v>
      </c>
      <c r="BT62" s="41">
        <f ca="1">IFERROR(SUMIFS('TRA balance'!U$5:U$40,'TRA balance'!$C$5:$C$40,Assumptions!$C62,'TRA balance'!$D$5:$D$40,Assumptions!$B62)*DO62*X62,"")</f>
        <v>0</v>
      </c>
      <c r="BU62" s="41">
        <f ca="1">IFERROR(SUMIFS('TRA balance'!V$5:V$40,'TRA balance'!$C$5:$C$40,Assumptions!$C62,'TRA balance'!$D$5:$D$40,Assumptions!$B62)*DP62*Y62,"")</f>
        <v>0</v>
      </c>
      <c r="BV62" s="41">
        <f ca="1">IFERROR(SUMIFS('TRA balance'!W$5:W$40,'TRA balance'!$C$5:$C$40,Assumptions!$C62,'TRA balance'!$D$5:$D$40,Assumptions!$B62)*DQ62*Z62,"")</f>
        <v>0</v>
      </c>
      <c r="BW62" s="41">
        <f ca="1">IFERROR(SUMIFS('TRA balance'!X$5:X$40,'TRA balance'!$C$5:$C$40,Assumptions!$C62,'TRA balance'!$D$5:$D$40,Assumptions!$B62)*DR62*AA62,"")</f>
        <v>0</v>
      </c>
      <c r="BX62" s="41">
        <f ca="1">IFERROR(SUMIFS('TRA balance'!Y$5:Y$40,'TRA balance'!$C$5:$C$40,Assumptions!$C62,'TRA balance'!$D$5:$D$40,Assumptions!$B62)*DS62*AB62,"")</f>
        <v>0</v>
      </c>
      <c r="BY62" s="41">
        <f ca="1">IFERROR(SUMIFS('TRA balance'!Z$5:Z$40,'TRA balance'!$C$5:$C$40,Assumptions!$C62,'TRA balance'!$D$5:$D$40,Assumptions!$B62)*DT62*AC62,"")</f>
        <v>0</v>
      </c>
      <c r="BZ62" s="41">
        <f ca="1">IFERROR(SUMIFS('TRA balance'!AA$5:AA$40,'TRA balance'!$C$5:$C$40,Assumptions!$C62,'TRA balance'!$D$5:$D$40,Assumptions!$B62)*DU62*AD62,"")</f>
        <v>0</v>
      </c>
      <c r="CA62" s="41">
        <f ca="1">IFERROR(SUMIFS('TRA balance'!AB$5:AB$40,'TRA balance'!$C$5:$C$40,Assumptions!$C62,'TRA balance'!$D$5:$D$40,Assumptions!$B62)*DV62*AE62,"")</f>
        <v>0</v>
      </c>
      <c r="CB62" s="41">
        <f ca="1">IFERROR(SUMIFS('TRA balance'!AC$5:AC$40,'TRA balance'!$C$5:$C$40,Assumptions!$C62,'TRA balance'!$D$5:$D$40,Assumptions!$B62)*DW62*AF62,"")</f>
        <v>0</v>
      </c>
      <c r="CC62" s="41">
        <f ca="1">IFERROR(SUMIFS('TRA balance'!AD$5:AD$40,'TRA balance'!$C$5:$C$40,Assumptions!$C62,'TRA balance'!$D$5:$D$40,Assumptions!$B62)*DX62*AG62,"")</f>
        <v>0</v>
      </c>
      <c r="CD62" s="41">
        <f ca="1">IFERROR(SUMIFS('TRA balance'!AE$5:AE$40,'TRA balance'!$C$5:$C$40,Assumptions!$C62,'TRA balance'!$D$5:$D$40,Assumptions!$B62)*DY62*AH62,"")</f>
        <v>0</v>
      </c>
      <c r="CE62" s="41">
        <f ca="1">IFERROR(SUMIFS('TRA balance'!AF$5:AF$40,'TRA balance'!$C$5:$C$40,Assumptions!$C62,'TRA balance'!$D$5:$D$40,Assumptions!$B62)*DZ62*AI62,"")</f>
        <v>0</v>
      </c>
      <c r="CF62" s="41">
        <f ca="1">IFERROR(SUMIFS('TRA balance'!AG$5:AG$40,'TRA balance'!$C$5:$C$40,Assumptions!$C62,'TRA balance'!$D$5:$D$40,Assumptions!$B62)*EA62*AJ62,"")</f>
        <v>0</v>
      </c>
      <c r="CG62" s="41">
        <f ca="1">IFERROR(SUMIFS('TRA balance'!AH$5:AH$40,'TRA balance'!$C$5:$C$40,Assumptions!$C62,'TRA balance'!$D$5:$D$40,Assumptions!$B62)*EB62*AK62,"")</f>
        <v>0</v>
      </c>
      <c r="CH62" s="41">
        <f ca="1">IFERROR(SUMIFS('TRA balance'!AI$5:AI$40,'TRA balance'!$C$5:$C$40,Assumptions!$C62,'TRA balance'!$D$5:$D$40,Assumptions!$B62)*EC62*AL62,"")</f>
        <v>0</v>
      </c>
      <c r="CI62" s="41">
        <f ca="1">IFERROR(SUMIFS('TRA balance'!AJ$5:AJ$40,'TRA balance'!$C$5:$C$40,Assumptions!$C62,'TRA balance'!$D$5:$D$40,Assumptions!$B62)*ED62*AM62,"")</f>
        <v>0</v>
      </c>
      <c r="CJ62" s="41">
        <f ca="1">IFERROR(SUMIFS('TRA balance'!AK$5:AK$40,'TRA balance'!$C$5:$C$40,Assumptions!$C62,'TRA balance'!$D$5:$D$40,Assumptions!$B62)*EE62*AN62,"")</f>
        <v>0</v>
      </c>
      <c r="CK62" s="41">
        <f ca="1">IFERROR(SUMIFS('TRA balance'!AL$5:AL$40,'TRA balance'!$C$5:$C$40,Assumptions!$C62,'TRA balance'!$D$5:$D$40,Assumptions!$B62)*EF62*AO62,"")</f>
        <v>0</v>
      </c>
      <c r="CL62" s="41">
        <f ca="1">IFERROR(SUMIFS('TRA balance'!AM$5:AM$40,'TRA balance'!$C$5:$C$40,Assumptions!$C62,'TRA balance'!$D$5:$D$40,Assumptions!$B62)*EG62*AP62,"")</f>
        <v>0</v>
      </c>
      <c r="CM62" s="41">
        <f ca="1">IFERROR(SUMIFS('TRA balance'!AN$5:AN$40,'TRA balance'!$C$5:$C$40,Assumptions!$C62,'TRA balance'!$D$5:$D$40,Assumptions!$B62)*EH62*AQ62,"")</f>
        <v>0</v>
      </c>
      <c r="CN62" s="41">
        <f ca="1">IFERROR(SUMIFS('TRA balance'!AO$5:AO$40,'TRA balance'!$C$5:$C$40,Assumptions!$C62,'TRA balance'!$D$5:$D$40,Assumptions!$B62)*EI62*AR62,"")</f>
        <v>0</v>
      </c>
      <c r="CO62" s="41">
        <f ca="1">IFERROR(SUMIFS('TRA balance'!AP$5:AP$40,'TRA balance'!$C$5:$C$40,Assumptions!$C62,'TRA balance'!$D$5:$D$40,Assumptions!$B62)*EJ62*AS62,"")</f>
        <v>0</v>
      </c>
      <c r="CP62" s="41">
        <f ca="1">IFERROR(SUMIFS('TRA balance'!AQ$5:AQ$40,'TRA balance'!$C$5:$C$40,Assumptions!$C62,'TRA balance'!$D$5:$D$40,Assumptions!$B62)*EK62*AT62,"")</f>
        <v>0</v>
      </c>
      <c r="CQ62" s="41">
        <f ca="1">IFERROR(SUMIFS('TRA balance'!AR$5:AR$40,'TRA balance'!$C$5:$C$40,Assumptions!$C62,'TRA balance'!$D$5:$D$40,Assumptions!$B62)*EL62*AU62,"")</f>
        <v>0</v>
      </c>
      <c r="CR62" s="41">
        <f ca="1">IFERROR(SUMIFS('TRA balance'!AS$5:AS$40,'TRA balance'!$C$5:$C$40,Assumptions!$C62,'TRA balance'!$D$5:$D$40,Assumptions!$B62)*EM62*AV62,"")</f>
        <v>0</v>
      </c>
      <c r="CS62" s="41">
        <f ca="1">IFERROR(SUMIFS('TRA balance'!AT$5:AT$40,'TRA balance'!$C$5:$C$40,Assumptions!$C62,'TRA balance'!$D$5:$D$40,Assumptions!$B62)*EN62*AW62,"")</f>
        <v>0</v>
      </c>
      <c r="CT62" s="41">
        <f ca="1">IFERROR(SUMIFS('TRA balance'!AU$5:AU$40,'TRA balance'!$C$5:$C$40,Assumptions!$C62,'TRA balance'!$D$5:$D$40,Assumptions!$B62)*EO62*AX62,"")</f>
        <v>0</v>
      </c>
      <c r="CU62" s="41">
        <f ca="1">IFERROR(SUMIFS('TRA balance'!AV$5:AV$40,'TRA balance'!$C$5:$C$40,Assumptions!$C62,'TRA balance'!$D$5:$D$40,Assumptions!$B62)*EP62*AY62,"")</f>
        <v>0</v>
      </c>
      <c r="CV62" s="41">
        <f ca="1">IFERROR(SUMIFS('TRA balance'!AW$5:AW$40,'TRA balance'!$C$5:$C$40,Assumptions!$C62,'TRA balance'!$D$5:$D$40,Assumptions!$B62)*EQ62*AZ62,"")</f>
        <v>0</v>
      </c>
      <c r="CW62" s="41">
        <f ca="1">IFERROR(SUMIFS('TRA balance'!AX$5:AX$40,'TRA balance'!$C$5:$C$40,Assumptions!$C62,'TRA balance'!$D$5:$D$40,Assumptions!$B62)*ER62*BA62,"")</f>
        <v>0</v>
      </c>
      <c r="CY62" s="40">
        <f ca="1" t="shared" si="66"/>
        <v>1</v>
      </c>
      <c r="CZ62" s="40">
        <f ca="1" t="shared" si="3"/>
        <v>1</v>
      </c>
      <c r="DA62" s="40">
        <f ca="1" t="shared" si="4"/>
        <v>1</v>
      </c>
      <c r="DB62" s="40">
        <f ca="1" t="shared" si="5"/>
        <v>1</v>
      </c>
      <c r="DC62" s="40">
        <f ca="1" t="shared" si="6"/>
        <v>1</v>
      </c>
      <c r="DD62" s="40">
        <f ca="1" t="shared" si="7"/>
        <v>1</v>
      </c>
      <c r="DE62" s="40">
        <f ca="1" t="shared" si="8"/>
        <v>1</v>
      </c>
      <c r="DF62" s="40">
        <f ca="1" t="shared" si="9"/>
        <v>1</v>
      </c>
      <c r="DG62" s="40">
        <f ca="1" t="shared" si="10"/>
        <v>1</v>
      </c>
      <c r="DH62" s="40">
        <f ca="1" t="shared" si="11"/>
        <v>1</v>
      </c>
      <c r="DI62" s="40">
        <f ca="1" t="shared" si="12"/>
        <v>1</v>
      </c>
      <c r="DJ62" s="40">
        <f ca="1" t="shared" si="13"/>
        <v>1</v>
      </c>
      <c r="DK62" s="40">
        <f ca="1" t="shared" si="14"/>
        <v>1</v>
      </c>
      <c r="DL62" s="40">
        <f ca="1" t="shared" si="15"/>
        <v>1</v>
      </c>
      <c r="DM62" s="40">
        <f ca="1" t="shared" si="16"/>
        <v>1</v>
      </c>
      <c r="DN62" s="40">
        <f ca="1" t="shared" si="17"/>
        <v>1</v>
      </c>
      <c r="DO62" s="40">
        <f ca="1" t="shared" si="18"/>
        <v>1</v>
      </c>
      <c r="DP62" s="40">
        <f ca="1" t="shared" si="19"/>
        <v>1</v>
      </c>
      <c r="DQ62" s="40">
        <f ca="1" t="shared" si="20"/>
        <v>1</v>
      </c>
      <c r="DR62" s="40">
        <f ca="1" t="shared" si="21"/>
        <v>1</v>
      </c>
      <c r="DS62" s="40">
        <f ca="1" t="shared" si="22"/>
        <v>1</v>
      </c>
      <c r="DT62" s="40">
        <f ca="1" t="shared" si="23"/>
        <v>1</v>
      </c>
      <c r="DU62" s="40">
        <f ca="1" t="shared" si="24"/>
        <v>1</v>
      </c>
      <c r="DV62" s="40">
        <f ca="1" t="shared" si="25"/>
        <v>1</v>
      </c>
      <c r="DW62" s="40">
        <f ca="1" t="shared" si="26"/>
        <v>1</v>
      </c>
      <c r="DX62" s="40">
        <f ca="1" t="shared" si="27"/>
        <v>1</v>
      </c>
      <c r="DY62" s="40">
        <f ca="1" t="shared" si="28"/>
        <v>1</v>
      </c>
      <c r="DZ62" s="40">
        <f ca="1" t="shared" si="29"/>
        <v>1</v>
      </c>
      <c r="EA62" s="40">
        <f ca="1" t="shared" si="30"/>
        <v>1</v>
      </c>
      <c r="EB62" s="40">
        <f ca="1" t="shared" si="31"/>
        <v>1</v>
      </c>
      <c r="EC62" s="40">
        <f ca="1" t="shared" si="32"/>
        <v>1</v>
      </c>
      <c r="ED62" s="40">
        <f ca="1" t="shared" si="33"/>
        <v>1</v>
      </c>
      <c r="EE62" s="40">
        <f ca="1" t="shared" si="34"/>
        <v>1</v>
      </c>
      <c r="EF62" s="40">
        <f ca="1" t="shared" si="35"/>
        <v>1</v>
      </c>
      <c r="EG62" s="40">
        <f ca="1" t="shared" si="36"/>
        <v>1</v>
      </c>
      <c r="EH62" s="40">
        <f ca="1" t="shared" si="37"/>
        <v>1</v>
      </c>
      <c r="EI62" s="40">
        <f ca="1" t="shared" si="38"/>
        <v>1</v>
      </c>
      <c r="EJ62" s="40">
        <f ca="1" t="shared" si="39"/>
        <v>1</v>
      </c>
      <c r="EK62" s="40">
        <f ca="1" t="shared" si="40"/>
        <v>1</v>
      </c>
      <c r="EL62" s="40">
        <f ca="1" t="shared" si="41"/>
        <v>1</v>
      </c>
      <c r="EM62" s="40">
        <f ca="1" t="shared" si="42"/>
        <v>1</v>
      </c>
      <c r="EN62" s="40">
        <f ca="1" t="shared" si="43"/>
        <v>1</v>
      </c>
      <c r="EO62" s="40">
        <f ca="1" t="shared" si="44"/>
        <v>1</v>
      </c>
      <c r="EP62" s="40">
        <f ca="1" t="shared" si="45"/>
        <v>1</v>
      </c>
      <c r="EQ62" s="40">
        <f ca="1" t="shared" si="46"/>
        <v>1</v>
      </c>
      <c r="ER62" s="40">
        <f ca="1" t="shared" si="47"/>
        <v>1</v>
      </c>
    </row>
    <row r="63" spans="1:148">
      <c r="A63">
        <v>1</v>
      </c>
      <c r="B63" t="str">
        <f>VLOOKUP(F63,'TRA balance'!$BA$5:$BB$14,2,FALSE)</f>
        <v>TRABDS</v>
      </c>
      <c r="C63" s="56" t="str">
        <f t="shared" si="48"/>
        <v>TR</v>
      </c>
      <c r="D63" s="57" t="s">
        <v>200</v>
      </c>
      <c r="E63" s="68" t="s">
        <v>202</v>
      </c>
      <c r="F63" s="58" t="str">
        <f>F62</f>
        <v>Bio Diesel</v>
      </c>
      <c r="G63" s="56" t="s">
        <v>203</v>
      </c>
      <c r="H63" s="59">
        <f ca="1">OFFSET(TIAM15_assumptions!$G63,0,MATCH(VLOOKUP(Assumptions!H$2,TIAM15_assumptions!$Y$3:$Z$87,2,FALSE),TIAM15_assumptions!$H$2:$V$2,0))</f>
        <v>0.5</v>
      </c>
      <c r="I63" s="59">
        <f ca="1">OFFSET(TIAM15_assumptions!$G63,0,MATCH(VLOOKUP(Assumptions!I$2,TIAM15_assumptions!$Y$3:$Z$87,2,FALSE),TIAM15_assumptions!$H$2:$V$2,0))</f>
        <v>0.5</v>
      </c>
      <c r="J63" s="59">
        <f ca="1">OFFSET(TIAM15_assumptions!$G63,0,MATCH(VLOOKUP(Assumptions!J$2,TIAM15_assumptions!$Y$3:$Z$87,2,FALSE),TIAM15_assumptions!$H$2:$V$2,0))</f>
        <v>0.3</v>
      </c>
      <c r="K63" s="59">
        <f ca="1">OFFSET(TIAM15_assumptions!$G63,0,MATCH(VLOOKUP(Assumptions!K$2,TIAM15_assumptions!$Y$3:$Z$87,2,FALSE),TIAM15_assumptions!$H$2:$V$2,0))</f>
        <v>0.8</v>
      </c>
      <c r="L63" s="59">
        <f ca="1">OFFSET(TIAM15_assumptions!$G63,0,MATCH(VLOOKUP(Assumptions!L$2,TIAM15_assumptions!$Y$3:$Z$87,2,FALSE),TIAM15_assumptions!$H$2:$V$2,0))</f>
        <v>0.51</v>
      </c>
      <c r="M63" s="59">
        <f ca="1">OFFSET(TIAM15_assumptions!$G63,0,MATCH(VLOOKUP(Assumptions!M$2,TIAM15_assumptions!$Y$3:$Z$87,2,FALSE),TIAM15_assumptions!$H$2:$V$2,0))</f>
        <v>0.8</v>
      </c>
      <c r="N63" s="59">
        <f ca="1">OFFSET(TIAM15_assumptions!$G63,0,MATCH(VLOOKUP(Assumptions!N$2,TIAM15_assumptions!$Y$3:$Z$87,2,FALSE),TIAM15_assumptions!$H$2:$V$2,0))</f>
        <v>0.3</v>
      </c>
      <c r="O63" s="59">
        <f ca="1">OFFSET(TIAM15_assumptions!$G63,0,MATCH(VLOOKUP(Assumptions!O$2,TIAM15_assumptions!$Y$3:$Z$87,2,FALSE),TIAM15_assumptions!$H$2:$V$2,0))</f>
        <v>0.2</v>
      </c>
      <c r="P63" s="59">
        <f ca="1">OFFSET(TIAM15_assumptions!$G63,0,MATCH(VLOOKUP(Assumptions!P$2,TIAM15_assumptions!$Y$3:$Z$87,2,FALSE),TIAM15_assumptions!$H$2:$V$2,0))</f>
        <v>0.51</v>
      </c>
      <c r="Q63" s="59">
        <f ca="1">OFFSET(TIAM15_assumptions!$G63,0,MATCH(VLOOKUP(Assumptions!Q$2,TIAM15_assumptions!$Y$3:$Z$87,2,FALSE),TIAM15_assumptions!$H$2:$V$2,0))</f>
        <v>0.51</v>
      </c>
      <c r="R63" s="59">
        <f ca="1">OFFSET(TIAM15_assumptions!$G63,0,MATCH(VLOOKUP(Assumptions!R$2,TIAM15_assumptions!$Y$3:$Z$87,2,FALSE),TIAM15_assumptions!$H$2:$V$2,0))</f>
        <v>0.8</v>
      </c>
      <c r="S63" s="59">
        <f ca="1">OFFSET(TIAM15_assumptions!$G63,0,MATCH(VLOOKUP(Assumptions!S$2,TIAM15_assumptions!$Y$3:$Z$87,2,FALSE),TIAM15_assumptions!$H$2:$V$2,0))</f>
        <v>0.8</v>
      </c>
      <c r="T63" s="59">
        <f ca="1">OFFSET(TIAM15_assumptions!$G63,0,MATCH(VLOOKUP(Assumptions!T$2,TIAM15_assumptions!$Y$3:$Z$87,2,FALSE),TIAM15_assumptions!$H$2:$V$2,0))</f>
        <v>0.8</v>
      </c>
      <c r="U63" s="59">
        <f ca="1">OFFSET(TIAM15_assumptions!$G63,0,MATCH(VLOOKUP(Assumptions!U$2,TIAM15_assumptions!$Y$3:$Z$87,2,FALSE),TIAM15_assumptions!$H$2:$V$2,0))</f>
        <v>0.51</v>
      </c>
      <c r="V63" s="59">
        <f ca="1">OFFSET(TIAM15_assumptions!$G63,0,MATCH(VLOOKUP(Assumptions!V$2,TIAM15_assumptions!$Y$3:$Z$87,2,FALSE),TIAM15_assumptions!$H$2:$V$2,0))</f>
        <v>0.8</v>
      </c>
      <c r="W63" s="59">
        <f ca="1">OFFSET(TIAM15_assumptions!$G63,0,MATCH(VLOOKUP(Assumptions!W$2,TIAM15_assumptions!$Y$3:$Z$87,2,FALSE),TIAM15_assumptions!$H$2:$V$2,0))</f>
        <v>0.4</v>
      </c>
      <c r="X63" s="59">
        <f ca="1">OFFSET(TIAM15_assumptions!$G63,0,MATCH(VLOOKUP(Assumptions!X$2,TIAM15_assumptions!$Y$3:$Z$87,2,FALSE),TIAM15_assumptions!$H$2:$V$2,0))</f>
        <v>0.8</v>
      </c>
      <c r="Y63" s="59">
        <f ca="1">OFFSET(TIAM15_assumptions!$G63,0,MATCH(VLOOKUP(Assumptions!Y$2,TIAM15_assumptions!$Y$3:$Z$87,2,FALSE),TIAM15_assumptions!$H$2:$V$2,0))</f>
        <v>0.8</v>
      </c>
      <c r="Z63" s="59">
        <f ca="1">OFFSET(TIAM15_assumptions!$G63,0,MATCH(VLOOKUP(Assumptions!Z$2,TIAM15_assumptions!$Y$3:$Z$87,2,FALSE),TIAM15_assumptions!$H$2:$V$2,0))</f>
        <v>0.46</v>
      </c>
      <c r="AA63" s="59">
        <f ca="1">OFFSET(TIAM15_assumptions!$G63,0,MATCH(VLOOKUP(Assumptions!AA$2,TIAM15_assumptions!$Y$3:$Z$87,2,FALSE),TIAM15_assumptions!$H$2:$V$2,0))</f>
        <v>0.3</v>
      </c>
      <c r="AB63" s="59">
        <f ca="1">OFFSET(TIAM15_assumptions!$G63,0,MATCH(VLOOKUP(Assumptions!AB$2,TIAM15_assumptions!$Y$3:$Z$87,2,FALSE),TIAM15_assumptions!$H$2:$V$2,0))</f>
        <v>0.2</v>
      </c>
      <c r="AC63" s="59">
        <f ca="1">OFFSET(TIAM15_assumptions!$G63,0,MATCH(VLOOKUP(Assumptions!AC$2,TIAM15_assumptions!$Y$3:$Z$87,2,FALSE),TIAM15_assumptions!$H$2:$V$2,0))</f>
        <v>0.391737102078734</v>
      </c>
      <c r="AD63" s="59">
        <f ca="1">OFFSET(TIAM15_assumptions!$G63,0,MATCH(VLOOKUP(Assumptions!AD$2,TIAM15_assumptions!$Y$3:$Z$87,2,FALSE),TIAM15_assumptions!$H$2:$V$2,0))</f>
        <v>0.8</v>
      </c>
      <c r="AE63" s="59">
        <f ca="1">OFFSET(TIAM15_assumptions!$G63,0,MATCH(VLOOKUP(Assumptions!AE$2,TIAM15_assumptions!$Y$3:$Z$87,2,FALSE),TIAM15_assumptions!$H$2:$V$2,0))</f>
        <v>0.51</v>
      </c>
      <c r="AF63" s="59">
        <f ca="1">OFFSET(TIAM15_assumptions!$G63,0,MATCH(VLOOKUP(Assumptions!AF$2,TIAM15_assumptions!$Y$3:$Z$87,2,FALSE),TIAM15_assumptions!$H$2:$V$2,0))</f>
        <v>0.34</v>
      </c>
      <c r="AG63" s="59">
        <f ca="1">OFFSET(TIAM15_assumptions!$G63,0,MATCH(VLOOKUP(Assumptions!AG$2,TIAM15_assumptions!$Y$3:$Z$87,2,FALSE),TIAM15_assumptions!$H$2:$V$2,0))</f>
        <v>0.51</v>
      </c>
      <c r="AH63" s="59">
        <f ca="1">OFFSET(TIAM15_assumptions!$G63,0,MATCH(VLOOKUP(Assumptions!AH$2,TIAM15_assumptions!$Y$3:$Z$87,2,FALSE),TIAM15_assumptions!$H$2:$V$2,0))</f>
        <v>0.2</v>
      </c>
      <c r="AI63" s="59">
        <f ca="1">OFFSET(TIAM15_assumptions!$G63,0,MATCH(VLOOKUP(Assumptions!AI$2,TIAM15_assumptions!$Y$3:$Z$87,2,FALSE),TIAM15_assumptions!$H$2:$V$2,0))</f>
        <v>0.5</v>
      </c>
      <c r="AJ63" s="59">
        <f ca="1">OFFSET(TIAM15_assumptions!$G63,0,MATCH(VLOOKUP(Assumptions!AJ$2,TIAM15_assumptions!$Y$3:$Z$87,2,FALSE),TIAM15_assumptions!$H$2:$V$2,0))</f>
        <v>0.8</v>
      </c>
      <c r="AK63" s="59">
        <f ca="1">OFFSET(TIAM15_assumptions!$G63,0,MATCH(VLOOKUP(Assumptions!AK$2,TIAM15_assumptions!$Y$3:$Z$87,2,FALSE),TIAM15_assumptions!$H$2:$V$2,0))</f>
        <v>0.8</v>
      </c>
      <c r="AL63" s="59">
        <f ca="1">OFFSET(TIAM15_assumptions!$G63,0,MATCH(VLOOKUP(Assumptions!AL$2,TIAM15_assumptions!$Y$3:$Z$87,2,FALSE),TIAM15_assumptions!$H$2:$V$2,0))</f>
        <v>0.8</v>
      </c>
      <c r="AM63" s="59">
        <f ca="1">OFFSET(TIAM15_assumptions!$G63,0,MATCH(VLOOKUP(Assumptions!AM$2,TIAM15_assumptions!$Y$3:$Z$87,2,FALSE),TIAM15_assumptions!$H$2:$V$2,0))</f>
        <v>0.2</v>
      </c>
      <c r="AN63" s="59">
        <f ca="1">OFFSET(TIAM15_assumptions!$G63,0,MATCH(VLOOKUP(Assumptions!AN$2,TIAM15_assumptions!$Y$3:$Z$87,2,FALSE),TIAM15_assumptions!$H$2:$V$2,0))</f>
        <v>0.8</v>
      </c>
      <c r="AO63" s="59">
        <f ca="1">OFFSET(TIAM15_assumptions!$G63,0,MATCH(VLOOKUP(Assumptions!AO$2,TIAM15_assumptions!$Y$3:$Z$87,2,FALSE),TIAM15_assumptions!$H$2:$V$2,0))</f>
        <v>0.51</v>
      </c>
      <c r="AP63" s="59">
        <f ca="1">OFFSET(TIAM15_assumptions!$G63,0,MATCH(VLOOKUP(Assumptions!AP$2,TIAM15_assumptions!$Y$3:$Z$87,2,FALSE),TIAM15_assumptions!$H$2:$V$2,0))</f>
        <v>0.51</v>
      </c>
      <c r="AQ63" s="59">
        <f ca="1">OFFSET(TIAM15_assumptions!$G63,0,MATCH(VLOOKUP(Assumptions!AQ$2,TIAM15_assumptions!$Y$3:$Z$87,2,FALSE),TIAM15_assumptions!$H$2:$V$2,0))</f>
        <v>0.391737102078734</v>
      </c>
      <c r="AR63" s="59">
        <f ca="1">OFFSET(TIAM15_assumptions!$G63,0,MATCH(VLOOKUP(Assumptions!AR$2,TIAM15_assumptions!$Y$3:$Z$87,2,FALSE),TIAM15_assumptions!$H$2:$V$2,0))</f>
        <v>0.391737102078734</v>
      </c>
      <c r="AS63" s="59">
        <f ca="1">OFFSET(TIAM15_assumptions!$G63,0,MATCH(VLOOKUP(Assumptions!AS$2,TIAM15_assumptions!$Y$3:$Z$87,2,FALSE),TIAM15_assumptions!$H$2:$V$2,0))</f>
        <v>0.391737102078734</v>
      </c>
      <c r="AT63" s="59">
        <f ca="1">OFFSET(TIAM15_assumptions!$G63,0,MATCH(VLOOKUP(Assumptions!AT$2,TIAM15_assumptions!$Y$3:$Z$87,2,FALSE),TIAM15_assumptions!$H$2:$V$2,0))</f>
        <v>0.391737102078734</v>
      </c>
      <c r="AU63" s="59">
        <f ca="1">OFFSET(TIAM15_assumptions!$G63,0,MATCH(VLOOKUP(Assumptions!AU$2,TIAM15_assumptions!$Y$3:$Z$87,2,FALSE),TIAM15_assumptions!$H$2:$V$2,0))</f>
        <v>0.391737102078734</v>
      </c>
      <c r="AV63" s="59">
        <f ca="1">OFFSET(TIAM15_assumptions!$G63,0,MATCH(VLOOKUP(Assumptions!AV$2,TIAM15_assumptions!$Y$3:$Z$87,2,FALSE),TIAM15_assumptions!$H$2:$V$2,0))</f>
        <v>0.391737102078734</v>
      </c>
      <c r="AW63" s="59">
        <f ca="1">OFFSET(TIAM15_assumptions!$G63,0,MATCH(VLOOKUP(Assumptions!AW$2,TIAM15_assumptions!$Y$3:$Z$87,2,FALSE),TIAM15_assumptions!$H$2:$V$2,0))</f>
        <v>0.391737102078734</v>
      </c>
      <c r="AX63" s="59">
        <f ca="1">OFFSET(TIAM15_assumptions!$G63,0,MATCH(VLOOKUP(Assumptions!AX$2,TIAM15_assumptions!$Y$3:$Z$87,2,FALSE),TIAM15_assumptions!$H$2:$V$2,0))</f>
        <v>0.391737102078734</v>
      </c>
      <c r="AY63" s="59">
        <f ca="1">OFFSET(TIAM15_assumptions!$G63,0,MATCH(VLOOKUP(Assumptions!AY$2,TIAM15_assumptions!$Y$3:$Z$87,2,FALSE),TIAM15_assumptions!$H$2:$V$2,0))</f>
        <v>0.391737102078734</v>
      </c>
      <c r="AZ63" s="59">
        <f ca="1">OFFSET(TIAM15_assumptions!$G63,0,MATCH(VLOOKUP(Assumptions!AZ$2,TIAM15_assumptions!$Y$3:$Z$87,2,FALSE),TIAM15_assumptions!$H$2:$V$2,0))</f>
        <v>0.391737102078734</v>
      </c>
      <c r="BA63" s="59">
        <f ca="1">OFFSET(TIAM15_assumptions!$G63,0,MATCH(VLOOKUP(Assumptions!BA$2,TIAM15_assumptions!$Y$3:$Z$87,2,FALSE),TIAM15_assumptions!$H$2:$V$2,0))</f>
        <v>0.391737102078734</v>
      </c>
      <c r="BD63" s="41">
        <f ca="1">IFERROR(SUMIFS('TRA balance'!E$5:E$40,'TRA balance'!$C$5:$C$40,Assumptions!$C63,'TRA balance'!$D$5:$D$40,Assumptions!$B63)*CY63*H63,"")</f>
        <v>0</v>
      </c>
      <c r="BE63" s="41">
        <f ca="1">IFERROR(SUMIFS('TRA balance'!F$5:F$40,'TRA balance'!$C$5:$C$40,Assumptions!$C63,'TRA balance'!$D$5:$D$40,Assumptions!$B63)*CZ63*I63,"")</f>
        <v>0</v>
      </c>
      <c r="BF63" s="41">
        <f ca="1">IFERROR(SUMIFS('TRA balance'!G$5:G$40,'TRA balance'!$C$5:$C$40,Assumptions!$C63,'TRA balance'!$D$5:$D$40,Assumptions!$B63)*DA63*J63,"")</f>
        <v>0.000220811832</v>
      </c>
      <c r="BG63" s="41">
        <f ca="1">IFERROR(SUMIFS('TRA balance'!H$5:H$40,'TRA balance'!$C$5:$C$40,Assumptions!$C63,'TRA balance'!$D$5:$D$40,Assumptions!$B63)*DB63*K63,"")</f>
        <v>2.851916861952</v>
      </c>
      <c r="BH63" s="41">
        <f ca="1">IFERROR(SUMIFS('TRA balance'!I$5:I$40,'TRA balance'!$C$5:$C$40,Assumptions!$C63,'TRA balance'!$D$5:$D$40,Assumptions!$B63)*DC63*L63,"")</f>
        <v>0.1168751751408</v>
      </c>
      <c r="BI63" s="41">
        <f ca="1">IFERROR(SUMIFS('TRA balance'!J$5:J$40,'TRA balance'!$C$5:$C$40,Assumptions!$C63,'TRA balance'!$D$5:$D$40,Assumptions!$B63)*DD63*M63,"")</f>
        <v>5.908785287616</v>
      </c>
      <c r="BJ63" s="41">
        <f ca="1">IFERROR(SUMIFS('TRA balance'!K$5:K$40,'TRA balance'!$C$5:$C$40,Assumptions!$C63,'TRA balance'!$D$5:$D$40,Assumptions!$B63)*DE63*N63,"")</f>
        <v>13.6716284102328</v>
      </c>
      <c r="BK63" s="41">
        <f ca="1">IFERROR(SUMIFS('TRA balance'!L$5:L$40,'TRA balance'!$C$5:$C$40,Assumptions!$C63,'TRA balance'!$D$5:$D$40,Assumptions!$B63)*DF63*O63,"")</f>
        <v>0.75808001124</v>
      </c>
      <c r="BL63" s="41">
        <f ca="1">IFERROR(SUMIFS('TRA balance'!M$5:M$40,'TRA balance'!$C$5:$C$40,Assumptions!$C63,'TRA balance'!$D$5:$D$40,Assumptions!$B63)*DG63*P63,"")</f>
        <v>0.6510961678464</v>
      </c>
      <c r="BM63" s="41">
        <f ca="1">IFERROR(SUMIFS('TRA balance'!N$5:N$40,'TRA balance'!$C$5:$C$40,Assumptions!$C63,'TRA balance'!$D$5:$D$40,Assumptions!$B63)*DH63*Q63,"")</f>
        <v>1.7064446898816</v>
      </c>
      <c r="BN63" s="41">
        <f ca="1">IFERROR(SUMIFS('TRA balance'!O$5:O$40,'TRA balance'!$C$5:$C$40,Assumptions!$C63,'TRA balance'!$D$5:$D$40,Assumptions!$B63)*DI63*R63,"")</f>
        <v>16.912520989632</v>
      </c>
      <c r="BO63" s="41">
        <f ca="1">IFERROR(SUMIFS('TRA balance'!P$5:P$40,'TRA balance'!$C$5:$C$40,Assumptions!$C63,'TRA balance'!$D$5:$D$40,Assumptions!$B63)*DJ63*S63,"")</f>
        <v>12.655022349888</v>
      </c>
      <c r="BP63" s="41">
        <f ca="1">IFERROR(SUMIFS('TRA balance'!Q$5:Q$40,'TRA balance'!$C$5:$C$40,Assumptions!$C63,'TRA balance'!$D$5:$D$40,Assumptions!$B63)*DK63*T63,"")</f>
        <v>1.146517331328</v>
      </c>
      <c r="BQ63" s="41">
        <f ca="1">IFERROR(SUMIFS('TRA balance'!R$5:R$40,'TRA balance'!$C$5:$C$40,Assumptions!$C63,'TRA balance'!$D$5:$D$40,Assumptions!$B63)*DL63*U63,"")</f>
        <v>2.6429873274504</v>
      </c>
      <c r="BR63" s="41">
        <f ca="1">IFERROR(SUMIFS('TRA balance'!S$5:S$40,'TRA balance'!$C$5:$C$40,Assumptions!$C63,'TRA balance'!$D$5:$D$40,Assumptions!$B63)*DM63*V63,"")</f>
        <v>0.10382929056</v>
      </c>
      <c r="BS63" s="41">
        <f ca="1">IFERROR(SUMIFS('TRA balance'!T$5:T$40,'TRA balance'!$C$5:$C$40,Assumptions!$C63,'TRA balance'!$D$5:$D$40,Assumptions!$B63)*DN63*W63,"")</f>
        <v>0.16369383168</v>
      </c>
      <c r="BT63" s="41">
        <f ca="1">IFERROR(SUMIFS('TRA balance'!U$5:U$40,'TRA balance'!$C$5:$C$40,Assumptions!$C63,'TRA balance'!$D$5:$D$40,Assumptions!$B63)*DO63*X63,"")</f>
        <v>1.08509128128</v>
      </c>
      <c r="BU63" s="41">
        <f ca="1">IFERROR(SUMIFS('TRA balance'!V$5:V$40,'TRA balance'!$C$5:$C$40,Assumptions!$C63,'TRA balance'!$D$5:$D$40,Assumptions!$B63)*DP63*Y63,"")</f>
        <v>8.417485032768</v>
      </c>
      <c r="BV63" s="41">
        <f ca="1">IFERROR(SUMIFS('TRA balance'!W$5:W$40,'TRA balance'!$C$5:$C$40,Assumptions!$C63,'TRA balance'!$D$5:$D$40,Assumptions!$B63)*DQ63*Z63,"")</f>
        <v>0.011942679528</v>
      </c>
      <c r="BW63" s="41">
        <f ca="1">IFERROR(SUMIFS('TRA balance'!X$5:X$40,'TRA balance'!$C$5:$C$40,Assumptions!$C63,'TRA balance'!$D$5:$D$40,Assumptions!$B63)*DR63*AA63,"")</f>
        <v>1.5595340939892</v>
      </c>
      <c r="BX63" s="41">
        <f ca="1">IFERROR(SUMIFS('TRA balance'!Y$5:Y$40,'TRA balance'!$C$5:$C$40,Assumptions!$C63,'TRA balance'!$D$5:$D$40,Assumptions!$B63)*DS63*AB63,"")</f>
        <v>0</v>
      </c>
      <c r="BY63" s="41">
        <f ca="1">IFERROR(SUMIFS('TRA balance'!Z$5:Z$40,'TRA balance'!$C$5:$C$40,Assumptions!$C63,'TRA balance'!$D$5:$D$40,Assumptions!$B63)*DT63*AC63,"")</f>
        <v>1.95271297032913</v>
      </c>
      <c r="BZ63" s="41">
        <f ca="1">IFERROR(SUMIFS('TRA balance'!AA$5:AA$40,'TRA balance'!$C$5:$C$40,Assumptions!$C63,'TRA balance'!$D$5:$D$40,Assumptions!$B63)*DU63*AD63,"")</f>
        <v>2.80680392448</v>
      </c>
      <c r="CA63" s="41">
        <f ca="1">IFERROR(SUMIFS('TRA balance'!AB$5:AB$40,'TRA balance'!$C$5:$C$40,Assumptions!$C63,'TRA balance'!$D$5:$D$40,Assumptions!$B63)*DV63*AE63,"")</f>
        <v>3.5777935650816</v>
      </c>
      <c r="CB63" s="41">
        <f ca="1">IFERROR(SUMIFS('TRA balance'!AC$5:AC$40,'TRA balance'!$C$5:$C$40,Assumptions!$C63,'TRA balance'!$D$5:$D$40,Assumptions!$B63)*DW63*AF63,"")</f>
        <v>7.75375689408768</v>
      </c>
      <c r="CC63" s="41">
        <f ca="1">IFERROR(SUMIFS('TRA balance'!AD$5:AD$40,'TRA balance'!$C$5:$C$40,Assumptions!$C63,'TRA balance'!$D$5:$D$40,Assumptions!$B63)*DX63*AG63,"")</f>
        <v>0.0018360101898</v>
      </c>
      <c r="CD63" s="41">
        <f ca="1">IFERROR(SUMIFS('TRA balance'!AE$5:AE$40,'TRA balance'!$C$5:$C$40,Assumptions!$C63,'TRA balance'!$D$5:$D$40,Assumptions!$B63)*DY63*AH63,"")</f>
        <v>0</v>
      </c>
      <c r="CE63" s="41">
        <f ca="1">IFERROR(SUMIFS('TRA balance'!AF$5:AF$40,'TRA balance'!$C$5:$C$40,Assumptions!$C63,'TRA balance'!$D$5:$D$40,Assumptions!$B63)*DZ63*AI63,"")</f>
        <v>0</v>
      </c>
      <c r="CF63" s="41">
        <f ca="1">IFERROR(SUMIFS('TRA balance'!AG$5:AG$40,'TRA balance'!$C$5:$C$40,Assumptions!$C63,'TRA balance'!$D$5:$D$40,Assumptions!$B63)*EA63*AJ63,"")</f>
        <v>11.773547545536</v>
      </c>
      <c r="CG63" s="41">
        <f ca="1">IFERROR(SUMIFS('TRA balance'!AH$5:AH$40,'TRA balance'!$C$5:$C$40,Assumptions!$C63,'TRA balance'!$D$5:$D$40,Assumptions!$B63)*EB63*AK63,"")</f>
        <v>11.466407916864</v>
      </c>
      <c r="CH63" s="41">
        <f ca="1">IFERROR(SUMIFS('TRA balance'!AI$5:AI$40,'TRA balance'!$C$5:$C$40,Assumptions!$C63,'TRA balance'!$D$5:$D$40,Assumptions!$B63)*EC63*AL63,"")</f>
        <v>1.00371998592</v>
      </c>
      <c r="CI63" s="41">
        <f ca="1">IFERROR(SUMIFS('TRA balance'!AJ$5:AJ$40,'TRA balance'!$C$5:$C$40,Assumptions!$C63,'TRA balance'!$D$5:$D$40,Assumptions!$B63)*ED63*AM63,"")</f>
        <v>0.095590003104</v>
      </c>
      <c r="CJ63" s="41">
        <f ca="1">IFERROR(SUMIFS('TRA balance'!AK$5:AK$40,'TRA balance'!$C$5:$C$40,Assumptions!$C63,'TRA balance'!$D$5:$D$40,Assumptions!$B63)*EE63*AN63,"")</f>
        <v>8.461696300992</v>
      </c>
      <c r="CK63" s="41">
        <f ca="1">IFERROR(SUMIFS('TRA balance'!AL$5:AL$40,'TRA balance'!$C$5:$C$40,Assumptions!$C63,'TRA balance'!$D$5:$D$40,Assumptions!$B63)*EF63*AO63,"")</f>
        <v>0</v>
      </c>
      <c r="CL63" s="41">
        <f ca="1">IFERROR(SUMIFS('TRA balance'!AM$5:AM$40,'TRA balance'!$C$5:$C$40,Assumptions!$C63,'TRA balance'!$D$5:$D$40,Assumptions!$B63)*EG63*AP63,"")</f>
        <v>0.5135964390936</v>
      </c>
      <c r="CM63" s="41">
        <f ca="1">IFERROR(SUMIFS('TRA balance'!AN$5:AN$40,'TRA balance'!$C$5:$C$40,Assumptions!$C63,'TRA balance'!$D$5:$D$40,Assumptions!$B63)*EH63*AQ63,"")</f>
        <v>0</v>
      </c>
      <c r="CN63" s="41">
        <f ca="1">IFERROR(SUMIFS('TRA balance'!AO$5:AO$40,'TRA balance'!$C$5:$C$40,Assumptions!$C63,'TRA balance'!$D$5:$D$40,Assumptions!$B63)*EI63*AR63,"")</f>
        <v>0</v>
      </c>
      <c r="CO63" s="41">
        <f ca="1">IFERROR(SUMIFS('TRA balance'!AP$5:AP$40,'TRA balance'!$C$5:$C$40,Assumptions!$C63,'TRA balance'!$D$5:$D$40,Assumptions!$B63)*EJ63*AS63,"")</f>
        <v>0</v>
      </c>
      <c r="CP63" s="41">
        <f ca="1">IFERROR(SUMIFS('TRA balance'!AQ$5:AQ$40,'TRA balance'!$C$5:$C$40,Assumptions!$C63,'TRA balance'!$D$5:$D$40,Assumptions!$B63)*EK63*AT63,"")</f>
        <v>0</v>
      </c>
      <c r="CQ63" s="41">
        <f ca="1">IFERROR(SUMIFS('TRA balance'!AR$5:AR$40,'TRA balance'!$C$5:$C$40,Assumptions!$C63,'TRA balance'!$D$5:$D$40,Assumptions!$B63)*EL63*AU63,"")</f>
        <v>0</v>
      </c>
      <c r="CR63" s="41">
        <f ca="1">IFERROR(SUMIFS('TRA balance'!AS$5:AS$40,'TRA balance'!$C$5:$C$40,Assumptions!$C63,'TRA balance'!$D$5:$D$40,Assumptions!$B63)*EM63*AV63,"")</f>
        <v>0</v>
      </c>
      <c r="CS63" s="41">
        <f ca="1">IFERROR(SUMIFS('TRA balance'!AT$5:AT$40,'TRA balance'!$C$5:$C$40,Assumptions!$C63,'TRA balance'!$D$5:$D$40,Assumptions!$B63)*EN63*AW63,"")</f>
        <v>0</v>
      </c>
      <c r="CT63" s="41">
        <f ca="1">IFERROR(SUMIFS('TRA balance'!AU$5:AU$40,'TRA balance'!$C$5:$C$40,Assumptions!$C63,'TRA balance'!$D$5:$D$40,Assumptions!$B63)*EO63*AX63,"")</f>
        <v>0</v>
      </c>
      <c r="CU63" s="41">
        <f ca="1">IFERROR(SUMIFS('TRA balance'!AV$5:AV$40,'TRA balance'!$C$5:$C$40,Assumptions!$C63,'TRA balance'!$D$5:$D$40,Assumptions!$B63)*EP63*AY63,"")</f>
        <v>0</v>
      </c>
      <c r="CV63" s="41">
        <f ca="1">IFERROR(SUMIFS('TRA balance'!AW$5:AW$40,'TRA balance'!$C$5:$C$40,Assumptions!$C63,'TRA balance'!$D$5:$D$40,Assumptions!$B63)*EQ63*AZ63,"")</f>
        <v>0</v>
      </c>
      <c r="CW63" s="41">
        <f ca="1">IFERROR(SUMIFS('TRA balance'!AX$5:AX$40,'TRA balance'!$C$5:$C$40,Assumptions!$C63,'TRA balance'!$D$5:$D$40,Assumptions!$B63)*ER63*BA63,"")</f>
        <v>0</v>
      </c>
      <c r="CY63" s="40">
        <f ca="1" t="shared" si="66"/>
        <v>0.1</v>
      </c>
      <c r="CZ63" s="40">
        <f ca="1" t="shared" si="3"/>
        <v>0.1</v>
      </c>
      <c r="DA63" s="40">
        <f ca="1" t="shared" si="4"/>
        <v>0.02</v>
      </c>
      <c r="DB63" s="40">
        <f ca="1" t="shared" si="5"/>
        <v>0.2</v>
      </c>
      <c r="DC63" s="40">
        <f ca="1" t="shared" si="6"/>
        <v>0.05</v>
      </c>
      <c r="DD63" s="40">
        <f ca="1" t="shared" si="7"/>
        <v>0.2</v>
      </c>
      <c r="DE63" s="40">
        <f ca="1" t="shared" si="8"/>
        <v>0.07</v>
      </c>
      <c r="DF63" s="40">
        <f ca="1" t="shared" si="9"/>
        <v>0.1</v>
      </c>
      <c r="DG63" s="40">
        <f ca="1" t="shared" si="10"/>
        <v>0.2</v>
      </c>
      <c r="DH63" s="40">
        <f ca="1" t="shared" si="11"/>
        <v>0.2</v>
      </c>
      <c r="DI63" s="40">
        <f ca="1" t="shared" si="12"/>
        <v>0.2</v>
      </c>
      <c r="DJ63" s="40">
        <f ca="1" t="shared" si="13"/>
        <v>0.2</v>
      </c>
      <c r="DK63" s="40">
        <f ca="1" t="shared" si="14"/>
        <v>0.2</v>
      </c>
      <c r="DL63" s="40">
        <f ca="1" t="shared" si="15"/>
        <v>0.2</v>
      </c>
      <c r="DM63" s="40">
        <f ca="1" t="shared" si="16"/>
        <v>0.2</v>
      </c>
      <c r="DN63" s="40">
        <f ca="1" t="shared" si="17"/>
        <v>0.25</v>
      </c>
      <c r="DO63" s="40">
        <f ca="1" t="shared" si="18"/>
        <v>0.2</v>
      </c>
      <c r="DP63" s="40">
        <f ca="1" t="shared" si="19"/>
        <v>0.2</v>
      </c>
      <c r="DQ63" s="40">
        <f ca="1" t="shared" si="20"/>
        <v>0.05</v>
      </c>
      <c r="DR63" s="40">
        <f ca="1" t="shared" si="21"/>
        <v>0.07</v>
      </c>
      <c r="DS63" s="40">
        <f ca="1" t="shared" si="22"/>
        <v>0.1</v>
      </c>
      <c r="DT63" s="40">
        <f ca="1" t="shared" si="23"/>
        <v>0.0244064218226165</v>
      </c>
      <c r="DU63" s="40">
        <f ca="1" t="shared" si="24"/>
        <v>0.2</v>
      </c>
      <c r="DV63" s="40">
        <f ca="1" t="shared" si="25"/>
        <v>0.2</v>
      </c>
      <c r="DW63" s="40">
        <f ca="1" t="shared" si="26"/>
        <v>0.08</v>
      </c>
      <c r="DX63" s="40">
        <f ca="1" t="shared" si="27"/>
        <v>0.05</v>
      </c>
      <c r="DY63" s="40">
        <f ca="1" t="shared" si="28"/>
        <v>0.1</v>
      </c>
      <c r="DZ63" s="40">
        <f ca="1" t="shared" si="29"/>
        <v>0.1</v>
      </c>
      <c r="EA63" s="40">
        <f ca="1" t="shared" si="30"/>
        <v>0.2</v>
      </c>
      <c r="EB63" s="40">
        <f ca="1" t="shared" si="31"/>
        <v>0.2</v>
      </c>
      <c r="EC63" s="40">
        <f ca="1" t="shared" si="32"/>
        <v>0.2</v>
      </c>
      <c r="ED63" s="40">
        <f ca="1" t="shared" si="33"/>
        <v>0.1</v>
      </c>
      <c r="EE63" s="40">
        <f ca="1" t="shared" si="34"/>
        <v>0.2</v>
      </c>
      <c r="EF63" s="40">
        <f ca="1" t="shared" si="35"/>
        <v>0.05</v>
      </c>
      <c r="EG63" s="40">
        <f ca="1" t="shared" si="36"/>
        <v>0.2</v>
      </c>
      <c r="EH63" s="40">
        <f ca="1" t="shared" si="37"/>
        <v>0.0244064218226165</v>
      </c>
      <c r="EI63" s="40">
        <f ca="1" t="shared" si="38"/>
        <v>0.0244064218226165</v>
      </c>
      <c r="EJ63" s="40">
        <f ca="1" t="shared" si="39"/>
        <v>0.0244064218226165</v>
      </c>
      <c r="EK63" s="40">
        <f ca="1" t="shared" si="40"/>
        <v>0.0244064218226165</v>
      </c>
      <c r="EL63" s="40">
        <f ca="1" t="shared" si="41"/>
        <v>0.0244064218226165</v>
      </c>
      <c r="EM63" s="40">
        <f ca="1" t="shared" si="42"/>
        <v>0.0244064218226165</v>
      </c>
      <c r="EN63" s="40">
        <f ca="1" t="shared" si="43"/>
        <v>0.0244064218226165</v>
      </c>
      <c r="EO63" s="40">
        <f ca="1" t="shared" si="44"/>
        <v>0.0244064218226165</v>
      </c>
      <c r="EP63" s="40">
        <f ca="1" t="shared" si="45"/>
        <v>0.0244064218226165</v>
      </c>
      <c r="EQ63" s="40">
        <f ca="1" t="shared" si="46"/>
        <v>0.0244064218226165</v>
      </c>
      <c r="ER63" s="40">
        <f ca="1" t="shared" si="47"/>
        <v>0.0244064218226165</v>
      </c>
    </row>
    <row r="64" spans="1:148">
      <c r="A64">
        <v>1</v>
      </c>
      <c r="B64" t="str">
        <f>VLOOKUP(F64,'TRA balance'!$BA$5:$BB$14,2,FALSE)</f>
        <v>TRABDS</v>
      </c>
      <c r="C64" s="56" t="str">
        <f t="shared" si="48"/>
        <v>TR</v>
      </c>
      <c r="D64" s="57" t="s">
        <v>200</v>
      </c>
      <c r="E64" s="68" t="s">
        <v>204</v>
      </c>
      <c r="F64" s="58" t="str">
        <f t="shared" ref="F64:F69" si="84">F63</f>
        <v>Bio Diesel</v>
      </c>
      <c r="G64" s="56" t="s">
        <v>205</v>
      </c>
      <c r="H64" s="59">
        <f ca="1">OFFSET(TIAM15_assumptions!$G64,0,MATCH(VLOOKUP(Assumptions!H$2,TIAM15_assumptions!$Y$3:$Z$87,2,FALSE),TIAM15_assumptions!$H$2:$V$2,0))</f>
        <v>0.5</v>
      </c>
      <c r="I64" s="59">
        <f ca="1">OFFSET(TIAM15_assumptions!$G64,0,MATCH(VLOOKUP(Assumptions!I$2,TIAM15_assumptions!$Y$3:$Z$87,2,FALSE),TIAM15_assumptions!$H$2:$V$2,0))</f>
        <v>0.5</v>
      </c>
      <c r="J64" s="59">
        <f ca="1">OFFSET(TIAM15_assumptions!$G64,0,MATCH(VLOOKUP(Assumptions!J$2,TIAM15_assumptions!$Y$3:$Z$87,2,FALSE),TIAM15_assumptions!$H$2:$V$2,0))</f>
        <v>0.7</v>
      </c>
      <c r="K64" s="59">
        <f ca="1">OFFSET(TIAM15_assumptions!$G64,0,MATCH(VLOOKUP(Assumptions!K$2,TIAM15_assumptions!$Y$3:$Z$87,2,FALSE),TIAM15_assumptions!$H$2:$V$2,0))</f>
        <v>0.2</v>
      </c>
      <c r="L64" s="59">
        <f ca="1">OFFSET(TIAM15_assumptions!$G64,0,MATCH(VLOOKUP(Assumptions!L$2,TIAM15_assumptions!$Y$3:$Z$87,2,FALSE),TIAM15_assumptions!$H$2:$V$2,0))</f>
        <v>0.49</v>
      </c>
      <c r="M64" s="59">
        <f ca="1">OFFSET(TIAM15_assumptions!$G64,0,MATCH(VLOOKUP(Assumptions!M$2,TIAM15_assumptions!$Y$3:$Z$87,2,FALSE),TIAM15_assumptions!$H$2:$V$2,0))</f>
        <v>0.2</v>
      </c>
      <c r="N64" s="59">
        <f ca="1">OFFSET(TIAM15_assumptions!$G64,0,MATCH(VLOOKUP(Assumptions!N$2,TIAM15_assumptions!$Y$3:$Z$87,2,FALSE),TIAM15_assumptions!$H$2:$V$2,0))</f>
        <v>0.69</v>
      </c>
      <c r="O64" s="59">
        <f ca="1">OFFSET(TIAM15_assumptions!$G64,0,MATCH(VLOOKUP(Assumptions!O$2,TIAM15_assumptions!$Y$3:$Z$87,2,FALSE),TIAM15_assumptions!$H$2:$V$2,0))</f>
        <v>0.2</v>
      </c>
      <c r="P64" s="59">
        <f ca="1">OFFSET(TIAM15_assumptions!$G64,0,MATCH(VLOOKUP(Assumptions!P$2,TIAM15_assumptions!$Y$3:$Z$87,2,FALSE),TIAM15_assumptions!$H$2:$V$2,0))</f>
        <v>0.49</v>
      </c>
      <c r="Q64" s="59">
        <f ca="1">OFFSET(TIAM15_assumptions!$G64,0,MATCH(VLOOKUP(Assumptions!Q$2,TIAM15_assumptions!$Y$3:$Z$87,2,FALSE),TIAM15_assumptions!$H$2:$V$2,0))</f>
        <v>0.49</v>
      </c>
      <c r="R64" s="59">
        <f ca="1">OFFSET(TIAM15_assumptions!$G64,0,MATCH(VLOOKUP(Assumptions!R$2,TIAM15_assumptions!$Y$3:$Z$87,2,FALSE),TIAM15_assumptions!$H$2:$V$2,0))</f>
        <v>0.2</v>
      </c>
      <c r="S64" s="59">
        <f ca="1">OFFSET(TIAM15_assumptions!$G64,0,MATCH(VLOOKUP(Assumptions!S$2,TIAM15_assumptions!$Y$3:$Z$87,2,FALSE),TIAM15_assumptions!$H$2:$V$2,0))</f>
        <v>0.2</v>
      </c>
      <c r="T64" s="59">
        <f ca="1">OFFSET(TIAM15_assumptions!$G64,0,MATCH(VLOOKUP(Assumptions!T$2,TIAM15_assumptions!$Y$3:$Z$87,2,FALSE),TIAM15_assumptions!$H$2:$V$2,0))</f>
        <v>0.2</v>
      </c>
      <c r="U64" s="59">
        <f ca="1">OFFSET(TIAM15_assumptions!$G64,0,MATCH(VLOOKUP(Assumptions!U$2,TIAM15_assumptions!$Y$3:$Z$87,2,FALSE),TIAM15_assumptions!$H$2:$V$2,0))</f>
        <v>0.49</v>
      </c>
      <c r="V64" s="59">
        <f ca="1">OFFSET(TIAM15_assumptions!$G64,0,MATCH(VLOOKUP(Assumptions!V$2,TIAM15_assumptions!$Y$3:$Z$87,2,FALSE),TIAM15_assumptions!$H$2:$V$2,0))</f>
        <v>0.2</v>
      </c>
      <c r="W64" s="59">
        <f ca="1">OFFSET(TIAM15_assumptions!$G64,0,MATCH(VLOOKUP(Assumptions!W$2,TIAM15_assumptions!$Y$3:$Z$87,2,FALSE),TIAM15_assumptions!$H$2:$V$2,0))</f>
        <v>0.35</v>
      </c>
      <c r="X64" s="59">
        <f ca="1">OFFSET(TIAM15_assumptions!$G64,0,MATCH(VLOOKUP(Assumptions!X$2,TIAM15_assumptions!$Y$3:$Z$87,2,FALSE),TIAM15_assumptions!$H$2:$V$2,0))</f>
        <v>0.2</v>
      </c>
      <c r="Y64" s="59">
        <f ca="1">OFFSET(TIAM15_assumptions!$G64,0,MATCH(VLOOKUP(Assumptions!Y$2,TIAM15_assumptions!$Y$3:$Z$87,2,FALSE),TIAM15_assumptions!$H$2:$V$2,0))</f>
        <v>0.2</v>
      </c>
      <c r="Z64" s="59">
        <f ca="1">OFFSET(TIAM15_assumptions!$G64,0,MATCH(VLOOKUP(Assumptions!Z$2,TIAM15_assumptions!$Y$3:$Z$87,2,FALSE),TIAM15_assumptions!$H$2:$V$2,0))</f>
        <v>0.53</v>
      </c>
      <c r="AA64" s="59">
        <f ca="1">OFFSET(TIAM15_assumptions!$G64,0,MATCH(VLOOKUP(Assumptions!AA$2,TIAM15_assumptions!$Y$3:$Z$87,2,FALSE),TIAM15_assumptions!$H$2:$V$2,0))</f>
        <v>0.69</v>
      </c>
      <c r="AB64" s="59">
        <f ca="1">OFFSET(TIAM15_assumptions!$G64,0,MATCH(VLOOKUP(Assumptions!AB$2,TIAM15_assumptions!$Y$3:$Z$87,2,FALSE),TIAM15_assumptions!$H$2:$V$2,0))</f>
        <v>0.8</v>
      </c>
      <c r="AC64" s="59">
        <f ca="1">OFFSET(TIAM15_assumptions!$G64,0,MATCH(VLOOKUP(Assumptions!AC$2,TIAM15_assumptions!$Y$3:$Z$87,2,FALSE),TIAM15_assumptions!$H$2:$V$2,0))</f>
        <v>0.608262897921266</v>
      </c>
      <c r="AD64" s="59">
        <f ca="1">OFFSET(TIAM15_assumptions!$G64,0,MATCH(VLOOKUP(Assumptions!AD$2,TIAM15_assumptions!$Y$3:$Z$87,2,FALSE),TIAM15_assumptions!$H$2:$V$2,0))</f>
        <v>0.2</v>
      </c>
      <c r="AE64" s="59">
        <f ca="1">OFFSET(TIAM15_assumptions!$G64,0,MATCH(VLOOKUP(Assumptions!AE$2,TIAM15_assumptions!$Y$3:$Z$87,2,FALSE),TIAM15_assumptions!$H$2:$V$2,0))</f>
        <v>0.49</v>
      </c>
      <c r="AF64" s="59">
        <f ca="1">OFFSET(TIAM15_assumptions!$G64,0,MATCH(VLOOKUP(Assumptions!AF$2,TIAM15_assumptions!$Y$3:$Z$87,2,FALSE),TIAM15_assumptions!$H$2:$V$2,0))</f>
        <v>0.66</v>
      </c>
      <c r="AG64" s="59">
        <f ca="1">OFFSET(TIAM15_assumptions!$G64,0,MATCH(VLOOKUP(Assumptions!AG$2,TIAM15_assumptions!$Y$3:$Z$87,2,FALSE),TIAM15_assumptions!$H$2:$V$2,0))</f>
        <v>0.49</v>
      </c>
      <c r="AH64" s="59">
        <f ca="1">OFFSET(TIAM15_assumptions!$G64,0,MATCH(VLOOKUP(Assumptions!AH$2,TIAM15_assumptions!$Y$3:$Z$87,2,FALSE),TIAM15_assumptions!$H$2:$V$2,0))</f>
        <v>0.8</v>
      </c>
      <c r="AI64" s="59">
        <f ca="1">OFFSET(TIAM15_assumptions!$G64,0,MATCH(VLOOKUP(Assumptions!AI$2,TIAM15_assumptions!$Y$3:$Z$87,2,FALSE),TIAM15_assumptions!$H$2:$V$2,0))</f>
        <v>0.5</v>
      </c>
      <c r="AJ64" s="59">
        <f ca="1">OFFSET(TIAM15_assumptions!$G64,0,MATCH(VLOOKUP(Assumptions!AJ$2,TIAM15_assumptions!$Y$3:$Z$87,2,FALSE),TIAM15_assumptions!$H$2:$V$2,0))</f>
        <v>0.2</v>
      </c>
      <c r="AK64" s="59">
        <f ca="1">OFFSET(TIAM15_assumptions!$G64,0,MATCH(VLOOKUP(Assumptions!AK$2,TIAM15_assumptions!$Y$3:$Z$87,2,FALSE),TIAM15_assumptions!$H$2:$V$2,0))</f>
        <v>0.2</v>
      </c>
      <c r="AL64" s="59">
        <f ca="1">OFFSET(TIAM15_assumptions!$G64,0,MATCH(VLOOKUP(Assumptions!AL$2,TIAM15_assumptions!$Y$3:$Z$87,2,FALSE),TIAM15_assumptions!$H$2:$V$2,0))</f>
        <v>0.2</v>
      </c>
      <c r="AM64" s="59">
        <f ca="1">OFFSET(TIAM15_assumptions!$G64,0,MATCH(VLOOKUP(Assumptions!AM$2,TIAM15_assumptions!$Y$3:$Z$87,2,FALSE),TIAM15_assumptions!$H$2:$V$2,0))</f>
        <v>0.8</v>
      </c>
      <c r="AN64" s="59">
        <f ca="1">OFFSET(TIAM15_assumptions!$G64,0,MATCH(VLOOKUP(Assumptions!AN$2,TIAM15_assumptions!$Y$3:$Z$87,2,FALSE),TIAM15_assumptions!$H$2:$V$2,0))</f>
        <v>0.2</v>
      </c>
      <c r="AO64" s="59">
        <f ca="1">OFFSET(TIAM15_assumptions!$G64,0,MATCH(VLOOKUP(Assumptions!AO$2,TIAM15_assumptions!$Y$3:$Z$87,2,FALSE),TIAM15_assumptions!$H$2:$V$2,0))</f>
        <v>0.49</v>
      </c>
      <c r="AP64" s="59">
        <f ca="1">OFFSET(TIAM15_assumptions!$G64,0,MATCH(VLOOKUP(Assumptions!AP$2,TIAM15_assumptions!$Y$3:$Z$87,2,FALSE),TIAM15_assumptions!$H$2:$V$2,0))</f>
        <v>0.49</v>
      </c>
      <c r="AQ64" s="59">
        <f ca="1">OFFSET(TIAM15_assumptions!$G64,0,MATCH(VLOOKUP(Assumptions!AQ$2,TIAM15_assumptions!$Y$3:$Z$87,2,FALSE),TIAM15_assumptions!$H$2:$V$2,0))</f>
        <v>0.608262897921266</v>
      </c>
      <c r="AR64" s="59">
        <f ca="1">OFFSET(TIAM15_assumptions!$G64,0,MATCH(VLOOKUP(Assumptions!AR$2,TIAM15_assumptions!$Y$3:$Z$87,2,FALSE),TIAM15_assumptions!$H$2:$V$2,0))</f>
        <v>0.608262897921266</v>
      </c>
      <c r="AS64" s="59">
        <f ca="1">OFFSET(TIAM15_assumptions!$G64,0,MATCH(VLOOKUP(Assumptions!AS$2,TIAM15_assumptions!$Y$3:$Z$87,2,FALSE),TIAM15_assumptions!$H$2:$V$2,0))</f>
        <v>0.608262897921266</v>
      </c>
      <c r="AT64" s="59">
        <f ca="1">OFFSET(TIAM15_assumptions!$G64,0,MATCH(VLOOKUP(Assumptions!AT$2,TIAM15_assumptions!$Y$3:$Z$87,2,FALSE),TIAM15_assumptions!$H$2:$V$2,0))</f>
        <v>0.608262897921266</v>
      </c>
      <c r="AU64" s="59">
        <f ca="1">OFFSET(TIAM15_assumptions!$G64,0,MATCH(VLOOKUP(Assumptions!AU$2,TIAM15_assumptions!$Y$3:$Z$87,2,FALSE),TIAM15_assumptions!$H$2:$V$2,0))</f>
        <v>0.608262897921266</v>
      </c>
      <c r="AV64" s="59">
        <f ca="1">OFFSET(TIAM15_assumptions!$G64,0,MATCH(VLOOKUP(Assumptions!AV$2,TIAM15_assumptions!$Y$3:$Z$87,2,FALSE),TIAM15_assumptions!$H$2:$V$2,0))</f>
        <v>0.608262897921266</v>
      </c>
      <c r="AW64" s="59">
        <f ca="1">OFFSET(TIAM15_assumptions!$G64,0,MATCH(VLOOKUP(Assumptions!AW$2,TIAM15_assumptions!$Y$3:$Z$87,2,FALSE),TIAM15_assumptions!$H$2:$V$2,0))</f>
        <v>0.608262897921266</v>
      </c>
      <c r="AX64" s="59">
        <f ca="1">OFFSET(TIAM15_assumptions!$G64,0,MATCH(VLOOKUP(Assumptions!AX$2,TIAM15_assumptions!$Y$3:$Z$87,2,FALSE),TIAM15_assumptions!$H$2:$V$2,0))</f>
        <v>0.608262897921266</v>
      </c>
      <c r="AY64" s="59">
        <f ca="1">OFFSET(TIAM15_assumptions!$G64,0,MATCH(VLOOKUP(Assumptions!AY$2,TIAM15_assumptions!$Y$3:$Z$87,2,FALSE),TIAM15_assumptions!$H$2:$V$2,0))</f>
        <v>0.608262897921266</v>
      </c>
      <c r="AZ64" s="59">
        <f ca="1">OFFSET(TIAM15_assumptions!$G64,0,MATCH(VLOOKUP(Assumptions!AZ$2,TIAM15_assumptions!$Y$3:$Z$87,2,FALSE),TIAM15_assumptions!$H$2:$V$2,0))</f>
        <v>0.608262897921266</v>
      </c>
      <c r="BA64" s="59">
        <f ca="1">OFFSET(TIAM15_assumptions!$G64,0,MATCH(VLOOKUP(Assumptions!BA$2,TIAM15_assumptions!$Y$3:$Z$87,2,FALSE),TIAM15_assumptions!$H$2:$V$2,0))</f>
        <v>0.608262897921266</v>
      </c>
      <c r="BD64" s="41">
        <f ca="1">IFERROR(SUMIFS('TRA balance'!E$5:E$40,'TRA balance'!$C$5:$C$40,Assumptions!$C64,'TRA balance'!$D$5:$D$40,Assumptions!$B64)*CY64*H64,"")</f>
        <v>0</v>
      </c>
      <c r="BE64" s="41">
        <f ca="1">IFERROR(SUMIFS('TRA balance'!F$5:F$40,'TRA balance'!$C$5:$C$40,Assumptions!$C64,'TRA balance'!$D$5:$D$40,Assumptions!$B64)*CZ64*I64,"")</f>
        <v>0</v>
      </c>
      <c r="BF64" s="41">
        <f ca="1">IFERROR(SUMIFS('TRA balance'!G$5:G$40,'TRA balance'!$C$5:$C$40,Assumptions!$C64,'TRA balance'!$D$5:$D$40,Assumptions!$B64)*DA64*J64,"")</f>
        <v>0.000515227608</v>
      </c>
      <c r="BG64" s="41">
        <f ca="1">IFERROR(SUMIFS('TRA balance'!H$5:H$40,'TRA balance'!$C$5:$C$40,Assumptions!$C64,'TRA balance'!$D$5:$D$40,Assumptions!$B64)*DB64*K64,"")</f>
        <v>0.712979215488</v>
      </c>
      <c r="BH64" s="41">
        <f ca="1">IFERROR(SUMIFS('TRA balance'!I$5:I$40,'TRA balance'!$C$5:$C$40,Assumptions!$C64,'TRA balance'!$D$5:$D$40,Assumptions!$B64)*DC64*L64,"")</f>
        <v>0.1122918349392</v>
      </c>
      <c r="BI64" s="41">
        <f ca="1">IFERROR(SUMIFS('TRA balance'!J$5:J$40,'TRA balance'!$C$5:$C$40,Assumptions!$C64,'TRA balance'!$D$5:$D$40,Assumptions!$B64)*DD64*M64,"")</f>
        <v>1.477196321904</v>
      </c>
      <c r="BJ64" s="41">
        <f ca="1">IFERROR(SUMIFS('TRA balance'!K$5:K$40,'TRA balance'!$C$5:$C$40,Assumptions!$C64,'TRA balance'!$D$5:$D$40,Assumptions!$B64)*DE64*N64,"")</f>
        <v>31.4447453435354</v>
      </c>
      <c r="BK64" s="41">
        <f ca="1">IFERROR(SUMIFS('TRA balance'!L$5:L$40,'TRA balance'!$C$5:$C$40,Assumptions!$C64,'TRA balance'!$D$5:$D$40,Assumptions!$B64)*DF64*O64,"")</f>
        <v>0.75808001124</v>
      </c>
      <c r="BL64" s="41">
        <f ca="1">IFERROR(SUMIFS('TRA balance'!M$5:M$40,'TRA balance'!$C$5:$C$40,Assumptions!$C64,'TRA balance'!$D$5:$D$40,Assumptions!$B64)*DG64*P64,"")</f>
        <v>0.6255629847936</v>
      </c>
      <c r="BM64" s="41">
        <f ca="1">IFERROR(SUMIFS('TRA balance'!N$5:N$40,'TRA balance'!$C$5:$C$40,Assumptions!$C64,'TRA balance'!$D$5:$D$40,Assumptions!$B64)*DH64*Q64,"")</f>
        <v>1.6395252902784</v>
      </c>
      <c r="BN64" s="41">
        <f ca="1">IFERROR(SUMIFS('TRA balance'!O$5:O$40,'TRA balance'!$C$5:$C$40,Assumptions!$C64,'TRA balance'!$D$5:$D$40,Assumptions!$B64)*DI64*R64,"")</f>
        <v>4.228130247408</v>
      </c>
      <c r="BO64" s="41">
        <f ca="1">IFERROR(SUMIFS('TRA balance'!P$5:P$40,'TRA balance'!$C$5:$C$40,Assumptions!$C64,'TRA balance'!$D$5:$D$40,Assumptions!$B64)*DJ64*S64,"")</f>
        <v>3.163755587472</v>
      </c>
      <c r="BP64" s="41">
        <f ca="1">IFERROR(SUMIFS('TRA balance'!Q$5:Q$40,'TRA balance'!$C$5:$C$40,Assumptions!$C64,'TRA balance'!$D$5:$D$40,Assumptions!$B64)*DK64*T64,"")</f>
        <v>0.286629332832</v>
      </c>
      <c r="BQ64" s="41">
        <f ca="1">IFERROR(SUMIFS('TRA balance'!R$5:R$40,'TRA balance'!$C$5:$C$40,Assumptions!$C64,'TRA balance'!$D$5:$D$40,Assumptions!$B64)*DL64*U64,"")</f>
        <v>2.5393407655896</v>
      </c>
      <c r="BR64" s="41">
        <f ca="1">IFERROR(SUMIFS('TRA balance'!S$5:S$40,'TRA balance'!$C$5:$C$40,Assumptions!$C64,'TRA balance'!$D$5:$D$40,Assumptions!$B64)*DM64*V64,"")</f>
        <v>0.02595732264</v>
      </c>
      <c r="BS64" s="41">
        <f ca="1">IFERROR(SUMIFS('TRA balance'!T$5:T$40,'TRA balance'!$C$5:$C$40,Assumptions!$C64,'TRA balance'!$D$5:$D$40,Assumptions!$B64)*DN64*W64,"")</f>
        <v>0.14323210272</v>
      </c>
      <c r="BT64" s="41">
        <f ca="1">IFERROR(SUMIFS('TRA balance'!U$5:U$40,'TRA balance'!$C$5:$C$40,Assumptions!$C64,'TRA balance'!$D$5:$D$40,Assumptions!$B64)*DO64*X64,"")</f>
        <v>0.27127282032</v>
      </c>
      <c r="BU64" s="41">
        <f ca="1">IFERROR(SUMIFS('TRA balance'!V$5:V$40,'TRA balance'!$C$5:$C$40,Assumptions!$C64,'TRA balance'!$D$5:$D$40,Assumptions!$B64)*DP64*Y64,"")</f>
        <v>2.104371258192</v>
      </c>
      <c r="BV64" s="41">
        <f ca="1">IFERROR(SUMIFS('TRA balance'!W$5:W$40,'TRA balance'!$C$5:$C$40,Assumptions!$C64,'TRA balance'!$D$5:$D$40,Assumptions!$B64)*DQ64*Z64,"")</f>
        <v>0.013760043804</v>
      </c>
      <c r="BW64" s="41">
        <f ca="1">IFERROR(SUMIFS('TRA balance'!X$5:X$40,'TRA balance'!$C$5:$C$40,Assumptions!$C64,'TRA balance'!$D$5:$D$40,Assumptions!$B64)*DR64*AA64,"")</f>
        <v>3.58692841617516</v>
      </c>
      <c r="BX64" s="41">
        <f ca="1">IFERROR(SUMIFS('TRA balance'!Y$5:Y$40,'TRA balance'!$C$5:$C$40,Assumptions!$C64,'TRA balance'!$D$5:$D$40,Assumptions!$B64)*DS64*AB64,"")</f>
        <v>0</v>
      </c>
      <c r="BY64" s="41">
        <f ca="1">IFERROR(SUMIFS('TRA balance'!Z$5:Z$40,'TRA balance'!$C$5:$C$40,Assumptions!$C64,'TRA balance'!$D$5:$D$40,Assumptions!$B64)*DT64*AC64,"")</f>
        <v>3.03204073302741</v>
      </c>
      <c r="BZ64" s="41">
        <f ca="1">IFERROR(SUMIFS('TRA balance'!AA$5:AA$40,'TRA balance'!$C$5:$C$40,Assumptions!$C64,'TRA balance'!$D$5:$D$40,Assumptions!$B64)*DU64*AD64,"")</f>
        <v>0.70170098112</v>
      </c>
      <c r="CA64" s="41">
        <f ca="1">IFERROR(SUMIFS('TRA balance'!AB$5:AB$40,'TRA balance'!$C$5:$C$40,Assumptions!$C64,'TRA balance'!$D$5:$D$40,Assumptions!$B64)*DV64*AE64,"")</f>
        <v>3.4374879350784</v>
      </c>
      <c r="CB64" s="41">
        <f ca="1">IFERROR(SUMIFS('TRA balance'!AC$5:AC$40,'TRA balance'!$C$5:$C$40,Assumptions!$C64,'TRA balance'!$D$5:$D$40,Assumptions!$B64)*DW64*AF64,"")</f>
        <v>15.0514104414643</v>
      </c>
      <c r="CC64" s="41">
        <f ca="1">IFERROR(SUMIFS('TRA balance'!AD$5:AD$40,'TRA balance'!$C$5:$C$40,Assumptions!$C64,'TRA balance'!$D$5:$D$40,Assumptions!$B64)*DX64*AG64,"")</f>
        <v>0.0017640097902</v>
      </c>
      <c r="CD64" s="41">
        <f ca="1">IFERROR(SUMIFS('TRA balance'!AE$5:AE$40,'TRA balance'!$C$5:$C$40,Assumptions!$C64,'TRA balance'!$D$5:$D$40,Assumptions!$B64)*DY64*AH64,"")</f>
        <v>0</v>
      </c>
      <c r="CE64" s="41">
        <f ca="1">IFERROR(SUMIFS('TRA balance'!AF$5:AF$40,'TRA balance'!$C$5:$C$40,Assumptions!$C64,'TRA balance'!$D$5:$D$40,Assumptions!$B64)*DZ64*AI64,"")</f>
        <v>0</v>
      </c>
      <c r="CF64" s="41">
        <f ca="1">IFERROR(SUMIFS('TRA balance'!AG$5:AG$40,'TRA balance'!$C$5:$C$40,Assumptions!$C64,'TRA balance'!$D$5:$D$40,Assumptions!$B64)*EA64*AJ64,"")</f>
        <v>2.943386886384</v>
      </c>
      <c r="CG64" s="41">
        <f ca="1">IFERROR(SUMIFS('TRA balance'!AH$5:AH$40,'TRA balance'!$C$5:$C$40,Assumptions!$C64,'TRA balance'!$D$5:$D$40,Assumptions!$B64)*EB64*AK64,"")</f>
        <v>2.866601979216</v>
      </c>
      <c r="CH64" s="41">
        <f ca="1">IFERROR(SUMIFS('TRA balance'!AI$5:AI$40,'TRA balance'!$C$5:$C$40,Assumptions!$C64,'TRA balance'!$D$5:$D$40,Assumptions!$B64)*EC64*AL64,"")</f>
        <v>0.25092999648</v>
      </c>
      <c r="CI64" s="41">
        <f ca="1">IFERROR(SUMIFS('TRA balance'!AJ$5:AJ$40,'TRA balance'!$C$5:$C$40,Assumptions!$C64,'TRA balance'!$D$5:$D$40,Assumptions!$B64)*ED64*AM64,"")</f>
        <v>0.382360012416</v>
      </c>
      <c r="CJ64" s="41">
        <f ca="1">IFERROR(SUMIFS('TRA balance'!AK$5:AK$40,'TRA balance'!$C$5:$C$40,Assumptions!$C64,'TRA balance'!$D$5:$D$40,Assumptions!$B64)*EE64*AN64,"")</f>
        <v>2.115424075248</v>
      </c>
      <c r="CK64" s="41">
        <f ca="1">IFERROR(SUMIFS('TRA balance'!AL$5:AL$40,'TRA balance'!$C$5:$C$40,Assumptions!$C64,'TRA balance'!$D$5:$D$40,Assumptions!$B64)*EF64*AO64,"")</f>
        <v>0</v>
      </c>
      <c r="CL64" s="41">
        <f ca="1">IFERROR(SUMIFS('TRA balance'!AM$5:AM$40,'TRA balance'!$C$5:$C$40,Assumptions!$C64,'TRA balance'!$D$5:$D$40,Assumptions!$B64)*EG64*AP64,"")</f>
        <v>0.4934554022664</v>
      </c>
      <c r="CM64" s="41">
        <f ca="1">IFERROR(SUMIFS('TRA balance'!AN$5:AN$40,'TRA balance'!$C$5:$C$40,Assumptions!$C64,'TRA balance'!$D$5:$D$40,Assumptions!$B64)*EH64*AQ64,"")</f>
        <v>0</v>
      </c>
      <c r="CN64" s="41">
        <f ca="1">IFERROR(SUMIFS('TRA balance'!AO$5:AO$40,'TRA balance'!$C$5:$C$40,Assumptions!$C64,'TRA balance'!$D$5:$D$40,Assumptions!$B64)*EI64*AR64,"")</f>
        <v>0</v>
      </c>
      <c r="CO64" s="41">
        <f ca="1">IFERROR(SUMIFS('TRA balance'!AP$5:AP$40,'TRA balance'!$C$5:$C$40,Assumptions!$C64,'TRA balance'!$D$5:$D$40,Assumptions!$B64)*EJ64*AS64,"")</f>
        <v>0</v>
      </c>
      <c r="CP64" s="41">
        <f ca="1">IFERROR(SUMIFS('TRA balance'!AQ$5:AQ$40,'TRA balance'!$C$5:$C$40,Assumptions!$C64,'TRA balance'!$D$5:$D$40,Assumptions!$B64)*EK64*AT64,"")</f>
        <v>0</v>
      </c>
      <c r="CQ64" s="41">
        <f ca="1">IFERROR(SUMIFS('TRA balance'!AR$5:AR$40,'TRA balance'!$C$5:$C$40,Assumptions!$C64,'TRA balance'!$D$5:$D$40,Assumptions!$B64)*EL64*AU64,"")</f>
        <v>0</v>
      </c>
      <c r="CR64" s="41">
        <f ca="1">IFERROR(SUMIFS('TRA balance'!AS$5:AS$40,'TRA balance'!$C$5:$C$40,Assumptions!$C64,'TRA balance'!$D$5:$D$40,Assumptions!$B64)*EM64*AV64,"")</f>
        <v>0</v>
      </c>
      <c r="CS64" s="41">
        <f ca="1">IFERROR(SUMIFS('TRA balance'!AT$5:AT$40,'TRA balance'!$C$5:$C$40,Assumptions!$C64,'TRA balance'!$D$5:$D$40,Assumptions!$B64)*EN64*AW64,"")</f>
        <v>0</v>
      </c>
      <c r="CT64" s="41">
        <f ca="1">IFERROR(SUMIFS('TRA balance'!AU$5:AU$40,'TRA balance'!$C$5:$C$40,Assumptions!$C64,'TRA balance'!$D$5:$D$40,Assumptions!$B64)*EO64*AX64,"")</f>
        <v>0</v>
      </c>
      <c r="CU64" s="41">
        <f ca="1">IFERROR(SUMIFS('TRA balance'!AV$5:AV$40,'TRA balance'!$C$5:$C$40,Assumptions!$C64,'TRA balance'!$D$5:$D$40,Assumptions!$B64)*EP64*AY64,"")</f>
        <v>0</v>
      </c>
      <c r="CV64" s="41">
        <f ca="1">IFERROR(SUMIFS('TRA balance'!AW$5:AW$40,'TRA balance'!$C$5:$C$40,Assumptions!$C64,'TRA balance'!$D$5:$D$40,Assumptions!$B64)*EQ64*AZ64,"")</f>
        <v>0</v>
      </c>
      <c r="CW64" s="41">
        <f ca="1">IFERROR(SUMIFS('TRA balance'!AX$5:AX$40,'TRA balance'!$C$5:$C$40,Assumptions!$C64,'TRA balance'!$D$5:$D$40,Assumptions!$B64)*ER64*BA64,"")</f>
        <v>0</v>
      </c>
      <c r="CY64" s="40">
        <f ca="1" t="shared" si="66"/>
        <v>0.1</v>
      </c>
      <c r="CZ64" s="40">
        <f ca="1" t="shared" si="3"/>
        <v>0.1</v>
      </c>
      <c r="DA64" s="40">
        <f ca="1" t="shared" si="4"/>
        <v>0.02</v>
      </c>
      <c r="DB64" s="40">
        <f ca="1" t="shared" si="5"/>
        <v>0.2</v>
      </c>
      <c r="DC64" s="40">
        <f ca="1" t="shared" si="6"/>
        <v>0.05</v>
      </c>
      <c r="DD64" s="40">
        <f ca="1" t="shared" si="7"/>
        <v>0.2</v>
      </c>
      <c r="DE64" s="40">
        <f ca="1" t="shared" si="8"/>
        <v>0.07</v>
      </c>
      <c r="DF64" s="40">
        <f ca="1" t="shared" si="9"/>
        <v>0.1</v>
      </c>
      <c r="DG64" s="40">
        <f ca="1" t="shared" si="10"/>
        <v>0.2</v>
      </c>
      <c r="DH64" s="40">
        <f ca="1" t="shared" si="11"/>
        <v>0.2</v>
      </c>
      <c r="DI64" s="40">
        <f ca="1" t="shared" si="12"/>
        <v>0.2</v>
      </c>
      <c r="DJ64" s="40">
        <f ca="1" t="shared" si="13"/>
        <v>0.2</v>
      </c>
      <c r="DK64" s="40">
        <f ca="1" t="shared" si="14"/>
        <v>0.2</v>
      </c>
      <c r="DL64" s="40">
        <f ca="1" t="shared" si="15"/>
        <v>0.2</v>
      </c>
      <c r="DM64" s="40">
        <f ca="1" t="shared" si="16"/>
        <v>0.2</v>
      </c>
      <c r="DN64" s="40">
        <f ca="1" t="shared" si="17"/>
        <v>0.25</v>
      </c>
      <c r="DO64" s="40">
        <f ca="1" t="shared" si="18"/>
        <v>0.2</v>
      </c>
      <c r="DP64" s="40">
        <f ca="1" t="shared" si="19"/>
        <v>0.2</v>
      </c>
      <c r="DQ64" s="40">
        <f ca="1" t="shared" si="20"/>
        <v>0.05</v>
      </c>
      <c r="DR64" s="40">
        <f ca="1" t="shared" si="21"/>
        <v>0.07</v>
      </c>
      <c r="DS64" s="40">
        <f ca="1" t="shared" si="22"/>
        <v>0.1</v>
      </c>
      <c r="DT64" s="40">
        <f ca="1" t="shared" si="23"/>
        <v>0.0244064218226165</v>
      </c>
      <c r="DU64" s="40">
        <f ca="1" t="shared" si="24"/>
        <v>0.2</v>
      </c>
      <c r="DV64" s="40">
        <f ca="1" t="shared" si="25"/>
        <v>0.2</v>
      </c>
      <c r="DW64" s="40">
        <f ca="1" t="shared" si="26"/>
        <v>0.08</v>
      </c>
      <c r="DX64" s="40">
        <f ca="1" t="shared" si="27"/>
        <v>0.05</v>
      </c>
      <c r="DY64" s="40">
        <f ca="1" t="shared" si="28"/>
        <v>0.1</v>
      </c>
      <c r="DZ64" s="40">
        <f ca="1" t="shared" si="29"/>
        <v>0.1</v>
      </c>
      <c r="EA64" s="40">
        <f ca="1" t="shared" si="30"/>
        <v>0.2</v>
      </c>
      <c r="EB64" s="40">
        <f ca="1" t="shared" si="31"/>
        <v>0.2</v>
      </c>
      <c r="EC64" s="40">
        <f ca="1" t="shared" si="32"/>
        <v>0.2</v>
      </c>
      <c r="ED64" s="40">
        <f ca="1" t="shared" si="33"/>
        <v>0.1</v>
      </c>
      <c r="EE64" s="40">
        <f ca="1" t="shared" si="34"/>
        <v>0.2</v>
      </c>
      <c r="EF64" s="40">
        <f ca="1" t="shared" si="35"/>
        <v>0.05</v>
      </c>
      <c r="EG64" s="40">
        <f ca="1" t="shared" si="36"/>
        <v>0.2</v>
      </c>
      <c r="EH64" s="40">
        <f ca="1" t="shared" si="37"/>
        <v>0.0244064218226165</v>
      </c>
      <c r="EI64" s="40">
        <f ca="1" t="shared" si="38"/>
        <v>0.0244064218226165</v>
      </c>
      <c r="EJ64" s="40">
        <f ca="1" t="shared" si="39"/>
        <v>0.0244064218226165</v>
      </c>
      <c r="EK64" s="40">
        <f ca="1" t="shared" si="40"/>
        <v>0.0244064218226165</v>
      </c>
      <c r="EL64" s="40">
        <f ca="1" t="shared" si="41"/>
        <v>0.0244064218226165</v>
      </c>
      <c r="EM64" s="40">
        <f ca="1" t="shared" si="42"/>
        <v>0.0244064218226165</v>
      </c>
      <c r="EN64" s="40">
        <f ca="1" t="shared" si="43"/>
        <v>0.0244064218226165</v>
      </c>
      <c r="EO64" s="40">
        <f ca="1" t="shared" si="44"/>
        <v>0.0244064218226165</v>
      </c>
      <c r="EP64" s="40">
        <f ca="1" t="shared" si="45"/>
        <v>0.0244064218226165</v>
      </c>
      <c r="EQ64" s="40">
        <f ca="1" t="shared" si="46"/>
        <v>0.0244064218226165</v>
      </c>
      <c r="ER64" s="40">
        <f ca="1" t="shared" si="47"/>
        <v>0.0244064218226165</v>
      </c>
    </row>
    <row r="65" spans="1:148">
      <c r="A65">
        <v>1</v>
      </c>
      <c r="B65" t="str">
        <f>VLOOKUP(F65,'TRA balance'!$BA$5:$BB$14,2,FALSE)</f>
        <v>TRABDS</v>
      </c>
      <c r="C65" s="56" t="str">
        <f t="shared" si="48"/>
        <v>TR</v>
      </c>
      <c r="D65" s="57" t="s">
        <v>200</v>
      </c>
      <c r="E65" s="68" t="s">
        <v>206</v>
      </c>
      <c r="F65" s="58" t="str">
        <f t="shared" si="84"/>
        <v>Bio Diesel</v>
      </c>
      <c r="G65" s="56" t="s">
        <v>207</v>
      </c>
      <c r="H65" s="59">
        <f ca="1">OFFSET(TIAM15_assumptions!$G65,0,MATCH(VLOOKUP(Assumptions!H$2,TIAM15_assumptions!$Y$3:$Z$87,2,FALSE),TIAM15_assumptions!$H$2:$V$2,0))</f>
        <v>0</v>
      </c>
      <c r="I65" s="59">
        <f ca="1">OFFSET(TIAM15_assumptions!$G65,0,MATCH(VLOOKUP(Assumptions!I$2,TIAM15_assumptions!$Y$3:$Z$87,2,FALSE),TIAM15_assumptions!$H$2:$V$2,0))</f>
        <v>0</v>
      </c>
      <c r="J65" s="59">
        <f ca="1">OFFSET(TIAM15_assumptions!$G65,0,MATCH(VLOOKUP(Assumptions!J$2,TIAM15_assumptions!$Y$3:$Z$87,2,FALSE),TIAM15_assumptions!$H$2:$V$2,0))</f>
        <v>0</v>
      </c>
      <c r="K65" s="59">
        <f ca="1">OFFSET(TIAM15_assumptions!$G65,0,MATCH(VLOOKUP(Assumptions!K$2,TIAM15_assumptions!$Y$3:$Z$87,2,FALSE),TIAM15_assumptions!$H$2:$V$2,0))</f>
        <v>0</v>
      </c>
      <c r="L65" s="59">
        <f ca="1">OFFSET(TIAM15_assumptions!$G65,0,MATCH(VLOOKUP(Assumptions!L$2,TIAM15_assumptions!$Y$3:$Z$87,2,FALSE),TIAM15_assumptions!$H$2:$V$2,0))</f>
        <v>0</v>
      </c>
      <c r="M65" s="59">
        <f ca="1">OFFSET(TIAM15_assumptions!$G65,0,MATCH(VLOOKUP(Assumptions!M$2,TIAM15_assumptions!$Y$3:$Z$87,2,FALSE),TIAM15_assumptions!$H$2:$V$2,0))</f>
        <v>0</v>
      </c>
      <c r="N65" s="59">
        <f ca="1">OFFSET(TIAM15_assumptions!$G65,0,MATCH(VLOOKUP(Assumptions!N$2,TIAM15_assumptions!$Y$3:$Z$87,2,FALSE),TIAM15_assumptions!$H$2:$V$2,0))</f>
        <v>0.01</v>
      </c>
      <c r="O65" s="59">
        <f ca="1">OFFSET(TIAM15_assumptions!$G65,0,MATCH(VLOOKUP(Assumptions!O$2,TIAM15_assumptions!$Y$3:$Z$87,2,FALSE),TIAM15_assumptions!$H$2:$V$2,0))</f>
        <v>0.6</v>
      </c>
      <c r="P65" s="59">
        <f ca="1">OFFSET(TIAM15_assumptions!$G65,0,MATCH(VLOOKUP(Assumptions!P$2,TIAM15_assumptions!$Y$3:$Z$87,2,FALSE),TIAM15_assumptions!$H$2:$V$2,0))</f>
        <v>0</v>
      </c>
      <c r="Q65" s="59">
        <f ca="1">OFFSET(TIAM15_assumptions!$G65,0,MATCH(VLOOKUP(Assumptions!Q$2,TIAM15_assumptions!$Y$3:$Z$87,2,FALSE),TIAM15_assumptions!$H$2:$V$2,0))</f>
        <v>0</v>
      </c>
      <c r="R65" s="59">
        <f ca="1">OFFSET(TIAM15_assumptions!$G65,0,MATCH(VLOOKUP(Assumptions!R$2,TIAM15_assumptions!$Y$3:$Z$87,2,FALSE),TIAM15_assumptions!$H$2:$V$2,0))</f>
        <v>0</v>
      </c>
      <c r="S65" s="59">
        <f ca="1">OFFSET(TIAM15_assumptions!$G65,0,MATCH(VLOOKUP(Assumptions!S$2,TIAM15_assumptions!$Y$3:$Z$87,2,FALSE),TIAM15_assumptions!$H$2:$V$2,0))</f>
        <v>0</v>
      </c>
      <c r="T65" s="59">
        <f ca="1">OFFSET(TIAM15_assumptions!$G65,0,MATCH(VLOOKUP(Assumptions!T$2,TIAM15_assumptions!$Y$3:$Z$87,2,FALSE),TIAM15_assumptions!$H$2:$V$2,0))</f>
        <v>0</v>
      </c>
      <c r="U65" s="59">
        <f ca="1">OFFSET(TIAM15_assumptions!$G65,0,MATCH(VLOOKUP(Assumptions!U$2,TIAM15_assumptions!$Y$3:$Z$87,2,FALSE),TIAM15_assumptions!$H$2:$V$2,0))</f>
        <v>0</v>
      </c>
      <c r="V65" s="59">
        <f ca="1">OFFSET(TIAM15_assumptions!$G65,0,MATCH(VLOOKUP(Assumptions!V$2,TIAM15_assumptions!$Y$3:$Z$87,2,FALSE),TIAM15_assumptions!$H$2:$V$2,0))</f>
        <v>0</v>
      </c>
      <c r="W65" s="59">
        <f ca="1">OFFSET(TIAM15_assumptions!$G65,0,MATCH(VLOOKUP(Assumptions!W$2,TIAM15_assumptions!$Y$3:$Z$87,2,FALSE),TIAM15_assumptions!$H$2:$V$2,0))</f>
        <v>0.25</v>
      </c>
      <c r="X65" s="59">
        <f ca="1">OFFSET(TIAM15_assumptions!$G65,0,MATCH(VLOOKUP(Assumptions!X$2,TIAM15_assumptions!$Y$3:$Z$87,2,FALSE),TIAM15_assumptions!$H$2:$V$2,0))</f>
        <v>0</v>
      </c>
      <c r="Y65" s="59">
        <f ca="1">OFFSET(TIAM15_assumptions!$G65,0,MATCH(VLOOKUP(Assumptions!Y$2,TIAM15_assumptions!$Y$3:$Z$87,2,FALSE),TIAM15_assumptions!$H$2:$V$2,0))</f>
        <v>0</v>
      </c>
      <c r="Z65" s="59">
        <f ca="1">OFFSET(TIAM15_assumptions!$G65,0,MATCH(VLOOKUP(Assumptions!Z$2,TIAM15_assumptions!$Y$3:$Z$87,2,FALSE),TIAM15_assumptions!$H$2:$V$2,0))</f>
        <v>0.01</v>
      </c>
      <c r="AA65" s="59">
        <f ca="1">OFFSET(TIAM15_assumptions!$G65,0,MATCH(VLOOKUP(Assumptions!AA$2,TIAM15_assumptions!$Y$3:$Z$87,2,FALSE),TIAM15_assumptions!$H$2:$V$2,0))</f>
        <v>0.01</v>
      </c>
      <c r="AB65" s="59">
        <f ca="1">OFFSET(TIAM15_assumptions!$G65,0,MATCH(VLOOKUP(Assumptions!AB$2,TIAM15_assumptions!$Y$3:$Z$87,2,FALSE),TIAM15_assumptions!$H$2:$V$2,0))</f>
        <v>0</v>
      </c>
      <c r="AC65" s="59">
        <f ca="1">OFFSET(TIAM15_assumptions!$G65,0,MATCH(VLOOKUP(Assumptions!AC$2,TIAM15_assumptions!$Y$3:$Z$87,2,FALSE),TIAM15_assumptions!$H$2:$V$2,0))</f>
        <v>0</v>
      </c>
      <c r="AD65" s="59">
        <f ca="1">OFFSET(TIAM15_assumptions!$G65,0,MATCH(VLOOKUP(Assumptions!AD$2,TIAM15_assumptions!$Y$3:$Z$87,2,FALSE),TIAM15_assumptions!$H$2:$V$2,0))</f>
        <v>0</v>
      </c>
      <c r="AE65" s="59">
        <f ca="1">OFFSET(TIAM15_assumptions!$G65,0,MATCH(VLOOKUP(Assumptions!AE$2,TIAM15_assumptions!$Y$3:$Z$87,2,FALSE),TIAM15_assumptions!$H$2:$V$2,0))</f>
        <v>0</v>
      </c>
      <c r="AF65" s="59">
        <f ca="1">OFFSET(TIAM15_assumptions!$G65,0,MATCH(VLOOKUP(Assumptions!AF$2,TIAM15_assumptions!$Y$3:$Z$87,2,FALSE),TIAM15_assumptions!$H$2:$V$2,0))</f>
        <v>0</v>
      </c>
      <c r="AG65" s="59">
        <f ca="1">OFFSET(TIAM15_assumptions!$G65,0,MATCH(VLOOKUP(Assumptions!AG$2,TIAM15_assumptions!$Y$3:$Z$87,2,FALSE),TIAM15_assumptions!$H$2:$V$2,0))</f>
        <v>0</v>
      </c>
      <c r="AH65" s="59">
        <f ca="1">OFFSET(TIAM15_assumptions!$G65,0,MATCH(VLOOKUP(Assumptions!AH$2,TIAM15_assumptions!$Y$3:$Z$87,2,FALSE),TIAM15_assumptions!$H$2:$V$2,0))</f>
        <v>0</v>
      </c>
      <c r="AI65" s="59">
        <f ca="1">OFFSET(TIAM15_assumptions!$G65,0,MATCH(VLOOKUP(Assumptions!AI$2,TIAM15_assumptions!$Y$3:$Z$87,2,FALSE),TIAM15_assumptions!$H$2:$V$2,0))</f>
        <v>0</v>
      </c>
      <c r="AJ65" s="59">
        <f ca="1">OFFSET(TIAM15_assumptions!$G65,0,MATCH(VLOOKUP(Assumptions!AJ$2,TIAM15_assumptions!$Y$3:$Z$87,2,FALSE),TIAM15_assumptions!$H$2:$V$2,0))</f>
        <v>0</v>
      </c>
      <c r="AK65" s="59">
        <f ca="1">OFFSET(TIAM15_assumptions!$G65,0,MATCH(VLOOKUP(Assumptions!AK$2,TIAM15_assumptions!$Y$3:$Z$87,2,FALSE),TIAM15_assumptions!$H$2:$V$2,0))</f>
        <v>0</v>
      </c>
      <c r="AL65" s="59">
        <f ca="1">OFFSET(TIAM15_assumptions!$G65,0,MATCH(VLOOKUP(Assumptions!AL$2,TIAM15_assumptions!$Y$3:$Z$87,2,FALSE),TIAM15_assumptions!$H$2:$V$2,0))</f>
        <v>0</v>
      </c>
      <c r="AM65" s="59">
        <f ca="1">OFFSET(TIAM15_assumptions!$G65,0,MATCH(VLOOKUP(Assumptions!AM$2,TIAM15_assumptions!$Y$3:$Z$87,2,FALSE),TIAM15_assumptions!$H$2:$V$2,0))</f>
        <v>0</v>
      </c>
      <c r="AN65" s="59">
        <f ca="1">OFFSET(TIAM15_assumptions!$G65,0,MATCH(VLOOKUP(Assumptions!AN$2,TIAM15_assumptions!$Y$3:$Z$87,2,FALSE),TIAM15_assumptions!$H$2:$V$2,0))</f>
        <v>0</v>
      </c>
      <c r="AO65" s="59">
        <f ca="1">OFFSET(TIAM15_assumptions!$G65,0,MATCH(VLOOKUP(Assumptions!AO$2,TIAM15_assumptions!$Y$3:$Z$87,2,FALSE),TIAM15_assumptions!$H$2:$V$2,0))</f>
        <v>0</v>
      </c>
      <c r="AP65" s="59">
        <f ca="1">OFFSET(TIAM15_assumptions!$G65,0,MATCH(VLOOKUP(Assumptions!AP$2,TIAM15_assumptions!$Y$3:$Z$87,2,FALSE),TIAM15_assumptions!$H$2:$V$2,0))</f>
        <v>0</v>
      </c>
      <c r="AQ65" s="59">
        <f ca="1">OFFSET(TIAM15_assumptions!$G65,0,MATCH(VLOOKUP(Assumptions!AQ$2,TIAM15_assumptions!$Y$3:$Z$87,2,FALSE),TIAM15_assumptions!$H$2:$V$2,0))</f>
        <v>0</v>
      </c>
      <c r="AR65" s="59">
        <f ca="1">OFFSET(TIAM15_assumptions!$G65,0,MATCH(VLOOKUP(Assumptions!AR$2,TIAM15_assumptions!$Y$3:$Z$87,2,FALSE),TIAM15_assumptions!$H$2:$V$2,0))</f>
        <v>0</v>
      </c>
      <c r="AS65" s="59">
        <f ca="1">OFFSET(TIAM15_assumptions!$G65,0,MATCH(VLOOKUP(Assumptions!AS$2,TIAM15_assumptions!$Y$3:$Z$87,2,FALSE),TIAM15_assumptions!$H$2:$V$2,0))</f>
        <v>0</v>
      </c>
      <c r="AT65" s="59">
        <f ca="1">OFFSET(TIAM15_assumptions!$G65,0,MATCH(VLOOKUP(Assumptions!AT$2,TIAM15_assumptions!$Y$3:$Z$87,2,FALSE),TIAM15_assumptions!$H$2:$V$2,0))</f>
        <v>0</v>
      </c>
      <c r="AU65" s="59">
        <f ca="1">OFFSET(TIAM15_assumptions!$G65,0,MATCH(VLOOKUP(Assumptions!AU$2,TIAM15_assumptions!$Y$3:$Z$87,2,FALSE),TIAM15_assumptions!$H$2:$V$2,0))</f>
        <v>0</v>
      </c>
      <c r="AV65" s="59">
        <f ca="1">OFFSET(TIAM15_assumptions!$G65,0,MATCH(VLOOKUP(Assumptions!AV$2,TIAM15_assumptions!$Y$3:$Z$87,2,FALSE),TIAM15_assumptions!$H$2:$V$2,0))</f>
        <v>0</v>
      </c>
      <c r="AW65" s="59">
        <f ca="1">OFFSET(TIAM15_assumptions!$G65,0,MATCH(VLOOKUP(Assumptions!AW$2,TIAM15_assumptions!$Y$3:$Z$87,2,FALSE),TIAM15_assumptions!$H$2:$V$2,0))</f>
        <v>0</v>
      </c>
      <c r="AX65" s="59">
        <f ca="1">OFFSET(TIAM15_assumptions!$G65,0,MATCH(VLOOKUP(Assumptions!AX$2,TIAM15_assumptions!$Y$3:$Z$87,2,FALSE),TIAM15_assumptions!$H$2:$V$2,0))</f>
        <v>0</v>
      </c>
      <c r="AY65" s="59">
        <f ca="1">OFFSET(TIAM15_assumptions!$G65,0,MATCH(VLOOKUP(Assumptions!AY$2,TIAM15_assumptions!$Y$3:$Z$87,2,FALSE),TIAM15_assumptions!$H$2:$V$2,0))</f>
        <v>0</v>
      </c>
      <c r="AZ65" s="59">
        <f ca="1">OFFSET(TIAM15_assumptions!$G65,0,MATCH(VLOOKUP(Assumptions!AZ$2,TIAM15_assumptions!$Y$3:$Z$87,2,FALSE),TIAM15_assumptions!$H$2:$V$2,0))</f>
        <v>0</v>
      </c>
      <c r="BA65" s="59">
        <f ca="1">OFFSET(TIAM15_assumptions!$G65,0,MATCH(VLOOKUP(Assumptions!BA$2,TIAM15_assumptions!$Y$3:$Z$87,2,FALSE),TIAM15_assumptions!$H$2:$V$2,0))</f>
        <v>0</v>
      </c>
      <c r="BD65" s="41">
        <f ca="1">IFERROR(SUMIFS('TRA balance'!E$5:E$40,'TRA balance'!$C$5:$C$40,Assumptions!$C65,'TRA balance'!$D$5:$D$40,Assumptions!$B65)*CY65*H65,"")</f>
        <v>0</v>
      </c>
      <c r="BE65" s="41">
        <f ca="1">IFERROR(SUMIFS('TRA balance'!F$5:F$40,'TRA balance'!$C$5:$C$40,Assumptions!$C65,'TRA balance'!$D$5:$D$40,Assumptions!$B65)*CZ65*I65,"")</f>
        <v>0</v>
      </c>
      <c r="BF65" s="41">
        <f ca="1">IFERROR(SUMIFS('TRA balance'!G$5:G$40,'TRA balance'!$C$5:$C$40,Assumptions!$C65,'TRA balance'!$D$5:$D$40,Assumptions!$B65)*DA65*J65,"")</f>
        <v>0</v>
      </c>
      <c r="BG65" s="41">
        <f ca="1">IFERROR(SUMIFS('TRA balance'!H$5:H$40,'TRA balance'!$C$5:$C$40,Assumptions!$C65,'TRA balance'!$D$5:$D$40,Assumptions!$B65)*DB65*K65,"")</f>
        <v>0</v>
      </c>
      <c r="BH65" s="41">
        <f ca="1">IFERROR(SUMIFS('TRA balance'!I$5:I$40,'TRA balance'!$C$5:$C$40,Assumptions!$C65,'TRA balance'!$D$5:$D$40,Assumptions!$B65)*DC65*L65,"")</f>
        <v>0</v>
      </c>
      <c r="BI65" s="41">
        <f ca="1">IFERROR(SUMIFS('TRA balance'!J$5:J$40,'TRA balance'!$C$5:$C$40,Assumptions!$C65,'TRA balance'!$D$5:$D$40,Assumptions!$B65)*DD65*M65,"")</f>
        <v>0</v>
      </c>
      <c r="BJ65" s="41">
        <f ca="1">IFERROR(SUMIFS('TRA balance'!K$5:K$40,'TRA balance'!$C$5:$C$40,Assumptions!$C65,'TRA balance'!$D$5:$D$40,Assumptions!$B65)*DE65*N65,"")</f>
        <v>0.45572094700776</v>
      </c>
      <c r="BK65" s="41">
        <f ca="1">IFERROR(SUMIFS('TRA balance'!L$5:L$40,'TRA balance'!$C$5:$C$40,Assumptions!$C65,'TRA balance'!$D$5:$D$40,Assumptions!$B65)*DF65*O65,"")</f>
        <v>2.27424003372</v>
      </c>
      <c r="BL65" s="41">
        <f ca="1">IFERROR(SUMIFS('TRA balance'!M$5:M$40,'TRA balance'!$C$5:$C$40,Assumptions!$C65,'TRA balance'!$D$5:$D$40,Assumptions!$B65)*DG65*P65,"")</f>
        <v>0</v>
      </c>
      <c r="BM65" s="41">
        <f ca="1">IFERROR(SUMIFS('TRA balance'!N$5:N$40,'TRA balance'!$C$5:$C$40,Assumptions!$C65,'TRA balance'!$D$5:$D$40,Assumptions!$B65)*DH65*Q65,"")</f>
        <v>0</v>
      </c>
      <c r="BN65" s="41">
        <f ca="1">IFERROR(SUMIFS('TRA balance'!O$5:O$40,'TRA balance'!$C$5:$C$40,Assumptions!$C65,'TRA balance'!$D$5:$D$40,Assumptions!$B65)*DI65*R65,"")</f>
        <v>0</v>
      </c>
      <c r="BO65" s="41">
        <f ca="1">IFERROR(SUMIFS('TRA balance'!P$5:P$40,'TRA balance'!$C$5:$C$40,Assumptions!$C65,'TRA balance'!$D$5:$D$40,Assumptions!$B65)*DJ65*S65,"")</f>
        <v>0</v>
      </c>
      <c r="BP65" s="41">
        <f ca="1">IFERROR(SUMIFS('TRA balance'!Q$5:Q$40,'TRA balance'!$C$5:$C$40,Assumptions!$C65,'TRA balance'!$D$5:$D$40,Assumptions!$B65)*DK65*T65,"")</f>
        <v>0</v>
      </c>
      <c r="BQ65" s="41">
        <f ca="1">IFERROR(SUMIFS('TRA balance'!R$5:R$40,'TRA balance'!$C$5:$C$40,Assumptions!$C65,'TRA balance'!$D$5:$D$40,Assumptions!$B65)*DL65*U65,"")</f>
        <v>0</v>
      </c>
      <c r="BR65" s="41">
        <f ca="1">IFERROR(SUMIFS('TRA balance'!S$5:S$40,'TRA balance'!$C$5:$C$40,Assumptions!$C65,'TRA balance'!$D$5:$D$40,Assumptions!$B65)*DM65*V65,"")</f>
        <v>0</v>
      </c>
      <c r="BS65" s="41">
        <f ca="1">IFERROR(SUMIFS('TRA balance'!T$5:T$40,'TRA balance'!$C$5:$C$40,Assumptions!$C65,'TRA balance'!$D$5:$D$40,Assumptions!$B65)*DN65*W65,"")</f>
        <v>0.1023086448</v>
      </c>
      <c r="BT65" s="41">
        <f ca="1">IFERROR(SUMIFS('TRA balance'!U$5:U$40,'TRA balance'!$C$5:$C$40,Assumptions!$C65,'TRA balance'!$D$5:$D$40,Assumptions!$B65)*DO65*X65,"")</f>
        <v>0</v>
      </c>
      <c r="BU65" s="41">
        <f ca="1">IFERROR(SUMIFS('TRA balance'!V$5:V$40,'TRA balance'!$C$5:$C$40,Assumptions!$C65,'TRA balance'!$D$5:$D$40,Assumptions!$B65)*DP65*Y65,"")</f>
        <v>0</v>
      </c>
      <c r="BV65" s="41">
        <f ca="1">IFERROR(SUMIFS('TRA balance'!W$5:W$40,'TRA balance'!$C$5:$C$40,Assumptions!$C65,'TRA balance'!$D$5:$D$40,Assumptions!$B65)*DQ65*Z65,"")</f>
        <v>0.000259623468</v>
      </c>
      <c r="BW65" s="41">
        <f ca="1">IFERROR(SUMIFS('TRA balance'!X$5:X$40,'TRA balance'!$C$5:$C$40,Assumptions!$C65,'TRA balance'!$D$5:$D$40,Assumptions!$B65)*DR65*AA65,"")</f>
        <v>0.05198446979964</v>
      </c>
      <c r="BX65" s="41">
        <f ca="1">IFERROR(SUMIFS('TRA balance'!Y$5:Y$40,'TRA balance'!$C$5:$C$40,Assumptions!$C65,'TRA balance'!$D$5:$D$40,Assumptions!$B65)*DS65*AB65,"")</f>
        <v>0</v>
      </c>
      <c r="BY65" s="41">
        <f ca="1">IFERROR(SUMIFS('TRA balance'!Z$5:Z$40,'TRA balance'!$C$5:$C$40,Assumptions!$C65,'TRA balance'!$D$5:$D$40,Assumptions!$B65)*DT65*AC65,"")</f>
        <v>0</v>
      </c>
      <c r="BZ65" s="41">
        <f ca="1">IFERROR(SUMIFS('TRA balance'!AA$5:AA$40,'TRA balance'!$C$5:$C$40,Assumptions!$C65,'TRA balance'!$D$5:$D$40,Assumptions!$B65)*DU65*AD65,"")</f>
        <v>0</v>
      </c>
      <c r="CA65" s="41">
        <f ca="1">IFERROR(SUMIFS('TRA balance'!AB$5:AB$40,'TRA balance'!$C$5:$C$40,Assumptions!$C65,'TRA balance'!$D$5:$D$40,Assumptions!$B65)*DV65*AE65,"")</f>
        <v>0</v>
      </c>
      <c r="CB65" s="41">
        <f ca="1">IFERROR(SUMIFS('TRA balance'!AC$5:AC$40,'TRA balance'!$C$5:$C$40,Assumptions!$C65,'TRA balance'!$D$5:$D$40,Assumptions!$B65)*DW65*AF65,"")</f>
        <v>0</v>
      </c>
      <c r="CC65" s="41">
        <f ca="1">IFERROR(SUMIFS('TRA balance'!AD$5:AD$40,'TRA balance'!$C$5:$C$40,Assumptions!$C65,'TRA balance'!$D$5:$D$40,Assumptions!$B65)*DX65*AG65,"")</f>
        <v>0</v>
      </c>
      <c r="CD65" s="41">
        <f ca="1">IFERROR(SUMIFS('TRA balance'!AE$5:AE$40,'TRA balance'!$C$5:$C$40,Assumptions!$C65,'TRA balance'!$D$5:$D$40,Assumptions!$B65)*DY65*AH65,"")</f>
        <v>0</v>
      </c>
      <c r="CE65" s="41">
        <f ca="1">IFERROR(SUMIFS('TRA balance'!AF$5:AF$40,'TRA balance'!$C$5:$C$40,Assumptions!$C65,'TRA balance'!$D$5:$D$40,Assumptions!$B65)*DZ65*AI65,"")</f>
        <v>0</v>
      </c>
      <c r="CF65" s="41">
        <f ca="1">IFERROR(SUMIFS('TRA balance'!AG$5:AG$40,'TRA balance'!$C$5:$C$40,Assumptions!$C65,'TRA balance'!$D$5:$D$40,Assumptions!$B65)*EA65*AJ65,"")</f>
        <v>0</v>
      </c>
      <c r="CG65" s="41">
        <f ca="1">IFERROR(SUMIFS('TRA balance'!AH$5:AH$40,'TRA balance'!$C$5:$C$40,Assumptions!$C65,'TRA balance'!$D$5:$D$40,Assumptions!$B65)*EB65*AK65,"")</f>
        <v>0</v>
      </c>
      <c r="CH65" s="41">
        <f ca="1">IFERROR(SUMIFS('TRA balance'!AI$5:AI$40,'TRA balance'!$C$5:$C$40,Assumptions!$C65,'TRA balance'!$D$5:$D$40,Assumptions!$B65)*EC65*AL65,"")</f>
        <v>0</v>
      </c>
      <c r="CI65" s="41">
        <f ca="1">IFERROR(SUMIFS('TRA balance'!AJ$5:AJ$40,'TRA balance'!$C$5:$C$40,Assumptions!$C65,'TRA balance'!$D$5:$D$40,Assumptions!$B65)*ED65*AM65,"")</f>
        <v>0</v>
      </c>
      <c r="CJ65" s="41">
        <f ca="1">IFERROR(SUMIFS('TRA balance'!AK$5:AK$40,'TRA balance'!$C$5:$C$40,Assumptions!$C65,'TRA balance'!$D$5:$D$40,Assumptions!$B65)*EE65*AN65,"")</f>
        <v>0</v>
      </c>
      <c r="CK65" s="41">
        <f ca="1">IFERROR(SUMIFS('TRA balance'!AL$5:AL$40,'TRA balance'!$C$5:$C$40,Assumptions!$C65,'TRA balance'!$D$5:$D$40,Assumptions!$B65)*EF65*AO65,"")</f>
        <v>0</v>
      </c>
      <c r="CL65" s="41">
        <f ca="1">IFERROR(SUMIFS('TRA balance'!AM$5:AM$40,'TRA balance'!$C$5:$C$40,Assumptions!$C65,'TRA balance'!$D$5:$D$40,Assumptions!$B65)*EG65*AP65,"")</f>
        <v>0</v>
      </c>
      <c r="CM65" s="41">
        <f ca="1">IFERROR(SUMIFS('TRA balance'!AN$5:AN$40,'TRA balance'!$C$5:$C$40,Assumptions!$C65,'TRA balance'!$D$5:$D$40,Assumptions!$B65)*EH65*AQ65,"")</f>
        <v>0</v>
      </c>
      <c r="CN65" s="41">
        <f ca="1">IFERROR(SUMIFS('TRA balance'!AO$5:AO$40,'TRA balance'!$C$5:$C$40,Assumptions!$C65,'TRA balance'!$D$5:$D$40,Assumptions!$B65)*EI65*AR65,"")</f>
        <v>0</v>
      </c>
      <c r="CO65" s="41">
        <f ca="1">IFERROR(SUMIFS('TRA balance'!AP$5:AP$40,'TRA balance'!$C$5:$C$40,Assumptions!$C65,'TRA balance'!$D$5:$D$40,Assumptions!$B65)*EJ65*AS65,"")</f>
        <v>0</v>
      </c>
      <c r="CP65" s="41">
        <f ca="1">IFERROR(SUMIFS('TRA balance'!AQ$5:AQ$40,'TRA balance'!$C$5:$C$40,Assumptions!$C65,'TRA balance'!$D$5:$D$40,Assumptions!$B65)*EK65*AT65,"")</f>
        <v>0</v>
      </c>
      <c r="CQ65" s="41">
        <f ca="1">IFERROR(SUMIFS('TRA balance'!AR$5:AR$40,'TRA balance'!$C$5:$C$40,Assumptions!$C65,'TRA balance'!$D$5:$D$40,Assumptions!$B65)*EL65*AU65,"")</f>
        <v>0</v>
      </c>
      <c r="CR65" s="41">
        <f ca="1">IFERROR(SUMIFS('TRA balance'!AS$5:AS$40,'TRA balance'!$C$5:$C$40,Assumptions!$C65,'TRA balance'!$D$5:$D$40,Assumptions!$B65)*EM65*AV65,"")</f>
        <v>0</v>
      </c>
      <c r="CS65" s="41">
        <f ca="1">IFERROR(SUMIFS('TRA balance'!AT$5:AT$40,'TRA balance'!$C$5:$C$40,Assumptions!$C65,'TRA balance'!$D$5:$D$40,Assumptions!$B65)*EN65*AW65,"")</f>
        <v>0</v>
      </c>
      <c r="CT65" s="41">
        <f ca="1">IFERROR(SUMIFS('TRA balance'!AU$5:AU$40,'TRA balance'!$C$5:$C$40,Assumptions!$C65,'TRA balance'!$D$5:$D$40,Assumptions!$B65)*EO65*AX65,"")</f>
        <v>0</v>
      </c>
      <c r="CU65" s="41">
        <f ca="1">IFERROR(SUMIFS('TRA balance'!AV$5:AV$40,'TRA balance'!$C$5:$C$40,Assumptions!$C65,'TRA balance'!$D$5:$D$40,Assumptions!$B65)*EP65*AY65,"")</f>
        <v>0</v>
      </c>
      <c r="CV65" s="41">
        <f ca="1">IFERROR(SUMIFS('TRA balance'!AW$5:AW$40,'TRA balance'!$C$5:$C$40,Assumptions!$C65,'TRA balance'!$D$5:$D$40,Assumptions!$B65)*EQ65*AZ65,"")</f>
        <v>0</v>
      </c>
      <c r="CW65" s="41">
        <f ca="1">IFERROR(SUMIFS('TRA balance'!AX$5:AX$40,'TRA balance'!$C$5:$C$40,Assumptions!$C65,'TRA balance'!$D$5:$D$40,Assumptions!$B65)*ER65*BA65,"")</f>
        <v>0</v>
      </c>
      <c r="CY65" s="40">
        <f ca="1" t="shared" si="66"/>
        <v>0.1</v>
      </c>
      <c r="CZ65" s="40">
        <f ca="1" t="shared" si="3"/>
        <v>0.1</v>
      </c>
      <c r="DA65" s="40">
        <f ca="1" t="shared" si="4"/>
        <v>0.02</v>
      </c>
      <c r="DB65" s="40">
        <f ca="1" t="shared" si="5"/>
        <v>0.2</v>
      </c>
      <c r="DC65" s="40">
        <f ca="1" t="shared" si="6"/>
        <v>0.05</v>
      </c>
      <c r="DD65" s="40">
        <f ca="1" t="shared" si="7"/>
        <v>0.2</v>
      </c>
      <c r="DE65" s="40">
        <f ca="1" t="shared" si="8"/>
        <v>0.07</v>
      </c>
      <c r="DF65" s="40">
        <f ca="1" t="shared" si="9"/>
        <v>0.1</v>
      </c>
      <c r="DG65" s="40">
        <f ca="1" t="shared" si="10"/>
        <v>0.2</v>
      </c>
      <c r="DH65" s="40">
        <f ca="1" t="shared" si="11"/>
        <v>0.2</v>
      </c>
      <c r="DI65" s="40">
        <f ca="1" t="shared" si="12"/>
        <v>0.2</v>
      </c>
      <c r="DJ65" s="40">
        <f ca="1" t="shared" si="13"/>
        <v>0.2</v>
      </c>
      <c r="DK65" s="40">
        <f ca="1" t="shared" si="14"/>
        <v>0.2</v>
      </c>
      <c r="DL65" s="40">
        <f ca="1" t="shared" si="15"/>
        <v>0.2</v>
      </c>
      <c r="DM65" s="40">
        <f ca="1" t="shared" si="16"/>
        <v>0.2</v>
      </c>
      <c r="DN65" s="40">
        <f ca="1" t="shared" si="17"/>
        <v>0.25</v>
      </c>
      <c r="DO65" s="40">
        <f ca="1" t="shared" si="18"/>
        <v>0.2</v>
      </c>
      <c r="DP65" s="40">
        <f ca="1" t="shared" si="19"/>
        <v>0.2</v>
      </c>
      <c r="DQ65" s="40">
        <f ca="1" t="shared" si="20"/>
        <v>0.05</v>
      </c>
      <c r="DR65" s="40">
        <f ca="1" t="shared" si="21"/>
        <v>0.07</v>
      </c>
      <c r="DS65" s="40">
        <f ca="1" t="shared" si="22"/>
        <v>0.1</v>
      </c>
      <c r="DT65" s="40">
        <f ca="1" t="shared" si="23"/>
        <v>0.0244064218226165</v>
      </c>
      <c r="DU65" s="40">
        <f ca="1" t="shared" si="24"/>
        <v>0.2</v>
      </c>
      <c r="DV65" s="40">
        <f ca="1" t="shared" si="25"/>
        <v>0.2</v>
      </c>
      <c r="DW65" s="40">
        <f ca="1" t="shared" si="26"/>
        <v>0.08</v>
      </c>
      <c r="DX65" s="40">
        <f ca="1" t="shared" si="27"/>
        <v>0.05</v>
      </c>
      <c r="DY65" s="40">
        <f ca="1" t="shared" si="28"/>
        <v>0.1</v>
      </c>
      <c r="DZ65" s="40">
        <f ca="1" t="shared" si="29"/>
        <v>0.1</v>
      </c>
      <c r="EA65" s="40">
        <f ca="1" t="shared" si="30"/>
        <v>0.2</v>
      </c>
      <c r="EB65" s="40">
        <f ca="1" t="shared" si="31"/>
        <v>0.2</v>
      </c>
      <c r="EC65" s="40">
        <f ca="1" t="shared" si="32"/>
        <v>0.2</v>
      </c>
      <c r="ED65" s="40">
        <f ca="1" t="shared" si="33"/>
        <v>0.1</v>
      </c>
      <c r="EE65" s="40">
        <f ca="1" t="shared" si="34"/>
        <v>0.2</v>
      </c>
      <c r="EF65" s="40">
        <f ca="1" t="shared" si="35"/>
        <v>0.05</v>
      </c>
      <c r="EG65" s="40">
        <f ca="1" t="shared" si="36"/>
        <v>0.2</v>
      </c>
      <c r="EH65" s="40">
        <f ca="1" t="shared" si="37"/>
        <v>0.0244064218226165</v>
      </c>
      <c r="EI65" s="40">
        <f ca="1" t="shared" si="38"/>
        <v>0.0244064218226165</v>
      </c>
      <c r="EJ65" s="40">
        <f ca="1" t="shared" si="39"/>
        <v>0.0244064218226165</v>
      </c>
      <c r="EK65" s="40">
        <f ca="1" t="shared" si="40"/>
        <v>0.0244064218226165</v>
      </c>
      <c r="EL65" s="40">
        <f ca="1" t="shared" si="41"/>
        <v>0.0244064218226165</v>
      </c>
      <c r="EM65" s="40">
        <f ca="1" t="shared" si="42"/>
        <v>0.0244064218226165</v>
      </c>
      <c r="EN65" s="40">
        <f ca="1" t="shared" si="43"/>
        <v>0.0244064218226165</v>
      </c>
      <c r="EO65" s="40">
        <f ca="1" t="shared" si="44"/>
        <v>0.0244064218226165</v>
      </c>
      <c r="EP65" s="40">
        <f ca="1" t="shared" si="45"/>
        <v>0.0244064218226165</v>
      </c>
      <c r="EQ65" s="40">
        <f ca="1" t="shared" si="46"/>
        <v>0.0244064218226165</v>
      </c>
      <c r="ER65" s="40">
        <f ca="1" t="shared" si="47"/>
        <v>0.0244064218226165</v>
      </c>
    </row>
    <row r="66" spans="1:148">
      <c r="A66">
        <v>1</v>
      </c>
      <c r="B66" t="str">
        <f>VLOOKUP(F66,'TRA balance'!$BA$5:$BB$14,2,FALSE)</f>
        <v>TRABDS</v>
      </c>
      <c r="C66" s="56" t="str">
        <f t="shared" si="48"/>
        <v>TR</v>
      </c>
      <c r="D66" s="57" t="s">
        <v>200</v>
      </c>
      <c r="E66" s="68" t="s">
        <v>208</v>
      </c>
      <c r="F66" s="58" t="str">
        <f t="shared" si="84"/>
        <v>Bio Diesel</v>
      </c>
      <c r="G66" s="56" t="s">
        <v>209</v>
      </c>
      <c r="H66" s="59">
        <f ca="1">OFFSET(TIAM15_assumptions!$G66,0,MATCH(VLOOKUP(Assumptions!H$2,TIAM15_assumptions!$Y$3:$Z$87,2,FALSE),TIAM15_assumptions!$H$2:$V$2,0))</f>
        <v>0</v>
      </c>
      <c r="I66" s="59">
        <f ca="1">OFFSET(TIAM15_assumptions!$G66,0,MATCH(VLOOKUP(Assumptions!I$2,TIAM15_assumptions!$Y$3:$Z$87,2,FALSE),TIAM15_assumptions!$H$2:$V$2,0))</f>
        <v>0</v>
      </c>
      <c r="J66" s="59">
        <f ca="1">OFFSET(TIAM15_assumptions!$G66,0,MATCH(VLOOKUP(Assumptions!J$2,TIAM15_assumptions!$Y$3:$Z$87,2,FALSE),TIAM15_assumptions!$H$2:$V$2,0))</f>
        <v>0</v>
      </c>
      <c r="K66" s="59">
        <f ca="1">OFFSET(TIAM15_assumptions!$G66,0,MATCH(VLOOKUP(Assumptions!K$2,TIAM15_assumptions!$Y$3:$Z$87,2,FALSE),TIAM15_assumptions!$H$2:$V$2,0))</f>
        <v>0</v>
      </c>
      <c r="L66" s="59">
        <f ca="1">OFFSET(TIAM15_assumptions!$G66,0,MATCH(VLOOKUP(Assumptions!L$2,TIAM15_assumptions!$Y$3:$Z$87,2,FALSE),TIAM15_assumptions!$H$2:$V$2,0))</f>
        <v>0</v>
      </c>
      <c r="M66" s="59">
        <f ca="1">OFFSET(TIAM15_assumptions!$G66,0,MATCH(VLOOKUP(Assumptions!M$2,TIAM15_assumptions!$Y$3:$Z$87,2,FALSE),TIAM15_assumptions!$H$2:$V$2,0))</f>
        <v>0</v>
      </c>
      <c r="N66" s="59">
        <f ca="1">OFFSET(TIAM15_assumptions!$G66,0,MATCH(VLOOKUP(Assumptions!N$2,TIAM15_assumptions!$Y$3:$Z$87,2,FALSE),TIAM15_assumptions!$H$2:$V$2,0))</f>
        <v>0</v>
      </c>
      <c r="O66" s="59">
        <f ca="1">OFFSET(TIAM15_assumptions!$G66,0,MATCH(VLOOKUP(Assumptions!O$2,TIAM15_assumptions!$Y$3:$Z$87,2,FALSE),TIAM15_assumptions!$H$2:$V$2,0))</f>
        <v>0</v>
      </c>
      <c r="P66" s="59">
        <f ca="1">OFFSET(TIAM15_assumptions!$G66,0,MATCH(VLOOKUP(Assumptions!P$2,TIAM15_assumptions!$Y$3:$Z$87,2,FALSE),TIAM15_assumptions!$H$2:$V$2,0))</f>
        <v>0</v>
      </c>
      <c r="Q66" s="59">
        <f ca="1">OFFSET(TIAM15_assumptions!$G66,0,MATCH(VLOOKUP(Assumptions!Q$2,TIAM15_assumptions!$Y$3:$Z$87,2,FALSE),TIAM15_assumptions!$H$2:$V$2,0))</f>
        <v>0</v>
      </c>
      <c r="R66" s="59">
        <f ca="1">OFFSET(TIAM15_assumptions!$G66,0,MATCH(VLOOKUP(Assumptions!R$2,TIAM15_assumptions!$Y$3:$Z$87,2,FALSE),TIAM15_assumptions!$H$2:$V$2,0))</f>
        <v>0</v>
      </c>
      <c r="S66" s="59">
        <f ca="1">OFFSET(TIAM15_assumptions!$G66,0,MATCH(VLOOKUP(Assumptions!S$2,TIAM15_assumptions!$Y$3:$Z$87,2,FALSE),TIAM15_assumptions!$H$2:$V$2,0))</f>
        <v>0</v>
      </c>
      <c r="T66" s="59">
        <f ca="1">OFFSET(TIAM15_assumptions!$G66,0,MATCH(VLOOKUP(Assumptions!T$2,TIAM15_assumptions!$Y$3:$Z$87,2,FALSE),TIAM15_assumptions!$H$2:$V$2,0))</f>
        <v>0</v>
      </c>
      <c r="U66" s="59">
        <f ca="1">OFFSET(TIAM15_assumptions!$G66,0,MATCH(VLOOKUP(Assumptions!U$2,TIAM15_assumptions!$Y$3:$Z$87,2,FALSE),TIAM15_assumptions!$H$2:$V$2,0))</f>
        <v>0</v>
      </c>
      <c r="V66" s="59">
        <f ca="1">OFFSET(TIAM15_assumptions!$G66,0,MATCH(VLOOKUP(Assumptions!V$2,TIAM15_assumptions!$Y$3:$Z$87,2,FALSE),TIAM15_assumptions!$H$2:$V$2,0))</f>
        <v>0</v>
      </c>
      <c r="W66" s="59">
        <f ca="1">OFFSET(TIAM15_assumptions!$G66,0,MATCH(VLOOKUP(Assumptions!W$2,TIAM15_assumptions!$Y$3:$Z$87,2,FALSE),TIAM15_assumptions!$H$2:$V$2,0))</f>
        <v>0</v>
      </c>
      <c r="X66" s="59">
        <f ca="1">OFFSET(TIAM15_assumptions!$G66,0,MATCH(VLOOKUP(Assumptions!X$2,TIAM15_assumptions!$Y$3:$Z$87,2,FALSE),TIAM15_assumptions!$H$2:$V$2,0))</f>
        <v>0</v>
      </c>
      <c r="Y66" s="59">
        <f ca="1">OFFSET(TIAM15_assumptions!$G66,0,MATCH(VLOOKUP(Assumptions!Y$2,TIAM15_assumptions!$Y$3:$Z$87,2,FALSE),TIAM15_assumptions!$H$2:$V$2,0))</f>
        <v>0</v>
      </c>
      <c r="Z66" s="59">
        <f ca="1">OFFSET(TIAM15_assumptions!$G66,0,MATCH(VLOOKUP(Assumptions!Z$2,TIAM15_assumptions!$Y$3:$Z$87,2,FALSE),TIAM15_assumptions!$H$2:$V$2,0))</f>
        <v>0</v>
      </c>
      <c r="AA66" s="59">
        <f ca="1">OFFSET(TIAM15_assumptions!$G66,0,MATCH(VLOOKUP(Assumptions!AA$2,TIAM15_assumptions!$Y$3:$Z$87,2,FALSE),TIAM15_assumptions!$H$2:$V$2,0))</f>
        <v>0</v>
      </c>
      <c r="AB66" s="59">
        <f ca="1">OFFSET(TIAM15_assumptions!$G66,0,MATCH(VLOOKUP(Assumptions!AB$2,TIAM15_assumptions!$Y$3:$Z$87,2,FALSE),TIAM15_assumptions!$H$2:$V$2,0))</f>
        <v>0</v>
      </c>
      <c r="AC66" s="59">
        <f ca="1">OFFSET(TIAM15_assumptions!$G66,0,MATCH(VLOOKUP(Assumptions!AC$2,TIAM15_assumptions!$Y$3:$Z$87,2,FALSE),TIAM15_assumptions!$H$2:$V$2,0))</f>
        <v>0</v>
      </c>
      <c r="AD66" s="59">
        <f ca="1">OFFSET(TIAM15_assumptions!$G66,0,MATCH(VLOOKUP(Assumptions!AD$2,TIAM15_assumptions!$Y$3:$Z$87,2,FALSE),TIAM15_assumptions!$H$2:$V$2,0))</f>
        <v>0</v>
      </c>
      <c r="AE66" s="59">
        <f ca="1">OFFSET(TIAM15_assumptions!$G66,0,MATCH(VLOOKUP(Assumptions!AE$2,TIAM15_assumptions!$Y$3:$Z$87,2,FALSE),TIAM15_assumptions!$H$2:$V$2,0))</f>
        <v>0</v>
      </c>
      <c r="AF66" s="59">
        <f ca="1">OFFSET(TIAM15_assumptions!$G66,0,MATCH(VLOOKUP(Assumptions!AF$2,TIAM15_assumptions!$Y$3:$Z$87,2,FALSE),TIAM15_assumptions!$H$2:$V$2,0))</f>
        <v>0</v>
      </c>
      <c r="AG66" s="59">
        <f ca="1">OFFSET(TIAM15_assumptions!$G66,0,MATCH(VLOOKUP(Assumptions!AG$2,TIAM15_assumptions!$Y$3:$Z$87,2,FALSE),TIAM15_assumptions!$H$2:$V$2,0))</f>
        <v>0</v>
      </c>
      <c r="AH66" s="59">
        <f ca="1">OFFSET(TIAM15_assumptions!$G66,0,MATCH(VLOOKUP(Assumptions!AH$2,TIAM15_assumptions!$Y$3:$Z$87,2,FALSE),TIAM15_assumptions!$H$2:$V$2,0))</f>
        <v>0</v>
      </c>
      <c r="AI66" s="59">
        <f ca="1">OFFSET(TIAM15_assumptions!$G66,0,MATCH(VLOOKUP(Assumptions!AI$2,TIAM15_assumptions!$Y$3:$Z$87,2,FALSE),TIAM15_assumptions!$H$2:$V$2,0))</f>
        <v>0</v>
      </c>
      <c r="AJ66" s="59">
        <f ca="1">OFFSET(TIAM15_assumptions!$G66,0,MATCH(VLOOKUP(Assumptions!AJ$2,TIAM15_assumptions!$Y$3:$Z$87,2,FALSE),TIAM15_assumptions!$H$2:$V$2,0))</f>
        <v>0</v>
      </c>
      <c r="AK66" s="59">
        <f ca="1">OFFSET(TIAM15_assumptions!$G66,0,MATCH(VLOOKUP(Assumptions!AK$2,TIAM15_assumptions!$Y$3:$Z$87,2,FALSE),TIAM15_assumptions!$H$2:$V$2,0))</f>
        <v>0</v>
      </c>
      <c r="AL66" s="59">
        <f ca="1">OFFSET(TIAM15_assumptions!$G66,0,MATCH(VLOOKUP(Assumptions!AL$2,TIAM15_assumptions!$Y$3:$Z$87,2,FALSE),TIAM15_assumptions!$H$2:$V$2,0))</f>
        <v>0</v>
      </c>
      <c r="AM66" s="59">
        <f ca="1">OFFSET(TIAM15_assumptions!$G66,0,MATCH(VLOOKUP(Assumptions!AM$2,TIAM15_assumptions!$Y$3:$Z$87,2,FALSE),TIAM15_assumptions!$H$2:$V$2,0))</f>
        <v>0</v>
      </c>
      <c r="AN66" s="59">
        <f ca="1">OFFSET(TIAM15_assumptions!$G66,0,MATCH(VLOOKUP(Assumptions!AN$2,TIAM15_assumptions!$Y$3:$Z$87,2,FALSE),TIAM15_assumptions!$H$2:$V$2,0))</f>
        <v>0</v>
      </c>
      <c r="AO66" s="59">
        <f ca="1">OFFSET(TIAM15_assumptions!$G66,0,MATCH(VLOOKUP(Assumptions!AO$2,TIAM15_assumptions!$Y$3:$Z$87,2,FALSE),TIAM15_assumptions!$H$2:$V$2,0))</f>
        <v>0</v>
      </c>
      <c r="AP66" s="59">
        <f ca="1">OFFSET(TIAM15_assumptions!$G66,0,MATCH(VLOOKUP(Assumptions!AP$2,TIAM15_assumptions!$Y$3:$Z$87,2,FALSE),TIAM15_assumptions!$H$2:$V$2,0))</f>
        <v>0</v>
      </c>
      <c r="AQ66" s="59">
        <f ca="1">OFFSET(TIAM15_assumptions!$G66,0,MATCH(VLOOKUP(Assumptions!AQ$2,TIAM15_assumptions!$Y$3:$Z$87,2,FALSE),TIAM15_assumptions!$H$2:$V$2,0))</f>
        <v>0</v>
      </c>
      <c r="AR66" s="59">
        <f ca="1">OFFSET(TIAM15_assumptions!$G66,0,MATCH(VLOOKUP(Assumptions!AR$2,TIAM15_assumptions!$Y$3:$Z$87,2,FALSE),TIAM15_assumptions!$H$2:$V$2,0))</f>
        <v>0</v>
      </c>
      <c r="AS66" s="59">
        <f ca="1">OFFSET(TIAM15_assumptions!$G66,0,MATCH(VLOOKUP(Assumptions!AS$2,TIAM15_assumptions!$Y$3:$Z$87,2,FALSE),TIAM15_assumptions!$H$2:$V$2,0))</f>
        <v>0</v>
      </c>
      <c r="AT66" s="59">
        <f ca="1">OFFSET(TIAM15_assumptions!$G66,0,MATCH(VLOOKUP(Assumptions!AT$2,TIAM15_assumptions!$Y$3:$Z$87,2,FALSE),TIAM15_assumptions!$H$2:$V$2,0))</f>
        <v>0</v>
      </c>
      <c r="AU66" s="59">
        <f ca="1">OFFSET(TIAM15_assumptions!$G66,0,MATCH(VLOOKUP(Assumptions!AU$2,TIAM15_assumptions!$Y$3:$Z$87,2,FALSE),TIAM15_assumptions!$H$2:$V$2,0))</f>
        <v>0</v>
      </c>
      <c r="AV66" s="59">
        <f ca="1">OFFSET(TIAM15_assumptions!$G66,0,MATCH(VLOOKUP(Assumptions!AV$2,TIAM15_assumptions!$Y$3:$Z$87,2,FALSE),TIAM15_assumptions!$H$2:$V$2,0))</f>
        <v>0</v>
      </c>
      <c r="AW66" s="59">
        <f ca="1">OFFSET(TIAM15_assumptions!$G66,0,MATCH(VLOOKUP(Assumptions!AW$2,TIAM15_assumptions!$Y$3:$Z$87,2,FALSE),TIAM15_assumptions!$H$2:$V$2,0))</f>
        <v>0</v>
      </c>
      <c r="AX66" s="59">
        <f ca="1">OFFSET(TIAM15_assumptions!$G66,0,MATCH(VLOOKUP(Assumptions!AX$2,TIAM15_assumptions!$Y$3:$Z$87,2,FALSE),TIAM15_assumptions!$H$2:$V$2,0))</f>
        <v>0</v>
      </c>
      <c r="AY66" s="59">
        <f ca="1">OFFSET(TIAM15_assumptions!$G66,0,MATCH(VLOOKUP(Assumptions!AY$2,TIAM15_assumptions!$Y$3:$Z$87,2,FALSE),TIAM15_assumptions!$H$2:$V$2,0))</f>
        <v>0</v>
      </c>
      <c r="AZ66" s="59">
        <f ca="1">OFFSET(TIAM15_assumptions!$G66,0,MATCH(VLOOKUP(Assumptions!AZ$2,TIAM15_assumptions!$Y$3:$Z$87,2,FALSE),TIAM15_assumptions!$H$2:$V$2,0))</f>
        <v>0</v>
      </c>
      <c r="BA66" s="59">
        <f ca="1">OFFSET(TIAM15_assumptions!$G66,0,MATCH(VLOOKUP(Assumptions!BA$2,TIAM15_assumptions!$Y$3:$Z$87,2,FALSE),TIAM15_assumptions!$H$2:$V$2,0))</f>
        <v>0</v>
      </c>
      <c r="BD66" s="41">
        <f ca="1">IFERROR(SUMIFS('TRA balance'!E$5:E$40,'TRA balance'!$C$5:$C$40,Assumptions!$C66,'TRA balance'!$D$5:$D$40,Assumptions!$B66)*CY66*H66,"")</f>
        <v>0</v>
      </c>
      <c r="BE66" s="41">
        <f ca="1">IFERROR(SUMIFS('TRA balance'!F$5:F$40,'TRA balance'!$C$5:$C$40,Assumptions!$C66,'TRA balance'!$D$5:$D$40,Assumptions!$B66)*CZ66*I66,"")</f>
        <v>0</v>
      </c>
      <c r="BF66" s="41">
        <f ca="1">IFERROR(SUMIFS('TRA balance'!G$5:G$40,'TRA balance'!$C$5:$C$40,Assumptions!$C66,'TRA balance'!$D$5:$D$40,Assumptions!$B66)*DA66*J66,"")</f>
        <v>0</v>
      </c>
      <c r="BG66" s="41">
        <f ca="1">IFERROR(SUMIFS('TRA balance'!H$5:H$40,'TRA balance'!$C$5:$C$40,Assumptions!$C66,'TRA balance'!$D$5:$D$40,Assumptions!$B66)*DB66*K66,"")</f>
        <v>0</v>
      </c>
      <c r="BH66" s="41">
        <f ca="1">IFERROR(SUMIFS('TRA balance'!I$5:I$40,'TRA balance'!$C$5:$C$40,Assumptions!$C66,'TRA balance'!$D$5:$D$40,Assumptions!$B66)*DC66*L66,"")</f>
        <v>0</v>
      </c>
      <c r="BI66" s="41">
        <f ca="1">IFERROR(SUMIFS('TRA balance'!J$5:J$40,'TRA balance'!$C$5:$C$40,Assumptions!$C66,'TRA balance'!$D$5:$D$40,Assumptions!$B66)*DD66*M66,"")</f>
        <v>0</v>
      </c>
      <c r="BJ66" s="41">
        <f ca="1">IFERROR(SUMIFS('TRA balance'!K$5:K$40,'TRA balance'!$C$5:$C$40,Assumptions!$C66,'TRA balance'!$D$5:$D$40,Assumptions!$B66)*DE66*N66,"")</f>
        <v>0</v>
      </c>
      <c r="BK66" s="41">
        <f ca="1">IFERROR(SUMIFS('TRA balance'!L$5:L$40,'TRA balance'!$C$5:$C$40,Assumptions!$C66,'TRA balance'!$D$5:$D$40,Assumptions!$B66)*DF66*O66,"")</f>
        <v>0</v>
      </c>
      <c r="BL66" s="41">
        <f ca="1">IFERROR(SUMIFS('TRA balance'!M$5:M$40,'TRA balance'!$C$5:$C$40,Assumptions!$C66,'TRA balance'!$D$5:$D$40,Assumptions!$B66)*DG66*P66,"")</f>
        <v>0</v>
      </c>
      <c r="BM66" s="41">
        <f ca="1">IFERROR(SUMIFS('TRA balance'!N$5:N$40,'TRA balance'!$C$5:$C$40,Assumptions!$C66,'TRA balance'!$D$5:$D$40,Assumptions!$B66)*DH66*Q66,"")</f>
        <v>0</v>
      </c>
      <c r="BN66" s="41">
        <f ca="1">IFERROR(SUMIFS('TRA balance'!O$5:O$40,'TRA balance'!$C$5:$C$40,Assumptions!$C66,'TRA balance'!$D$5:$D$40,Assumptions!$B66)*DI66*R66,"")</f>
        <v>0</v>
      </c>
      <c r="BO66" s="41">
        <f ca="1">IFERROR(SUMIFS('TRA balance'!P$5:P$40,'TRA balance'!$C$5:$C$40,Assumptions!$C66,'TRA balance'!$D$5:$D$40,Assumptions!$B66)*DJ66*S66,"")</f>
        <v>0</v>
      </c>
      <c r="BP66" s="41">
        <f ca="1">IFERROR(SUMIFS('TRA balance'!Q$5:Q$40,'TRA balance'!$C$5:$C$40,Assumptions!$C66,'TRA balance'!$D$5:$D$40,Assumptions!$B66)*DK66*T66,"")</f>
        <v>0</v>
      </c>
      <c r="BQ66" s="41">
        <f ca="1">IFERROR(SUMIFS('TRA balance'!R$5:R$40,'TRA balance'!$C$5:$C$40,Assumptions!$C66,'TRA balance'!$D$5:$D$40,Assumptions!$B66)*DL66*U66,"")</f>
        <v>0</v>
      </c>
      <c r="BR66" s="41">
        <f ca="1">IFERROR(SUMIFS('TRA balance'!S$5:S$40,'TRA balance'!$C$5:$C$40,Assumptions!$C66,'TRA balance'!$D$5:$D$40,Assumptions!$B66)*DM66*V66,"")</f>
        <v>0</v>
      </c>
      <c r="BS66" s="41">
        <f ca="1">IFERROR(SUMIFS('TRA balance'!T$5:T$40,'TRA balance'!$C$5:$C$40,Assumptions!$C66,'TRA balance'!$D$5:$D$40,Assumptions!$B66)*DN66*W66,"")</f>
        <v>0</v>
      </c>
      <c r="BT66" s="41">
        <f ca="1">IFERROR(SUMIFS('TRA balance'!U$5:U$40,'TRA balance'!$C$5:$C$40,Assumptions!$C66,'TRA balance'!$D$5:$D$40,Assumptions!$B66)*DO66*X66,"")</f>
        <v>0</v>
      </c>
      <c r="BU66" s="41">
        <f ca="1">IFERROR(SUMIFS('TRA balance'!V$5:V$40,'TRA balance'!$C$5:$C$40,Assumptions!$C66,'TRA balance'!$D$5:$D$40,Assumptions!$B66)*DP66*Y66,"")</f>
        <v>0</v>
      </c>
      <c r="BV66" s="41">
        <f ca="1">IFERROR(SUMIFS('TRA balance'!W$5:W$40,'TRA balance'!$C$5:$C$40,Assumptions!$C66,'TRA balance'!$D$5:$D$40,Assumptions!$B66)*DQ66*Z66,"")</f>
        <v>0</v>
      </c>
      <c r="BW66" s="41">
        <f ca="1">IFERROR(SUMIFS('TRA balance'!X$5:X$40,'TRA balance'!$C$5:$C$40,Assumptions!$C66,'TRA balance'!$D$5:$D$40,Assumptions!$B66)*DR66*AA66,"")</f>
        <v>0</v>
      </c>
      <c r="BX66" s="41">
        <f ca="1">IFERROR(SUMIFS('TRA balance'!Y$5:Y$40,'TRA balance'!$C$5:$C$40,Assumptions!$C66,'TRA balance'!$D$5:$D$40,Assumptions!$B66)*DS66*AB66,"")</f>
        <v>0</v>
      </c>
      <c r="BY66" s="41">
        <f ca="1">IFERROR(SUMIFS('TRA balance'!Z$5:Z$40,'TRA balance'!$C$5:$C$40,Assumptions!$C66,'TRA balance'!$D$5:$D$40,Assumptions!$B66)*DT66*AC66,"")</f>
        <v>0</v>
      </c>
      <c r="BZ66" s="41">
        <f ca="1">IFERROR(SUMIFS('TRA balance'!AA$5:AA$40,'TRA balance'!$C$5:$C$40,Assumptions!$C66,'TRA balance'!$D$5:$D$40,Assumptions!$B66)*DU66*AD66,"")</f>
        <v>0</v>
      </c>
      <c r="CA66" s="41">
        <f ca="1">IFERROR(SUMIFS('TRA balance'!AB$5:AB$40,'TRA balance'!$C$5:$C$40,Assumptions!$C66,'TRA balance'!$D$5:$D$40,Assumptions!$B66)*DV66*AE66,"")</f>
        <v>0</v>
      </c>
      <c r="CB66" s="41">
        <f ca="1">IFERROR(SUMIFS('TRA balance'!AC$5:AC$40,'TRA balance'!$C$5:$C$40,Assumptions!$C66,'TRA balance'!$D$5:$D$40,Assumptions!$B66)*DW66*AF66,"")</f>
        <v>0</v>
      </c>
      <c r="CC66" s="41">
        <f ca="1">IFERROR(SUMIFS('TRA balance'!AD$5:AD$40,'TRA balance'!$C$5:$C$40,Assumptions!$C66,'TRA balance'!$D$5:$D$40,Assumptions!$B66)*DX66*AG66,"")</f>
        <v>0</v>
      </c>
      <c r="CD66" s="41">
        <f ca="1">IFERROR(SUMIFS('TRA balance'!AE$5:AE$40,'TRA balance'!$C$5:$C$40,Assumptions!$C66,'TRA balance'!$D$5:$D$40,Assumptions!$B66)*DY66*AH66,"")</f>
        <v>0</v>
      </c>
      <c r="CE66" s="41">
        <f ca="1">IFERROR(SUMIFS('TRA balance'!AF$5:AF$40,'TRA balance'!$C$5:$C$40,Assumptions!$C66,'TRA balance'!$D$5:$D$40,Assumptions!$B66)*DZ66*AI66,"")</f>
        <v>0</v>
      </c>
      <c r="CF66" s="41">
        <f ca="1">IFERROR(SUMIFS('TRA balance'!AG$5:AG$40,'TRA balance'!$C$5:$C$40,Assumptions!$C66,'TRA balance'!$D$5:$D$40,Assumptions!$B66)*EA66*AJ66,"")</f>
        <v>0</v>
      </c>
      <c r="CG66" s="41">
        <f ca="1">IFERROR(SUMIFS('TRA balance'!AH$5:AH$40,'TRA balance'!$C$5:$C$40,Assumptions!$C66,'TRA balance'!$D$5:$D$40,Assumptions!$B66)*EB66*AK66,"")</f>
        <v>0</v>
      </c>
      <c r="CH66" s="41">
        <f ca="1">IFERROR(SUMIFS('TRA balance'!AI$5:AI$40,'TRA balance'!$C$5:$C$40,Assumptions!$C66,'TRA balance'!$D$5:$D$40,Assumptions!$B66)*EC66*AL66,"")</f>
        <v>0</v>
      </c>
      <c r="CI66" s="41">
        <f ca="1">IFERROR(SUMIFS('TRA balance'!AJ$5:AJ$40,'TRA balance'!$C$5:$C$40,Assumptions!$C66,'TRA balance'!$D$5:$D$40,Assumptions!$B66)*ED66*AM66,"")</f>
        <v>0</v>
      </c>
      <c r="CJ66" s="41">
        <f ca="1">IFERROR(SUMIFS('TRA balance'!AK$5:AK$40,'TRA balance'!$C$5:$C$40,Assumptions!$C66,'TRA balance'!$D$5:$D$40,Assumptions!$B66)*EE66*AN66,"")</f>
        <v>0</v>
      </c>
      <c r="CK66" s="41">
        <f ca="1">IFERROR(SUMIFS('TRA balance'!AL$5:AL$40,'TRA balance'!$C$5:$C$40,Assumptions!$C66,'TRA balance'!$D$5:$D$40,Assumptions!$B66)*EF66*AO66,"")</f>
        <v>0</v>
      </c>
      <c r="CL66" s="41">
        <f ca="1">IFERROR(SUMIFS('TRA balance'!AM$5:AM$40,'TRA balance'!$C$5:$C$40,Assumptions!$C66,'TRA balance'!$D$5:$D$40,Assumptions!$B66)*EG66*AP66,"")</f>
        <v>0</v>
      </c>
      <c r="CM66" s="41">
        <f ca="1">IFERROR(SUMIFS('TRA balance'!AN$5:AN$40,'TRA balance'!$C$5:$C$40,Assumptions!$C66,'TRA balance'!$D$5:$D$40,Assumptions!$B66)*EH66*AQ66,"")</f>
        <v>0</v>
      </c>
      <c r="CN66" s="41">
        <f ca="1">IFERROR(SUMIFS('TRA balance'!AO$5:AO$40,'TRA balance'!$C$5:$C$40,Assumptions!$C66,'TRA balance'!$D$5:$D$40,Assumptions!$B66)*EI66*AR66,"")</f>
        <v>0</v>
      </c>
      <c r="CO66" s="41">
        <f ca="1">IFERROR(SUMIFS('TRA balance'!AP$5:AP$40,'TRA balance'!$C$5:$C$40,Assumptions!$C66,'TRA balance'!$D$5:$D$40,Assumptions!$B66)*EJ66*AS66,"")</f>
        <v>0</v>
      </c>
      <c r="CP66" s="41">
        <f ca="1">IFERROR(SUMIFS('TRA balance'!AQ$5:AQ$40,'TRA balance'!$C$5:$C$40,Assumptions!$C66,'TRA balance'!$D$5:$D$40,Assumptions!$B66)*EK66*AT66,"")</f>
        <v>0</v>
      </c>
      <c r="CQ66" s="41">
        <f ca="1">IFERROR(SUMIFS('TRA balance'!AR$5:AR$40,'TRA balance'!$C$5:$C$40,Assumptions!$C66,'TRA balance'!$D$5:$D$40,Assumptions!$B66)*EL66*AU66,"")</f>
        <v>0</v>
      </c>
      <c r="CR66" s="41">
        <f ca="1">IFERROR(SUMIFS('TRA balance'!AS$5:AS$40,'TRA balance'!$C$5:$C$40,Assumptions!$C66,'TRA balance'!$D$5:$D$40,Assumptions!$B66)*EM66*AV66,"")</f>
        <v>0</v>
      </c>
      <c r="CS66" s="41">
        <f ca="1">IFERROR(SUMIFS('TRA balance'!AT$5:AT$40,'TRA balance'!$C$5:$C$40,Assumptions!$C66,'TRA balance'!$D$5:$D$40,Assumptions!$B66)*EN66*AW66,"")</f>
        <v>0</v>
      </c>
      <c r="CT66" s="41">
        <f ca="1">IFERROR(SUMIFS('TRA balance'!AU$5:AU$40,'TRA balance'!$C$5:$C$40,Assumptions!$C66,'TRA balance'!$D$5:$D$40,Assumptions!$B66)*EO66*AX66,"")</f>
        <v>0</v>
      </c>
      <c r="CU66" s="41">
        <f ca="1">IFERROR(SUMIFS('TRA balance'!AV$5:AV$40,'TRA balance'!$C$5:$C$40,Assumptions!$C66,'TRA balance'!$D$5:$D$40,Assumptions!$B66)*EP66*AY66,"")</f>
        <v>0</v>
      </c>
      <c r="CV66" s="41">
        <f ca="1">IFERROR(SUMIFS('TRA balance'!AW$5:AW$40,'TRA balance'!$C$5:$C$40,Assumptions!$C66,'TRA balance'!$D$5:$D$40,Assumptions!$B66)*EQ66*AZ66,"")</f>
        <v>0</v>
      </c>
      <c r="CW66" s="41">
        <f ca="1">IFERROR(SUMIFS('TRA balance'!AX$5:AX$40,'TRA balance'!$C$5:$C$40,Assumptions!$C66,'TRA balance'!$D$5:$D$40,Assumptions!$B66)*ER66*BA66,"")</f>
        <v>0</v>
      </c>
      <c r="CY66" s="40">
        <f ca="1" t="shared" si="66"/>
        <v>0.1</v>
      </c>
      <c r="CZ66" s="40">
        <f ca="1" t="shared" si="3"/>
        <v>0.1</v>
      </c>
      <c r="DA66" s="40">
        <f ca="1" t="shared" si="4"/>
        <v>0.02</v>
      </c>
      <c r="DB66" s="40">
        <f ca="1" t="shared" si="5"/>
        <v>0.2</v>
      </c>
      <c r="DC66" s="40">
        <f ca="1" t="shared" si="6"/>
        <v>0.05</v>
      </c>
      <c r="DD66" s="40">
        <f ca="1" t="shared" si="7"/>
        <v>0.2</v>
      </c>
      <c r="DE66" s="40">
        <f ca="1" t="shared" si="8"/>
        <v>0.07</v>
      </c>
      <c r="DF66" s="40">
        <f ca="1" t="shared" si="9"/>
        <v>0.1</v>
      </c>
      <c r="DG66" s="40">
        <f ca="1" t="shared" si="10"/>
        <v>0.2</v>
      </c>
      <c r="DH66" s="40">
        <f ca="1" t="shared" si="11"/>
        <v>0.2</v>
      </c>
      <c r="DI66" s="40">
        <f ca="1" t="shared" si="12"/>
        <v>0.2</v>
      </c>
      <c r="DJ66" s="40">
        <f ca="1" t="shared" si="13"/>
        <v>0.2</v>
      </c>
      <c r="DK66" s="40">
        <f ca="1" t="shared" si="14"/>
        <v>0.2</v>
      </c>
      <c r="DL66" s="40">
        <f ca="1" t="shared" si="15"/>
        <v>0.2</v>
      </c>
      <c r="DM66" s="40">
        <f ca="1" t="shared" si="16"/>
        <v>0.2</v>
      </c>
      <c r="DN66" s="40">
        <f ca="1" t="shared" si="17"/>
        <v>0.25</v>
      </c>
      <c r="DO66" s="40">
        <f ca="1" t="shared" si="18"/>
        <v>0.2</v>
      </c>
      <c r="DP66" s="40">
        <f ca="1" t="shared" si="19"/>
        <v>0.2</v>
      </c>
      <c r="DQ66" s="40">
        <f ca="1" t="shared" si="20"/>
        <v>0.05</v>
      </c>
      <c r="DR66" s="40">
        <f ca="1" t="shared" si="21"/>
        <v>0.07</v>
      </c>
      <c r="DS66" s="40">
        <f ca="1" t="shared" si="22"/>
        <v>0.1</v>
      </c>
      <c r="DT66" s="40">
        <f ca="1" t="shared" si="23"/>
        <v>0.0244064218226165</v>
      </c>
      <c r="DU66" s="40">
        <f ca="1" t="shared" si="24"/>
        <v>0.2</v>
      </c>
      <c r="DV66" s="40">
        <f ca="1" t="shared" si="25"/>
        <v>0.2</v>
      </c>
      <c r="DW66" s="40">
        <f ca="1" t="shared" si="26"/>
        <v>0.08</v>
      </c>
      <c r="DX66" s="40">
        <f ca="1" t="shared" si="27"/>
        <v>0.05</v>
      </c>
      <c r="DY66" s="40">
        <f ca="1" t="shared" si="28"/>
        <v>0.1</v>
      </c>
      <c r="DZ66" s="40">
        <f ca="1" t="shared" si="29"/>
        <v>0.1</v>
      </c>
      <c r="EA66" s="40">
        <f ca="1" t="shared" si="30"/>
        <v>0.2</v>
      </c>
      <c r="EB66" s="40">
        <f ca="1" t="shared" si="31"/>
        <v>0.2</v>
      </c>
      <c r="EC66" s="40">
        <f ca="1" t="shared" si="32"/>
        <v>0.2</v>
      </c>
      <c r="ED66" s="40">
        <f ca="1" t="shared" si="33"/>
        <v>0.1</v>
      </c>
      <c r="EE66" s="40">
        <f ca="1" t="shared" si="34"/>
        <v>0.2</v>
      </c>
      <c r="EF66" s="40">
        <f ca="1" t="shared" si="35"/>
        <v>0.05</v>
      </c>
      <c r="EG66" s="40">
        <f ca="1" t="shared" si="36"/>
        <v>0.2</v>
      </c>
      <c r="EH66" s="40">
        <f ca="1" t="shared" si="37"/>
        <v>0.0244064218226165</v>
      </c>
      <c r="EI66" s="40">
        <f ca="1" t="shared" si="38"/>
        <v>0.0244064218226165</v>
      </c>
      <c r="EJ66" s="40">
        <f ca="1" t="shared" si="39"/>
        <v>0.0244064218226165</v>
      </c>
      <c r="EK66" s="40">
        <f ca="1" t="shared" si="40"/>
        <v>0.0244064218226165</v>
      </c>
      <c r="EL66" s="40">
        <f ca="1" t="shared" si="41"/>
        <v>0.0244064218226165</v>
      </c>
      <c r="EM66" s="40">
        <f ca="1" t="shared" si="42"/>
        <v>0.0244064218226165</v>
      </c>
      <c r="EN66" s="40">
        <f ca="1" t="shared" si="43"/>
        <v>0.0244064218226165</v>
      </c>
      <c r="EO66" s="40">
        <f ca="1" t="shared" si="44"/>
        <v>0.0244064218226165</v>
      </c>
      <c r="EP66" s="40">
        <f ca="1" t="shared" si="45"/>
        <v>0.0244064218226165</v>
      </c>
      <c r="EQ66" s="40">
        <f ca="1" t="shared" si="46"/>
        <v>0.0244064218226165</v>
      </c>
      <c r="ER66" s="40">
        <f ca="1" t="shared" si="47"/>
        <v>0.0244064218226165</v>
      </c>
    </row>
    <row r="67" spans="1:148">
      <c r="A67">
        <v>1</v>
      </c>
      <c r="B67" t="str">
        <f>VLOOKUP(F67,'TRA balance'!$BA$5:$BB$14,2,FALSE)</f>
        <v>TRABDS</v>
      </c>
      <c r="C67" s="56" t="str">
        <f t="shared" si="48"/>
        <v/>
      </c>
      <c r="D67" s="57"/>
      <c r="E67" s="69" t="s">
        <v>210</v>
      </c>
      <c r="F67" s="58" t="str">
        <f t="shared" si="84"/>
        <v>Bio Diesel</v>
      </c>
      <c r="G67" s="56"/>
      <c r="H67" s="69" t="str">
        <f ca="1">IF(SUM(H63:H66)=1,"-","&lt;&gt;1!!")</f>
        <v>-</v>
      </c>
      <c r="I67" s="69" t="str">
        <f ca="1" t="shared" ref="I67:BA67" si="85">IF(SUM(I63:I66)=1,"-","&lt;&gt;1!!")</f>
        <v>-</v>
      </c>
      <c r="J67" s="69" t="str">
        <f ca="1" t="shared" si="85"/>
        <v>-</v>
      </c>
      <c r="K67" s="69" t="str">
        <f ca="1" t="shared" si="85"/>
        <v>-</v>
      </c>
      <c r="L67" s="69" t="str">
        <f ca="1" t="shared" si="85"/>
        <v>-</v>
      </c>
      <c r="M67" s="69" t="str">
        <f ca="1" t="shared" si="85"/>
        <v>-</v>
      </c>
      <c r="N67" s="69" t="str">
        <f ca="1" t="shared" si="85"/>
        <v>-</v>
      </c>
      <c r="O67" s="69" t="str">
        <f ca="1" t="shared" si="85"/>
        <v>-</v>
      </c>
      <c r="P67" s="69" t="str">
        <f ca="1" t="shared" si="85"/>
        <v>-</v>
      </c>
      <c r="Q67" s="69" t="str">
        <f ca="1" t="shared" si="85"/>
        <v>-</v>
      </c>
      <c r="R67" s="69" t="str">
        <f ca="1" t="shared" si="85"/>
        <v>-</v>
      </c>
      <c r="S67" s="69" t="str">
        <f ca="1" t="shared" si="85"/>
        <v>-</v>
      </c>
      <c r="T67" s="69" t="str">
        <f ca="1" t="shared" si="85"/>
        <v>-</v>
      </c>
      <c r="U67" s="69" t="str">
        <f ca="1" t="shared" si="85"/>
        <v>-</v>
      </c>
      <c r="V67" s="69" t="str">
        <f ca="1" t="shared" si="85"/>
        <v>-</v>
      </c>
      <c r="W67" s="69" t="str">
        <f ca="1" t="shared" si="85"/>
        <v>-</v>
      </c>
      <c r="X67" s="69" t="str">
        <f ca="1" t="shared" si="85"/>
        <v>-</v>
      </c>
      <c r="Y67" s="69" t="str">
        <f ca="1" t="shared" si="85"/>
        <v>-</v>
      </c>
      <c r="Z67" s="69" t="str">
        <f ca="1" t="shared" si="85"/>
        <v>-</v>
      </c>
      <c r="AA67" s="69" t="str">
        <f ca="1" t="shared" si="85"/>
        <v>-</v>
      </c>
      <c r="AB67" s="69" t="str">
        <f ca="1" t="shared" si="85"/>
        <v>-</v>
      </c>
      <c r="AC67" s="69" t="str">
        <f ca="1" t="shared" si="85"/>
        <v>-</v>
      </c>
      <c r="AD67" s="69" t="str">
        <f ca="1" t="shared" si="85"/>
        <v>-</v>
      </c>
      <c r="AE67" s="69" t="str">
        <f ca="1" t="shared" si="85"/>
        <v>-</v>
      </c>
      <c r="AF67" s="69" t="str">
        <f ca="1" t="shared" si="85"/>
        <v>-</v>
      </c>
      <c r="AG67" s="69" t="str">
        <f ca="1" t="shared" si="85"/>
        <v>-</v>
      </c>
      <c r="AH67" s="69" t="str">
        <f ca="1" t="shared" si="85"/>
        <v>-</v>
      </c>
      <c r="AI67" s="69" t="str">
        <f ca="1" t="shared" si="85"/>
        <v>-</v>
      </c>
      <c r="AJ67" s="69" t="str">
        <f ca="1" t="shared" si="85"/>
        <v>-</v>
      </c>
      <c r="AK67" s="69" t="str">
        <f ca="1" t="shared" si="85"/>
        <v>-</v>
      </c>
      <c r="AL67" s="69" t="str">
        <f ca="1" t="shared" si="85"/>
        <v>-</v>
      </c>
      <c r="AM67" s="69" t="str">
        <f ca="1" t="shared" si="85"/>
        <v>-</v>
      </c>
      <c r="AN67" s="69" t="str">
        <f ca="1" t="shared" si="85"/>
        <v>-</v>
      </c>
      <c r="AO67" s="69" t="str">
        <f ca="1" t="shared" si="85"/>
        <v>-</v>
      </c>
      <c r="AP67" s="69" t="str">
        <f ca="1" t="shared" si="85"/>
        <v>-</v>
      </c>
      <c r="AQ67" s="69" t="str">
        <f ca="1" t="shared" si="85"/>
        <v>-</v>
      </c>
      <c r="AR67" s="69" t="str">
        <f ca="1" t="shared" si="85"/>
        <v>-</v>
      </c>
      <c r="AS67" s="69" t="str">
        <f ca="1" t="shared" si="85"/>
        <v>-</v>
      </c>
      <c r="AT67" s="69" t="str">
        <f ca="1" t="shared" si="85"/>
        <v>-</v>
      </c>
      <c r="AU67" s="69" t="str">
        <f ca="1" t="shared" si="85"/>
        <v>-</v>
      </c>
      <c r="AV67" s="69" t="str">
        <f ca="1" t="shared" si="85"/>
        <v>-</v>
      </c>
      <c r="AW67" s="69" t="str">
        <f ca="1" t="shared" si="85"/>
        <v>-</v>
      </c>
      <c r="AX67" s="69" t="str">
        <f ca="1" t="shared" si="85"/>
        <v>-</v>
      </c>
      <c r="AY67" s="69" t="str">
        <f ca="1" t="shared" si="85"/>
        <v>-</v>
      </c>
      <c r="AZ67" s="69" t="str">
        <f ca="1" t="shared" si="85"/>
        <v>-</v>
      </c>
      <c r="BA67" s="69" t="str">
        <f ca="1" t="shared" si="85"/>
        <v>-</v>
      </c>
      <c r="BD67" s="41" t="str">
        <f ca="1">IFERROR(SUMIFS('TRA balance'!E$5:E$40,'TRA balance'!$C$5:$C$40,Assumptions!$C67,'TRA balance'!$D$5:$D$40,Assumptions!$B67)*CY67*H67,"")</f>
        <v/>
      </c>
      <c r="BE67" s="41" t="str">
        <f ca="1">IFERROR(SUMIFS('TRA balance'!F$5:F$40,'TRA balance'!$C$5:$C$40,Assumptions!$C67,'TRA balance'!$D$5:$D$40,Assumptions!$B67)*CZ67*I67,"")</f>
        <v/>
      </c>
      <c r="BF67" s="41" t="str">
        <f ca="1">IFERROR(SUMIFS('TRA balance'!G$5:G$40,'TRA balance'!$C$5:$C$40,Assumptions!$C67,'TRA balance'!$D$5:$D$40,Assumptions!$B67)*DA67*J67,"")</f>
        <v/>
      </c>
      <c r="BG67" s="41" t="str">
        <f ca="1">IFERROR(SUMIFS('TRA balance'!H$5:H$40,'TRA balance'!$C$5:$C$40,Assumptions!$C67,'TRA balance'!$D$5:$D$40,Assumptions!$B67)*DB67*K67,"")</f>
        <v/>
      </c>
      <c r="BH67" s="41" t="str">
        <f ca="1">IFERROR(SUMIFS('TRA balance'!I$5:I$40,'TRA balance'!$C$5:$C$40,Assumptions!$C67,'TRA balance'!$D$5:$D$40,Assumptions!$B67)*DC67*L67,"")</f>
        <v/>
      </c>
      <c r="BI67" s="41" t="str">
        <f ca="1">IFERROR(SUMIFS('TRA balance'!J$5:J$40,'TRA balance'!$C$5:$C$40,Assumptions!$C67,'TRA balance'!$D$5:$D$40,Assumptions!$B67)*DD67*M67,"")</f>
        <v/>
      </c>
      <c r="BJ67" s="41" t="str">
        <f ca="1">IFERROR(SUMIFS('TRA balance'!K$5:K$40,'TRA balance'!$C$5:$C$40,Assumptions!$C67,'TRA balance'!$D$5:$D$40,Assumptions!$B67)*DE67*N67,"")</f>
        <v/>
      </c>
      <c r="BK67" s="41" t="str">
        <f ca="1">IFERROR(SUMIFS('TRA balance'!L$5:L$40,'TRA balance'!$C$5:$C$40,Assumptions!$C67,'TRA balance'!$D$5:$D$40,Assumptions!$B67)*DF67*O67,"")</f>
        <v/>
      </c>
      <c r="BL67" s="41" t="str">
        <f ca="1">IFERROR(SUMIFS('TRA balance'!M$5:M$40,'TRA balance'!$C$5:$C$40,Assumptions!$C67,'TRA balance'!$D$5:$D$40,Assumptions!$B67)*DG67*P67,"")</f>
        <v/>
      </c>
      <c r="BM67" s="41" t="str">
        <f ca="1">IFERROR(SUMIFS('TRA balance'!N$5:N$40,'TRA balance'!$C$5:$C$40,Assumptions!$C67,'TRA balance'!$D$5:$D$40,Assumptions!$B67)*DH67*Q67,"")</f>
        <v/>
      </c>
      <c r="BN67" s="41" t="str">
        <f ca="1">IFERROR(SUMIFS('TRA balance'!O$5:O$40,'TRA balance'!$C$5:$C$40,Assumptions!$C67,'TRA balance'!$D$5:$D$40,Assumptions!$B67)*DI67*R67,"")</f>
        <v/>
      </c>
      <c r="BO67" s="41" t="str">
        <f ca="1">IFERROR(SUMIFS('TRA balance'!P$5:P$40,'TRA balance'!$C$5:$C$40,Assumptions!$C67,'TRA balance'!$D$5:$D$40,Assumptions!$B67)*DJ67*S67,"")</f>
        <v/>
      </c>
      <c r="BP67" s="41" t="str">
        <f ca="1">IFERROR(SUMIFS('TRA balance'!Q$5:Q$40,'TRA balance'!$C$5:$C$40,Assumptions!$C67,'TRA balance'!$D$5:$D$40,Assumptions!$B67)*DK67*T67,"")</f>
        <v/>
      </c>
      <c r="BQ67" s="41" t="str">
        <f ca="1">IFERROR(SUMIFS('TRA balance'!R$5:R$40,'TRA balance'!$C$5:$C$40,Assumptions!$C67,'TRA balance'!$D$5:$D$40,Assumptions!$B67)*DL67*U67,"")</f>
        <v/>
      </c>
      <c r="BR67" s="41" t="str">
        <f ca="1">IFERROR(SUMIFS('TRA balance'!S$5:S$40,'TRA balance'!$C$5:$C$40,Assumptions!$C67,'TRA balance'!$D$5:$D$40,Assumptions!$B67)*DM67*V67,"")</f>
        <v/>
      </c>
      <c r="BS67" s="41" t="str">
        <f ca="1">IFERROR(SUMIFS('TRA balance'!T$5:T$40,'TRA balance'!$C$5:$C$40,Assumptions!$C67,'TRA balance'!$D$5:$D$40,Assumptions!$B67)*DN67*W67,"")</f>
        <v/>
      </c>
      <c r="BT67" s="41" t="str">
        <f ca="1">IFERROR(SUMIFS('TRA balance'!U$5:U$40,'TRA balance'!$C$5:$C$40,Assumptions!$C67,'TRA balance'!$D$5:$D$40,Assumptions!$B67)*DO67*X67,"")</f>
        <v/>
      </c>
      <c r="BU67" s="41" t="str">
        <f ca="1">IFERROR(SUMIFS('TRA balance'!V$5:V$40,'TRA balance'!$C$5:$C$40,Assumptions!$C67,'TRA balance'!$D$5:$D$40,Assumptions!$B67)*DP67*Y67,"")</f>
        <v/>
      </c>
      <c r="BV67" s="41" t="str">
        <f ca="1">IFERROR(SUMIFS('TRA balance'!W$5:W$40,'TRA balance'!$C$5:$C$40,Assumptions!$C67,'TRA balance'!$D$5:$D$40,Assumptions!$B67)*DQ67*Z67,"")</f>
        <v/>
      </c>
      <c r="BW67" s="41" t="str">
        <f ca="1">IFERROR(SUMIFS('TRA balance'!X$5:X$40,'TRA balance'!$C$5:$C$40,Assumptions!$C67,'TRA balance'!$D$5:$D$40,Assumptions!$B67)*DR67*AA67,"")</f>
        <v/>
      </c>
      <c r="BX67" s="41" t="str">
        <f ca="1">IFERROR(SUMIFS('TRA balance'!Y$5:Y$40,'TRA balance'!$C$5:$C$40,Assumptions!$C67,'TRA balance'!$D$5:$D$40,Assumptions!$B67)*DS67*AB67,"")</f>
        <v/>
      </c>
      <c r="BY67" s="41" t="str">
        <f ca="1">IFERROR(SUMIFS('TRA balance'!Z$5:Z$40,'TRA balance'!$C$5:$C$40,Assumptions!$C67,'TRA balance'!$D$5:$D$40,Assumptions!$B67)*DT67*AC67,"")</f>
        <v/>
      </c>
      <c r="BZ67" s="41" t="str">
        <f ca="1">IFERROR(SUMIFS('TRA balance'!AA$5:AA$40,'TRA balance'!$C$5:$C$40,Assumptions!$C67,'TRA balance'!$D$5:$D$40,Assumptions!$B67)*DU67*AD67,"")</f>
        <v/>
      </c>
      <c r="CA67" s="41" t="str">
        <f ca="1">IFERROR(SUMIFS('TRA balance'!AB$5:AB$40,'TRA balance'!$C$5:$C$40,Assumptions!$C67,'TRA balance'!$D$5:$D$40,Assumptions!$B67)*DV67*AE67,"")</f>
        <v/>
      </c>
      <c r="CB67" s="41" t="str">
        <f ca="1">IFERROR(SUMIFS('TRA balance'!AC$5:AC$40,'TRA balance'!$C$5:$C$40,Assumptions!$C67,'TRA balance'!$D$5:$D$40,Assumptions!$B67)*DW67*AF67,"")</f>
        <v/>
      </c>
      <c r="CC67" s="41" t="str">
        <f ca="1">IFERROR(SUMIFS('TRA balance'!AD$5:AD$40,'TRA balance'!$C$5:$C$40,Assumptions!$C67,'TRA balance'!$D$5:$D$40,Assumptions!$B67)*DX67*AG67,"")</f>
        <v/>
      </c>
      <c r="CD67" s="41" t="str">
        <f ca="1">IFERROR(SUMIFS('TRA balance'!AE$5:AE$40,'TRA balance'!$C$5:$C$40,Assumptions!$C67,'TRA balance'!$D$5:$D$40,Assumptions!$B67)*DY67*AH67,"")</f>
        <v/>
      </c>
      <c r="CE67" s="41" t="str">
        <f ca="1">IFERROR(SUMIFS('TRA balance'!AF$5:AF$40,'TRA balance'!$C$5:$C$40,Assumptions!$C67,'TRA balance'!$D$5:$D$40,Assumptions!$B67)*DZ67*AI67,"")</f>
        <v/>
      </c>
      <c r="CF67" s="41" t="str">
        <f ca="1">IFERROR(SUMIFS('TRA balance'!AG$5:AG$40,'TRA balance'!$C$5:$C$40,Assumptions!$C67,'TRA balance'!$D$5:$D$40,Assumptions!$B67)*EA67*AJ67,"")</f>
        <v/>
      </c>
      <c r="CG67" s="41" t="str">
        <f ca="1">IFERROR(SUMIFS('TRA balance'!AH$5:AH$40,'TRA balance'!$C$5:$C$40,Assumptions!$C67,'TRA balance'!$D$5:$D$40,Assumptions!$B67)*EB67*AK67,"")</f>
        <v/>
      </c>
      <c r="CH67" s="41" t="str">
        <f ca="1">IFERROR(SUMIFS('TRA balance'!AI$5:AI$40,'TRA balance'!$C$5:$C$40,Assumptions!$C67,'TRA balance'!$D$5:$D$40,Assumptions!$B67)*EC67*AL67,"")</f>
        <v/>
      </c>
      <c r="CI67" s="41" t="str">
        <f ca="1">IFERROR(SUMIFS('TRA balance'!AJ$5:AJ$40,'TRA balance'!$C$5:$C$40,Assumptions!$C67,'TRA balance'!$D$5:$D$40,Assumptions!$B67)*ED67*AM67,"")</f>
        <v/>
      </c>
      <c r="CJ67" s="41" t="str">
        <f ca="1">IFERROR(SUMIFS('TRA balance'!AK$5:AK$40,'TRA balance'!$C$5:$C$40,Assumptions!$C67,'TRA balance'!$D$5:$D$40,Assumptions!$B67)*EE67*AN67,"")</f>
        <v/>
      </c>
      <c r="CK67" s="41" t="str">
        <f ca="1">IFERROR(SUMIFS('TRA balance'!AL$5:AL$40,'TRA balance'!$C$5:$C$40,Assumptions!$C67,'TRA balance'!$D$5:$D$40,Assumptions!$B67)*EF67*AO67,"")</f>
        <v/>
      </c>
      <c r="CL67" s="41" t="str">
        <f ca="1">IFERROR(SUMIFS('TRA balance'!AM$5:AM$40,'TRA balance'!$C$5:$C$40,Assumptions!$C67,'TRA balance'!$D$5:$D$40,Assumptions!$B67)*EG67*AP67,"")</f>
        <v/>
      </c>
      <c r="CM67" s="41" t="str">
        <f ca="1">IFERROR(SUMIFS('TRA balance'!AN$5:AN$40,'TRA balance'!$C$5:$C$40,Assumptions!$C67,'TRA balance'!$D$5:$D$40,Assumptions!$B67)*EH67*AQ67,"")</f>
        <v/>
      </c>
      <c r="CN67" s="41" t="str">
        <f ca="1">IFERROR(SUMIFS('TRA balance'!AO$5:AO$40,'TRA balance'!$C$5:$C$40,Assumptions!$C67,'TRA balance'!$D$5:$D$40,Assumptions!$B67)*EI67*AR67,"")</f>
        <v/>
      </c>
      <c r="CO67" s="41" t="str">
        <f ca="1">IFERROR(SUMIFS('TRA balance'!AP$5:AP$40,'TRA balance'!$C$5:$C$40,Assumptions!$C67,'TRA balance'!$D$5:$D$40,Assumptions!$B67)*EJ67*AS67,"")</f>
        <v/>
      </c>
      <c r="CP67" s="41" t="str">
        <f ca="1">IFERROR(SUMIFS('TRA balance'!AQ$5:AQ$40,'TRA balance'!$C$5:$C$40,Assumptions!$C67,'TRA balance'!$D$5:$D$40,Assumptions!$B67)*EK67*AT67,"")</f>
        <v/>
      </c>
      <c r="CQ67" s="41" t="str">
        <f ca="1">IFERROR(SUMIFS('TRA balance'!AR$5:AR$40,'TRA balance'!$C$5:$C$40,Assumptions!$C67,'TRA balance'!$D$5:$D$40,Assumptions!$B67)*EL67*AU67,"")</f>
        <v/>
      </c>
      <c r="CR67" s="41" t="str">
        <f ca="1">IFERROR(SUMIFS('TRA balance'!AS$5:AS$40,'TRA balance'!$C$5:$C$40,Assumptions!$C67,'TRA balance'!$D$5:$D$40,Assumptions!$B67)*EM67*AV67,"")</f>
        <v/>
      </c>
      <c r="CS67" s="41" t="str">
        <f ca="1">IFERROR(SUMIFS('TRA balance'!AT$5:AT$40,'TRA balance'!$C$5:$C$40,Assumptions!$C67,'TRA balance'!$D$5:$D$40,Assumptions!$B67)*EN67*AW67,"")</f>
        <v/>
      </c>
      <c r="CT67" s="41" t="str">
        <f ca="1">IFERROR(SUMIFS('TRA balance'!AU$5:AU$40,'TRA balance'!$C$5:$C$40,Assumptions!$C67,'TRA balance'!$D$5:$D$40,Assumptions!$B67)*EO67*AX67,"")</f>
        <v/>
      </c>
      <c r="CU67" s="41" t="str">
        <f ca="1">IFERROR(SUMIFS('TRA balance'!AV$5:AV$40,'TRA balance'!$C$5:$C$40,Assumptions!$C67,'TRA balance'!$D$5:$D$40,Assumptions!$B67)*EP67*AY67,"")</f>
        <v/>
      </c>
      <c r="CV67" s="41" t="str">
        <f ca="1">IFERROR(SUMIFS('TRA balance'!AW$5:AW$40,'TRA balance'!$C$5:$C$40,Assumptions!$C67,'TRA balance'!$D$5:$D$40,Assumptions!$B67)*EQ67*AZ67,"")</f>
        <v/>
      </c>
      <c r="CW67" s="41" t="str">
        <f ca="1">IFERROR(SUMIFS('TRA balance'!AX$5:AX$40,'TRA balance'!$C$5:$C$40,Assumptions!$C67,'TRA balance'!$D$5:$D$40,Assumptions!$B67)*ER67*BA67,"")</f>
        <v/>
      </c>
      <c r="CY67" s="40">
        <f ca="1" t="shared" ref="CY67:CY103" si="86">IF($C67="TR",SUMIFS(H$3:H$103,$B$3:$B$103,$B67,$C$3:$C$103,$A67),1)</f>
        <v>1</v>
      </c>
      <c r="CZ67" s="40">
        <f ca="1" t="shared" ref="CZ67:CZ103" si="87">IF($C67="TR",SUMIFS(I$3:I$103,$B$3:$B$103,$B67,$C$3:$C$103,$A67),1)</f>
        <v>1</v>
      </c>
      <c r="DA67" s="40">
        <f ca="1" t="shared" ref="DA67:DA103" si="88">IF($C67="TR",SUMIFS(J$3:J$103,$B$3:$B$103,$B67,$C$3:$C$103,$A67),1)</f>
        <v>1</v>
      </c>
      <c r="DB67" s="40">
        <f ca="1" t="shared" ref="DB67:DB103" si="89">IF($C67="TR",SUMIFS(K$3:K$103,$B$3:$B$103,$B67,$C$3:$C$103,$A67),1)</f>
        <v>1</v>
      </c>
      <c r="DC67" s="40">
        <f ca="1" t="shared" ref="DC67:DC103" si="90">IF($C67="TR",SUMIFS(L$3:L$103,$B$3:$B$103,$B67,$C$3:$C$103,$A67),1)</f>
        <v>1</v>
      </c>
      <c r="DD67" s="40">
        <f ca="1" t="shared" ref="DD67:DD103" si="91">IF($C67="TR",SUMIFS(M$3:M$103,$B$3:$B$103,$B67,$C$3:$C$103,$A67),1)</f>
        <v>1</v>
      </c>
      <c r="DE67" s="40">
        <f ca="1" t="shared" ref="DE67:DE103" si="92">IF($C67="TR",SUMIFS(N$3:N$103,$B$3:$B$103,$B67,$C$3:$C$103,$A67),1)</f>
        <v>1</v>
      </c>
      <c r="DF67" s="40">
        <f ca="1" t="shared" ref="DF67:DF103" si="93">IF($C67="TR",SUMIFS(O$3:O$103,$B$3:$B$103,$B67,$C$3:$C$103,$A67),1)</f>
        <v>1</v>
      </c>
      <c r="DG67" s="40">
        <f ca="1" t="shared" ref="DG67:DG103" si="94">IF($C67="TR",SUMIFS(P$3:P$103,$B$3:$B$103,$B67,$C$3:$C$103,$A67),1)</f>
        <v>1</v>
      </c>
      <c r="DH67" s="40">
        <f ca="1" t="shared" ref="DH67:DH103" si="95">IF($C67="TR",SUMIFS(Q$3:Q$103,$B$3:$B$103,$B67,$C$3:$C$103,$A67),1)</f>
        <v>1</v>
      </c>
      <c r="DI67" s="40">
        <f ca="1" t="shared" ref="DI67:DI103" si="96">IF($C67="TR",SUMIFS(R$3:R$103,$B$3:$B$103,$B67,$C$3:$C$103,$A67),1)</f>
        <v>1</v>
      </c>
      <c r="DJ67" s="40">
        <f ca="1" t="shared" ref="DJ67:DJ103" si="97">IF($C67="TR",SUMIFS(S$3:S$103,$B$3:$B$103,$B67,$C$3:$C$103,$A67),1)</f>
        <v>1</v>
      </c>
      <c r="DK67" s="40">
        <f ca="1" t="shared" ref="DK67:DK103" si="98">IF($C67="TR",SUMIFS(T$3:T$103,$B$3:$B$103,$B67,$C$3:$C$103,$A67),1)</f>
        <v>1</v>
      </c>
      <c r="DL67" s="40">
        <f ca="1" t="shared" ref="DL67:DL103" si="99">IF($C67="TR",SUMIFS(U$3:U$103,$B$3:$B$103,$B67,$C$3:$C$103,$A67),1)</f>
        <v>1</v>
      </c>
      <c r="DM67" s="40">
        <f ca="1" t="shared" ref="DM67:DM103" si="100">IF($C67="TR",SUMIFS(V$3:V$103,$B$3:$B$103,$B67,$C$3:$C$103,$A67),1)</f>
        <v>1</v>
      </c>
      <c r="DN67" s="40">
        <f ca="1" t="shared" ref="DN67:DN103" si="101">IF($C67="TR",SUMIFS(W$3:W$103,$B$3:$B$103,$B67,$C$3:$C$103,$A67),1)</f>
        <v>1</v>
      </c>
      <c r="DO67" s="40">
        <f ca="1" t="shared" ref="DO67:DO103" si="102">IF($C67="TR",SUMIFS(X$3:X$103,$B$3:$B$103,$B67,$C$3:$C$103,$A67),1)</f>
        <v>1</v>
      </c>
      <c r="DP67" s="40">
        <f ca="1" t="shared" ref="DP67:DP103" si="103">IF($C67="TR",SUMIFS(Y$3:Y$103,$B$3:$B$103,$B67,$C$3:$C$103,$A67),1)</f>
        <v>1</v>
      </c>
      <c r="DQ67" s="40">
        <f ca="1" t="shared" ref="DQ67:DQ103" si="104">IF($C67="TR",SUMIFS(Z$3:Z$103,$B$3:$B$103,$B67,$C$3:$C$103,$A67),1)</f>
        <v>1</v>
      </c>
      <c r="DR67" s="40">
        <f ca="1" t="shared" ref="DR67:DR103" si="105">IF($C67="TR",SUMIFS(AA$3:AA$103,$B$3:$B$103,$B67,$C$3:$C$103,$A67),1)</f>
        <v>1</v>
      </c>
      <c r="DS67" s="40">
        <f ca="1" t="shared" ref="DS67:DS103" si="106">IF($C67="TR",SUMIFS(AB$3:AB$103,$B$3:$B$103,$B67,$C$3:$C$103,$A67),1)</f>
        <v>1</v>
      </c>
      <c r="DT67" s="40">
        <f ca="1" t="shared" ref="DT67:DT103" si="107">IF($C67="TR",SUMIFS(AC$3:AC$103,$B$3:$B$103,$B67,$C$3:$C$103,$A67),1)</f>
        <v>1</v>
      </c>
      <c r="DU67" s="40">
        <f ca="1" t="shared" ref="DU67:DU103" si="108">IF($C67="TR",SUMIFS(AD$3:AD$103,$B$3:$B$103,$B67,$C$3:$C$103,$A67),1)</f>
        <v>1</v>
      </c>
      <c r="DV67" s="40">
        <f ca="1" t="shared" ref="DV67:DV103" si="109">IF($C67="TR",SUMIFS(AE$3:AE$103,$B$3:$B$103,$B67,$C$3:$C$103,$A67),1)</f>
        <v>1</v>
      </c>
      <c r="DW67" s="40">
        <f ca="1" t="shared" ref="DW67:DW103" si="110">IF($C67="TR",SUMIFS(AF$3:AF$103,$B$3:$B$103,$B67,$C$3:$C$103,$A67),1)</f>
        <v>1</v>
      </c>
      <c r="DX67" s="40">
        <f ca="1" t="shared" ref="DX67:DX103" si="111">IF($C67="TR",SUMIFS(AG$3:AG$103,$B$3:$B$103,$B67,$C$3:$C$103,$A67),1)</f>
        <v>1</v>
      </c>
      <c r="DY67" s="40">
        <f ca="1" t="shared" ref="DY67:DY103" si="112">IF($C67="TR",SUMIFS(AH$3:AH$103,$B$3:$B$103,$B67,$C$3:$C$103,$A67),1)</f>
        <v>1</v>
      </c>
      <c r="DZ67" s="40">
        <f ca="1" t="shared" ref="DZ67:DZ103" si="113">IF($C67="TR",SUMIFS(AI$3:AI$103,$B$3:$B$103,$B67,$C$3:$C$103,$A67),1)</f>
        <v>1</v>
      </c>
      <c r="EA67" s="40">
        <f ca="1" t="shared" ref="EA67:EA103" si="114">IF($C67="TR",SUMIFS(AJ$3:AJ$103,$B$3:$B$103,$B67,$C$3:$C$103,$A67),1)</f>
        <v>1</v>
      </c>
      <c r="EB67" s="40">
        <f ca="1" t="shared" ref="EB67:EB103" si="115">IF($C67="TR",SUMIFS(AK$3:AK$103,$B$3:$B$103,$B67,$C$3:$C$103,$A67),1)</f>
        <v>1</v>
      </c>
      <c r="EC67" s="40">
        <f ca="1" t="shared" ref="EC67:EC103" si="116">IF($C67="TR",SUMIFS(AL$3:AL$103,$B$3:$B$103,$B67,$C$3:$C$103,$A67),1)</f>
        <v>1</v>
      </c>
      <c r="ED67" s="40">
        <f ca="1" t="shared" ref="ED67:ED103" si="117">IF($C67="TR",SUMIFS(AM$3:AM$103,$B$3:$B$103,$B67,$C$3:$C$103,$A67),1)</f>
        <v>1</v>
      </c>
      <c r="EE67" s="40">
        <f ca="1" t="shared" ref="EE67:EE103" si="118">IF($C67="TR",SUMIFS(AN$3:AN$103,$B$3:$B$103,$B67,$C$3:$C$103,$A67),1)</f>
        <v>1</v>
      </c>
      <c r="EF67" s="40">
        <f ca="1" t="shared" ref="EF67:EF103" si="119">IF($C67="TR",SUMIFS(AO$3:AO$103,$B$3:$B$103,$B67,$C$3:$C$103,$A67),1)</f>
        <v>1</v>
      </c>
      <c r="EG67" s="40">
        <f ca="1" t="shared" ref="EG67:EG103" si="120">IF($C67="TR",SUMIFS(AP$3:AP$103,$B$3:$B$103,$B67,$C$3:$C$103,$A67),1)</f>
        <v>1</v>
      </c>
      <c r="EH67" s="40">
        <f ca="1" t="shared" ref="EH67:EH103" si="121">IF($C67="TR",SUMIFS(AQ$3:AQ$103,$B$3:$B$103,$B67,$C$3:$C$103,$A67),1)</f>
        <v>1</v>
      </c>
      <c r="EI67" s="40">
        <f ca="1" t="shared" ref="EI67:EI103" si="122">IF($C67="TR",SUMIFS(AR$3:AR$103,$B$3:$B$103,$B67,$C$3:$C$103,$A67),1)</f>
        <v>1</v>
      </c>
      <c r="EJ67" s="40">
        <f ca="1" t="shared" ref="EJ67:EJ103" si="123">IF($C67="TR",SUMIFS(AS$3:AS$103,$B$3:$B$103,$B67,$C$3:$C$103,$A67),1)</f>
        <v>1</v>
      </c>
      <c r="EK67" s="40">
        <f ca="1" t="shared" ref="EK67:EK103" si="124">IF($C67="TR",SUMIFS(AT$3:AT$103,$B$3:$B$103,$B67,$C$3:$C$103,$A67),1)</f>
        <v>1</v>
      </c>
      <c r="EL67" s="40">
        <f ca="1" t="shared" ref="EL67:EL103" si="125">IF($C67="TR",SUMIFS(AU$3:AU$103,$B$3:$B$103,$B67,$C$3:$C$103,$A67),1)</f>
        <v>1</v>
      </c>
      <c r="EM67" s="40">
        <f ca="1" t="shared" ref="EM67:EM103" si="126">IF($C67="TR",SUMIFS(AV$3:AV$103,$B$3:$B$103,$B67,$C$3:$C$103,$A67),1)</f>
        <v>1</v>
      </c>
      <c r="EN67" s="40">
        <f ca="1" t="shared" ref="EN67:EN103" si="127">IF($C67="TR",SUMIFS(AW$3:AW$103,$B$3:$B$103,$B67,$C$3:$C$103,$A67),1)</f>
        <v>1</v>
      </c>
      <c r="EO67" s="40">
        <f ca="1" t="shared" ref="EO67:EO103" si="128">IF($C67="TR",SUMIFS(AX$3:AX$103,$B$3:$B$103,$B67,$C$3:$C$103,$A67),1)</f>
        <v>1</v>
      </c>
      <c r="EP67" s="40">
        <f ca="1" t="shared" ref="EP67:EP103" si="129">IF($C67="TR",SUMIFS(AY$3:AY$103,$B$3:$B$103,$B67,$C$3:$C$103,$A67),1)</f>
        <v>1</v>
      </c>
      <c r="EQ67" s="40">
        <f ca="1" t="shared" ref="EQ67:EQ103" si="130">IF($C67="TR",SUMIFS(AZ$3:AZ$103,$B$3:$B$103,$B67,$C$3:$C$103,$A67),1)</f>
        <v>1</v>
      </c>
      <c r="ER67" s="40">
        <f ca="1" t="shared" ref="ER67:ER103" si="131">IF($C67="TR",SUMIFS(BA$3:BA$103,$B$3:$B$103,$B67,$C$3:$C$103,$A67),1)</f>
        <v>1</v>
      </c>
    </row>
    <row r="68" spans="1:148">
      <c r="A68">
        <v>1</v>
      </c>
      <c r="B68" t="str">
        <f>VLOOKUP(F68,'TRA balance'!$BA$5:$BB$14,2,FALSE)</f>
        <v>TRABDS</v>
      </c>
      <c r="C68" s="64">
        <v>2</v>
      </c>
      <c r="D68" s="65" t="s">
        <v>200</v>
      </c>
      <c r="E68" s="65" t="s">
        <v>211</v>
      </c>
      <c r="F68" s="66" t="str">
        <f t="shared" si="84"/>
        <v>Bio Diesel</v>
      </c>
      <c r="G68" s="64"/>
      <c r="H68" s="70">
        <f ca="1">1-H62</f>
        <v>0.9</v>
      </c>
      <c r="I68" s="70">
        <f ca="1" t="shared" ref="I68:BA68" si="132">1-I62</f>
        <v>0.9</v>
      </c>
      <c r="J68" s="70">
        <f ca="1" t="shared" si="132"/>
        <v>0.98</v>
      </c>
      <c r="K68" s="70">
        <f ca="1" t="shared" si="132"/>
        <v>0.8</v>
      </c>
      <c r="L68" s="70">
        <f ca="1" t="shared" si="132"/>
        <v>0.95</v>
      </c>
      <c r="M68" s="70">
        <f ca="1" t="shared" si="132"/>
        <v>0.8</v>
      </c>
      <c r="N68" s="70">
        <f ca="1" t="shared" si="132"/>
        <v>0.93</v>
      </c>
      <c r="O68" s="70">
        <f ca="1" t="shared" si="132"/>
        <v>0.9</v>
      </c>
      <c r="P68" s="70">
        <f ca="1" t="shared" si="132"/>
        <v>0.8</v>
      </c>
      <c r="Q68" s="70">
        <f ca="1" t="shared" si="132"/>
        <v>0.8</v>
      </c>
      <c r="R68" s="70">
        <f ca="1" t="shared" si="132"/>
        <v>0.8</v>
      </c>
      <c r="S68" s="70">
        <f ca="1" t="shared" si="132"/>
        <v>0.8</v>
      </c>
      <c r="T68" s="70">
        <f ca="1" t="shared" si="132"/>
        <v>0.8</v>
      </c>
      <c r="U68" s="70">
        <f ca="1" t="shared" si="132"/>
        <v>0.8</v>
      </c>
      <c r="V68" s="70">
        <f ca="1" t="shared" si="132"/>
        <v>0.8</v>
      </c>
      <c r="W68" s="70">
        <f ca="1" t="shared" si="132"/>
        <v>0.75</v>
      </c>
      <c r="X68" s="70">
        <f ca="1" t="shared" si="132"/>
        <v>0.8</v>
      </c>
      <c r="Y68" s="70">
        <f ca="1" t="shared" si="132"/>
        <v>0.8</v>
      </c>
      <c r="Z68" s="70">
        <f ca="1" t="shared" si="132"/>
        <v>0.95</v>
      </c>
      <c r="AA68" s="70">
        <f ca="1" t="shared" si="132"/>
        <v>0.93</v>
      </c>
      <c r="AB68" s="70">
        <f ca="1" t="shared" si="132"/>
        <v>0.9</v>
      </c>
      <c r="AC68" s="70">
        <f ca="1" t="shared" si="132"/>
        <v>0.975593578177383</v>
      </c>
      <c r="AD68" s="70">
        <f ca="1" t="shared" si="132"/>
        <v>0.8</v>
      </c>
      <c r="AE68" s="70">
        <f ca="1" t="shared" si="132"/>
        <v>0.8</v>
      </c>
      <c r="AF68" s="70">
        <f ca="1" t="shared" si="132"/>
        <v>0.92</v>
      </c>
      <c r="AG68" s="70">
        <f ca="1" t="shared" si="132"/>
        <v>0.95</v>
      </c>
      <c r="AH68" s="70">
        <f ca="1" t="shared" si="132"/>
        <v>0.9</v>
      </c>
      <c r="AI68" s="70">
        <f ca="1" t="shared" si="132"/>
        <v>0.9</v>
      </c>
      <c r="AJ68" s="70">
        <f ca="1" t="shared" si="132"/>
        <v>0.8</v>
      </c>
      <c r="AK68" s="70">
        <f ca="1" t="shared" si="132"/>
        <v>0.8</v>
      </c>
      <c r="AL68" s="70">
        <f ca="1" t="shared" si="132"/>
        <v>0.8</v>
      </c>
      <c r="AM68" s="70">
        <f ca="1" t="shared" si="132"/>
        <v>0.9</v>
      </c>
      <c r="AN68" s="70">
        <f ca="1" t="shared" si="132"/>
        <v>0.8</v>
      </c>
      <c r="AO68" s="70">
        <f ca="1" t="shared" si="132"/>
        <v>0.95</v>
      </c>
      <c r="AP68" s="70">
        <f ca="1" t="shared" si="132"/>
        <v>0.8</v>
      </c>
      <c r="AQ68" s="70">
        <f ca="1" t="shared" si="132"/>
        <v>0.975593578177383</v>
      </c>
      <c r="AR68" s="70">
        <f ca="1" t="shared" si="132"/>
        <v>0.975593578177383</v>
      </c>
      <c r="AS68" s="70">
        <f ca="1" t="shared" si="132"/>
        <v>0.975593578177383</v>
      </c>
      <c r="AT68" s="70">
        <f ca="1" t="shared" si="132"/>
        <v>0.975593578177383</v>
      </c>
      <c r="AU68" s="70">
        <f ca="1" t="shared" si="132"/>
        <v>0.975593578177383</v>
      </c>
      <c r="AV68" s="70">
        <f ca="1" t="shared" si="132"/>
        <v>0.975593578177383</v>
      </c>
      <c r="AW68" s="70">
        <f ca="1" t="shared" si="132"/>
        <v>0.975593578177383</v>
      </c>
      <c r="AX68" s="70">
        <f ca="1" t="shared" si="132"/>
        <v>0.975593578177383</v>
      </c>
      <c r="AY68" s="70">
        <f ca="1" t="shared" si="132"/>
        <v>0.975593578177383</v>
      </c>
      <c r="AZ68" s="70">
        <f ca="1" t="shared" si="132"/>
        <v>0.975593578177383</v>
      </c>
      <c r="BA68" s="70">
        <f ca="1" t="shared" si="132"/>
        <v>0.975593578177383</v>
      </c>
      <c r="BD68" s="41">
        <f ca="1">IFERROR(SUMIFS('TRA balance'!E$5:E$40,'TRA balance'!$C$5:$C$40,Assumptions!$C68,'TRA balance'!$D$5:$D$40,Assumptions!$B68)*CY68*H68,"")</f>
        <v>0</v>
      </c>
      <c r="BE68" s="41">
        <f ca="1">IFERROR(SUMIFS('TRA balance'!F$5:F$40,'TRA balance'!$C$5:$C$40,Assumptions!$C68,'TRA balance'!$D$5:$D$40,Assumptions!$B68)*CZ68*I68,"")</f>
        <v>0</v>
      </c>
      <c r="BF68" s="41">
        <f ca="1">IFERROR(SUMIFS('TRA balance'!G$5:G$40,'TRA balance'!$C$5:$C$40,Assumptions!$C68,'TRA balance'!$D$5:$D$40,Assumptions!$B68)*DA68*J68,"")</f>
        <v>0</v>
      </c>
      <c r="BG68" s="41">
        <f ca="1">IFERROR(SUMIFS('TRA balance'!H$5:H$40,'TRA balance'!$C$5:$C$40,Assumptions!$C68,'TRA balance'!$D$5:$D$40,Assumptions!$B68)*DB68*K68,"")</f>
        <v>0</v>
      </c>
      <c r="BH68" s="41">
        <f ca="1">IFERROR(SUMIFS('TRA balance'!I$5:I$40,'TRA balance'!$C$5:$C$40,Assumptions!$C68,'TRA balance'!$D$5:$D$40,Assumptions!$B68)*DC68*L68,"")</f>
        <v>0</v>
      </c>
      <c r="BI68" s="41">
        <f ca="1">IFERROR(SUMIFS('TRA balance'!J$5:J$40,'TRA balance'!$C$5:$C$40,Assumptions!$C68,'TRA balance'!$D$5:$D$40,Assumptions!$B68)*DD68*M68,"")</f>
        <v>0</v>
      </c>
      <c r="BJ68" s="41">
        <f ca="1">IFERROR(SUMIFS('TRA balance'!K$5:K$40,'TRA balance'!$C$5:$C$40,Assumptions!$C68,'TRA balance'!$D$5:$D$40,Assumptions!$B68)*DE68*N68,"")</f>
        <v>0</v>
      </c>
      <c r="BK68" s="41">
        <f ca="1">IFERROR(SUMIFS('TRA balance'!L$5:L$40,'TRA balance'!$C$5:$C$40,Assumptions!$C68,'TRA balance'!$D$5:$D$40,Assumptions!$B68)*DF68*O68,"")</f>
        <v>0</v>
      </c>
      <c r="BL68" s="41">
        <f ca="1">IFERROR(SUMIFS('TRA balance'!M$5:M$40,'TRA balance'!$C$5:$C$40,Assumptions!$C68,'TRA balance'!$D$5:$D$40,Assumptions!$B68)*DG68*P68,"")</f>
        <v>0</v>
      </c>
      <c r="BM68" s="41">
        <f ca="1">IFERROR(SUMIFS('TRA balance'!N$5:N$40,'TRA balance'!$C$5:$C$40,Assumptions!$C68,'TRA balance'!$D$5:$D$40,Assumptions!$B68)*DH68*Q68,"")</f>
        <v>0</v>
      </c>
      <c r="BN68" s="41">
        <f ca="1">IFERROR(SUMIFS('TRA balance'!O$5:O$40,'TRA balance'!$C$5:$C$40,Assumptions!$C68,'TRA balance'!$D$5:$D$40,Assumptions!$B68)*DI68*R68,"")</f>
        <v>0</v>
      </c>
      <c r="BO68" s="41">
        <f ca="1">IFERROR(SUMIFS('TRA balance'!P$5:P$40,'TRA balance'!$C$5:$C$40,Assumptions!$C68,'TRA balance'!$D$5:$D$40,Assumptions!$B68)*DJ68*S68,"")</f>
        <v>0</v>
      </c>
      <c r="BP68" s="41">
        <f ca="1">IFERROR(SUMIFS('TRA balance'!Q$5:Q$40,'TRA balance'!$C$5:$C$40,Assumptions!$C68,'TRA balance'!$D$5:$D$40,Assumptions!$B68)*DK68*T68,"")</f>
        <v>0</v>
      </c>
      <c r="BQ68" s="41">
        <f ca="1">IFERROR(SUMIFS('TRA balance'!R$5:R$40,'TRA balance'!$C$5:$C$40,Assumptions!$C68,'TRA balance'!$D$5:$D$40,Assumptions!$B68)*DL68*U68,"")</f>
        <v>0</v>
      </c>
      <c r="BR68" s="41">
        <f ca="1">IFERROR(SUMIFS('TRA balance'!S$5:S$40,'TRA balance'!$C$5:$C$40,Assumptions!$C68,'TRA balance'!$D$5:$D$40,Assumptions!$B68)*DM68*V68,"")</f>
        <v>0</v>
      </c>
      <c r="BS68" s="41">
        <f ca="1">IFERROR(SUMIFS('TRA balance'!T$5:T$40,'TRA balance'!$C$5:$C$40,Assumptions!$C68,'TRA balance'!$D$5:$D$40,Assumptions!$B68)*DN68*W68,"")</f>
        <v>0</v>
      </c>
      <c r="BT68" s="41">
        <f ca="1">IFERROR(SUMIFS('TRA balance'!U$5:U$40,'TRA balance'!$C$5:$C$40,Assumptions!$C68,'TRA balance'!$D$5:$D$40,Assumptions!$B68)*DO68*X68,"")</f>
        <v>0</v>
      </c>
      <c r="BU68" s="41">
        <f ca="1">IFERROR(SUMIFS('TRA balance'!V$5:V$40,'TRA balance'!$C$5:$C$40,Assumptions!$C68,'TRA balance'!$D$5:$D$40,Assumptions!$B68)*DP68*Y68,"")</f>
        <v>0</v>
      </c>
      <c r="BV68" s="41">
        <f ca="1">IFERROR(SUMIFS('TRA balance'!W$5:W$40,'TRA balance'!$C$5:$C$40,Assumptions!$C68,'TRA balance'!$D$5:$D$40,Assumptions!$B68)*DQ68*Z68,"")</f>
        <v>0</v>
      </c>
      <c r="BW68" s="41">
        <f ca="1">IFERROR(SUMIFS('TRA balance'!X$5:X$40,'TRA balance'!$C$5:$C$40,Assumptions!$C68,'TRA balance'!$D$5:$D$40,Assumptions!$B68)*DR68*AA68,"")</f>
        <v>0</v>
      </c>
      <c r="BX68" s="41">
        <f ca="1">IFERROR(SUMIFS('TRA balance'!Y$5:Y$40,'TRA balance'!$C$5:$C$40,Assumptions!$C68,'TRA balance'!$D$5:$D$40,Assumptions!$B68)*DS68*AB68,"")</f>
        <v>0</v>
      </c>
      <c r="BY68" s="41">
        <f ca="1">IFERROR(SUMIFS('TRA balance'!Z$5:Z$40,'TRA balance'!$C$5:$C$40,Assumptions!$C68,'TRA balance'!$D$5:$D$40,Assumptions!$B68)*DT68*AC68,"")</f>
        <v>0</v>
      </c>
      <c r="BZ68" s="41">
        <f ca="1">IFERROR(SUMIFS('TRA balance'!AA$5:AA$40,'TRA balance'!$C$5:$C$40,Assumptions!$C68,'TRA balance'!$D$5:$D$40,Assumptions!$B68)*DU68*AD68,"")</f>
        <v>0</v>
      </c>
      <c r="CA68" s="41">
        <f ca="1">IFERROR(SUMIFS('TRA balance'!AB$5:AB$40,'TRA balance'!$C$5:$C$40,Assumptions!$C68,'TRA balance'!$D$5:$D$40,Assumptions!$B68)*DV68*AE68,"")</f>
        <v>0</v>
      </c>
      <c r="CB68" s="41">
        <f ca="1">IFERROR(SUMIFS('TRA balance'!AC$5:AC$40,'TRA balance'!$C$5:$C$40,Assumptions!$C68,'TRA balance'!$D$5:$D$40,Assumptions!$B68)*DW68*AF68,"")</f>
        <v>0</v>
      </c>
      <c r="CC68" s="41">
        <f ca="1">IFERROR(SUMIFS('TRA balance'!AD$5:AD$40,'TRA balance'!$C$5:$C$40,Assumptions!$C68,'TRA balance'!$D$5:$D$40,Assumptions!$B68)*DX68*AG68,"")</f>
        <v>0</v>
      </c>
      <c r="CD68" s="41">
        <f ca="1">IFERROR(SUMIFS('TRA balance'!AE$5:AE$40,'TRA balance'!$C$5:$C$40,Assumptions!$C68,'TRA balance'!$D$5:$D$40,Assumptions!$B68)*DY68*AH68,"")</f>
        <v>0</v>
      </c>
      <c r="CE68" s="41">
        <f ca="1">IFERROR(SUMIFS('TRA balance'!AF$5:AF$40,'TRA balance'!$C$5:$C$40,Assumptions!$C68,'TRA balance'!$D$5:$D$40,Assumptions!$B68)*DZ68*AI68,"")</f>
        <v>0</v>
      </c>
      <c r="CF68" s="41">
        <f ca="1">IFERROR(SUMIFS('TRA balance'!AG$5:AG$40,'TRA balance'!$C$5:$C$40,Assumptions!$C68,'TRA balance'!$D$5:$D$40,Assumptions!$B68)*EA68*AJ68,"")</f>
        <v>0</v>
      </c>
      <c r="CG68" s="41">
        <f ca="1">IFERROR(SUMIFS('TRA balance'!AH$5:AH$40,'TRA balance'!$C$5:$C$40,Assumptions!$C68,'TRA balance'!$D$5:$D$40,Assumptions!$B68)*EB68*AK68,"")</f>
        <v>0</v>
      </c>
      <c r="CH68" s="41">
        <f ca="1">IFERROR(SUMIFS('TRA balance'!AI$5:AI$40,'TRA balance'!$C$5:$C$40,Assumptions!$C68,'TRA balance'!$D$5:$D$40,Assumptions!$B68)*EC68*AL68,"")</f>
        <v>0</v>
      </c>
      <c r="CI68" s="41">
        <f ca="1">IFERROR(SUMIFS('TRA balance'!AJ$5:AJ$40,'TRA balance'!$C$5:$C$40,Assumptions!$C68,'TRA balance'!$D$5:$D$40,Assumptions!$B68)*ED68*AM68,"")</f>
        <v>0</v>
      </c>
      <c r="CJ68" s="41">
        <f ca="1">IFERROR(SUMIFS('TRA balance'!AK$5:AK$40,'TRA balance'!$C$5:$C$40,Assumptions!$C68,'TRA balance'!$D$5:$D$40,Assumptions!$B68)*EE68*AN68,"")</f>
        <v>0</v>
      </c>
      <c r="CK68" s="41">
        <f ca="1">IFERROR(SUMIFS('TRA balance'!AL$5:AL$40,'TRA balance'!$C$5:$C$40,Assumptions!$C68,'TRA balance'!$D$5:$D$40,Assumptions!$B68)*EF68*AO68,"")</f>
        <v>0</v>
      </c>
      <c r="CL68" s="41">
        <f ca="1">IFERROR(SUMIFS('TRA balance'!AM$5:AM$40,'TRA balance'!$C$5:$C$40,Assumptions!$C68,'TRA balance'!$D$5:$D$40,Assumptions!$B68)*EG68*AP68,"")</f>
        <v>0</v>
      </c>
      <c r="CM68" s="41">
        <f ca="1">IFERROR(SUMIFS('TRA balance'!AN$5:AN$40,'TRA balance'!$C$5:$C$40,Assumptions!$C68,'TRA balance'!$D$5:$D$40,Assumptions!$B68)*EH68*AQ68,"")</f>
        <v>0</v>
      </c>
      <c r="CN68" s="41">
        <f ca="1">IFERROR(SUMIFS('TRA balance'!AO$5:AO$40,'TRA balance'!$C$5:$C$40,Assumptions!$C68,'TRA balance'!$D$5:$D$40,Assumptions!$B68)*EI68*AR68,"")</f>
        <v>0</v>
      </c>
      <c r="CO68" s="41">
        <f ca="1">IFERROR(SUMIFS('TRA balance'!AP$5:AP$40,'TRA balance'!$C$5:$C$40,Assumptions!$C68,'TRA balance'!$D$5:$D$40,Assumptions!$B68)*EJ68*AS68,"")</f>
        <v>0</v>
      </c>
      <c r="CP68" s="41">
        <f ca="1">IFERROR(SUMIFS('TRA balance'!AQ$5:AQ$40,'TRA balance'!$C$5:$C$40,Assumptions!$C68,'TRA balance'!$D$5:$D$40,Assumptions!$B68)*EK68*AT68,"")</f>
        <v>0</v>
      </c>
      <c r="CQ68" s="41">
        <f ca="1">IFERROR(SUMIFS('TRA balance'!AR$5:AR$40,'TRA balance'!$C$5:$C$40,Assumptions!$C68,'TRA balance'!$D$5:$D$40,Assumptions!$B68)*EL68*AU68,"")</f>
        <v>0</v>
      </c>
      <c r="CR68" s="41">
        <f ca="1">IFERROR(SUMIFS('TRA balance'!AS$5:AS$40,'TRA balance'!$C$5:$C$40,Assumptions!$C68,'TRA balance'!$D$5:$D$40,Assumptions!$B68)*EM68*AV68,"")</f>
        <v>0</v>
      </c>
      <c r="CS68" s="41">
        <f ca="1">IFERROR(SUMIFS('TRA balance'!AT$5:AT$40,'TRA balance'!$C$5:$C$40,Assumptions!$C68,'TRA balance'!$D$5:$D$40,Assumptions!$B68)*EN68*AW68,"")</f>
        <v>0</v>
      </c>
      <c r="CT68" s="41">
        <f ca="1">IFERROR(SUMIFS('TRA balance'!AU$5:AU$40,'TRA balance'!$C$5:$C$40,Assumptions!$C68,'TRA balance'!$D$5:$D$40,Assumptions!$B68)*EO68*AX68,"")</f>
        <v>0</v>
      </c>
      <c r="CU68" s="41">
        <f ca="1">IFERROR(SUMIFS('TRA balance'!AV$5:AV$40,'TRA balance'!$C$5:$C$40,Assumptions!$C68,'TRA balance'!$D$5:$D$40,Assumptions!$B68)*EP68*AY68,"")</f>
        <v>0</v>
      </c>
      <c r="CV68" s="41">
        <f ca="1">IFERROR(SUMIFS('TRA balance'!AW$5:AW$40,'TRA balance'!$C$5:$C$40,Assumptions!$C68,'TRA balance'!$D$5:$D$40,Assumptions!$B68)*EQ68*AZ68,"")</f>
        <v>0</v>
      </c>
      <c r="CW68" s="41">
        <f ca="1">IFERROR(SUMIFS('TRA balance'!AX$5:AX$40,'TRA balance'!$C$5:$C$40,Assumptions!$C68,'TRA balance'!$D$5:$D$40,Assumptions!$B68)*ER68*BA68,"")</f>
        <v>0</v>
      </c>
      <c r="CY68" s="40">
        <f ca="1" t="shared" si="86"/>
        <v>1</v>
      </c>
      <c r="CZ68" s="40">
        <f ca="1" t="shared" si="87"/>
        <v>1</v>
      </c>
      <c r="DA68" s="40">
        <f ca="1" t="shared" si="88"/>
        <v>1</v>
      </c>
      <c r="DB68" s="40">
        <f ca="1" t="shared" si="89"/>
        <v>1</v>
      </c>
      <c r="DC68" s="40">
        <f ca="1" t="shared" si="90"/>
        <v>1</v>
      </c>
      <c r="DD68" s="40">
        <f ca="1" t="shared" si="91"/>
        <v>1</v>
      </c>
      <c r="DE68" s="40">
        <f ca="1" t="shared" si="92"/>
        <v>1</v>
      </c>
      <c r="DF68" s="40">
        <f ca="1" t="shared" si="93"/>
        <v>1</v>
      </c>
      <c r="DG68" s="40">
        <f ca="1" t="shared" si="94"/>
        <v>1</v>
      </c>
      <c r="DH68" s="40">
        <f ca="1" t="shared" si="95"/>
        <v>1</v>
      </c>
      <c r="DI68" s="40">
        <f ca="1" t="shared" si="96"/>
        <v>1</v>
      </c>
      <c r="DJ68" s="40">
        <f ca="1" t="shared" si="97"/>
        <v>1</v>
      </c>
      <c r="DK68" s="40">
        <f ca="1" t="shared" si="98"/>
        <v>1</v>
      </c>
      <c r="DL68" s="40">
        <f ca="1" t="shared" si="99"/>
        <v>1</v>
      </c>
      <c r="DM68" s="40">
        <f ca="1" t="shared" si="100"/>
        <v>1</v>
      </c>
      <c r="DN68" s="40">
        <f ca="1" t="shared" si="101"/>
        <v>1</v>
      </c>
      <c r="DO68" s="40">
        <f ca="1" t="shared" si="102"/>
        <v>1</v>
      </c>
      <c r="DP68" s="40">
        <f ca="1" t="shared" si="103"/>
        <v>1</v>
      </c>
      <c r="DQ68" s="40">
        <f ca="1" t="shared" si="104"/>
        <v>1</v>
      </c>
      <c r="DR68" s="40">
        <f ca="1" t="shared" si="105"/>
        <v>1</v>
      </c>
      <c r="DS68" s="40">
        <f ca="1" t="shared" si="106"/>
        <v>1</v>
      </c>
      <c r="DT68" s="40">
        <f ca="1" t="shared" si="107"/>
        <v>1</v>
      </c>
      <c r="DU68" s="40">
        <f ca="1" t="shared" si="108"/>
        <v>1</v>
      </c>
      <c r="DV68" s="40">
        <f ca="1" t="shared" si="109"/>
        <v>1</v>
      </c>
      <c r="DW68" s="40">
        <f ca="1" t="shared" si="110"/>
        <v>1</v>
      </c>
      <c r="DX68" s="40">
        <f ca="1" t="shared" si="111"/>
        <v>1</v>
      </c>
      <c r="DY68" s="40">
        <f ca="1" t="shared" si="112"/>
        <v>1</v>
      </c>
      <c r="DZ68" s="40">
        <f ca="1" t="shared" si="113"/>
        <v>1</v>
      </c>
      <c r="EA68" s="40">
        <f ca="1" t="shared" si="114"/>
        <v>1</v>
      </c>
      <c r="EB68" s="40">
        <f ca="1" t="shared" si="115"/>
        <v>1</v>
      </c>
      <c r="EC68" s="40">
        <f ca="1" t="shared" si="116"/>
        <v>1</v>
      </c>
      <c r="ED68" s="40">
        <f ca="1" t="shared" si="117"/>
        <v>1</v>
      </c>
      <c r="EE68" s="40">
        <f ca="1" t="shared" si="118"/>
        <v>1</v>
      </c>
      <c r="EF68" s="40">
        <f ca="1" t="shared" si="119"/>
        <v>1</v>
      </c>
      <c r="EG68" s="40">
        <f ca="1" t="shared" si="120"/>
        <v>1</v>
      </c>
      <c r="EH68" s="40">
        <f ca="1" t="shared" si="121"/>
        <v>1</v>
      </c>
      <c r="EI68" s="40">
        <f ca="1" t="shared" si="122"/>
        <v>1</v>
      </c>
      <c r="EJ68" s="40">
        <f ca="1" t="shared" si="123"/>
        <v>1</v>
      </c>
      <c r="EK68" s="40">
        <f ca="1" t="shared" si="124"/>
        <v>1</v>
      </c>
      <c r="EL68" s="40">
        <f ca="1" t="shared" si="125"/>
        <v>1</v>
      </c>
      <c r="EM68" s="40">
        <f ca="1" t="shared" si="126"/>
        <v>1</v>
      </c>
      <c r="EN68" s="40">
        <f ca="1" t="shared" si="127"/>
        <v>1</v>
      </c>
      <c r="EO68" s="40">
        <f ca="1" t="shared" si="128"/>
        <v>1</v>
      </c>
      <c r="EP68" s="40">
        <f ca="1" t="shared" si="129"/>
        <v>1</v>
      </c>
      <c r="EQ68" s="40">
        <f ca="1" t="shared" si="130"/>
        <v>1</v>
      </c>
      <c r="ER68" s="40">
        <f ca="1" t="shared" si="131"/>
        <v>1</v>
      </c>
    </row>
    <row r="69" spans="1:148">
      <c r="A69">
        <v>2</v>
      </c>
      <c r="B69" t="str">
        <f>VLOOKUP(F69,'TRA balance'!$BA$5:$BB$14,2,FALSE)</f>
        <v>TRABDS</v>
      </c>
      <c r="C69" s="56" t="str">
        <f t="shared" ref="C69:C102" si="133">LEFT(G69,2)</f>
        <v>TR</v>
      </c>
      <c r="D69" s="57" t="s">
        <v>200</v>
      </c>
      <c r="E69" s="68" t="s">
        <v>212</v>
      </c>
      <c r="F69" s="58" t="str">
        <f t="shared" si="84"/>
        <v>Bio Diesel</v>
      </c>
      <c r="G69" s="56" t="s">
        <v>213</v>
      </c>
      <c r="H69" s="59">
        <f ca="1">OFFSET(TIAM15_assumptions!$G69,0,MATCH(VLOOKUP(Assumptions!H$2,TIAM15_assumptions!$Y$3:$Z$87,2,FALSE),TIAM15_assumptions!$H$2:$V$2,0))</f>
        <v>0.35</v>
      </c>
      <c r="I69" s="59">
        <f ca="1">OFFSET(TIAM15_assumptions!$G69,0,MATCH(VLOOKUP(Assumptions!I$2,TIAM15_assumptions!$Y$3:$Z$87,2,FALSE),TIAM15_assumptions!$H$2:$V$2,0))</f>
        <v>0.35</v>
      </c>
      <c r="J69" s="59">
        <f ca="1">OFFSET(TIAM15_assumptions!$G69,0,MATCH(VLOOKUP(Assumptions!J$2,TIAM15_assumptions!$Y$3:$Z$87,2,FALSE),TIAM15_assumptions!$H$2:$V$2,0))</f>
        <v>0.15</v>
      </c>
      <c r="K69" s="59">
        <f ca="1">OFFSET(TIAM15_assumptions!$G69,0,MATCH(VLOOKUP(Assumptions!K$2,TIAM15_assumptions!$Y$3:$Z$87,2,FALSE),TIAM15_assumptions!$H$2:$V$2,0))</f>
        <v>0.05</v>
      </c>
      <c r="L69" s="59">
        <f ca="1">OFFSET(TIAM15_assumptions!$G69,0,MATCH(VLOOKUP(Assumptions!L$2,TIAM15_assumptions!$Y$3:$Z$87,2,FALSE),TIAM15_assumptions!$H$2:$V$2,0))</f>
        <v>0.1</v>
      </c>
      <c r="M69" s="59">
        <f ca="1">OFFSET(TIAM15_assumptions!$G69,0,MATCH(VLOOKUP(Assumptions!M$2,TIAM15_assumptions!$Y$3:$Z$87,2,FALSE),TIAM15_assumptions!$H$2:$V$2,0))</f>
        <v>0.05</v>
      </c>
      <c r="N69" s="59">
        <f ca="1">OFFSET(TIAM15_assumptions!$G69,0,MATCH(VLOOKUP(Assumptions!N$2,TIAM15_assumptions!$Y$3:$Z$87,2,FALSE),TIAM15_assumptions!$H$2:$V$2,0))</f>
        <v>0.1</v>
      </c>
      <c r="O69" s="59">
        <f ca="1">OFFSET(TIAM15_assumptions!$G69,0,MATCH(VLOOKUP(Assumptions!O$2,TIAM15_assumptions!$Y$3:$Z$87,2,FALSE),TIAM15_assumptions!$H$2:$V$2,0))</f>
        <v>0.35</v>
      </c>
      <c r="P69" s="59">
        <f ca="1">OFFSET(TIAM15_assumptions!$G69,0,MATCH(VLOOKUP(Assumptions!P$2,TIAM15_assumptions!$Y$3:$Z$87,2,FALSE),TIAM15_assumptions!$H$2:$V$2,0))</f>
        <v>0.1</v>
      </c>
      <c r="Q69" s="59">
        <f ca="1">OFFSET(TIAM15_assumptions!$G69,0,MATCH(VLOOKUP(Assumptions!Q$2,TIAM15_assumptions!$Y$3:$Z$87,2,FALSE),TIAM15_assumptions!$H$2:$V$2,0))</f>
        <v>0.1</v>
      </c>
      <c r="R69" s="59">
        <f ca="1">OFFSET(TIAM15_assumptions!$G69,0,MATCH(VLOOKUP(Assumptions!R$2,TIAM15_assumptions!$Y$3:$Z$87,2,FALSE),TIAM15_assumptions!$H$2:$V$2,0))</f>
        <v>0.05</v>
      </c>
      <c r="S69" s="59">
        <f ca="1">OFFSET(TIAM15_assumptions!$G69,0,MATCH(VLOOKUP(Assumptions!S$2,TIAM15_assumptions!$Y$3:$Z$87,2,FALSE),TIAM15_assumptions!$H$2:$V$2,0))</f>
        <v>0.05</v>
      </c>
      <c r="T69" s="59">
        <f ca="1">OFFSET(TIAM15_assumptions!$G69,0,MATCH(VLOOKUP(Assumptions!T$2,TIAM15_assumptions!$Y$3:$Z$87,2,FALSE),TIAM15_assumptions!$H$2:$V$2,0))</f>
        <v>0.05</v>
      </c>
      <c r="U69" s="59">
        <f ca="1">OFFSET(TIAM15_assumptions!$G69,0,MATCH(VLOOKUP(Assumptions!U$2,TIAM15_assumptions!$Y$3:$Z$87,2,FALSE),TIAM15_assumptions!$H$2:$V$2,0))</f>
        <v>0.1</v>
      </c>
      <c r="V69" s="59">
        <f ca="1">OFFSET(TIAM15_assumptions!$G69,0,MATCH(VLOOKUP(Assumptions!V$2,TIAM15_assumptions!$Y$3:$Z$87,2,FALSE),TIAM15_assumptions!$H$2:$V$2,0))</f>
        <v>0.05</v>
      </c>
      <c r="W69" s="59">
        <f ca="1">OFFSET(TIAM15_assumptions!$G69,0,MATCH(VLOOKUP(Assumptions!W$2,TIAM15_assumptions!$Y$3:$Z$87,2,FALSE),TIAM15_assumptions!$H$2:$V$2,0))</f>
        <v>0.25</v>
      </c>
      <c r="X69" s="59">
        <f ca="1">OFFSET(TIAM15_assumptions!$G69,0,MATCH(VLOOKUP(Assumptions!X$2,TIAM15_assumptions!$Y$3:$Z$87,2,FALSE),TIAM15_assumptions!$H$2:$V$2,0))</f>
        <v>0.05</v>
      </c>
      <c r="Y69" s="59">
        <f ca="1">OFFSET(TIAM15_assumptions!$G69,0,MATCH(VLOOKUP(Assumptions!Y$2,TIAM15_assumptions!$Y$3:$Z$87,2,FALSE),TIAM15_assumptions!$H$2:$V$2,0))</f>
        <v>0.05</v>
      </c>
      <c r="Z69" s="59">
        <f ca="1">OFFSET(TIAM15_assumptions!$G69,0,MATCH(VLOOKUP(Assumptions!Z$2,TIAM15_assumptions!$Y$3:$Z$87,2,FALSE),TIAM15_assumptions!$H$2:$V$2,0))</f>
        <v>0.05</v>
      </c>
      <c r="AA69" s="59">
        <f ca="1">OFFSET(TIAM15_assumptions!$G69,0,MATCH(VLOOKUP(Assumptions!AA$2,TIAM15_assumptions!$Y$3:$Z$87,2,FALSE),TIAM15_assumptions!$H$2:$V$2,0))</f>
        <v>0.1</v>
      </c>
      <c r="AB69" s="59">
        <f ca="1">OFFSET(TIAM15_assumptions!$G69,0,MATCH(VLOOKUP(Assumptions!AB$2,TIAM15_assumptions!$Y$3:$Z$87,2,FALSE),TIAM15_assumptions!$H$2:$V$2,0))</f>
        <v>0.1</v>
      </c>
      <c r="AC69" s="59">
        <f ca="1">OFFSET(TIAM15_assumptions!$G69,0,MATCH(VLOOKUP(Assumptions!AC$2,TIAM15_assumptions!$Y$3:$Z$87,2,FALSE),TIAM15_assumptions!$H$2:$V$2,0))</f>
        <v>0.04</v>
      </c>
      <c r="AD69" s="59">
        <f ca="1">OFFSET(TIAM15_assumptions!$G69,0,MATCH(VLOOKUP(Assumptions!AD$2,TIAM15_assumptions!$Y$3:$Z$87,2,FALSE),TIAM15_assumptions!$H$2:$V$2,0))</f>
        <v>0.05</v>
      </c>
      <c r="AE69" s="59">
        <f ca="1">OFFSET(TIAM15_assumptions!$G69,0,MATCH(VLOOKUP(Assumptions!AE$2,TIAM15_assumptions!$Y$3:$Z$87,2,FALSE),TIAM15_assumptions!$H$2:$V$2,0))</f>
        <v>0.1</v>
      </c>
      <c r="AF69" s="59">
        <f ca="1">OFFSET(TIAM15_assumptions!$G69,0,MATCH(VLOOKUP(Assumptions!AF$2,TIAM15_assumptions!$Y$3:$Z$87,2,FALSE),TIAM15_assumptions!$H$2:$V$2,0))</f>
        <v>0.15</v>
      </c>
      <c r="AG69" s="59">
        <f ca="1">OFFSET(TIAM15_assumptions!$G69,0,MATCH(VLOOKUP(Assumptions!AG$2,TIAM15_assumptions!$Y$3:$Z$87,2,FALSE),TIAM15_assumptions!$H$2:$V$2,0))</f>
        <v>0.1</v>
      </c>
      <c r="AH69" s="59">
        <f ca="1">OFFSET(TIAM15_assumptions!$G69,0,MATCH(VLOOKUP(Assumptions!AH$2,TIAM15_assumptions!$Y$3:$Z$87,2,FALSE),TIAM15_assumptions!$H$2:$V$2,0))</f>
        <v>0.1</v>
      </c>
      <c r="AI69" s="59">
        <f ca="1">OFFSET(TIAM15_assumptions!$G69,0,MATCH(VLOOKUP(Assumptions!AI$2,TIAM15_assumptions!$Y$3:$Z$87,2,FALSE),TIAM15_assumptions!$H$2:$V$2,0))</f>
        <v>0.35</v>
      </c>
      <c r="AJ69" s="59">
        <f ca="1">OFFSET(TIAM15_assumptions!$G69,0,MATCH(VLOOKUP(Assumptions!AJ$2,TIAM15_assumptions!$Y$3:$Z$87,2,FALSE),TIAM15_assumptions!$H$2:$V$2,0))</f>
        <v>0.05</v>
      </c>
      <c r="AK69" s="59">
        <f ca="1">OFFSET(TIAM15_assumptions!$G69,0,MATCH(VLOOKUP(Assumptions!AK$2,TIAM15_assumptions!$Y$3:$Z$87,2,FALSE),TIAM15_assumptions!$H$2:$V$2,0))</f>
        <v>0.05</v>
      </c>
      <c r="AL69" s="59">
        <f ca="1">OFFSET(TIAM15_assumptions!$G69,0,MATCH(VLOOKUP(Assumptions!AL$2,TIAM15_assumptions!$Y$3:$Z$87,2,FALSE),TIAM15_assumptions!$H$2:$V$2,0))</f>
        <v>0.05</v>
      </c>
      <c r="AM69" s="59">
        <f ca="1">OFFSET(TIAM15_assumptions!$G69,0,MATCH(VLOOKUP(Assumptions!AM$2,TIAM15_assumptions!$Y$3:$Z$87,2,FALSE),TIAM15_assumptions!$H$2:$V$2,0))</f>
        <v>0.1</v>
      </c>
      <c r="AN69" s="59">
        <f ca="1">OFFSET(TIAM15_assumptions!$G69,0,MATCH(VLOOKUP(Assumptions!AN$2,TIAM15_assumptions!$Y$3:$Z$87,2,FALSE),TIAM15_assumptions!$H$2:$V$2,0))</f>
        <v>0.05</v>
      </c>
      <c r="AO69" s="59">
        <f ca="1">OFFSET(TIAM15_assumptions!$G69,0,MATCH(VLOOKUP(Assumptions!AO$2,TIAM15_assumptions!$Y$3:$Z$87,2,FALSE),TIAM15_assumptions!$H$2:$V$2,0))</f>
        <v>0.1</v>
      </c>
      <c r="AP69" s="59">
        <f ca="1">OFFSET(TIAM15_assumptions!$G69,0,MATCH(VLOOKUP(Assumptions!AP$2,TIAM15_assumptions!$Y$3:$Z$87,2,FALSE),TIAM15_assumptions!$H$2:$V$2,0))</f>
        <v>0.1</v>
      </c>
      <c r="AQ69" s="59">
        <f ca="1">OFFSET(TIAM15_assumptions!$G69,0,MATCH(VLOOKUP(Assumptions!AQ$2,TIAM15_assumptions!$Y$3:$Z$87,2,FALSE),TIAM15_assumptions!$H$2:$V$2,0))</f>
        <v>0.04</v>
      </c>
      <c r="AR69" s="59">
        <f ca="1">OFFSET(TIAM15_assumptions!$G69,0,MATCH(VLOOKUP(Assumptions!AR$2,TIAM15_assumptions!$Y$3:$Z$87,2,FALSE),TIAM15_assumptions!$H$2:$V$2,0))</f>
        <v>0.04</v>
      </c>
      <c r="AS69" s="59">
        <f ca="1">OFFSET(TIAM15_assumptions!$G69,0,MATCH(VLOOKUP(Assumptions!AS$2,TIAM15_assumptions!$Y$3:$Z$87,2,FALSE),TIAM15_assumptions!$H$2:$V$2,0))</f>
        <v>0.04</v>
      </c>
      <c r="AT69" s="59">
        <f ca="1">OFFSET(TIAM15_assumptions!$G69,0,MATCH(VLOOKUP(Assumptions!AT$2,TIAM15_assumptions!$Y$3:$Z$87,2,FALSE),TIAM15_assumptions!$H$2:$V$2,0))</f>
        <v>0.04</v>
      </c>
      <c r="AU69" s="59">
        <f ca="1">OFFSET(TIAM15_assumptions!$G69,0,MATCH(VLOOKUP(Assumptions!AU$2,TIAM15_assumptions!$Y$3:$Z$87,2,FALSE),TIAM15_assumptions!$H$2:$V$2,0))</f>
        <v>0.04</v>
      </c>
      <c r="AV69" s="59">
        <f ca="1">OFFSET(TIAM15_assumptions!$G69,0,MATCH(VLOOKUP(Assumptions!AV$2,TIAM15_assumptions!$Y$3:$Z$87,2,FALSE),TIAM15_assumptions!$H$2:$V$2,0))</f>
        <v>0.04</v>
      </c>
      <c r="AW69" s="59">
        <f ca="1">OFFSET(TIAM15_assumptions!$G69,0,MATCH(VLOOKUP(Assumptions!AW$2,TIAM15_assumptions!$Y$3:$Z$87,2,FALSE),TIAM15_assumptions!$H$2:$V$2,0))</f>
        <v>0.04</v>
      </c>
      <c r="AX69" s="59">
        <f ca="1">OFFSET(TIAM15_assumptions!$G69,0,MATCH(VLOOKUP(Assumptions!AX$2,TIAM15_assumptions!$Y$3:$Z$87,2,FALSE),TIAM15_assumptions!$H$2:$V$2,0))</f>
        <v>0.04</v>
      </c>
      <c r="AY69" s="59">
        <f ca="1">OFFSET(TIAM15_assumptions!$G69,0,MATCH(VLOOKUP(Assumptions!AY$2,TIAM15_assumptions!$Y$3:$Z$87,2,FALSE),TIAM15_assumptions!$H$2:$V$2,0))</f>
        <v>0.04</v>
      </c>
      <c r="AZ69" s="59">
        <f ca="1">OFFSET(TIAM15_assumptions!$G69,0,MATCH(VLOOKUP(Assumptions!AZ$2,TIAM15_assumptions!$Y$3:$Z$87,2,FALSE),TIAM15_assumptions!$H$2:$V$2,0))</f>
        <v>0.04</v>
      </c>
      <c r="BA69" s="59">
        <f ca="1">OFFSET(TIAM15_assumptions!$G69,0,MATCH(VLOOKUP(Assumptions!BA$2,TIAM15_assumptions!$Y$3:$Z$87,2,FALSE),TIAM15_assumptions!$H$2:$V$2,0))</f>
        <v>0.04</v>
      </c>
      <c r="BD69" s="41">
        <f ca="1">IFERROR(SUMIFS('TRA balance'!E$5:E$40,'TRA balance'!$C$5:$C$40,Assumptions!$C69,'TRA balance'!$D$5:$D$40,Assumptions!$B69)*CY69*H69,"")</f>
        <v>0</v>
      </c>
      <c r="BE69" s="41">
        <f ca="1">IFERROR(SUMIFS('TRA balance'!F$5:F$40,'TRA balance'!$C$5:$C$40,Assumptions!$C69,'TRA balance'!$D$5:$D$40,Assumptions!$B69)*CZ69*I69,"")</f>
        <v>0</v>
      </c>
      <c r="BF69" s="41">
        <f ca="1">IFERROR(SUMIFS('TRA balance'!G$5:G$40,'TRA balance'!$C$5:$C$40,Assumptions!$C69,'TRA balance'!$D$5:$D$40,Assumptions!$B69)*DA69*J69,"")</f>
        <v>0.005409889884</v>
      </c>
      <c r="BG69" s="41">
        <f ca="1">IFERROR(SUMIFS('TRA balance'!H$5:H$40,'TRA balance'!$C$5:$C$40,Assumptions!$C69,'TRA balance'!$D$5:$D$40,Assumptions!$B69)*DB69*K69,"")</f>
        <v>0.712979215488</v>
      </c>
      <c r="BH69" s="41">
        <f ca="1">IFERROR(SUMIFS('TRA balance'!I$5:I$40,'TRA balance'!$C$5:$C$40,Assumptions!$C69,'TRA balance'!$D$5:$D$40,Assumptions!$B69)*DC69*L69,"")</f>
        <v>0.435417319152</v>
      </c>
      <c r="BI69" s="41">
        <f ca="1">IFERROR(SUMIFS('TRA balance'!J$5:J$40,'TRA balance'!$C$5:$C$40,Assumptions!$C69,'TRA balance'!$D$5:$D$40,Assumptions!$B69)*DD69*M69,"")</f>
        <v>1.477196321904</v>
      </c>
      <c r="BJ69" s="41">
        <f ca="1">IFERROR(SUMIFS('TRA balance'!K$5:K$40,'TRA balance'!$C$5:$C$40,Assumptions!$C69,'TRA balance'!$D$5:$D$40,Assumptions!$B69)*DE69*N69,"")</f>
        <v>60.5457829596024</v>
      </c>
      <c r="BK69" s="41">
        <f ca="1">IFERROR(SUMIFS('TRA balance'!L$5:L$40,'TRA balance'!$C$5:$C$40,Assumptions!$C69,'TRA balance'!$D$5:$D$40,Assumptions!$B69)*DF69*O69,"")</f>
        <v>11.93976017703</v>
      </c>
      <c r="BL69" s="41">
        <f ca="1">IFERROR(SUMIFS('TRA balance'!M$5:M$40,'TRA balance'!$C$5:$C$40,Assumptions!$C69,'TRA balance'!$D$5:$D$40,Assumptions!$B69)*DG69*P69,"")</f>
        <v>0.510663661056</v>
      </c>
      <c r="BM69" s="41">
        <f ca="1">IFERROR(SUMIFS('TRA balance'!N$5:N$40,'TRA balance'!$C$5:$C$40,Assumptions!$C69,'TRA balance'!$D$5:$D$40,Assumptions!$B69)*DH69*Q69,"")</f>
        <v>1.338387992064</v>
      </c>
      <c r="BN69" s="41">
        <f ca="1">IFERROR(SUMIFS('TRA balance'!O$5:O$40,'TRA balance'!$C$5:$C$40,Assumptions!$C69,'TRA balance'!$D$5:$D$40,Assumptions!$B69)*DI69*R69,"")</f>
        <v>4.228130247408</v>
      </c>
      <c r="BO69" s="41">
        <f ca="1">IFERROR(SUMIFS('TRA balance'!P$5:P$40,'TRA balance'!$C$5:$C$40,Assumptions!$C69,'TRA balance'!$D$5:$D$40,Assumptions!$B69)*DJ69*S69,"")</f>
        <v>3.163755587472</v>
      </c>
      <c r="BP69" s="41">
        <f ca="1">IFERROR(SUMIFS('TRA balance'!Q$5:Q$40,'TRA balance'!$C$5:$C$40,Assumptions!$C69,'TRA balance'!$D$5:$D$40,Assumptions!$B69)*DK69*T69,"")</f>
        <v>0.286629332832</v>
      </c>
      <c r="BQ69" s="41">
        <f ca="1">IFERROR(SUMIFS('TRA balance'!R$5:R$40,'TRA balance'!$C$5:$C$40,Assumptions!$C69,'TRA balance'!$D$5:$D$40,Assumptions!$B69)*DL69*U69,"")</f>
        <v>2.072931237216</v>
      </c>
      <c r="BR69" s="41">
        <f ca="1">IFERROR(SUMIFS('TRA balance'!S$5:S$40,'TRA balance'!$C$5:$C$40,Assumptions!$C69,'TRA balance'!$D$5:$D$40,Assumptions!$B69)*DM69*V69,"")</f>
        <v>0.02595732264</v>
      </c>
      <c r="BS69" s="41">
        <f ca="1">IFERROR(SUMIFS('TRA balance'!T$5:T$40,'TRA balance'!$C$5:$C$40,Assumptions!$C69,'TRA balance'!$D$5:$D$40,Assumptions!$B69)*DN69*W69,"")</f>
        <v>0.3069259344</v>
      </c>
      <c r="BT69" s="41">
        <f ca="1">IFERROR(SUMIFS('TRA balance'!U$5:U$40,'TRA balance'!$C$5:$C$40,Assumptions!$C69,'TRA balance'!$D$5:$D$40,Assumptions!$B69)*DO69*X69,"")</f>
        <v>0.27127282032</v>
      </c>
      <c r="BU69" s="41">
        <f ca="1">IFERROR(SUMIFS('TRA balance'!V$5:V$40,'TRA balance'!$C$5:$C$40,Assumptions!$C69,'TRA balance'!$D$5:$D$40,Assumptions!$B69)*DP69*Y69,"")</f>
        <v>2.104371258192</v>
      </c>
      <c r="BV69" s="41">
        <f ca="1">IFERROR(SUMIFS('TRA balance'!W$5:W$40,'TRA balance'!$C$5:$C$40,Assumptions!$C69,'TRA balance'!$D$5:$D$40,Assumptions!$B69)*DQ69*Z69,"")</f>
        <v>0.02466422946</v>
      </c>
      <c r="BW69" s="41">
        <f ca="1">IFERROR(SUMIFS('TRA balance'!X$5:X$40,'TRA balance'!$C$5:$C$40,Assumptions!$C69,'TRA balance'!$D$5:$D$40,Assumptions!$B69)*DR69*AA69,"")</f>
        <v>6.9065081305236</v>
      </c>
      <c r="BX69" s="41">
        <f ca="1">IFERROR(SUMIFS('TRA balance'!Y$5:Y$40,'TRA balance'!$C$5:$C$40,Assumptions!$C69,'TRA balance'!$D$5:$D$40,Assumptions!$B69)*DS69*AB69,"")</f>
        <v>0</v>
      </c>
      <c r="BY69" s="41">
        <f ca="1">IFERROR(SUMIFS('TRA balance'!Z$5:Z$40,'TRA balance'!$C$5:$C$40,Assumptions!$C69,'TRA balance'!$D$5:$D$40,Assumptions!$B69)*DT69*AC69,"")</f>
        <v>7.97018708786574</v>
      </c>
      <c r="BZ69" s="41">
        <f ca="1">IFERROR(SUMIFS('TRA balance'!AA$5:AA$40,'TRA balance'!$C$5:$C$40,Assumptions!$C69,'TRA balance'!$D$5:$D$40,Assumptions!$B69)*DU69*AD69,"")</f>
        <v>0.70170098112</v>
      </c>
      <c r="CA69" s="41">
        <f ca="1">IFERROR(SUMIFS('TRA balance'!AB$5:AB$40,'TRA balance'!$C$5:$C$40,Assumptions!$C69,'TRA balance'!$D$5:$D$40,Assumptions!$B69)*DV69*AE69,"")</f>
        <v>2.806112600064</v>
      </c>
      <c r="CB69" s="41">
        <f ca="1">IFERROR(SUMIFS('TRA balance'!AC$5:AC$40,'TRA balance'!$C$5:$C$40,Assumptions!$C69,'TRA balance'!$D$5:$D$40,Assumptions!$B69)*DW69*AF69,"")</f>
        <v>39.3389136538272</v>
      </c>
      <c r="CC69" s="41">
        <f ca="1">IFERROR(SUMIFS('TRA balance'!AD$5:AD$40,'TRA balance'!$C$5:$C$40,Assumptions!$C69,'TRA balance'!$D$5:$D$40,Assumptions!$B69)*DX69*AG69,"")</f>
        <v>0.006840037962</v>
      </c>
      <c r="CD69" s="41">
        <f ca="1">IFERROR(SUMIFS('TRA balance'!AE$5:AE$40,'TRA balance'!$C$5:$C$40,Assumptions!$C69,'TRA balance'!$D$5:$D$40,Assumptions!$B69)*DY69*AH69,"")</f>
        <v>0</v>
      </c>
      <c r="CE69" s="41">
        <f ca="1">IFERROR(SUMIFS('TRA balance'!AF$5:AF$40,'TRA balance'!$C$5:$C$40,Assumptions!$C69,'TRA balance'!$D$5:$D$40,Assumptions!$B69)*DZ69*AI69,"")</f>
        <v>0</v>
      </c>
      <c r="CF69" s="41">
        <f ca="1">IFERROR(SUMIFS('TRA balance'!AG$5:AG$40,'TRA balance'!$C$5:$C$40,Assumptions!$C69,'TRA balance'!$D$5:$D$40,Assumptions!$B69)*EA69*AJ69,"")</f>
        <v>2.943386886384</v>
      </c>
      <c r="CG69" s="41">
        <f ca="1">IFERROR(SUMIFS('TRA balance'!AH$5:AH$40,'TRA balance'!$C$5:$C$40,Assumptions!$C69,'TRA balance'!$D$5:$D$40,Assumptions!$B69)*EB69*AK69,"")</f>
        <v>2.866601979216</v>
      </c>
      <c r="CH69" s="41">
        <f ca="1">IFERROR(SUMIFS('TRA balance'!AI$5:AI$40,'TRA balance'!$C$5:$C$40,Assumptions!$C69,'TRA balance'!$D$5:$D$40,Assumptions!$B69)*EC69*AL69,"")</f>
        <v>0.25092999648</v>
      </c>
      <c r="CI69" s="41">
        <f ca="1">IFERROR(SUMIFS('TRA balance'!AJ$5:AJ$40,'TRA balance'!$C$5:$C$40,Assumptions!$C69,'TRA balance'!$D$5:$D$40,Assumptions!$B69)*ED69*AM69,"")</f>
        <v>0.430155013968</v>
      </c>
      <c r="CJ69" s="41">
        <f ca="1">IFERROR(SUMIFS('TRA balance'!AK$5:AK$40,'TRA balance'!$C$5:$C$40,Assumptions!$C69,'TRA balance'!$D$5:$D$40,Assumptions!$B69)*EE69*AN69,"")</f>
        <v>2.115424075248</v>
      </c>
      <c r="CK69" s="41">
        <f ca="1">IFERROR(SUMIFS('TRA balance'!AL$5:AL$40,'TRA balance'!$C$5:$C$40,Assumptions!$C69,'TRA balance'!$D$5:$D$40,Assumptions!$B69)*EF69*AO69,"")</f>
        <v>0</v>
      </c>
      <c r="CL69" s="41">
        <f ca="1">IFERROR(SUMIFS('TRA balance'!AM$5:AM$40,'TRA balance'!$C$5:$C$40,Assumptions!$C69,'TRA balance'!$D$5:$D$40,Assumptions!$B69)*EG69*AP69,"")</f>
        <v>0.402820736544</v>
      </c>
      <c r="CM69" s="41">
        <f ca="1">IFERROR(SUMIFS('TRA balance'!AN$5:AN$40,'TRA balance'!$C$5:$C$40,Assumptions!$C69,'TRA balance'!$D$5:$D$40,Assumptions!$B69)*EH69*AQ69,"")</f>
        <v>0</v>
      </c>
      <c r="CN69" s="41">
        <f ca="1">IFERROR(SUMIFS('TRA balance'!AO$5:AO$40,'TRA balance'!$C$5:$C$40,Assumptions!$C69,'TRA balance'!$D$5:$D$40,Assumptions!$B69)*EI69*AR69,"")</f>
        <v>0</v>
      </c>
      <c r="CO69" s="41">
        <f ca="1">IFERROR(SUMIFS('TRA balance'!AP$5:AP$40,'TRA balance'!$C$5:$C$40,Assumptions!$C69,'TRA balance'!$D$5:$D$40,Assumptions!$B69)*EJ69*AS69,"")</f>
        <v>0</v>
      </c>
      <c r="CP69" s="41">
        <f ca="1">IFERROR(SUMIFS('TRA balance'!AQ$5:AQ$40,'TRA balance'!$C$5:$C$40,Assumptions!$C69,'TRA balance'!$D$5:$D$40,Assumptions!$B69)*EK69*AT69,"")</f>
        <v>0</v>
      </c>
      <c r="CQ69" s="41">
        <f ca="1">IFERROR(SUMIFS('TRA balance'!AR$5:AR$40,'TRA balance'!$C$5:$C$40,Assumptions!$C69,'TRA balance'!$D$5:$D$40,Assumptions!$B69)*EL69*AU69,"")</f>
        <v>0</v>
      </c>
      <c r="CR69" s="41">
        <f ca="1">IFERROR(SUMIFS('TRA balance'!AS$5:AS$40,'TRA balance'!$C$5:$C$40,Assumptions!$C69,'TRA balance'!$D$5:$D$40,Assumptions!$B69)*EM69*AV69,"")</f>
        <v>0</v>
      </c>
      <c r="CS69" s="41">
        <f ca="1">IFERROR(SUMIFS('TRA balance'!AT$5:AT$40,'TRA balance'!$C$5:$C$40,Assumptions!$C69,'TRA balance'!$D$5:$D$40,Assumptions!$B69)*EN69*AW69,"")</f>
        <v>0</v>
      </c>
      <c r="CT69" s="41">
        <f ca="1">IFERROR(SUMIFS('TRA balance'!AU$5:AU$40,'TRA balance'!$C$5:$C$40,Assumptions!$C69,'TRA balance'!$D$5:$D$40,Assumptions!$B69)*EO69*AX69,"")</f>
        <v>0</v>
      </c>
      <c r="CU69" s="41">
        <f ca="1">IFERROR(SUMIFS('TRA balance'!AV$5:AV$40,'TRA balance'!$C$5:$C$40,Assumptions!$C69,'TRA balance'!$D$5:$D$40,Assumptions!$B69)*EP69*AY69,"")</f>
        <v>0</v>
      </c>
      <c r="CV69" s="41">
        <f ca="1">IFERROR(SUMIFS('TRA balance'!AW$5:AW$40,'TRA balance'!$C$5:$C$40,Assumptions!$C69,'TRA balance'!$D$5:$D$40,Assumptions!$B69)*EQ69*AZ69,"")</f>
        <v>0</v>
      </c>
      <c r="CW69" s="41">
        <f ca="1">IFERROR(SUMIFS('TRA balance'!AX$5:AX$40,'TRA balance'!$C$5:$C$40,Assumptions!$C69,'TRA balance'!$D$5:$D$40,Assumptions!$B69)*ER69*BA69,"")</f>
        <v>0</v>
      </c>
      <c r="CY69" s="40">
        <f ca="1" t="shared" si="86"/>
        <v>0.9</v>
      </c>
      <c r="CZ69" s="40">
        <f ca="1" t="shared" si="87"/>
        <v>0.9</v>
      </c>
      <c r="DA69" s="40">
        <f ca="1" t="shared" si="88"/>
        <v>0.98</v>
      </c>
      <c r="DB69" s="40">
        <f ca="1" t="shared" si="89"/>
        <v>0.8</v>
      </c>
      <c r="DC69" s="40">
        <f ca="1" t="shared" si="90"/>
        <v>0.95</v>
      </c>
      <c r="DD69" s="40">
        <f ca="1" t="shared" si="91"/>
        <v>0.8</v>
      </c>
      <c r="DE69" s="40">
        <f ca="1" t="shared" si="92"/>
        <v>0.93</v>
      </c>
      <c r="DF69" s="40">
        <f ca="1" t="shared" si="93"/>
        <v>0.9</v>
      </c>
      <c r="DG69" s="40">
        <f ca="1" t="shared" si="94"/>
        <v>0.8</v>
      </c>
      <c r="DH69" s="40">
        <f ca="1" t="shared" si="95"/>
        <v>0.8</v>
      </c>
      <c r="DI69" s="40">
        <f ca="1" t="shared" si="96"/>
        <v>0.8</v>
      </c>
      <c r="DJ69" s="40">
        <f ca="1" t="shared" si="97"/>
        <v>0.8</v>
      </c>
      <c r="DK69" s="40">
        <f ca="1" t="shared" si="98"/>
        <v>0.8</v>
      </c>
      <c r="DL69" s="40">
        <f ca="1" t="shared" si="99"/>
        <v>0.8</v>
      </c>
      <c r="DM69" s="40">
        <f ca="1" t="shared" si="100"/>
        <v>0.8</v>
      </c>
      <c r="DN69" s="40">
        <f ca="1" t="shared" si="101"/>
        <v>0.75</v>
      </c>
      <c r="DO69" s="40">
        <f ca="1" t="shared" si="102"/>
        <v>0.8</v>
      </c>
      <c r="DP69" s="40">
        <f ca="1" t="shared" si="103"/>
        <v>0.8</v>
      </c>
      <c r="DQ69" s="40">
        <f ca="1" t="shared" si="104"/>
        <v>0.95</v>
      </c>
      <c r="DR69" s="40">
        <f ca="1" t="shared" si="105"/>
        <v>0.93</v>
      </c>
      <c r="DS69" s="40">
        <f ca="1" t="shared" si="106"/>
        <v>0.9</v>
      </c>
      <c r="DT69" s="40">
        <f ca="1" t="shared" si="107"/>
        <v>0.975593578177383</v>
      </c>
      <c r="DU69" s="40">
        <f ca="1" t="shared" si="108"/>
        <v>0.8</v>
      </c>
      <c r="DV69" s="40">
        <f ca="1" t="shared" si="109"/>
        <v>0.8</v>
      </c>
      <c r="DW69" s="40">
        <f ca="1" t="shared" si="110"/>
        <v>0.92</v>
      </c>
      <c r="DX69" s="40">
        <f ca="1" t="shared" si="111"/>
        <v>0.95</v>
      </c>
      <c r="DY69" s="40">
        <f ca="1" t="shared" si="112"/>
        <v>0.9</v>
      </c>
      <c r="DZ69" s="40">
        <f ca="1" t="shared" si="113"/>
        <v>0.9</v>
      </c>
      <c r="EA69" s="40">
        <f ca="1" t="shared" si="114"/>
        <v>0.8</v>
      </c>
      <c r="EB69" s="40">
        <f ca="1" t="shared" si="115"/>
        <v>0.8</v>
      </c>
      <c r="EC69" s="40">
        <f ca="1" t="shared" si="116"/>
        <v>0.8</v>
      </c>
      <c r="ED69" s="40">
        <f ca="1" t="shared" si="117"/>
        <v>0.9</v>
      </c>
      <c r="EE69" s="40">
        <f ca="1" t="shared" si="118"/>
        <v>0.8</v>
      </c>
      <c r="EF69" s="40">
        <f ca="1" t="shared" si="119"/>
        <v>0.95</v>
      </c>
      <c r="EG69" s="40">
        <f ca="1" t="shared" si="120"/>
        <v>0.8</v>
      </c>
      <c r="EH69" s="40">
        <f ca="1" t="shared" si="121"/>
        <v>0.975593578177383</v>
      </c>
      <c r="EI69" s="40">
        <f ca="1" t="shared" si="122"/>
        <v>0.975593578177383</v>
      </c>
      <c r="EJ69" s="40">
        <f ca="1" t="shared" si="123"/>
        <v>0.975593578177383</v>
      </c>
      <c r="EK69" s="40">
        <f ca="1" t="shared" si="124"/>
        <v>0.975593578177383</v>
      </c>
      <c r="EL69" s="40">
        <f ca="1" t="shared" si="125"/>
        <v>0.975593578177383</v>
      </c>
      <c r="EM69" s="40">
        <f ca="1" t="shared" si="126"/>
        <v>0.975593578177383</v>
      </c>
      <c r="EN69" s="40">
        <f ca="1" t="shared" si="127"/>
        <v>0.975593578177383</v>
      </c>
      <c r="EO69" s="40">
        <f ca="1" t="shared" si="128"/>
        <v>0.975593578177383</v>
      </c>
      <c r="EP69" s="40">
        <f ca="1" t="shared" si="129"/>
        <v>0.975593578177383</v>
      </c>
      <c r="EQ69" s="40">
        <f ca="1" t="shared" si="130"/>
        <v>0.975593578177383</v>
      </c>
      <c r="ER69" s="40">
        <f ca="1" t="shared" si="131"/>
        <v>0.975593578177383</v>
      </c>
    </row>
    <row r="70" spans="1:148">
      <c r="A70">
        <v>2</v>
      </c>
      <c r="B70" t="str">
        <f>VLOOKUP(F70,'TRA balance'!$BA$5:$BB$14,2,FALSE)</f>
        <v>TRABDS</v>
      </c>
      <c r="C70" s="56" t="str">
        <f t="shared" si="133"/>
        <v>TR</v>
      </c>
      <c r="D70" s="57" t="s">
        <v>200</v>
      </c>
      <c r="E70" s="68" t="s">
        <v>214</v>
      </c>
      <c r="F70" s="58" t="str">
        <f t="shared" ref="F70:F76" si="134">F69</f>
        <v>Bio Diesel</v>
      </c>
      <c r="G70" s="56" t="s">
        <v>215</v>
      </c>
      <c r="H70" s="59">
        <f ca="1">OFFSET(TIAM15_assumptions!$G70,0,MATCH(VLOOKUP(Assumptions!H$2,TIAM15_assumptions!$Y$3:$Z$87,2,FALSE),TIAM15_assumptions!$H$2:$V$2,0))</f>
        <v>0.35</v>
      </c>
      <c r="I70" s="59">
        <f ca="1">OFFSET(TIAM15_assumptions!$G70,0,MATCH(VLOOKUP(Assumptions!I$2,TIAM15_assumptions!$Y$3:$Z$87,2,FALSE),TIAM15_assumptions!$H$2:$V$2,0))</f>
        <v>0.35</v>
      </c>
      <c r="J70" s="59">
        <f ca="1">OFFSET(TIAM15_assumptions!$G70,0,MATCH(VLOOKUP(Assumptions!J$2,TIAM15_assumptions!$Y$3:$Z$87,2,FALSE),TIAM15_assumptions!$H$2:$V$2,0))</f>
        <v>0.35</v>
      </c>
      <c r="K70" s="59">
        <f ca="1">OFFSET(TIAM15_assumptions!$G70,0,MATCH(VLOOKUP(Assumptions!K$2,TIAM15_assumptions!$Y$3:$Z$87,2,FALSE),TIAM15_assumptions!$H$2:$V$2,0))</f>
        <v>0.5</v>
      </c>
      <c r="L70" s="59">
        <f ca="1">OFFSET(TIAM15_assumptions!$G70,0,MATCH(VLOOKUP(Assumptions!L$2,TIAM15_assumptions!$Y$3:$Z$87,2,FALSE),TIAM15_assumptions!$H$2:$V$2,0))</f>
        <v>0.6</v>
      </c>
      <c r="M70" s="59">
        <f ca="1">OFFSET(TIAM15_assumptions!$G70,0,MATCH(VLOOKUP(Assumptions!M$2,TIAM15_assumptions!$Y$3:$Z$87,2,FALSE),TIAM15_assumptions!$H$2:$V$2,0))</f>
        <v>0.5</v>
      </c>
      <c r="N70" s="59">
        <f ca="1">OFFSET(TIAM15_assumptions!$G70,0,MATCH(VLOOKUP(Assumptions!N$2,TIAM15_assumptions!$Y$3:$Z$87,2,FALSE),TIAM15_assumptions!$H$2:$V$2,0))</f>
        <v>0.5</v>
      </c>
      <c r="O70" s="59">
        <f ca="1">OFFSET(TIAM15_assumptions!$G70,0,MATCH(VLOOKUP(Assumptions!O$2,TIAM15_assumptions!$Y$3:$Z$87,2,FALSE),TIAM15_assumptions!$H$2:$V$2,0))</f>
        <v>0.35</v>
      </c>
      <c r="P70" s="59">
        <f ca="1">OFFSET(TIAM15_assumptions!$G70,0,MATCH(VLOOKUP(Assumptions!P$2,TIAM15_assumptions!$Y$3:$Z$87,2,FALSE),TIAM15_assumptions!$H$2:$V$2,0))</f>
        <v>0.5</v>
      </c>
      <c r="Q70" s="59">
        <f ca="1">OFFSET(TIAM15_assumptions!$G70,0,MATCH(VLOOKUP(Assumptions!Q$2,TIAM15_assumptions!$Y$3:$Z$87,2,FALSE),TIAM15_assumptions!$H$2:$V$2,0))</f>
        <v>0.5</v>
      </c>
      <c r="R70" s="59">
        <f ca="1">OFFSET(TIAM15_assumptions!$G70,0,MATCH(VLOOKUP(Assumptions!R$2,TIAM15_assumptions!$Y$3:$Z$87,2,FALSE),TIAM15_assumptions!$H$2:$V$2,0))</f>
        <v>0.5</v>
      </c>
      <c r="S70" s="59">
        <f ca="1">OFFSET(TIAM15_assumptions!$G70,0,MATCH(VLOOKUP(Assumptions!S$2,TIAM15_assumptions!$Y$3:$Z$87,2,FALSE),TIAM15_assumptions!$H$2:$V$2,0))</f>
        <v>0.5</v>
      </c>
      <c r="T70" s="59">
        <f ca="1">OFFSET(TIAM15_assumptions!$G70,0,MATCH(VLOOKUP(Assumptions!T$2,TIAM15_assumptions!$Y$3:$Z$87,2,FALSE),TIAM15_assumptions!$H$2:$V$2,0))</f>
        <v>0.5</v>
      </c>
      <c r="U70" s="59">
        <f ca="1">OFFSET(TIAM15_assumptions!$G70,0,MATCH(VLOOKUP(Assumptions!U$2,TIAM15_assumptions!$Y$3:$Z$87,2,FALSE),TIAM15_assumptions!$H$2:$V$2,0))</f>
        <v>0.5</v>
      </c>
      <c r="V70" s="59">
        <f ca="1">OFFSET(TIAM15_assumptions!$G70,0,MATCH(VLOOKUP(Assumptions!V$2,TIAM15_assumptions!$Y$3:$Z$87,2,FALSE),TIAM15_assumptions!$H$2:$V$2,0))</f>
        <v>0.5</v>
      </c>
      <c r="W70" s="59">
        <f ca="1">OFFSET(TIAM15_assumptions!$G70,0,MATCH(VLOOKUP(Assumptions!W$2,TIAM15_assumptions!$Y$3:$Z$87,2,FALSE),TIAM15_assumptions!$H$2:$V$2,0))</f>
        <v>0.3</v>
      </c>
      <c r="X70" s="59">
        <f ca="1">OFFSET(TIAM15_assumptions!$G70,0,MATCH(VLOOKUP(Assumptions!X$2,TIAM15_assumptions!$Y$3:$Z$87,2,FALSE),TIAM15_assumptions!$H$2:$V$2,0))</f>
        <v>0.5</v>
      </c>
      <c r="Y70" s="59">
        <f ca="1">OFFSET(TIAM15_assumptions!$G70,0,MATCH(VLOOKUP(Assumptions!Y$2,TIAM15_assumptions!$Y$3:$Z$87,2,FALSE),TIAM15_assumptions!$H$2:$V$2,0))</f>
        <v>0.5</v>
      </c>
      <c r="Z70" s="59">
        <f ca="1">OFFSET(TIAM15_assumptions!$G70,0,MATCH(VLOOKUP(Assumptions!Z$2,TIAM15_assumptions!$Y$3:$Z$87,2,FALSE),TIAM15_assumptions!$H$2:$V$2,0))</f>
        <v>0.5</v>
      </c>
      <c r="AA70" s="59">
        <f ca="1">OFFSET(TIAM15_assumptions!$G70,0,MATCH(VLOOKUP(Assumptions!AA$2,TIAM15_assumptions!$Y$3:$Z$87,2,FALSE),TIAM15_assumptions!$H$2:$V$2,0))</f>
        <v>0.5</v>
      </c>
      <c r="AB70" s="59">
        <f ca="1">OFFSET(TIAM15_assumptions!$G70,0,MATCH(VLOOKUP(Assumptions!AB$2,TIAM15_assumptions!$Y$3:$Z$87,2,FALSE),TIAM15_assumptions!$H$2:$V$2,0))</f>
        <v>0.5</v>
      </c>
      <c r="AC70" s="59">
        <f ca="1">OFFSET(TIAM15_assumptions!$G70,0,MATCH(VLOOKUP(Assumptions!AC$2,TIAM15_assumptions!$Y$3:$Z$87,2,FALSE),TIAM15_assumptions!$H$2:$V$2,0))</f>
        <v>0.8</v>
      </c>
      <c r="AD70" s="59">
        <f ca="1">OFFSET(TIAM15_assumptions!$G70,0,MATCH(VLOOKUP(Assumptions!AD$2,TIAM15_assumptions!$Y$3:$Z$87,2,FALSE),TIAM15_assumptions!$H$2:$V$2,0))</f>
        <v>0.5</v>
      </c>
      <c r="AE70" s="59">
        <f ca="1">OFFSET(TIAM15_assumptions!$G70,0,MATCH(VLOOKUP(Assumptions!AE$2,TIAM15_assumptions!$Y$3:$Z$87,2,FALSE),TIAM15_assumptions!$H$2:$V$2,0))</f>
        <v>0.5</v>
      </c>
      <c r="AF70" s="59">
        <f ca="1">OFFSET(TIAM15_assumptions!$G70,0,MATCH(VLOOKUP(Assumptions!AF$2,TIAM15_assumptions!$Y$3:$Z$87,2,FALSE),TIAM15_assumptions!$H$2:$V$2,0))</f>
        <v>0.5</v>
      </c>
      <c r="AG70" s="59">
        <f ca="1">OFFSET(TIAM15_assumptions!$G70,0,MATCH(VLOOKUP(Assumptions!AG$2,TIAM15_assumptions!$Y$3:$Z$87,2,FALSE),TIAM15_assumptions!$H$2:$V$2,0))</f>
        <v>0.6</v>
      </c>
      <c r="AH70" s="59">
        <f ca="1">OFFSET(TIAM15_assumptions!$G70,0,MATCH(VLOOKUP(Assumptions!AH$2,TIAM15_assumptions!$Y$3:$Z$87,2,FALSE),TIAM15_assumptions!$H$2:$V$2,0))</f>
        <v>0.5</v>
      </c>
      <c r="AI70" s="59">
        <f ca="1">OFFSET(TIAM15_assumptions!$G70,0,MATCH(VLOOKUP(Assumptions!AI$2,TIAM15_assumptions!$Y$3:$Z$87,2,FALSE),TIAM15_assumptions!$H$2:$V$2,0))</f>
        <v>0.35</v>
      </c>
      <c r="AJ70" s="59">
        <f ca="1">OFFSET(TIAM15_assumptions!$G70,0,MATCH(VLOOKUP(Assumptions!AJ$2,TIAM15_assumptions!$Y$3:$Z$87,2,FALSE),TIAM15_assumptions!$H$2:$V$2,0))</f>
        <v>0.5</v>
      </c>
      <c r="AK70" s="59">
        <f ca="1">OFFSET(TIAM15_assumptions!$G70,0,MATCH(VLOOKUP(Assumptions!AK$2,TIAM15_assumptions!$Y$3:$Z$87,2,FALSE),TIAM15_assumptions!$H$2:$V$2,0))</f>
        <v>0.5</v>
      </c>
      <c r="AL70" s="59">
        <f ca="1">OFFSET(TIAM15_assumptions!$G70,0,MATCH(VLOOKUP(Assumptions!AL$2,TIAM15_assumptions!$Y$3:$Z$87,2,FALSE),TIAM15_assumptions!$H$2:$V$2,0))</f>
        <v>0.5</v>
      </c>
      <c r="AM70" s="59">
        <f ca="1">OFFSET(TIAM15_assumptions!$G70,0,MATCH(VLOOKUP(Assumptions!AM$2,TIAM15_assumptions!$Y$3:$Z$87,2,FALSE),TIAM15_assumptions!$H$2:$V$2,0))</f>
        <v>0.5</v>
      </c>
      <c r="AN70" s="59">
        <f ca="1">OFFSET(TIAM15_assumptions!$G70,0,MATCH(VLOOKUP(Assumptions!AN$2,TIAM15_assumptions!$Y$3:$Z$87,2,FALSE),TIAM15_assumptions!$H$2:$V$2,0))</f>
        <v>0.5</v>
      </c>
      <c r="AO70" s="59">
        <f ca="1">OFFSET(TIAM15_assumptions!$G70,0,MATCH(VLOOKUP(Assumptions!AO$2,TIAM15_assumptions!$Y$3:$Z$87,2,FALSE),TIAM15_assumptions!$H$2:$V$2,0))</f>
        <v>0.6</v>
      </c>
      <c r="AP70" s="59">
        <f ca="1">OFFSET(TIAM15_assumptions!$G70,0,MATCH(VLOOKUP(Assumptions!AP$2,TIAM15_assumptions!$Y$3:$Z$87,2,FALSE),TIAM15_assumptions!$H$2:$V$2,0))</f>
        <v>0.5</v>
      </c>
      <c r="AQ70" s="59">
        <f ca="1">OFFSET(TIAM15_assumptions!$G70,0,MATCH(VLOOKUP(Assumptions!AQ$2,TIAM15_assumptions!$Y$3:$Z$87,2,FALSE),TIAM15_assumptions!$H$2:$V$2,0))</f>
        <v>0.8</v>
      </c>
      <c r="AR70" s="59">
        <f ca="1">OFFSET(TIAM15_assumptions!$G70,0,MATCH(VLOOKUP(Assumptions!AR$2,TIAM15_assumptions!$Y$3:$Z$87,2,FALSE),TIAM15_assumptions!$H$2:$V$2,0))</f>
        <v>0.8</v>
      </c>
      <c r="AS70" s="59">
        <f ca="1">OFFSET(TIAM15_assumptions!$G70,0,MATCH(VLOOKUP(Assumptions!AS$2,TIAM15_assumptions!$Y$3:$Z$87,2,FALSE),TIAM15_assumptions!$H$2:$V$2,0))</f>
        <v>0.8</v>
      </c>
      <c r="AT70" s="59">
        <f ca="1">OFFSET(TIAM15_assumptions!$G70,0,MATCH(VLOOKUP(Assumptions!AT$2,TIAM15_assumptions!$Y$3:$Z$87,2,FALSE),TIAM15_assumptions!$H$2:$V$2,0))</f>
        <v>0.8</v>
      </c>
      <c r="AU70" s="59">
        <f ca="1">OFFSET(TIAM15_assumptions!$G70,0,MATCH(VLOOKUP(Assumptions!AU$2,TIAM15_assumptions!$Y$3:$Z$87,2,FALSE),TIAM15_assumptions!$H$2:$V$2,0))</f>
        <v>0.8</v>
      </c>
      <c r="AV70" s="59">
        <f ca="1">OFFSET(TIAM15_assumptions!$G70,0,MATCH(VLOOKUP(Assumptions!AV$2,TIAM15_assumptions!$Y$3:$Z$87,2,FALSE),TIAM15_assumptions!$H$2:$V$2,0))</f>
        <v>0.8</v>
      </c>
      <c r="AW70" s="59">
        <f ca="1">OFFSET(TIAM15_assumptions!$G70,0,MATCH(VLOOKUP(Assumptions!AW$2,TIAM15_assumptions!$Y$3:$Z$87,2,FALSE),TIAM15_assumptions!$H$2:$V$2,0))</f>
        <v>0.8</v>
      </c>
      <c r="AX70" s="59">
        <f ca="1">OFFSET(TIAM15_assumptions!$G70,0,MATCH(VLOOKUP(Assumptions!AX$2,TIAM15_assumptions!$Y$3:$Z$87,2,FALSE),TIAM15_assumptions!$H$2:$V$2,0))</f>
        <v>0.8</v>
      </c>
      <c r="AY70" s="59">
        <f ca="1">OFFSET(TIAM15_assumptions!$G70,0,MATCH(VLOOKUP(Assumptions!AY$2,TIAM15_assumptions!$Y$3:$Z$87,2,FALSE),TIAM15_assumptions!$H$2:$V$2,0))</f>
        <v>0.8</v>
      </c>
      <c r="AZ70" s="59">
        <f ca="1">OFFSET(TIAM15_assumptions!$G70,0,MATCH(VLOOKUP(Assumptions!AZ$2,TIAM15_assumptions!$Y$3:$Z$87,2,FALSE),TIAM15_assumptions!$H$2:$V$2,0))</f>
        <v>0.8</v>
      </c>
      <c r="BA70" s="59">
        <f ca="1">OFFSET(TIAM15_assumptions!$G70,0,MATCH(VLOOKUP(Assumptions!BA$2,TIAM15_assumptions!$Y$3:$Z$87,2,FALSE),TIAM15_assumptions!$H$2:$V$2,0))</f>
        <v>0.8</v>
      </c>
      <c r="BD70" s="41">
        <f ca="1">IFERROR(SUMIFS('TRA balance'!E$5:E$40,'TRA balance'!$C$5:$C$40,Assumptions!$C70,'TRA balance'!$D$5:$D$40,Assumptions!$B70)*CY70*H70,"")</f>
        <v>0</v>
      </c>
      <c r="BE70" s="41">
        <f ca="1">IFERROR(SUMIFS('TRA balance'!F$5:F$40,'TRA balance'!$C$5:$C$40,Assumptions!$C70,'TRA balance'!$D$5:$D$40,Assumptions!$B70)*CZ70*I70,"")</f>
        <v>0</v>
      </c>
      <c r="BF70" s="41">
        <f ca="1">IFERROR(SUMIFS('TRA balance'!G$5:G$40,'TRA balance'!$C$5:$C$40,Assumptions!$C70,'TRA balance'!$D$5:$D$40,Assumptions!$B70)*DA70*J70,"")</f>
        <v>0.012623076396</v>
      </c>
      <c r="BG70" s="41">
        <f ca="1">IFERROR(SUMIFS('TRA balance'!H$5:H$40,'TRA balance'!$C$5:$C$40,Assumptions!$C70,'TRA balance'!$D$5:$D$40,Assumptions!$B70)*DB70*K70,"")</f>
        <v>7.12979215488</v>
      </c>
      <c r="BH70" s="41">
        <f ca="1">IFERROR(SUMIFS('TRA balance'!I$5:I$40,'TRA balance'!$C$5:$C$40,Assumptions!$C70,'TRA balance'!$D$5:$D$40,Assumptions!$B70)*DC70*L70,"")</f>
        <v>2.612503914912</v>
      </c>
      <c r="BI70" s="41">
        <f ca="1">IFERROR(SUMIFS('TRA balance'!J$5:J$40,'TRA balance'!$C$5:$C$40,Assumptions!$C70,'TRA balance'!$D$5:$D$40,Assumptions!$B70)*DD70*M70,"")</f>
        <v>14.77196321904</v>
      </c>
      <c r="BJ70" s="41">
        <f ca="1">IFERROR(SUMIFS('TRA balance'!K$5:K$40,'TRA balance'!$C$5:$C$40,Assumptions!$C70,'TRA balance'!$D$5:$D$40,Assumptions!$B70)*DE70*N70,"")</f>
        <v>302.728914798012</v>
      </c>
      <c r="BK70" s="41">
        <f ca="1">IFERROR(SUMIFS('TRA balance'!L$5:L$40,'TRA balance'!$C$5:$C$40,Assumptions!$C70,'TRA balance'!$D$5:$D$40,Assumptions!$B70)*DF70*O70,"")</f>
        <v>11.93976017703</v>
      </c>
      <c r="BL70" s="41">
        <f ca="1">IFERROR(SUMIFS('TRA balance'!M$5:M$40,'TRA balance'!$C$5:$C$40,Assumptions!$C70,'TRA balance'!$D$5:$D$40,Assumptions!$B70)*DG70*P70,"")</f>
        <v>2.55331830528</v>
      </c>
      <c r="BM70" s="41">
        <f ca="1">IFERROR(SUMIFS('TRA balance'!N$5:N$40,'TRA balance'!$C$5:$C$40,Assumptions!$C70,'TRA balance'!$D$5:$D$40,Assumptions!$B70)*DH70*Q70,"")</f>
        <v>6.69193996032</v>
      </c>
      <c r="BN70" s="41">
        <f ca="1">IFERROR(SUMIFS('TRA balance'!O$5:O$40,'TRA balance'!$C$5:$C$40,Assumptions!$C70,'TRA balance'!$D$5:$D$40,Assumptions!$B70)*DI70*R70,"")</f>
        <v>42.28130247408</v>
      </c>
      <c r="BO70" s="41">
        <f ca="1">IFERROR(SUMIFS('TRA balance'!P$5:P$40,'TRA balance'!$C$5:$C$40,Assumptions!$C70,'TRA balance'!$D$5:$D$40,Assumptions!$B70)*DJ70*S70,"")</f>
        <v>31.63755587472</v>
      </c>
      <c r="BP70" s="41">
        <f ca="1">IFERROR(SUMIFS('TRA balance'!Q$5:Q$40,'TRA balance'!$C$5:$C$40,Assumptions!$C70,'TRA balance'!$D$5:$D$40,Assumptions!$B70)*DK70*T70,"")</f>
        <v>2.86629332832</v>
      </c>
      <c r="BQ70" s="41">
        <f ca="1">IFERROR(SUMIFS('TRA balance'!R$5:R$40,'TRA balance'!$C$5:$C$40,Assumptions!$C70,'TRA balance'!$D$5:$D$40,Assumptions!$B70)*DL70*U70,"")</f>
        <v>10.36465618608</v>
      </c>
      <c r="BR70" s="41">
        <f ca="1">IFERROR(SUMIFS('TRA balance'!S$5:S$40,'TRA balance'!$C$5:$C$40,Assumptions!$C70,'TRA balance'!$D$5:$D$40,Assumptions!$B70)*DM70*V70,"")</f>
        <v>0.2595732264</v>
      </c>
      <c r="BS70" s="41">
        <f ca="1">IFERROR(SUMIFS('TRA balance'!T$5:T$40,'TRA balance'!$C$5:$C$40,Assumptions!$C70,'TRA balance'!$D$5:$D$40,Assumptions!$B70)*DN70*W70,"")</f>
        <v>0.36831112128</v>
      </c>
      <c r="BT70" s="41">
        <f ca="1">IFERROR(SUMIFS('TRA balance'!U$5:U$40,'TRA balance'!$C$5:$C$40,Assumptions!$C70,'TRA balance'!$D$5:$D$40,Assumptions!$B70)*DO70*X70,"")</f>
        <v>2.7127282032</v>
      </c>
      <c r="BU70" s="41">
        <f ca="1">IFERROR(SUMIFS('TRA balance'!V$5:V$40,'TRA balance'!$C$5:$C$40,Assumptions!$C70,'TRA balance'!$D$5:$D$40,Assumptions!$B70)*DP70*Y70,"")</f>
        <v>21.04371258192</v>
      </c>
      <c r="BV70" s="41">
        <f ca="1">IFERROR(SUMIFS('TRA balance'!W$5:W$40,'TRA balance'!$C$5:$C$40,Assumptions!$C70,'TRA balance'!$D$5:$D$40,Assumptions!$B70)*DQ70*Z70,"")</f>
        <v>0.2466422946</v>
      </c>
      <c r="BW70" s="41">
        <f ca="1">IFERROR(SUMIFS('TRA balance'!X$5:X$40,'TRA balance'!$C$5:$C$40,Assumptions!$C70,'TRA balance'!$D$5:$D$40,Assumptions!$B70)*DR70*AA70,"")</f>
        <v>34.532540652618</v>
      </c>
      <c r="BX70" s="41">
        <f ca="1">IFERROR(SUMIFS('TRA balance'!Y$5:Y$40,'TRA balance'!$C$5:$C$40,Assumptions!$C70,'TRA balance'!$D$5:$D$40,Assumptions!$B70)*DS70*AB70,"")</f>
        <v>0</v>
      </c>
      <c r="BY70" s="41">
        <f ca="1">IFERROR(SUMIFS('TRA balance'!Z$5:Z$40,'TRA balance'!$C$5:$C$40,Assumptions!$C70,'TRA balance'!$D$5:$D$40,Assumptions!$B70)*DT70*AC70,"")</f>
        <v>159.403741757315</v>
      </c>
      <c r="BZ70" s="41">
        <f ca="1">IFERROR(SUMIFS('TRA balance'!AA$5:AA$40,'TRA balance'!$C$5:$C$40,Assumptions!$C70,'TRA balance'!$D$5:$D$40,Assumptions!$B70)*DU70*AD70,"")</f>
        <v>7.0170098112</v>
      </c>
      <c r="CA70" s="41">
        <f ca="1">IFERROR(SUMIFS('TRA balance'!AB$5:AB$40,'TRA balance'!$C$5:$C$40,Assumptions!$C70,'TRA balance'!$D$5:$D$40,Assumptions!$B70)*DV70*AE70,"")</f>
        <v>14.03056300032</v>
      </c>
      <c r="CB70" s="41">
        <f ca="1">IFERROR(SUMIFS('TRA balance'!AC$5:AC$40,'TRA balance'!$C$5:$C$40,Assumptions!$C70,'TRA balance'!$D$5:$D$40,Assumptions!$B70)*DW70*AF70,"")</f>
        <v>131.129712179424</v>
      </c>
      <c r="CC70" s="41">
        <f ca="1">IFERROR(SUMIFS('TRA balance'!AD$5:AD$40,'TRA balance'!$C$5:$C$40,Assumptions!$C70,'TRA balance'!$D$5:$D$40,Assumptions!$B70)*DX70*AG70,"")</f>
        <v>0.041040227772</v>
      </c>
      <c r="CD70" s="41">
        <f ca="1">IFERROR(SUMIFS('TRA balance'!AE$5:AE$40,'TRA balance'!$C$5:$C$40,Assumptions!$C70,'TRA balance'!$D$5:$D$40,Assumptions!$B70)*DY70*AH70,"")</f>
        <v>0</v>
      </c>
      <c r="CE70" s="41">
        <f ca="1">IFERROR(SUMIFS('TRA balance'!AF$5:AF$40,'TRA balance'!$C$5:$C$40,Assumptions!$C70,'TRA balance'!$D$5:$D$40,Assumptions!$B70)*DZ70*AI70,"")</f>
        <v>0</v>
      </c>
      <c r="CF70" s="41">
        <f ca="1">IFERROR(SUMIFS('TRA balance'!AG$5:AG$40,'TRA balance'!$C$5:$C$40,Assumptions!$C70,'TRA balance'!$D$5:$D$40,Assumptions!$B70)*EA70*AJ70,"")</f>
        <v>29.43386886384</v>
      </c>
      <c r="CG70" s="41">
        <f ca="1">IFERROR(SUMIFS('TRA balance'!AH$5:AH$40,'TRA balance'!$C$5:$C$40,Assumptions!$C70,'TRA balance'!$D$5:$D$40,Assumptions!$B70)*EB70*AK70,"")</f>
        <v>28.66601979216</v>
      </c>
      <c r="CH70" s="41">
        <f ca="1">IFERROR(SUMIFS('TRA balance'!AI$5:AI$40,'TRA balance'!$C$5:$C$40,Assumptions!$C70,'TRA balance'!$D$5:$D$40,Assumptions!$B70)*EC70*AL70,"")</f>
        <v>2.5092999648</v>
      </c>
      <c r="CI70" s="41">
        <f ca="1">IFERROR(SUMIFS('TRA balance'!AJ$5:AJ$40,'TRA balance'!$C$5:$C$40,Assumptions!$C70,'TRA balance'!$D$5:$D$40,Assumptions!$B70)*ED70*AM70,"")</f>
        <v>2.15077506984</v>
      </c>
      <c r="CJ70" s="41">
        <f ca="1">IFERROR(SUMIFS('TRA balance'!AK$5:AK$40,'TRA balance'!$C$5:$C$40,Assumptions!$C70,'TRA balance'!$D$5:$D$40,Assumptions!$B70)*EE70*AN70,"")</f>
        <v>21.15424075248</v>
      </c>
      <c r="CK70" s="41">
        <f ca="1">IFERROR(SUMIFS('TRA balance'!AL$5:AL$40,'TRA balance'!$C$5:$C$40,Assumptions!$C70,'TRA balance'!$D$5:$D$40,Assumptions!$B70)*EF70*AO70,"")</f>
        <v>0</v>
      </c>
      <c r="CL70" s="41">
        <f ca="1">IFERROR(SUMIFS('TRA balance'!AM$5:AM$40,'TRA balance'!$C$5:$C$40,Assumptions!$C70,'TRA balance'!$D$5:$D$40,Assumptions!$B70)*EG70*AP70,"")</f>
        <v>2.01410368272</v>
      </c>
      <c r="CM70" s="41">
        <f ca="1">IFERROR(SUMIFS('TRA balance'!AN$5:AN$40,'TRA balance'!$C$5:$C$40,Assumptions!$C70,'TRA balance'!$D$5:$D$40,Assumptions!$B70)*EH70*AQ70,"")</f>
        <v>0</v>
      </c>
      <c r="CN70" s="41">
        <f ca="1">IFERROR(SUMIFS('TRA balance'!AO$5:AO$40,'TRA balance'!$C$5:$C$40,Assumptions!$C70,'TRA balance'!$D$5:$D$40,Assumptions!$B70)*EI70*AR70,"")</f>
        <v>0</v>
      </c>
      <c r="CO70" s="41">
        <f ca="1">IFERROR(SUMIFS('TRA balance'!AP$5:AP$40,'TRA balance'!$C$5:$C$40,Assumptions!$C70,'TRA balance'!$D$5:$D$40,Assumptions!$B70)*EJ70*AS70,"")</f>
        <v>0</v>
      </c>
      <c r="CP70" s="41">
        <f ca="1">IFERROR(SUMIFS('TRA balance'!AQ$5:AQ$40,'TRA balance'!$C$5:$C$40,Assumptions!$C70,'TRA balance'!$D$5:$D$40,Assumptions!$B70)*EK70*AT70,"")</f>
        <v>0</v>
      </c>
      <c r="CQ70" s="41">
        <f ca="1">IFERROR(SUMIFS('TRA balance'!AR$5:AR$40,'TRA balance'!$C$5:$C$40,Assumptions!$C70,'TRA balance'!$D$5:$D$40,Assumptions!$B70)*EL70*AU70,"")</f>
        <v>0</v>
      </c>
      <c r="CR70" s="41">
        <f ca="1">IFERROR(SUMIFS('TRA balance'!AS$5:AS$40,'TRA balance'!$C$5:$C$40,Assumptions!$C70,'TRA balance'!$D$5:$D$40,Assumptions!$B70)*EM70*AV70,"")</f>
        <v>0</v>
      </c>
      <c r="CS70" s="41">
        <f ca="1">IFERROR(SUMIFS('TRA balance'!AT$5:AT$40,'TRA balance'!$C$5:$C$40,Assumptions!$C70,'TRA balance'!$D$5:$D$40,Assumptions!$B70)*EN70*AW70,"")</f>
        <v>0</v>
      </c>
      <c r="CT70" s="41">
        <f ca="1">IFERROR(SUMIFS('TRA balance'!AU$5:AU$40,'TRA balance'!$C$5:$C$40,Assumptions!$C70,'TRA balance'!$D$5:$D$40,Assumptions!$B70)*EO70*AX70,"")</f>
        <v>0</v>
      </c>
      <c r="CU70" s="41">
        <f ca="1">IFERROR(SUMIFS('TRA balance'!AV$5:AV$40,'TRA balance'!$C$5:$C$40,Assumptions!$C70,'TRA balance'!$D$5:$D$40,Assumptions!$B70)*EP70*AY70,"")</f>
        <v>0</v>
      </c>
      <c r="CV70" s="41">
        <f ca="1">IFERROR(SUMIFS('TRA balance'!AW$5:AW$40,'TRA balance'!$C$5:$C$40,Assumptions!$C70,'TRA balance'!$D$5:$D$40,Assumptions!$B70)*EQ70*AZ70,"")</f>
        <v>0</v>
      </c>
      <c r="CW70" s="41">
        <f ca="1">IFERROR(SUMIFS('TRA balance'!AX$5:AX$40,'TRA balance'!$C$5:$C$40,Assumptions!$C70,'TRA balance'!$D$5:$D$40,Assumptions!$B70)*ER70*BA70,"")</f>
        <v>0</v>
      </c>
      <c r="CY70" s="40">
        <f ca="1" t="shared" si="86"/>
        <v>0.9</v>
      </c>
      <c r="CZ70" s="40">
        <f ca="1" t="shared" si="87"/>
        <v>0.9</v>
      </c>
      <c r="DA70" s="40">
        <f ca="1" t="shared" si="88"/>
        <v>0.98</v>
      </c>
      <c r="DB70" s="40">
        <f ca="1" t="shared" si="89"/>
        <v>0.8</v>
      </c>
      <c r="DC70" s="40">
        <f ca="1" t="shared" si="90"/>
        <v>0.95</v>
      </c>
      <c r="DD70" s="40">
        <f ca="1" t="shared" si="91"/>
        <v>0.8</v>
      </c>
      <c r="DE70" s="40">
        <f ca="1" t="shared" si="92"/>
        <v>0.93</v>
      </c>
      <c r="DF70" s="40">
        <f ca="1" t="shared" si="93"/>
        <v>0.9</v>
      </c>
      <c r="DG70" s="40">
        <f ca="1" t="shared" si="94"/>
        <v>0.8</v>
      </c>
      <c r="DH70" s="40">
        <f ca="1" t="shared" si="95"/>
        <v>0.8</v>
      </c>
      <c r="DI70" s="40">
        <f ca="1" t="shared" si="96"/>
        <v>0.8</v>
      </c>
      <c r="DJ70" s="40">
        <f ca="1" t="shared" si="97"/>
        <v>0.8</v>
      </c>
      <c r="DK70" s="40">
        <f ca="1" t="shared" si="98"/>
        <v>0.8</v>
      </c>
      <c r="DL70" s="40">
        <f ca="1" t="shared" si="99"/>
        <v>0.8</v>
      </c>
      <c r="DM70" s="40">
        <f ca="1" t="shared" si="100"/>
        <v>0.8</v>
      </c>
      <c r="DN70" s="40">
        <f ca="1" t="shared" si="101"/>
        <v>0.75</v>
      </c>
      <c r="DO70" s="40">
        <f ca="1" t="shared" si="102"/>
        <v>0.8</v>
      </c>
      <c r="DP70" s="40">
        <f ca="1" t="shared" si="103"/>
        <v>0.8</v>
      </c>
      <c r="DQ70" s="40">
        <f ca="1" t="shared" si="104"/>
        <v>0.95</v>
      </c>
      <c r="DR70" s="40">
        <f ca="1" t="shared" si="105"/>
        <v>0.93</v>
      </c>
      <c r="DS70" s="40">
        <f ca="1" t="shared" si="106"/>
        <v>0.9</v>
      </c>
      <c r="DT70" s="40">
        <f ca="1" t="shared" si="107"/>
        <v>0.975593578177383</v>
      </c>
      <c r="DU70" s="40">
        <f ca="1" t="shared" si="108"/>
        <v>0.8</v>
      </c>
      <c r="DV70" s="40">
        <f ca="1" t="shared" si="109"/>
        <v>0.8</v>
      </c>
      <c r="DW70" s="40">
        <f ca="1" t="shared" si="110"/>
        <v>0.92</v>
      </c>
      <c r="DX70" s="40">
        <f ca="1" t="shared" si="111"/>
        <v>0.95</v>
      </c>
      <c r="DY70" s="40">
        <f ca="1" t="shared" si="112"/>
        <v>0.9</v>
      </c>
      <c r="DZ70" s="40">
        <f ca="1" t="shared" si="113"/>
        <v>0.9</v>
      </c>
      <c r="EA70" s="40">
        <f ca="1" t="shared" si="114"/>
        <v>0.8</v>
      </c>
      <c r="EB70" s="40">
        <f ca="1" t="shared" si="115"/>
        <v>0.8</v>
      </c>
      <c r="EC70" s="40">
        <f ca="1" t="shared" si="116"/>
        <v>0.8</v>
      </c>
      <c r="ED70" s="40">
        <f ca="1" t="shared" si="117"/>
        <v>0.9</v>
      </c>
      <c r="EE70" s="40">
        <f ca="1" t="shared" si="118"/>
        <v>0.8</v>
      </c>
      <c r="EF70" s="40">
        <f ca="1" t="shared" si="119"/>
        <v>0.95</v>
      </c>
      <c r="EG70" s="40">
        <f ca="1" t="shared" si="120"/>
        <v>0.8</v>
      </c>
      <c r="EH70" s="40">
        <f ca="1" t="shared" si="121"/>
        <v>0.975593578177383</v>
      </c>
      <c r="EI70" s="40">
        <f ca="1" t="shared" si="122"/>
        <v>0.975593578177383</v>
      </c>
      <c r="EJ70" s="40">
        <f ca="1" t="shared" si="123"/>
        <v>0.975593578177383</v>
      </c>
      <c r="EK70" s="40">
        <f ca="1" t="shared" si="124"/>
        <v>0.975593578177383</v>
      </c>
      <c r="EL70" s="40">
        <f ca="1" t="shared" si="125"/>
        <v>0.975593578177383</v>
      </c>
      <c r="EM70" s="40">
        <f ca="1" t="shared" si="126"/>
        <v>0.975593578177383</v>
      </c>
      <c r="EN70" s="40">
        <f ca="1" t="shared" si="127"/>
        <v>0.975593578177383</v>
      </c>
      <c r="EO70" s="40">
        <f ca="1" t="shared" si="128"/>
        <v>0.975593578177383</v>
      </c>
      <c r="EP70" s="40">
        <f ca="1" t="shared" si="129"/>
        <v>0.975593578177383</v>
      </c>
      <c r="EQ70" s="40">
        <f ca="1" t="shared" si="130"/>
        <v>0.975593578177383</v>
      </c>
      <c r="ER70" s="40">
        <f ca="1" t="shared" si="131"/>
        <v>0.975593578177383</v>
      </c>
    </row>
    <row r="71" spans="1:148">
      <c r="A71">
        <v>2</v>
      </c>
      <c r="B71" t="str">
        <f>VLOOKUP(F71,'TRA balance'!$BA$5:$BB$14,2,FALSE)</f>
        <v>TRABDS</v>
      </c>
      <c r="C71" s="56" t="str">
        <f t="shared" si="133"/>
        <v>TR</v>
      </c>
      <c r="D71" s="57" t="s">
        <v>200</v>
      </c>
      <c r="E71" s="68" t="s">
        <v>216</v>
      </c>
      <c r="F71" s="58" t="str">
        <f t="shared" si="134"/>
        <v>Bio Diesel</v>
      </c>
      <c r="G71" s="56" t="s">
        <v>217</v>
      </c>
      <c r="H71" s="59">
        <f ca="1">OFFSET(TIAM15_assumptions!$G71,0,MATCH(VLOOKUP(Assumptions!H$2,TIAM15_assumptions!$Y$3:$Z$87,2,FALSE),TIAM15_assumptions!$H$2:$V$2,0))</f>
        <v>0.1</v>
      </c>
      <c r="I71" s="59">
        <f ca="1">OFFSET(TIAM15_assumptions!$G71,0,MATCH(VLOOKUP(Assumptions!I$2,TIAM15_assumptions!$Y$3:$Z$87,2,FALSE),TIAM15_assumptions!$H$2:$V$2,0))</f>
        <v>0.1</v>
      </c>
      <c r="J71" s="59">
        <f ca="1">OFFSET(TIAM15_assumptions!$G71,0,MATCH(VLOOKUP(Assumptions!J$2,TIAM15_assumptions!$Y$3:$Z$87,2,FALSE),TIAM15_assumptions!$H$2:$V$2,0))</f>
        <v>0.3</v>
      </c>
      <c r="K71" s="59">
        <f ca="1">OFFSET(TIAM15_assumptions!$G71,0,MATCH(VLOOKUP(Assumptions!K$2,TIAM15_assumptions!$Y$3:$Z$87,2,FALSE),TIAM15_assumptions!$H$2:$V$2,0))</f>
        <v>0.3</v>
      </c>
      <c r="L71" s="59">
        <f ca="1">OFFSET(TIAM15_assumptions!$G71,0,MATCH(VLOOKUP(Assumptions!L$2,TIAM15_assumptions!$Y$3:$Z$87,2,FALSE),TIAM15_assumptions!$H$2:$V$2,0))</f>
        <v>0.2</v>
      </c>
      <c r="M71" s="59">
        <f ca="1">OFFSET(TIAM15_assumptions!$G71,0,MATCH(VLOOKUP(Assumptions!M$2,TIAM15_assumptions!$Y$3:$Z$87,2,FALSE),TIAM15_assumptions!$H$2:$V$2,0))</f>
        <v>0.3</v>
      </c>
      <c r="N71" s="59">
        <f ca="1">OFFSET(TIAM15_assumptions!$G71,0,MATCH(VLOOKUP(Assumptions!N$2,TIAM15_assumptions!$Y$3:$Z$87,2,FALSE),TIAM15_assumptions!$H$2:$V$2,0))</f>
        <v>0.3</v>
      </c>
      <c r="O71" s="59">
        <f ca="1">OFFSET(TIAM15_assumptions!$G71,0,MATCH(VLOOKUP(Assumptions!O$2,TIAM15_assumptions!$Y$3:$Z$87,2,FALSE),TIAM15_assumptions!$H$2:$V$2,0))</f>
        <v>0.2</v>
      </c>
      <c r="P71" s="59">
        <f ca="1">OFFSET(TIAM15_assumptions!$G71,0,MATCH(VLOOKUP(Assumptions!P$2,TIAM15_assumptions!$Y$3:$Z$87,2,FALSE),TIAM15_assumptions!$H$2:$V$2,0))</f>
        <v>0.25</v>
      </c>
      <c r="Q71" s="59">
        <f ca="1">OFFSET(TIAM15_assumptions!$G71,0,MATCH(VLOOKUP(Assumptions!Q$2,TIAM15_assumptions!$Y$3:$Z$87,2,FALSE),TIAM15_assumptions!$H$2:$V$2,0))</f>
        <v>0.25</v>
      </c>
      <c r="R71" s="59">
        <f ca="1">OFFSET(TIAM15_assumptions!$G71,0,MATCH(VLOOKUP(Assumptions!R$2,TIAM15_assumptions!$Y$3:$Z$87,2,FALSE),TIAM15_assumptions!$H$2:$V$2,0))</f>
        <v>0.3</v>
      </c>
      <c r="S71" s="59">
        <f ca="1">OFFSET(TIAM15_assumptions!$G71,0,MATCH(VLOOKUP(Assumptions!S$2,TIAM15_assumptions!$Y$3:$Z$87,2,FALSE),TIAM15_assumptions!$H$2:$V$2,0))</f>
        <v>0.3</v>
      </c>
      <c r="T71" s="59">
        <f ca="1">OFFSET(TIAM15_assumptions!$G71,0,MATCH(VLOOKUP(Assumptions!T$2,TIAM15_assumptions!$Y$3:$Z$87,2,FALSE),TIAM15_assumptions!$H$2:$V$2,0))</f>
        <v>0.3</v>
      </c>
      <c r="U71" s="59">
        <f ca="1">OFFSET(TIAM15_assumptions!$G71,0,MATCH(VLOOKUP(Assumptions!U$2,TIAM15_assumptions!$Y$3:$Z$87,2,FALSE),TIAM15_assumptions!$H$2:$V$2,0))</f>
        <v>0.25</v>
      </c>
      <c r="V71" s="59">
        <f ca="1">OFFSET(TIAM15_assumptions!$G71,0,MATCH(VLOOKUP(Assumptions!V$2,TIAM15_assumptions!$Y$3:$Z$87,2,FALSE),TIAM15_assumptions!$H$2:$V$2,0))</f>
        <v>0.3</v>
      </c>
      <c r="W71" s="59">
        <f ca="1">OFFSET(TIAM15_assumptions!$G71,0,MATCH(VLOOKUP(Assumptions!W$2,TIAM15_assumptions!$Y$3:$Z$87,2,FALSE),TIAM15_assumptions!$H$2:$V$2,0))</f>
        <v>0.2</v>
      </c>
      <c r="X71" s="59">
        <f ca="1">OFFSET(TIAM15_assumptions!$G71,0,MATCH(VLOOKUP(Assumptions!X$2,TIAM15_assumptions!$Y$3:$Z$87,2,FALSE),TIAM15_assumptions!$H$2:$V$2,0))</f>
        <v>0.3</v>
      </c>
      <c r="Y71" s="59">
        <f ca="1">OFFSET(TIAM15_assumptions!$G71,0,MATCH(VLOOKUP(Assumptions!Y$2,TIAM15_assumptions!$Y$3:$Z$87,2,FALSE),TIAM15_assumptions!$H$2:$V$2,0))</f>
        <v>0.3</v>
      </c>
      <c r="Z71" s="59">
        <f ca="1">OFFSET(TIAM15_assumptions!$G71,0,MATCH(VLOOKUP(Assumptions!Z$2,TIAM15_assumptions!$Y$3:$Z$87,2,FALSE),TIAM15_assumptions!$H$2:$V$2,0))</f>
        <v>0.3</v>
      </c>
      <c r="AA71" s="59">
        <f ca="1">OFFSET(TIAM15_assumptions!$G71,0,MATCH(VLOOKUP(Assumptions!AA$2,TIAM15_assumptions!$Y$3:$Z$87,2,FALSE),TIAM15_assumptions!$H$2:$V$2,0))</f>
        <v>0.3</v>
      </c>
      <c r="AB71" s="59">
        <f ca="1">OFFSET(TIAM15_assumptions!$G71,0,MATCH(VLOOKUP(Assumptions!AB$2,TIAM15_assumptions!$Y$3:$Z$87,2,FALSE),TIAM15_assumptions!$H$2:$V$2,0))</f>
        <v>0.25</v>
      </c>
      <c r="AC71" s="59">
        <f ca="1">OFFSET(TIAM15_assumptions!$G71,0,MATCH(VLOOKUP(Assumptions!AC$2,TIAM15_assumptions!$Y$3:$Z$87,2,FALSE),TIAM15_assumptions!$H$2:$V$2,0))</f>
        <v>0.11</v>
      </c>
      <c r="AD71" s="59">
        <f ca="1">OFFSET(TIAM15_assumptions!$G71,0,MATCH(VLOOKUP(Assumptions!AD$2,TIAM15_assumptions!$Y$3:$Z$87,2,FALSE),TIAM15_assumptions!$H$2:$V$2,0))</f>
        <v>0.3</v>
      </c>
      <c r="AE71" s="59">
        <f ca="1">OFFSET(TIAM15_assumptions!$G71,0,MATCH(VLOOKUP(Assumptions!AE$2,TIAM15_assumptions!$Y$3:$Z$87,2,FALSE),TIAM15_assumptions!$H$2:$V$2,0))</f>
        <v>0.25</v>
      </c>
      <c r="AF71" s="59">
        <f ca="1">OFFSET(TIAM15_assumptions!$G71,0,MATCH(VLOOKUP(Assumptions!AF$2,TIAM15_assumptions!$Y$3:$Z$87,2,FALSE),TIAM15_assumptions!$H$2:$V$2,0))</f>
        <v>0.25</v>
      </c>
      <c r="AG71" s="59">
        <f ca="1">OFFSET(TIAM15_assumptions!$G71,0,MATCH(VLOOKUP(Assumptions!AG$2,TIAM15_assumptions!$Y$3:$Z$87,2,FALSE),TIAM15_assumptions!$H$2:$V$2,0))</f>
        <v>0.2</v>
      </c>
      <c r="AH71" s="59">
        <f ca="1">OFFSET(TIAM15_assumptions!$G71,0,MATCH(VLOOKUP(Assumptions!AH$2,TIAM15_assumptions!$Y$3:$Z$87,2,FALSE),TIAM15_assumptions!$H$2:$V$2,0))</f>
        <v>0.25</v>
      </c>
      <c r="AI71" s="59">
        <f ca="1">OFFSET(TIAM15_assumptions!$G71,0,MATCH(VLOOKUP(Assumptions!AI$2,TIAM15_assumptions!$Y$3:$Z$87,2,FALSE),TIAM15_assumptions!$H$2:$V$2,0))</f>
        <v>0.1</v>
      </c>
      <c r="AJ71" s="59">
        <f ca="1">OFFSET(TIAM15_assumptions!$G71,0,MATCH(VLOOKUP(Assumptions!AJ$2,TIAM15_assumptions!$Y$3:$Z$87,2,FALSE),TIAM15_assumptions!$H$2:$V$2,0))</f>
        <v>0.3</v>
      </c>
      <c r="AK71" s="59">
        <f ca="1">OFFSET(TIAM15_assumptions!$G71,0,MATCH(VLOOKUP(Assumptions!AK$2,TIAM15_assumptions!$Y$3:$Z$87,2,FALSE),TIAM15_assumptions!$H$2:$V$2,0))</f>
        <v>0.3</v>
      </c>
      <c r="AL71" s="59">
        <f ca="1">OFFSET(TIAM15_assumptions!$G71,0,MATCH(VLOOKUP(Assumptions!AL$2,TIAM15_assumptions!$Y$3:$Z$87,2,FALSE),TIAM15_assumptions!$H$2:$V$2,0))</f>
        <v>0.3</v>
      </c>
      <c r="AM71" s="59">
        <f ca="1">OFFSET(TIAM15_assumptions!$G71,0,MATCH(VLOOKUP(Assumptions!AM$2,TIAM15_assumptions!$Y$3:$Z$87,2,FALSE),TIAM15_assumptions!$H$2:$V$2,0))</f>
        <v>0.25</v>
      </c>
      <c r="AN71" s="59">
        <f ca="1">OFFSET(TIAM15_assumptions!$G71,0,MATCH(VLOOKUP(Assumptions!AN$2,TIAM15_assumptions!$Y$3:$Z$87,2,FALSE),TIAM15_assumptions!$H$2:$V$2,0))</f>
        <v>0.3</v>
      </c>
      <c r="AO71" s="59">
        <f ca="1">OFFSET(TIAM15_assumptions!$G71,0,MATCH(VLOOKUP(Assumptions!AO$2,TIAM15_assumptions!$Y$3:$Z$87,2,FALSE),TIAM15_assumptions!$H$2:$V$2,0))</f>
        <v>0.2</v>
      </c>
      <c r="AP71" s="59">
        <f ca="1">OFFSET(TIAM15_assumptions!$G71,0,MATCH(VLOOKUP(Assumptions!AP$2,TIAM15_assumptions!$Y$3:$Z$87,2,FALSE),TIAM15_assumptions!$H$2:$V$2,0))</f>
        <v>0.25</v>
      </c>
      <c r="AQ71" s="59">
        <f ca="1">OFFSET(TIAM15_assumptions!$G71,0,MATCH(VLOOKUP(Assumptions!AQ$2,TIAM15_assumptions!$Y$3:$Z$87,2,FALSE),TIAM15_assumptions!$H$2:$V$2,0))</f>
        <v>0.11</v>
      </c>
      <c r="AR71" s="59">
        <f ca="1">OFFSET(TIAM15_assumptions!$G71,0,MATCH(VLOOKUP(Assumptions!AR$2,TIAM15_assumptions!$Y$3:$Z$87,2,FALSE),TIAM15_assumptions!$H$2:$V$2,0))</f>
        <v>0.11</v>
      </c>
      <c r="AS71" s="59">
        <f ca="1">OFFSET(TIAM15_assumptions!$G71,0,MATCH(VLOOKUP(Assumptions!AS$2,TIAM15_assumptions!$Y$3:$Z$87,2,FALSE),TIAM15_assumptions!$H$2:$V$2,0))</f>
        <v>0.11</v>
      </c>
      <c r="AT71" s="59">
        <f ca="1">OFFSET(TIAM15_assumptions!$G71,0,MATCH(VLOOKUP(Assumptions!AT$2,TIAM15_assumptions!$Y$3:$Z$87,2,FALSE),TIAM15_assumptions!$H$2:$V$2,0))</f>
        <v>0.11</v>
      </c>
      <c r="AU71" s="59">
        <f ca="1">OFFSET(TIAM15_assumptions!$G71,0,MATCH(VLOOKUP(Assumptions!AU$2,TIAM15_assumptions!$Y$3:$Z$87,2,FALSE),TIAM15_assumptions!$H$2:$V$2,0))</f>
        <v>0.11</v>
      </c>
      <c r="AV71" s="59">
        <f ca="1">OFFSET(TIAM15_assumptions!$G71,0,MATCH(VLOOKUP(Assumptions!AV$2,TIAM15_assumptions!$Y$3:$Z$87,2,FALSE),TIAM15_assumptions!$H$2:$V$2,0))</f>
        <v>0.11</v>
      </c>
      <c r="AW71" s="59">
        <f ca="1">OFFSET(TIAM15_assumptions!$G71,0,MATCH(VLOOKUP(Assumptions!AW$2,TIAM15_assumptions!$Y$3:$Z$87,2,FALSE),TIAM15_assumptions!$H$2:$V$2,0))</f>
        <v>0.11</v>
      </c>
      <c r="AX71" s="59">
        <f ca="1">OFFSET(TIAM15_assumptions!$G71,0,MATCH(VLOOKUP(Assumptions!AX$2,TIAM15_assumptions!$Y$3:$Z$87,2,FALSE),TIAM15_assumptions!$H$2:$V$2,0))</f>
        <v>0.11</v>
      </c>
      <c r="AY71" s="59">
        <f ca="1">OFFSET(TIAM15_assumptions!$G71,0,MATCH(VLOOKUP(Assumptions!AY$2,TIAM15_assumptions!$Y$3:$Z$87,2,FALSE),TIAM15_assumptions!$H$2:$V$2,0))</f>
        <v>0.11</v>
      </c>
      <c r="AZ71" s="59">
        <f ca="1">OFFSET(TIAM15_assumptions!$G71,0,MATCH(VLOOKUP(Assumptions!AZ$2,TIAM15_assumptions!$Y$3:$Z$87,2,FALSE),TIAM15_assumptions!$H$2:$V$2,0))</f>
        <v>0.11</v>
      </c>
      <c r="BA71" s="59">
        <f ca="1">OFFSET(TIAM15_assumptions!$G71,0,MATCH(VLOOKUP(Assumptions!BA$2,TIAM15_assumptions!$Y$3:$Z$87,2,FALSE),TIAM15_assumptions!$H$2:$V$2,0))</f>
        <v>0.11</v>
      </c>
      <c r="BD71" s="41">
        <f ca="1">IFERROR(SUMIFS('TRA balance'!E$5:E$40,'TRA balance'!$C$5:$C$40,Assumptions!$C71,'TRA balance'!$D$5:$D$40,Assumptions!$B71)*CY71*H71,"")</f>
        <v>0</v>
      </c>
      <c r="BE71" s="41">
        <f ca="1">IFERROR(SUMIFS('TRA balance'!F$5:F$40,'TRA balance'!$C$5:$C$40,Assumptions!$C71,'TRA balance'!$D$5:$D$40,Assumptions!$B71)*CZ71*I71,"")</f>
        <v>0</v>
      </c>
      <c r="BF71" s="41">
        <f ca="1">IFERROR(SUMIFS('TRA balance'!G$5:G$40,'TRA balance'!$C$5:$C$40,Assumptions!$C71,'TRA balance'!$D$5:$D$40,Assumptions!$B71)*DA71*J71,"")</f>
        <v>0.010819779768</v>
      </c>
      <c r="BG71" s="41">
        <f ca="1">IFERROR(SUMIFS('TRA balance'!H$5:H$40,'TRA balance'!$C$5:$C$40,Assumptions!$C71,'TRA balance'!$D$5:$D$40,Assumptions!$B71)*DB71*K71,"")</f>
        <v>4.277875292928</v>
      </c>
      <c r="BH71" s="41">
        <f ca="1">IFERROR(SUMIFS('TRA balance'!I$5:I$40,'TRA balance'!$C$5:$C$40,Assumptions!$C71,'TRA balance'!$D$5:$D$40,Assumptions!$B71)*DC71*L71,"")</f>
        <v>0.870834638304</v>
      </c>
      <c r="BI71" s="41">
        <f ca="1">IFERROR(SUMIFS('TRA balance'!J$5:J$40,'TRA balance'!$C$5:$C$40,Assumptions!$C71,'TRA balance'!$D$5:$D$40,Assumptions!$B71)*DD71*M71,"")</f>
        <v>8.863177931424</v>
      </c>
      <c r="BJ71" s="41">
        <f ca="1">IFERROR(SUMIFS('TRA balance'!K$5:K$40,'TRA balance'!$C$5:$C$40,Assumptions!$C71,'TRA balance'!$D$5:$D$40,Assumptions!$B71)*DE71*N71,"")</f>
        <v>181.637348878807</v>
      </c>
      <c r="BK71" s="41">
        <f ca="1">IFERROR(SUMIFS('TRA balance'!L$5:L$40,'TRA balance'!$C$5:$C$40,Assumptions!$C71,'TRA balance'!$D$5:$D$40,Assumptions!$B71)*DF71*O71,"")</f>
        <v>6.82272010116</v>
      </c>
      <c r="BL71" s="41">
        <f ca="1">IFERROR(SUMIFS('TRA balance'!M$5:M$40,'TRA balance'!$C$5:$C$40,Assumptions!$C71,'TRA balance'!$D$5:$D$40,Assumptions!$B71)*DG71*P71,"")</f>
        <v>1.27665915264</v>
      </c>
      <c r="BM71" s="41">
        <f ca="1">IFERROR(SUMIFS('TRA balance'!N$5:N$40,'TRA balance'!$C$5:$C$40,Assumptions!$C71,'TRA balance'!$D$5:$D$40,Assumptions!$B71)*DH71*Q71,"")</f>
        <v>3.34596998016</v>
      </c>
      <c r="BN71" s="41">
        <f ca="1">IFERROR(SUMIFS('TRA balance'!O$5:O$40,'TRA balance'!$C$5:$C$40,Assumptions!$C71,'TRA balance'!$D$5:$D$40,Assumptions!$B71)*DI71*R71,"")</f>
        <v>25.368781484448</v>
      </c>
      <c r="BO71" s="41">
        <f ca="1">IFERROR(SUMIFS('TRA balance'!P$5:P$40,'TRA balance'!$C$5:$C$40,Assumptions!$C71,'TRA balance'!$D$5:$D$40,Assumptions!$B71)*DJ71*S71,"")</f>
        <v>18.982533524832</v>
      </c>
      <c r="BP71" s="41">
        <f ca="1">IFERROR(SUMIFS('TRA balance'!Q$5:Q$40,'TRA balance'!$C$5:$C$40,Assumptions!$C71,'TRA balance'!$D$5:$D$40,Assumptions!$B71)*DK71*T71,"")</f>
        <v>1.719775996992</v>
      </c>
      <c r="BQ71" s="41">
        <f ca="1">IFERROR(SUMIFS('TRA balance'!R$5:R$40,'TRA balance'!$C$5:$C$40,Assumptions!$C71,'TRA balance'!$D$5:$D$40,Assumptions!$B71)*DL71*U71,"")</f>
        <v>5.18232809304</v>
      </c>
      <c r="BR71" s="41">
        <f ca="1">IFERROR(SUMIFS('TRA balance'!S$5:S$40,'TRA balance'!$C$5:$C$40,Assumptions!$C71,'TRA balance'!$D$5:$D$40,Assumptions!$B71)*DM71*V71,"")</f>
        <v>0.15574393584</v>
      </c>
      <c r="BS71" s="41">
        <f ca="1">IFERROR(SUMIFS('TRA balance'!T$5:T$40,'TRA balance'!$C$5:$C$40,Assumptions!$C71,'TRA balance'!$D$5:$D$40,Assumptions!$B71)*DN71*W71,"")</f>
        <v>0.24554074752</v>
      </c>
      <c r="BT71" s="41">
        <f ca="1">IFERROR(SUMIFS('TRA balance'!U$5:U$40,'TRA balance'!$C$5:$C$40,Assumptions!$C71,'TRA balance'!$D$5:$D$40,Assumptions!$B71)*DO71*X71,"")</f>
        <v>1.62763692192</v>
      </c>
      <c r="BU71" s="41">
        <f ca="1">IFERROR(SUMIFS('TRA balance'!V$5:V$40,'TRA balance'!$C$5:$C$40,Assumptions!$C71,'TRA balance'!$D$5:$D$40,Assumptions!$B71)*DP71*Y71,"")</f>
        <v>12.626227549152</v>
      </c>
      <c r="BV71" s="41">
        <f ca="1">IFERROR(SUMIFS('TRA balance'!W$5:W$40,'TRA balance'!$C$5:$C$40,Assumptions!$C71,'TRA balance'!$D$5:$D$40,Assumptions!$B71)*DQ71*Z71,"")</f>
        <v>0.14798537676</v>
      </c>
      <c r="BW71" s="41">
        <f ca="1">IFERROR(SUMIFS('TRA balance'!X$5:X$40,'TRA balance'!$C$5:$C$40,Assumptions!$C71,'TRA balance'!$D$5:$D$40,Assumptions!$B71)*DR71*AA71,"")</f>
        <v>20.7195243915708</v>
      </c>
      <c r="BX71" s="41">
        <f ca="1">IFERROR(SUMIFS('TRA balance'!Y$5:Y$40,'TRA balance'!$C$5:$C$40,Assumptions!$C71,'TRA balance'!$D$5:$D$40,Assumptions!$B71)*DS71*AB71,"")</f>
        <v>0</v>
      </c>
      <c r="BY71" s="41">
        <f ca="1">IFERROR(SUMIFS('TRA balance'!Z$5:Z$40,'TRA balance'!$C$5:$C$40,Assumptions!$C71,'TRA balance'!$D$5:$D$40,Assumptions!$B71)*DT71*AC71,"")</f>
        <v>21.9180144916308</v>
      </c>
      <c r="BZ71" s="41">
        <f ca="1">IFERROR(SUMIFS('TRA balance'!AA$5:AA$40,'TRA balance'!$C$5:$C$40,Assumptions!$C71,'TRA balance'!$D$5:$D$40,Assumptions!$B71)*DU71*AD71,"")</f>
        <v>4.21020588672</v>
      </c>
      <c r="CA71" s="41">
        <f ca="1">IFERROR(SUMIFS('TRA balance'!AB$5:AB$40,'TRA balance'!$C$5:$C$40,Assumptions!$C71,'TRA balance'!$D$5:$D$40,Assumptions!$B71)*DV71*AE71,"")</f>
        <v>7.01528150016</v>
      </c>
      <c r="CB71" s="41">
        <f ca="1">IFERROR(SUMIFS('TRA balance'!AC$5:AC$40,'TRA balance'!$C$5:$C$40,Assumptions!$C71,'TRA balance'!$D$5:$D$40,Assumptions!$B71)*DW71*AF71,"")</f>
        <v>65.564856089712</v>
      </c>
      <c r="CC71" s="41">
        <f ca="1">IFERROR(SUMIFS('TRA balance'!AD$5:AD$40,'TRA balance'!$C$5:$C$40,Assumptions!$C71,'TRA balance'!$D$5:$D$40,Assumptions!$B71)*DX71*AG71,"")</f>
        <v>0.013680075924</v>
      </c>
      <c r="CD71" s="41">
        <f ca="1">IFERROR(SUMIFS('TRA balance'!AE$5:AE$40,'TRA balance'!$C$5:$C$40,Assumptions!$C71,'TRA balance'!$D$5:$D$40,Assumptions!$B71)*DY71*AH71,"")</f>
        <v>0</v>
      </c>
      <c r="CE71" s="41">
        <f ca="1">IFERROR(SUMIFS('TRA balance'!AF$5:AF$40,'TRA balance'!$C$5:$C$40,Assumptions!$C71,'TRA balance'!$D$5:$D$40,Assumptions!$B71)*DZ71*AI71,"")</f>
        <v>0</v>
      </c>
      <c r="CF71" s="41">
        <f ca="1">IFERROR(SUMIFS('TRA balance'!AG$5:AG$40,'TRA balance'!$C$5:$C$40,Assumptions!$C71,'TRA balance'!$D$5:$D$40,Assumptions!$B71)*EA71*AJ71,"")</f>
        <v>17.660321318304</v>
      </c>
      <c r="CG71" s="41">
        <f ca="1">IFERROR(SUMIFS('TRA balance'!AH$5:AH$40,'TRA balance'!$C$5:$C$40,Assumptions!$C71,'TRA balance'!$D$5:$D$40,Assumptions!$B71)*EB71*AK71,"")</f>
        <v>17.199611875296</v>
      </c>
      <c r="CH71" s="41">
        <f ca="1">IFERROR(SUMIFS('TRA balance'!AI$5:AI$40,'TRA balance'!$C$5:$C$40,Assumptions!$C71,'TRA balance'!$D$5:$D$40,Assumptions!$B71)*EC71*AL71,"")</f>
        <v>1.50557997888</v>
      </c>
      <c r="CI71" s="41">
        <f ca="1">IFERROR(SUMIFS('TRA balance'!AJ$5:AJ$40,'TRA balance'!$C$5:$C$40,Assumptions!$C71,'TRA balance'!$D$5:$D$40,Assumptions!$B71)*ED71*AM71,"")</f>
        <v>1.07538753492</v>
      </c>
      <c r="CJ71" s="41">
        <f ca="1">IFERROR(SUMIFS('TRA balance'!AK$5:AK$40,'TRA balance'!$C$5:$C$40,Assumptions!$C71,'TRA balance'!$D$5:$D$40,Assumptions!$B71)*EE71*AN71,"")</f>
        <v>12.692544451488</v>
      </c>
      <c r="CK71" s="41">
        <f ca="1">IFERROR(SUMIFS('TRA balance'!AL$5:AL$40,'TRA balance'!$C$5:$C$40,Assumptions!$C71,'TRA balance'!$D$5:$D$40,Assumptions!$B71)*EF71*AO71,"")</f>
        <v>0</v>
      </c>
      <c r="CL71" s="41">
        <f ca="1">IFERROR(SUMIFS('TRA balance'!AM$5:AM$40,'TRA balance'!$C$5:$C$40,Assumptions!$C71,'TRA balance'!$D$5:$D$40,Assumptions!$B71)*EG71*AP71,"")</f>
        <v>1.00705184136</v>
      </c>
      <c r="CM71" s="41">
        <f ca="1">IFERROR(SUMIFS('TRA balance'!AN$5:AN$40,'TRA balance'!$C$5:$C$40,Assumptions!$C71,'TRA balance'!$D$5:$D$40,Assumptions!$B71)*EH71*AQ71,"")</f>
        <v>0</v>
      </c>
      <c r="CN71" s="41">
        <f ca="1">IFERROR(SUMIFS('TRA balance'!AO$5:AO$40,'TRA balance'!$C$5:$C$40,Assumptions!$C71,'TRA balance'!$D$5:$D$40,Assumptions!$B71)*EI71*AR71,"")</f>
        <v>0</v>
      </c>
      <c r="CO71" s="41">
        <f ca="1">IFERROR(SUMIFS('TRA balance'!AP$5:AP$40,'TRA balance'!$C$5:$C$40,Assumptions!$C71,'TRA balance'!$D$5:$D$40,Assumptions!$B71)*EJ71*AS71,"")</f>
        <v>0</v>
      </c>
      <c r="CP71" s="41">
        <f ca="1">IFERROR(SUMIFS('TRA balance'!AQ$5:AQ$40,'TRA balance'!$C$5:$C$40,Assumptions!$C71,'TRA balance'!$D$5:$D$40,Assumptions!$B71)*EK71*AT71,"")</f>
        <v>0</v>
      </c>
      <c r="CQ71" s="41">
        <f ca="1">IFERROR(SUMIFS('TRA balance'!AR$5:AR$40,'TRA balance'!$C$5:$C$40,Assumptions!$C71,'TRA balance'!$D$5:$D$40,Assumptions!$B71)*EL71*AU71,"")</f>
        <v>0</v>
      </c>
      <c r="CR71" s="41">
        <f ca="1">IFERROR(SUMIFS('TRA balance'!AS$5:AS$40,'TRA balance'!$C$5:$C$40,Assumptions!$C71,'TRA balance'!$D$5:$D$40,Assumptions!$B71)*EM71*AV71,"")</f>
        <v>0</v>
      </c>
      <c r="CS71" s="41">
        <f ca="1">IFERROR(SUMIFS('TRA balance'!AT$5:AT$40,'TRA balance'!$C$5:$C$40,Assumptions!$C71,'TRA balance'!$D$5:$D$40,Assumptions!$B71)*EN71*AW71,"")</f>
        <v>0</v>
      </c>
      <c r="CT71" s="41">
        <f ca="1">IFERROR(SUMIFS('TRA balance'!AU$5:AU$40,'TRA balance'!$C$5:$C$40,Assumptions!$C71,'TRA balance'!$D$5:$D$40,Assumptions!$B71)*EO71*AX71,"")</f>
        <v>0</v>
      </c>
      <c r="CU71" s="41">
        <f ca="1">IFERROR(SUMIFS('TRA balance'!AV$5:AV$40,'TRA balance'!$C$5:$C$40,Assumptions!$C71,'TRA balance'!$D$5:$D$40,Assumptions!$B71)*EP71*AY71,"")</f>
        <v>0</v>
      </c>
      <c r="CV71" s="41">
        <f ca="1">IFERROR(SUMIFS('TRA balance'!AW$5:AW$40,'TRA balance'!$C$5:$C$40,Assumptions!$C71,'TRA balance'!$D$5:$D$40,Assumptions!$B71)*EQ71*AZ71,"")</f>
        <v>0</v>
      </c>
      <c r="CW71" s="41">
        <f ca="1">IFERROR(SUMIFS('TRA balance'!AX$5:AX$40,'TRA balance'!$C$5:$C$40,Assumptions!$C71,'TRA balance'!$D$5:$D$40,Assumptions!$B71)*ER71*BA71,"")</f>
        <v>0</v>
      </c>
      <c r="CY71" s="40">
        <f ca="1" t="shared" si="86"/>
        <v>0.9</v>
      </c>
      <c r="CZ71" s="40">
        <f ca="1" t="shared" si="87"/>
        <v>0.9</v>
      </c>
      <c r="DA71" s="40">
        <f ca="1" t="shared" si="88"/>
        <v>0.98</v>
      </c>
      <c r="DB71" s="40">
        <f ca="1" t="shared" si="89"/>
        <v>0.8</v>
      </c>
      <c r="DC71" s="40">
        <f ca="1" t="shared" si="90"/>
        <v>0.95</v>
      </c>
      <c r="DD71" s="40">
        <f ca="1" t="shared" si="91"/>
        <v>0.8</v>
      </c>
      <c r="DE71" s="40">
        <f ca="1" t="shared" si="92"/>
        <v>0.93</v>
      </c>
      <c r="DF71" s="40">
        <f ca="1" t="shared" si="93"/>
        <v>0.9</v>
      </c>
      <c r="DG71" s="40">
        <f ca="1" t="shared" si="94"/>
        <v>0.8</v>
      </c>
      <c r="DH71" s="40">
        <f ca="1" t="shared" si="95"/>
        <v>0.8</v>
      </c>
      <c r="DI71" s="40">
        <f ca="1" t="shared" si="96"/>
        <v>0.8</v>
      </c>
      <c r="DJ71" s="40">
        <f ca="1" t="shared" si="97"/>
        <v>0.8</v>
      </c>
      <c r="DK71" s="40">
        <f ca="1" t="shared" si="98"/>
        <v>0.8</v>
      </c>
      <c r="DL71" s="40">
        <f ca="1" t="shared" si="99"/>
        <v>0.8</v>
      </c>
      <c r="DM71" s="40">
        <f ca="1" t="shared" si="100"/>
        <v>0.8</v>
      </c>
      <c r="DN71" s="40">
        <f ca="1" t="shared" si="101"/>
        <v>0.75</v>
      </c>
      <c r="DO71" s="40">
        <f ca="1" t="shared" si="102"/>
        <v>0.8</v>
      </c>
      <c r="DP71" s="40">
        <f ca="1" t="shared" si="103"/>
        <v>0.8</v>
      </c>
      <c r="DQ71" s="40">
        <f ca="1" t="shared" si="104"/>
        <v>0.95</v>
      </c>
      <c r="DR71" s="40">
        <f ca="1" t="shared" si="105"/>
        <v>0.93</v>
      </c>
      <c r="DS71" s="40">
        <f ca="1" t="shared" si="106"/>
        <v>0.9</v>
      </c>
      <c r="DT71" s="40">
        <f ca="1" t="shared" si="107"/>
        <v>0.975593578177383</v>
      </c>
      <c r="DU71" s="40">
        <f ca="1" t="shared" si="108"/>
        <v>0.8</v>
      </c>
      <c r="DV71" s="40">
        <f ca="1" t="shared" si="109"/>
        <v>0.8</v>
      </c>
      <c r="DW71" s="40">
        <f ca="1" t="shared" si="110"/>
        <v>0.92</v>
      </c>
      <c r="DX71" s="40">
        <f ca="1" t="shared" si="111"/>
        <v>0.95</v>
      </c>
      <c r="DY71" s="40">
        <f ca="1" t="shared" si="112"/>
        <v>0.9</v>
      </c>
      <c r="DZ71" s="40">
        <f ca="1" t="shared" si="113"/>
        <v>0.9</v>
      </c>
      <c r="EA71" s="40">
        <f ca="1" t="shared" si="114"/>
        <v>0.8</v>
      </c>
      <c r="EB71" s="40">
        <f ca="1" t="shared" si="115"/>
        <v>0.8</v>
      </c>
      <c r="EC71" s="40">
        <f ca="1" t="shared" si="116"/>
        <v>0.8</v>
      </c>
      <c r="ED71" s="40">
        <f ca="1" t="shared" si="117"/>
        <v>0.9</v>
      </c>
      <c r="EE71" s="40">
        <f ca="1" t="shared" si="118"/>
        <v>0.8</v>
      </c>
      <c r="EF71" s="40">
        <f ca="1" t="shared" si="119"/>
        <v>0.95</v>
      </c>
      <c r="EG71" s="40">
        <f ca="1" t="shared" si="120"/>
        <v>0.8</v>
      </c>
      <c r="EH71" s="40">
        <f ca="1" t="shared" si="121"/>
        <v>0.975593578177383</v>
      </c>
      <c r="EI71" s="40">
        <f ca="1" t="shared" si="122"/>
        <v>0.975593578177383</v>
      </c>
      <c r="EJ71" s="40">
        <f ca="1" t="shared" si="123"/>
        <v>0.975593578177383</v>
      </c>
      <c r="EK71" s="40">
        <f ca="1" t="shared" si="124"/>
        <v>0.975593578177383</v>
      </c>
      <c r="EL71" s="40">
        <f ca="1" t="shared" si="125"/>
        <v>0.975593578177383</v>
      </c>
      <c r="EM71" s="40">
        <f ca="1" t="shared" si="126"/>
        <v>0.975593578177383</v>
      </c>
      <c r="EN71" s="40">
        <f ca="1" t="shared" si="127"/>
        <v>0.975593578177383</v>
      </c>
      <c r="EO71" s="40">
        <f ca="1" t="shared" si="128"/>
        <v>0.975593578177383</v>
      </c>
      <c r="EP71" s="40">
        <f ca="1" t="shared" si="129"/>
        <v>0.975593578177383</v>
      </c>
      <c r="EQ71" s="40">
        <f ca="1" t="shared" si="130"/>
        <v>0.975593578177383</v>
      </c>
      <c r="ER71" s="40">
        <f ca="1" t="shared" si="131"/>
        <v>0.975593578177383</v>
      </c>
    </row>
    <row r="72" spans="1:148">
      <c r="A72">
        <v>2</v>
      </c>
      <c r="B72" t="str">
        <f>VLOOKUP(F72,'TRA balance'!$BA$5:$BB$14,2,FALSE)</f>
        <v>TRABDS</v>
      </c>
      <c r="C72" s="56" t="str">
        <f t="shared" si="133"/>
        <v>TR</v>
      </c>
      <c r="D72" s="57" t="s">
        <v>200</v>
      </c>
      <c r="E72" s="68" t="s">
        <v>218</v>
      </c>
      <c r="F72" s="58" t="str">
        <f t="shared" si="134"/>
        <v>Bio Diesel</v>
      </c>
      <c r="G72" s="56" t="s">
        <v>219</v>
      </c>
      <c r="H72" s="59">
        <f ca="1">OFFSET(TIAM15_assumptions!$G72,0,MATCH(VLOOKUP(Assumptions!H$2,TIAM15_assumptions!$Y$3:$Z$87,2,FALSE),TIAM15_assumptions!$H$2:$V$2,0))</f>
        <v>0.2</v>
      </c>
      <c r="I72" s="59">
        <f ca="1">OFFSET(TIAM15_assumptions!$G72,0,MATCH(VLOOKUP(Assumptions!I$2,TIAM15_assumptions!$Y$3:$Z$87,2,FALSE),TIAM15_assumptions!$H$2:$V$2,0))</f>
        <v>0.2</v>
      </c>
      <c r="J72" s="59">
        <f ca="1">OFFSET(TIAM15_assumptions!$G72,0,MATCH(VLOOKUP(Assumptions!J$2,TIAM15_assumptions!$Y$3:$Z$87,2,FALSE),TIAM15_assumptions!$H$2:$V$2,0))</f>
        <v>0.2</v>
      </c>
      <c r="K72" s="59">
        <f ca="1">OFFSET(TIAM15_assumptions!$G72,0,MATCH(VLOOKUP(Assumptions!K$2,TIAM15_assumptions!$Y$3:$Z$87,2,FALSE),TIAM15_assumptions!$H$2:$V$2,0))</f>
        <v>0.15</v>
      </c>
      <c r="L72" s="59">
        <f ca="1">OFFSET(TIAM15_assumptions!$G72,0,MATCH(VLOOKUP(Assumptions!L$2,TIAM15_assumptions!$Y$3:$Z$87,2,FALSE),TIAM15_assumptions!$H$2:$V$2,0))</f>
        <v>0.1</v>
      </c>
      <c r="M72" s="59">
        <f ca="1">OFFSET(TIAM15_assumptions!$G72,0,MATCH(VLOOKUP(Assumptions!M$2,TIAM15_assumptions!$Y$3:$Z$87,2,FALSE),TIAM15_assumptions!$H$2:$V$2,0))</f>
        <v>0.15</v>
      </c>
      <c r="N72" s="59">
        <f ca="1">OFFSET(TIAM15_assumptions!$G72,0,MATCH(VLOOKUP(Assumptions!N$2,TIAM15_assumptions!$Y$3:$Z$87,2,FALSE),TIAM15_assumptions!$H$2:$V$2,0))</f>
        <v>0.1</v>
      </c>
      <c r="O72" s="59">
        <f ca="1">OFFSET(TIAM15_assumptions!$G72,0,MATCH(VLOOKUP(Assumptions!O$2,TIAM15_assumptions!$Y$3:$Z$87,2,FALSE),TIAM15_assumptions!$H$2:$V$2,0))</f>
        <v>0.1</v>
      </c>
      <c r="P72" s="59">
        <f ca="1">OFFSET(TIAM15_assumptions!$G72,0,MATCH(VLOOKUP(Assumptions!P$2,TIAM15_assumptions!$Y$3:$Z$87,2,FALSE),TIAM15_assumptions!$H$2:$V$2,0))</f>
        <v>0.15</v>
      </c>
      <c r="Q72" s="59">
        <f ca="1">OFFSET(TIAM15_assumptions!$G72,0,MATCH(VLOOKUP(Assumptions!Q$2,TIAM15_assumptions!$Y$3:$Z$87,2,FALSE),TIAM15_assumptions!$H$2:$V$2,0))</f>
        <v>0.15</v>
      </c>
      <c r="R72" s="59">
        <f ca="1">OFFSET(TIAM15_assumptions!$G72,0,MATCH(VLOOKUP(Assumptions!R$2,TIAM15_assumptions!$Y$3:$Z$87,2,FALSE),TIAM15_assumptions!$H$2:$V$2,0))</f>
        <v>0.15</v>
      </c>
      <c r="S72" s="59">
        <f ca="1">OFFSET(TIAM15_assumptions!$G72,0,MATCH(VLOOKUP(Assumptions!S$2,TIAM15_assumptions!$Y$3:$Z$87,2,FALSE),TIAM15_assumptions!$H$2:$V$2,0))</f>
        <v>0.15</v>
      </c>
      <c r="T72" s="59">
        <f ca="1">OFFSET(TIAM15_assumptions!$G72,0,MATCH(VLOOKUP(Assumptions!T$2,TIAM15_assumptions!$Y$3:$Z$87,2,FALSE),TIAM15_assumptions!$H$2:$V$2,0))</f>
        <v>0.15</v>
      </c>
      <c r="U72" s="59">
        <f ca="1">OFFSET(TIAM15_assumptions!$G72,0,MATCH(VLOOKUP(Assumptions!U$2,TIAM15_assumptions!$Y$3:$Z$87,2,FALSE),TIAM15_assumptions!$H$2:$V$2,0))</f>
        <v>0.15</v>
      </c>
      <c r="V72" s="59">
        <f ca="1">OFFSET(TIAM15_assumptions!$G72,0,MATCH(VLOOKUP(Assumptions!V$2,TIAM15_assumptions!$Y$3:$Z$87,2,FALSE),TIAM15_assumptions!$H$2:$V$2,0))</f>
        <v>0.15</v>
      </c>
      <c r="W72" s="59">
        <f ca="1">OFFSET(TIAM15_assumptions!$G72,0,MATCH(VLOOKUP(Assumptions!W$2,TIAM15_assumptions!$Y$3:$Z$87,2,FALSE),TIAM15_assumptions!$H$2:$V$2,0))</f>
        <v>0.25</v>
      </c>
      <c r="X72" s="59">
        <f ca="1">OFFSET(TIAM15_assumptions!$G72,0,MATCH(VLOOKUP(Assumptions!X$2,TIAM15_assumptions!$Y$3:$Z$87,2,FALSE),TIAM15_assumptions!$H$2:$V$2,0))</f>
        <v>0.15</v>
      </c>
      <c r="Y72" s="59">
        <f ca="1">OFFSET(TIAM15_assumptions!$G72,0,MATCH(VLOOKUP(Assumptions!Y$2,TIAM15_assumptions!$Y$3:$Z$87,2,FALSE),TIAM15_assumptions!$H$2:$V$2,0))</f>
        <v>0.15</v>
      </c>
      <c r="Z72" s="59">
        <f ca="1">OFFSET(TIAM15_assumptions!$G72,0,MATCH(VLOOKUP(Assumptions!Z$2,TIAM15_assumptions!$Y$3:$Z$87,2,FALSE),TIAM15_assumptions!$H$2:$V$2,0))</f>
        <v>0.15</v>
      </c>
      <c r="AA72" s="59">
        <f ca="1">OFFSET(TIAM15_assumptions!$G72,0,MATCH(VLOOKUP(Assumptions!AA$2,TIAM15_assumptions!$Y$3:$Z$87,2,FALSE),TIAM15_assumptions!$H$2:$V$2,0))</f>
        <v>0.1</v>
      </c>
      <c r="AB72" s="59">
        <f ca="1">OFFSET(TIAM15_assumptions!$G72,0,MATCH(VLOOKUP(Assumptions!AB$2,TIAM15_assumptions!$Y$3:$Z$87,2,FALSE),TIAM15_assumptions!$H$2:$V$2,0))</f>
        <v>0.15</v>
      </c>
      <c r="AC72" s="59">
        <f ca="1">OFFSET(TIAM15_assumptions!$G72,0,MATCH(VLOOKUP(Assumptions!AC$2,TIAM15_assumptions!$Y$3:$Z$87,2,FALSE),TIAM15_assumptions!$H$2:$V$2,0))</f>
        <v>0.05</v>
      </c>
      <c r="AD72" s="59">
        <f ca="1">OFFSET(TIAM15_assumptions!$G72,0,MATCH(VLOOKUP(Assumptions!AD$2,TIAM15_assumptions!$Y$3:$Z$87,2,FALSE),TIAM15_assumptions!$H$2:$V$2,0))</f>
        <v>0.15</v>
      </c>
      <c r="AE72" s="59">
        <f ca="1">OFFSET(TIAM15_assumptions!$G72,0,MATCH(VLOOKUP(Assumptions!AE$2,TIAM15_assumptions!$Y$3:$Z$87,2,FALSE),TIAM15_assumptions!$H$2:$V$2,0))</f>
        <v>0.15</v>
      </c>
      <c r="AF72" s="59">
        <f ca="1">OFFSET(TIAM15_assumptions!$G72,0,MATCH(VLOOKUP(Assumptions!AF$2,TIAM15_assumptions!$Y$3:$Z$87,2,FALSE),TIAM15_assumptions!$H$2:$V$2,0))</f>
        <v>0.1</v>
      </c>
      <c r="AG72" s="59">
        <f ca="1">OFFSET(TIAM15_assumptions!$G72,0,MATCH(VLOOKUP(Assumptions!AG$2,TIAM15_assumptions!$Y$3:$Z$87,2,FALSE),TIAM15_assumptions!$H$2:$V$2,0))</f>
        <v>0.1</v>
      </c>
      <c r="AH72" s="59">
        <f ca="1">OFFSET(TIAM15_assumptions!$G72,0,MATCH(VLOOKUP(Assumptions!AH$2,TIAM15_assumptions!$Y$3:$Z$87,2,FALSE),TIAM15_assumptions!$H$2:$V$2,0))</f>
        <v>0.15</v>
      </c>
      <c r="AI72" s="59">
        <f ca="1">OFFSET(TIAM15_assumptions!$G72,0,MATCH(VLOOKUP(Assumptions!AI$2,TIAM15_assumptions!$Y$3:$Z$87,2,FALSE),TIAM15_assumptions!$H$2:$V$2,0))</f>
        <v>0.2</v>
      </c>
      <c r="AJ72" s="59">
        <f ca="1">OFFSET(TIAM15_assumptions!$G72,0,MATCH(VLOOKUP(Assumptions!AJ$2,TIAM15_assumptions!$Y$3:$Z$87,2,FALSE),TIAM15_assumptions!$H$2:$V$2,0))</f>
        <v>0.15</v>
      </c>
      <c r="AK72" s="59">
        <f ca="1">OFFSET(TIAM15_assumptions!$G72,0,MATCH(VLOOKUP(Assumptions!AK$2,TIAM15_assumptions!$Y$3:$Z$87,2,FALSE),TIAM15_assumptions!$H$2:$V$2,0))</f>
        <v>0.15</v>
      </c>
      <c r="AL72" s="59">
        <f ca="1">OFFSET(TIAM15_assumptions!$G72,0,MATCH(VLOOKUP(Assumptions!AL$2,TIAM15_assumptions!$Y$3:$Z$87,2,FALSE),TIAM15_assumptions!$H$2:$V$2,0))</f>
        <v>0.15</v>
      </c>
      <c r="AM72" s="59">
        <f ca="1">OFFSET(TIAM15_assumptions!$G72,0,MATCH(VLOOKUP(Assumptions!AM$2,TIAM15_assumptions!$Y$3:$Z$87,2,FALSE),TIAM15_assumptions!$H$2:$V$2,0))</f>
        <v>0.15</v>
      </c>
      <c r="AN72" s="59">
        <f ca="1">OFFSET(TIAM15_assumptions!$G72,0,MATCH(VLOOKUP(Assumptions!AN$2,TIAM15_assumptions!$Y$3:$Z$87,2,FALSE),TIAM15_assumptions!$H$2:$V$2,0))</f>
        <v>0.15</v>
      </c>
      <c r="AO72" s="59">
        <f ca="1">OFFSET(TIAM15_assumptions!$G72,0,MATCH(VLOOKUP(Assumptions!AO$2,TIAM15_assumptions!$Y$3:$Z$87,2,FALSE),TIAM15_assumptions!$H$2:$V$2,0))</f>
        <v>0.1</v>
      </c>
      <c r="AP72" s="59">
        <f ca="1">OFFSET(TIAM15_assumptions!$G72,0,MATCH(VLOOKUP(Assumptions!AP$2,TIAM15_assumptions!$Y$3:$Z$87,2,FALSE),TIAM15_assumptions!$H$2:$V$2,0))</f>
        <v>0.15</v>
      </c>
      <c r="AQ72" s="59">
        <f ca="1">OFFSET(TIAM15_assumptions!$G72,0,MATCH(VLOOKUP(Assumptions!AQ$2,TIAM15_assumptions!$Y$3:$Z$87,2,FALSE),TIAM15_assumptions!$H$2:$V$2,0))</f>
        <v>0.05</v>
      </c>
      <c r="AR72" s="59">
        <f ca="1">OFFSET(TIAM15_assumptions!$G72,0,MATCH(VLOOKUP(Assumptions!AR$2,TIAM15_assumptions!$Y$3:$Z$87,2,FALSE),TIAM15_assumptions!$H$2:$V$2,0))</f>
        <v>0.05</v>
      </c>
      <c r="AS72" s="59">
        <f ca="1">OFFSET(TIAM15_assumptions!$G72,0,MATCH(VLOOKUP(Assumptions!AS$2,TIAM15_assumptions!$Y$3:$Z$87,2,FALSE),TIAM15_assumptions!$H$2:$V$2,0))</f>
        <v>0.05</v>
      </c>
      <c r="AT72" s="59">
        <f ca="1">OFFSET(TIAM15_assumptions!$G72,0,MATCH(VLOOKUP(Assumptions!AT$2,TIAM15_assumptions!$Y$3:$Z$87,2,FALSE),TIAM15_assumptions!$H$2:$V$2,0))</f>
        <v>0.05</v>
      </c>
      <c r="AU72" s="59">
        <f ca="1">OFFSET(TIAM15_assumptions!$G72,0,MATCH(VLOOKUP(Assumptions!AU$2,TIAM15_assumptions!$Y$3:$Z$87,2,FALSE),TIAM15_assumptions!$H$2:$V$2,0))</f>
        <v>0.05</v>
      </c>
      <c r="AV72" s="59">
        <f ca="1">OFFSET(TIAM15_assumptions!$G72,0,MATCH(VLOOKUP(Assumptions!AV$2,TIAM15_assumptions!$Y$3:$Z$87,2,FALSE),TIAM15_assumptions!$H$2:$V$2,0))</f>
        <v>0.05</v>
      </c>
      <c r="AW72" s="59">
        <f ca="1">OFFSET(TIAM15_assumptions!$G72,0,MATCH(VLOOKUP(Assumptions!AW$2,TIAM15_assumptions!$Y$3:$Z$87,2,FALSE),TIAM15_assumptions!$H$2:$V$2,0))</f>
        <v>0.05</v>
      </c>
      <c r="AX72" s="59">
        <f ca="1">OFFSET(TIAM15_assumptions!$G72,0,MATCH(VLOOKUP(Assumptions!AX$2,TIAM15_assumptions!$Y$3:$Z$87,2,FALSE),TIAM15_assumptions!$H$2:$V$2,0))</f>
        <v>0.05</v>
      </c>
      <c r="AY72" s="59">
        <f ca="1">OFFSET(TIAM15_assumptions!$G72,0,MATCH(VLOOKUP(Assumptions!AY$2,TIAM15_assumptions!$Y$3:$Z$87,2,FALSE),TIAM15_assumptions!$H$2:$V$2,0))</f>
        <v>0.05</v>
      </c>
      <c r="AZ72" s="59">
        <f ca="1">OFFSET(TIAM15_assumptions!$G72,0,MATCH(VLOOKUP(Assumptions!AZ$2,TIAM15_assumptions!$Y$3:$Z$87,2,FALSE),TIAM15_assumptions!$H$2:$V$2,0))</f>
        <v>0.05</v>
      </c>
      <c r="BA72" s="59">
        <f ca="1">OFFSET(TIAM15_assumptions!$G72,0,MATCH(VLOOKUP(Assumptions!BA$2,TIAM15_assumptions!$Y$3:$Z$87,2,FALSE),TIAM15_assumptions!$H$2:$V$2,0))</f>
        <v>0.05</v>
      </c>
      <c r="BD72" s="41">
        <f ca="1">IFERROR(SUMIFS('TRA balance'!E$5:E$40,'TRA balance'!$C$5:$C$40,Assumptions!$C72,'TRA balance'!$D$5:$D$40,Assumptions!$B72)*CY72*H72,"")</f>
        <v>0</v>
      </c>
      <c r="BE72" s="41">
        <f ca="1">IFERROR(SUMIFS('TRA balance'!F$5:F$40,'TRA balance'!$C$5:$C$40,Assumptions!$C72,'TRA balance'!$D$5:$D$40,Assumptions!$B72)*CZ72*I72,"")</f>
        <v>0</v>
      </c>
      <c r="BF72" s="41">
        <f ca="1">IFERROR(SUMIFS('TRA balance'!G$5:G$40,'TRA balance'!$C$5:$C$40,Assumptions!$C72,'TRA balance'!$D$5:$D$40,Assumptions!$B72)*DA72*J72,"")</f>
        <v>0.007213186512</v>
      </c>
      <c r="BG72" s="41">
        <f ca="1">IFERROR(SUMIFS('TRA balance'!H$5:H$40,'TRA balance'!$C$5:$C$40,Assumptions!$C72,'TRA balance'!$D$5:$D$40,Assumptions!$B72)*DB72*K72,"")</f>
        <v>2.138937646464</v>
      </c>
      <c r="BH72" s="41">
        <f ca="1">IFERROR(SUMIFS('TRA balance'!I$5:I$40,'TRA balance'!$C$5:$C$40,Assumptions!$C72,'TRA balance'!$D$5:$D$40,Assumptions!$B72)*DC72*L72,"")</f>
        <v>0.435417319152</v>
      </c>
      <c r="BI72" s="41">
        <f ca="1">IFERROR(SUMIFS('TRA balance'!J$5:J$40,'TRA balance'!$C$5:$C$40,Assumptions!$C72,'TRA balance'!$D$5:$D$40,Assumptions!$B72)*DD72*M72,"")</f>
        <v>4.431588965712</v>
      </c>
      <c r="BJ72" s="41">
        <f ca="1">IFERROR(SUMIFS('TRA balance'!K$5:K$40,'TRA balance'!$C$5:$C$40,Assumptions!$C72,'TRA balance'!$D$5:$D$40,Assumptions!$B72)*DE72*N72,"")</f>
        <v>60.5457829596024</v>
      </c>
      <c r="BK72" s="41">
        <f ca="1">IFERROR(SUMIFS('TRA balance'!L$5:L$40,'TRA balance'!$C$5:$C$40,Assumptions!$C72,'TRA balance'!$D$5:$D$40,Assumptions!$B72)*DF72*O72,"")</f>
        <v>3.41136005058</v>
      </c>
      <c r="BL72" s="41">
        <f ca="1">IFERROR(SUMIFS('TRA balance'!M$5:M$40,'TRA balance'!$C$5:$C$40,Assumptions!$C72,'TRA balance'!$D$5:$D$40,Assumptions!$B72)*DG72*P72,"")</f>
        <v>0.765995491584</v>
      </c>
      <c r="BM72" s="41">
        <f ca="1">IFERROR(SUMIFS('TRA balance'!N$5:N$40,'TRA balance'!$C$5:$C$40,Assumptions!$C72,'TRA balance'!$D$5:$D$40,Assumptions!$B72)*DH72*Q72,"")</f>
        <v>2.007581988096</v>
      </c>
      <c r="BN72" s="41">
        <f ca="1">IFERROR(SUMIFS('TRA balance'!O$5:O$40,'TRA balance'!$C$5:$C$40,Assumptions!$C72,'TRA balance'!$D$5:$D$40,Assumptions!$B72)*DI72*R72,"")</f>
        <v>12.684390742224</v>
      </c>
      <c r="BO72" s="41">
        <f ca="1">IFERROR(SUMIFS('TRA balance'!P$5:P$40,'TRA balance'!$C$5:$C$40,Assumptions!$C72,'TRA balance'!$D$5:$D$40,Assumptions!$B72)*DJ72*S72,"")</f>
        <v>9.491266762416</v>
      </c>
      <c r="BP72" s="41">
        <f ca="1">IFERROR(SUMIFS('TRA balance'!Q$5:Q$40,'TRA balance'!$C$5:$C$40,Assumptions!$C72,'TRA balance'!$D$5:$D$40,Assumptions!$B72)*DK72*T72,"")</f>
        <v>0.859887998496</v>
      </c>
      <c r="BQ72" s="41">
        <f ca="1">IFERROR(SUMIFS('TRA balance'!R$5:R$40,'TRA balance'!$C$5:$C$40,Assumptions!$C72,'TRA balance'!$D$5:$D$40,Assumptions!$B72)*DL72*U72,"")</f>
        <v>3.109396855824</v>
      </c>
      <c r="BR72" s="41">
        <f ca="1">IFERROR(SUMIFS('TRA balance'!S$5:S$40,'TRA balance'!$C$5:$C$40,Assumptions!$C72,'TRA balance'!$D$5:$D$40,Assumptions!$B72)*DM72*V72,"")</f>
        <v>0.07787196792</v>
      </c>
      <c r="BS72" s="41">
        <f ca="1">IFERROR(SUMIFS('TRA balance'!T$5:T$40,'TRA balance'!$C$5:$C$40,Assumptions!$C72,'TRA balance'!$D$5:$D$40,Assumptions!$B72)*DN72*W72,"")</f>
        <v>0.3069259344</v>
      </c>
      <c r="BT72" s="41">
        <f ca="1">IFERROR(SUMIFS('TRA balance'!U$5:U$40,'TRA balance'!$C$5:$C$40,Assumptions!$C72,'TRA balance'!$D$5:$D$40,Assumptions!$B72)*DO72*X72,"")</f>
        <v>0.81381846096</v>
      </c>
      <c r="BU72" s="41">
        <f ca="1">IFERROR(SUMIFS('TRA balance'!V$5:V$40,'TRA balance'!$C$5:$C$40,Assumptions!$C72,'TRA balance'!$D$5:$D$40,Assumptions!$B72)*DP72*Y72,"")</f>
        <v>6.313113774576</v>
      </c>
      <c r="BV72" s="41">
        <f ca="1">IFERROR(SUMIFS('TRA balance'!W$5:W$40,'TRA balance'!$C$5:$C$40,Assumptions!$C72,'TRA balance'!$D$5:$D$40,Assumptions!$B72)*DQ72*Z72,"")</f>
        <v>0.07399268838</v>
      </c>
      <c r="BW72" s="41">
        <f ca="1">IFERROR(SUMIFS('TRA balance'!X$5:X$40,'TRA balance'!$C$5:$C$40,Assumptions!$C72,'TRA balance'!$D$5:$D$40,Assumptions!$B72)*DR72*AA72,"")</f>
        <v>6.9065081305236</v>
      </c>
      <c r="BX72" s="41">
        <f ca="1">IFERROR(SUMIFS('TRA balance'!Y$5:Y$40,'TRA balance'!$C$5:$C$40,Assumptions!$C72,'TRA balance'!$D$5:$D$40,Assumptions!$B72)*DS72*AB72,"")</f>
        <v>0</v>
      </c>
      <c r="BY72" s="41">
        <f ca="1">IFERROR(SUMIFS('TRA balance'!Z$5:Z$40,'TRA balance'!$C$5:$C$40,Assumptions!$C72,'TRA balance'!$D$5:$D$40,Assumptions!$B72)*DT72*AC72,"")</f>
        <v>9.96273385983217</v>
      </c>
      <c r="BZ72" s="41">
        <f ca="1">IFERROR(SUMIFS('TRA balance'!AA$5:AA$40,'TRA balance'!$C$5:$C$40,Assumptions!$C72,'TRA balance'!$D$5:$D$40,Assumptions!$B72)*DU72*AD72,"")</f>
        <v>2.10510294336</v>
      </c>
      <c r="CA72" s="41">
        <f ca="1">IFERROR(SUMIFS('TRA balance'!AB$5:AB$40,'TRA balance'!$C$5:$C$40,Assumptions!$C72,'TRA balance'!$D$5:$D$40,Assumptions!$B72)*DV72*AE72,"")</f>
        <v>4.209168900096</v>
      </c>
      <c r="CB72" s="41">
        <f ca="1">IFERROR(SUMIFS('TRA balance'!AC$5:AC$40,'TRA balance'!$C$5:$C$40,Assumptions!$C72,'TRA balance'!$D$5:$D$40,Assumptions!$B72)*DW72*AF72,"")</f>
        <v>26.2259424358848</v>
      </c>
      <c r="CC72" s="41">
        <f ca="1">IFERROR(SUMIFS('TRA balance'!AD$5:AD$40,'TRA balance'!$C$5:$C$40,Assumptions!$C72,'TRA balance'!$D$5:$D$40,Assumptions!$B72)*DX72*AG72,"")</f>
        <v>0.006840037962</v>
      </c>
      <c r="CD72" s="41">
        <f ca="1">IFERROR(SUMIFS('TRA balance'!AE$5:AE$40,'TRA balance'!$C$5:$C$40,Assumptions!$C72,'TRA balance'!$D$5:$D$40,Assumptions!$B72)*DY72*AH72,"")</f>
        <v>0</v>
      </c>
      <c r="CE72" s="41">
        <f ca="1">IFERROR(SUMIFS('TRA balance'!AF$5:AF$40,'TRA balance'!$C$5:$C$40,Assumptions!$C72,'TRA balance'!$D$5:$D$40,Assumptions!$B72)*DZ72*AI72,"")</f>
        <v>0</v>
      </c>
      <c r="CF72" s="41">
        <f ca="1">IFERROR(SUMIFS('TRA balance'!AG$5:AG$40,'TRA balance'!$C$5:$C$40,Assumptions!$C72,'TRA balance'!$D$5:$D$40,Assumptions!$B72)*EA72*AJ72,"")</f>
        <v>8.830160659152</v>
      </c>
      <c r="CG72" s="41">
        <f ca="1">IFERROR(SUMIFS('TRA balance'!AH$5:AH$40,'TRA balance'!$C$5:$C$40,Assumptions!$C72,'TRA balance'!$D$5:$D$40,Assumptions!$B72)*EB72*AK72,"")</f>
        <v>8.599805937648</v>
      </c>
      <c r="CH72" s="41">
        <f ca="1">IFERROR(SUMIFS('TRA balance'!AI$5:AI$40,'TRA balance'!$C$5:$C$40,Assumptions!$C72,'TRA balance'!$D$5:$D$40,Assumptions!$B72)*EC72*AL72,"")</f>
        <v>0.75278998944</v>
      </c>
      <c r="CI72" s="41">
        <f ca="1">IFERROR(SUMIFS('TRA balance'!AJ$5:AJ$40,'TRA balance'!$C$5:$C$40,Assumptions!$C72,'TRA balance'!$D$5:$D$40,Assumptions!$B72)*ED72*AM72,"")</f>
        <v>0.645232520952</v>
      </c>
      <c r="CJ72" s="41">
        <f ca="1">IFERROR(SUMIFS('TRA balance'!AK$5:AK$40,'TRA balance'!$C$5:$C$40,Assumptions!$C72,'TRA balance'!$D$5:$D$40,Assumptions!$B72)*EE72*AN72,"")</f>
        <v>6.346272225744</v>
      </c>
      <c r="CK72" s="41">
        <f ca="1">IFERROR(SUMIFS('TRA balance'!AL$5:AL$40,'TRA balance'!$C$5:$C$40,Assumptions!$C72,'TRA balance'!$D$5:$D$40,Assumptions!$B72)*EF72*AO72,"")</f>
        <v>0</v>
      </c>
      <c r="CL72" s="41">
        <f ca="1">IFERROR(SUMIFS('TRA balance'!AM$5:AM$40,'TRA balance'!$C$5:$C$40,Assumptions!$C72,'TRA balance'!$D$5:$D$40,Assumptions!$B72)*EG72*AP72,"")</f>
        <v>0.604231104816</v>
      </c>
      <c r="CM72" s="41">
        <f ca="1">IFERROR(SUMIFS('TRA balance'!AN$5:AN$40,'TRA balance'!$C$5:$C$40,Assumptions!$C72,'TRA balance'!$D$5:$D$40,Assumptions!$B72)*EH72*AQ72,"")</f>
        <v>0</v>
      </c>
      <c r="CN72" s="41">
        <f ca="1">IFERROR(SUMIFS('TRA balance'!AO$5:AO$40,'TRA balance'!$C$5:$C$40,Assumptions!$C72,'TRA balance'!$D$5:$D$40,Assumptions!$B72)*EI72*AR72,"")</f>
        <v>0</v>
      </c>
      <c r="CO72" s="41">
        <f ca="1">IFERROR(SUMIFS('TRA balance'!AP$5:AP$40,'TRA balance'!$C$5:$C$40,Assumptions!$C72,'TRA balance'!$D$5:$D$40,Assumptions!$B72)*EJ72*AS72,"")</f>
        <v>0</v>
      </c>
      <c r="CP72" s="41">
        <f ca="1">IFERROR(SUMIFS('TRA balance'!AQ$5:AQ$40,'TRA balance'!$C$5:$C$40,Assumptions!$C72,'TRA balance'!$D$5:$D$40,Assumptions!$B72)*EK72*AT72,"")</f>
        <v>0</v>
      </c>
      <c r="CQ72" s="41">
        <f ca="1">IFERROR(SUMIFS('TRA balance'!AR$5:AR$40,'TRA balance'!$C$5:$C$40,Assumptions!$C72,'TRA balance'!$D$5:$D$40,Assumptions!$B72)*EL72*AU72,"")</f>
        <v>0</v>
      </c>
      <c r="CR72" s="41">
        <f ca="1">IFERROR(SUMIFS('TRA balance'!AS$5:AS$40,'TRA balance'!$C$5:$C$40,Assumptions!$C72,'TRA balance'!$D$5:$D$40,Assumptions!$B72)*EM72*AV72,"")</f>
        <v>0</v>
      </c>
      <c r="CS72" s="41">
        <f ca="1">IFERROR(SUMIFS('TRA balance'!AT$5:AT$40,'TRA balance'!$C$5:$C$40,Assumptions!$C72,'TRA balance'!$D$5:$D$40,Assumptions!$B72)*EN72*AW72,"")</f>
        <v>0</v>
      </c>
      <c r="CT72" s="41">
        <f ca="1">IFERROR(SUMIFS('TRA balance'!AU$5:AU$40,'TRA balance'!$C$5:$C$40,Assumptions!$C72,'TRA balance'!$D$5:$D$40,Assumptions!$B72)*EO72*AX72,"")</f>
        <v>0</v>
      </c>
      <c r="CU72" s="41">
        <f ca="1">IFERROR(SUMIFS('TRA balance'!AV$5:AV$40,'TRA balance'!$C$5:$C$40,Assumptions!$C72,'TRA balance'!$D$5:$D$40,Assumptions!$B72)*EP72*AY72,"")</f>
        <v>0</v>
      </c>
      <c r="CV72" s="41">
        <f ca="1">IFERROR(SUMIFS('TRA balance'!AW$5:AW$40,'TRA balance'!$C$5:$C$40,Assumptions!$C72,'TRA balance'!$D$5:$D$40,Assumptions!$B72)*EQ72*AZ72,"")</f>
        <v>0</v>
      </c>
      <c r="CW72" s="41">
        <f ca="1">IFERROR(SUMIFS('TRA balance'!AX$5:AX$40,'TRA balance'!$C$5:$C$40,Assumptions!$C72,'TRA balance'!$D$5:$D$40,Assumptions!$B72)*ER72*BA72,"")</f>
        <v>0</v>
      </c>
      <c r="CY72" s="40">
        <f ca="1" t="shared" si="86"/>
        <v>0.9</v>
      </c>
      <c r="CZ72" s="40">
        <f ca="1" t="shared" si="87"/>
        <v>0.9</v>
      </c>
      <c r="DA72" s="40">
        <f ca="1" t="shared" si="88"/>
        <v>0.98</v>
      </c>
      <c r="DB72" s="40">
        <f ca="1" t="shared" si="89"/>
        <v>0.8</v>
      </c>
      <c r="DC72" s="40">
        <f ca="1" t="shared" si="90"/>
        <v>0.95</v>
      </c>
      <c r="DD72" s="40">
        <f ca="1" t="shared" si="91"/>
        <v>0.8</v>
      </c>
      <c r="DE72" s="40">
        <f ca="1" t="shared" si="92"/>
        <v>0.93</v>
      </c>
      <c r="DF72" s="40">
        <f ca="1" t="shared" si="93"/>
        <v>0.9</v>
      </c>
      <c r="DG72" s="40">
        <f ca="1" t="shared" si="94"/>
        <v>0.8</v>
      </c>
      <c r="DH72" s="40">
        <f ca="1" t="shared" si="95"/>
        <v>0.8</v>
      </c>
      <c r="DI72" s="40">
        <f ca="1" t="shared" si="96"/>
        <v>0.8</v>
      </c>
      <c r="DJ72" s="40">
        <f ca="1" t="shared" si="97"/>
        <v>0.8</v>
      </c>
      <c r="DK72" s="40">
        <f ca="1" t="shared" si="98"/>
        <v>0.8</v>
      </c>
      <c r="DL72" s="40">
        <f ca="1" t="shared" si="99"/>
        <v>0.8</v>
      </c>
      <c r="DM72" s="40">
        <f ca="1" t="shared" si="100"/>
        <v>0.8</v>
      </c>
      <c r="DN72" s="40">
        <f ca="1" t="shared" si="101"/>
        <v>0.75</v>
      </c>
      <c r="DO72" s="40">
        <f ca="1" t="shared" si="102"/>
        <v>0.8</v>
      </c>
      <c r="DP72" s="40">
        <f ca="1" t="shared" si="103"/>
        <v>0.8</v>
      </c>
      <c r="DQ72" s="40">
        <f ca="1" t="shared" si="104"/>
        <v>0.95</v>
      </c>
      <c r="DR72" s="40">
        <f ca="1" t="shared" si="105"/>
        <v>0.93</v>
      </c>
      <c r="DS72" s="40">
        <f ca="1" t="shared" si="106"/>
        <v>0.9</v>
      </c>
      <c r="DT72" s="40">
        <f ca="1" t="shared" si="107"/>
        <v>0.975593578177383</v>
      </c>
      <c r="DU72" s="40">
        <f ca="1" t="shared" si="108"/>
        <v>0.8</v>
      </c>
      <c r="DV72" s="40">
        <f ca="1" t="shared" si="109"/>
        <v>0.8</v>
      </c>
      <c r="DW72" s="40">
        <f ca="1" t="shared" si="110"/>
        <v>0.92</v>
      </c>
      <c r="DX72" s="40">
        <f ca="1" t="shared" si="111"/>
        <v>0.95</v>
      </c>
      <c r="DY72" s="40">
        <f ca="1" t="shared" si="112"/>
        <v>0.9</v>
      </c>
      <c r="DZ72" s="40">
        <f ca="1" t="shared" si="113"/>
        <v>0.9</v>
      </c>
      <c r="EA72" s="40">
        <f ca="1" t="shared" si="114"/>
        <v>0.8</v>
      </c>
      <c r="EB72" s="40">
        <f ca="1" t="shared" si="115"/>
        <v>0.8</v>
      </c>
      <c r="EC72" s="40">
        <f ca="1" t="shared" si="116"/>
        <v>0.8</v>
      </c>
      <c r="ED72" s="40">
        <f ca="1" t="shared" si="117"/>
        <v>0.9</v>
      </c>
      <c r="EE72" s="40">
        <f ca="1" t="shared" si="118"/>
        <v>0.8</v>
      </c>
      <c r="EF72" s="40">
        <f ca="1" t="shared" si="119"/>
        <v>0.95</v>
      </c>
      <c r="EG72" s="40">
        <f ca="1" t="shared" si="120"/>
        <v>0.8</v>
      </c>
      <c r="EH72" s="40">
        <f ca="1" t="shared" si="121"/>
        <v>0.975593578177383</v>
      </c>
      <c r="EI72" s="40">
        <f ca="1" t="shared" si="122"/>
        <v>0.975593578177383</v>
      </c>
      <c r="EJ72" s="40">
        <f ca="1" t="shared" si="123"/>
        <v>0.975593578177383</v>
      </c>
      <c r="EK72" s="40">
        <f ca="1" t="shared" si="124"/>
        <v>0.975593578177383</v>
      </c>
      <c r="EL72" s="40">
        <f ca="1" t="shared" si="125"/>
        <v>0.975593578177383</v>
      </c>
      <c r="EM72" s="40">
        <f ca="1" t="shared" si="126"/>
        <v>0.975593578177383</v>
      </c>
      <c r="EN72" s="40">
        <f ca="1" t="shared" si="127"/>
        <v>0.975593578177383</v>
      </c>
      <c r="EO72" s="40">
        <f ca="1" t="shared" si="128"/>
        <v>0.975593578177383</v>
      </c>
      <c r="EP72" s="40">
        <f ca="1" t="shared" si="129"/>
        <v>0.975593578177383</v>
      </c>
      <c r="EQ72" s="40">
        <f ca="1" t="shared" si="130"/>
        <v>0.975593578177383</v>
      </c>
      <c r="ER72" s="40">
        <f ca="1" t="shared" si="131"/>
        <v>0.975593578177383</v>
      </c>
    </row>
    <row r="73" spans="1:148">
      <c r="A73">
        <v>1</v>
      </c>
      <c r="B73" t="str">
        <f>VLOOKUP(F73,'TRA balance'!$BA$5:$BB$14,2,FALSE)</f>
        <v>TRABDS</v>
      </c>
      <c r="C73" s="56" t="str">
        <f t="shared" si="133"/>
        <v/>
      </c>
      <c r="D73" s="57"/>
      <c r="E73" s="69" t="s">
        <v>220</v>
      </c>
      <c r="F73" s="58" t="str">
        <f t="shared" si="134"/>
        <v>Bio Diesel</v>
      </c>
      <c r="G73" s="56"/>
      <c r="H73" s="71" t="str">
        <f ca="1">IF(SUM(H69:H72)=1,"-","&lt;&gt;1!!")</f>
        <v>-</v>
      </c>
      <c r="I73" s="71" t="str">
        <f ca="1" t="shared" ref="I73:BA73" si="135">IF(SUM(I69:I72)=1,"-","&lt;&gt;1!!")</f>
        <v>-</v>
      </c>
      <c r="J73" s="71" t="str">
        <f ca="1" t="shared" si="135"/>
        <v>-</v>
      </c>
      <c r="K73" s="71" t="str">
        <f ca="1" t="shared" si="135"/>
        <v>-</v>
      </c>
      <c r="L73" s="71" t="str">
        <f ca="1" t="shared" si="135"/>
        <v>-</v>
      </c>
      <c r="M73" s="71" t="str">
        <f ca="1" t="shared" si="135"/>
        <v>-</v>
      </c>
      <c r="N73" s="71" t="str">
        <f ca="1" t="shared" si="135"/>
        <v>-</v>
      </c>
      <c r="O73" s="71" t="str">
        <f ca="1" t="shared" si="135"/>
        <v>-</v>
      </c>
      <c r="P73" s="71" t="str">
        <f ca="1" t="shared" si="135"/>
        <v>-</v>
      </c>
      <c r="Q73" s="71" t="str">
        <f ca="1" t="shared" si="135"/>
        <v>-</v>
      </c>
      <c r="R73" s="71" t="str">
        <f ca="1" t="shared" si="135"/>
        <v>-</v>
      </c>
      <c r="S73" s="71" t="str">
        <f ca="1" t="shared" si="135"/>
        <v>-</v>
      </c>
      <c r="T73" s="71" t="str">
        <f ca="1" t="shared" si="135"/>
        <v>-</v>
      </c>
      <c r="U73" s="71" t="str">
        <f ca="1" t="shared" si="135"/>
        <v>-</v>
      </c>
      <c r="V73" s="71" t="str">
        <f ca="1" t="shared" si="135"/>
        <v>-</v>
      </c>
      <c r="W73" s="71" t="str">
        <f ca="1" t="shared" si="135"/>
        <v>-</v>
      </c>
      <c r="X73" s="71" t="str">
        <f ca="1" t="shared" si="135"/>
        <v>-</v>
      </c>
      <c r="Y73" s="71" t="str">
        <f ca="1" t="shared" si="135"/>
        <v>-</v>
      </c>
      <c r="Z73" s="71" t="str">
        <f ca="1" t="shared" si="135"/>
        <v>-</v>
      </c>
      <c r="AA73" s="71" t="str">
        <f ca="1" t="shared" si="135"/>
        <v>-</v>
      </c>
      <c r="AB73" s="71" t="str">
        <f ca="1" t="shared" si="135"/>
        <v>-</v>
      </c>
      <c r="AC73" s="71" t="str">
        <f ca="1" t="shared" si="135"/>
        <v>-</v>
      </c>
      <c r="AD73" s="71" t="str">
        <f ca="1" t="shared" si="135"/>
        <v>-</v>
      </c>
      <c r="AE73" s="71" t="str">
        <f ca="1" t="shared" si="135"/>
        <v>-</v>
      </c>
      <c r="AF73" s="71" t="str">
        <f ca="1" t="shared" si="135"/>
        <v>-</v>
      </c>
      <c r="AG73" s="71" t="str">
        <f ca="1" t="shared" si="135"/>
        <v>-</v>
      </c>
      <c r="AH73" s="71" t="str">
        <f ca="1" t="shared" si="135"/>
        <v>-</v>
      </c>
      <c r="AI73" s="71" t="str">
        <f ca="1" t="shared" si="135"/>
        <v>-</v>
      </c>
      <c r="AJ73" s="71" t="str">
        <f ca="1" t="shared" si="135"/>
        <v>-</v>
      </c>
      <c r="AK73" s="71" t="str">
        <f ca="1" t="shared" si="135"/>
        <v>-</v>
      </c>
      <c r="AL73" s="71" t="str">
        <f ca="1" t="shared" si="135"/>
        <v>-</v>
      </c>
      <c r="AM73" s="71" t="str">
        <f ca="1" t="shared" si="135"/>
        <v>-</v>
      </c>
      <c r="AN73" s="71" t="str">
        <f ca="1" t="shared" si="135"/>
        <v>-</v>
      </c>
      <c r="AO73" s="71" t="str">
        <f ca="1" t="shared" si="135"/>
        <v>-</v>
      </c>
      <c r="AP73" s="71" t="str">
        <f ca="1" t="shared" si="135"/>
        <v>-</v>
      </c>
      <c r="AQ73" s="71" t="str">
        <f ca="1" t="shared" si="135"/>
        <v>-</v>
      </c>
      <c r="AR73" s="71" t="str">
        <f ca="1" t="shared" si="135"/>
        <v>-</v>
      </c>
      <c r="AS73" s="71" t="str">
        <f ca="1" t="shared" si="135"/>
        <v>-</v>
      </c>
      <c r="AT73" s="71" t="str">
        <f ca="1" t="shared" si="135"/>
        <v>-</v>
      </c>
      <c r="AU73" s="71" t="str">
        <f ca="1" t="shared" si="135"/>
        <v>-</v>
      </c>
      <c r="AV73" s="71" t="str">
        <f ca="1" t="shared" si="135"/>
        <v>-</v>
      </c>
      <c r="AW73" s="71" t="str">
        <f ca="1" t="shared" si="135"/>
        <v>-</v>
      </c>
      <c r="AX73" s="71" t="str">
        <f ca="1" t="shared" si="135"/>
        <v>-</v>
      </c>
      <c r="AY73" s="71" t="str">
        <f ca="1" t="shared" si="135"/>
        <v>-</v>
      </c>
      <c r="AZ73" s="71" t="str">
        <f ca="1" t="shared" si="135"/>
        <v>-</v>
      </c>
      <c r="BA73" s="71" t="str">
        <f ca="1" t="shared" si="135"/>
        <v>-</v>
      </c>
      <c r="BD73" s="41" t="str">
        <f ca="1">IFERROR(SUMIFS('TRA balance'!E$5:E$40,'TRA balance'!$C$5:$C$40,Assumptions!$C73,'TRA balance'!$D$5:$D$40,Assumptions!$B73)*CY73*H73,"")</f>
        <v/>
      </c>
      <c r="BE73" s="41" t="str">
        <f ca="1">IFERROR(SUMIFS('TRA balance'!F$5:F$40,'TRA balance'!$C$5:$C$40,Assumptions!$C73,'TRA balance'!$D$5:$D$40,Assumptions!$B73)*CZ73*I73,"")</f>
        <v/>
      </c>
      <c r="BF73" s="41" t="str">
        <f ca="1">IFERROR(SUMIFS('TRA balance'!G$5:G$40,'TRA balance'!$C$5:$C$40,Assumptions!$C73,'TRA balance'!$D$5:$D$40,Assumptions!$B73)*DA73*J73,"")</f>
        <v/>
      </c>
      <c r="BG73" s="41" t="str">
        <f ca="1">IFERROR(SUMIFS('TRA balance'!H$5:H$40,'TRA balance'!$C$5:$C$40,Assumptions!$C73,'TRA balance'!$D$5:$D$40,Assumptions!$B73)*DB73*K73,"")</f>
        <v/>
      </c>
      <c r="BH73" s="41" t="str">
        <f ca="1">IFERROR(SUMIFS('TRA balance'!I$5:I$40,'TRA balance'!$C$5:$C$40,Assumptions!$C73,'TRA balance'!$D$5:$D$40,Assumptions!$B73)*DC73*L73,"")</f>
        <v/>
      </c>
      <c r="BI73" s="41" t="str">
        <f ca="1">IFERROR(SUMIFS('TRA balance'!J$5:J$40,'TRA balance'!$C$5:$C$40,Assumptions!$C73,'TRA balance'!$D$5:$D$40,Assumptions!$B73)*DD73*M73,"")</f>
        <v/>
      </c>
      <c r="BJ73" s="41" t="str">
        <f ca="1">IFERROR(SUMIFS('TRA balance'!K$5:K$40,'TRA balance'!$C$5:$C$40,Assumptions!$C73,'TRA balance'!$D$5:$D$40,Assumptions!$B73)*DE73*N73,"")</f>
        <v/>
      </c>
      <c r="BK73" s="41" t="str">
        <f ca="1">IFERROR(SUMIFS('TRA balance'!L$5:L$40,'TRA balance'!$C$5:$C$40,Assumptions!$C73,'TRA balance'!$D$5:$D$40,Assumptions!$B73)*DF73*O73,"")</f>
        <v/>
      </c>
      <c r="BL73" s="41" t="str">
        <f ca="1">IFERROR(SUMIFS('TRA balance'!M$5:M$40,'TRA balance'!$C$5:$C$40,Assumptions!$C73,'TRA balance'!$D$5:$D$40,Assumptions!$B73)*DG73*P73,"")</f>
        <v/>
      </c>
      <c r="BM73" s="41" t="str">
        <f ca="1">IFERROR(SUMIFS('TRA balance'!N$5:N$40,'TRA balance'!$C$5:$C$40,Assumptions!$C73,'TRA balance'!$D$5:$D$40,Assumptions!$B73)*DH73*Q73,"")</f>
        <v/>
      </c>
      <c r="BN73" s="41" t="str">
        <f ca="1">IFERROR(SUMIFS('TRA balance'!O$5:O$40,'TRA balance'!$C$5:$C$40,Assumptions!$C73,'TRA balance'!$D$5:$D$40,Assumptions!$B73)*DI73*R73,"")</f>
        <v/>
      </c>
      <c r="BO73" s="41" t="str">
        <f ca="1">IFERROR(SUMIFS('TRA balance'!P$5:P$40,'TRA balance'!$C$5:$C$40,Assumptions!$C73,'TRA balance'!$D$5:$D$40,Assumptions!$B73)*DJ73*S73,"")</f>
        <v/>
      </c>
      <c r="BP73" s="41" t="str">
        <f ca="1">IFERROR(SUMIFS('TRA balance'!Q$5:Q$40,'TRA balance'!$C$5:$C$40,Assumptions!$C73,'TRA balance'!$D$5:$D$40,Assumptions!$B73)*DK73*T73,"")</f>
        <v/>
      </c>
      <c r="BQ73" s="41" t="str">
        <f ca="1">IFERROR(SUMIFS('TRA balance'!R$5:R$40,'TRA balance'!$C$5:$C$40,Assumptions!$C73,'TRA balance'!$D$5:$D$40,Assumptions!$B73)*DL73*U73,"")</f>
        <v/>
      </c>
      <c r="BR73" s="41" t="str">
        <f ca="1">IFERROR(SUMIFS('TRA balance'!S$5:S$40,'TRA balance'!$C$5:$C$40,Assumptions!$C73,'TRA balance'!$D$5:$D$40,Assumptions!$B73)*DM73*V73,"")</f>
        <v/>
      </c>
      <c r="BS73" s="41" t="str">
        <f ca="1">IFERROR(SUMIFS('TRA balance'!T$5:T$40,'TRA balance'!$C$5:$C$40,Assumptions!$C73,'TRA balance'!$D$5:$D$40,Assumptions!$B73)*DN73*W73,"")</f>
        <v/>
      </c>
      <c r="BT73" s="41" t="str">
        <f ca="1">IFERROR(SUMIFS('TRA balance'!U$5:U$40,'TRA balance'!$C$5:$C$40,Assumptions!$C73,'TRA balance'!$D$5:$D$40,Assumptions!$B73)*DO73*X73,"")</f>
        <v/>
      </c>
      <c r="BU73" s="41" t="str">
        <f ca="1">IFERROR(SUMIFS('TRA balance'!V$5:V$40,'TRA balance'!$C$5:$C$40,Assumptions!$C73,'TRA balance'!$D$5:$D$40,Assumptions!$B73)*DP73*Y73,"")</f>
        <v/>
      </c>
      <c r="BV73" s="41" t="str">
        <f ca="1">IFERROR(SUMIFS('TRA balance'!W$5:W$40,'TRA balance'!$C$5:$C$40,Assumptions!$C73,'TRA balance'!$D$5:$D$40,Assumptions!$B73)*DQ73*Z73,"")</f>
        <v/>
      </c>
      <c r="BW73" s="41" t="str">
        <f ca="1">IFERROR(SUMIFS('TRA balance'!X$5:X$40,'TRA balance'!$C$5:$C$40,Assumptions!$C73,'TRA balance'!$D$5:$D$40,Assumptions!$B73)*DR73*AA73,"")</f>
        <v/>
      </c>
      <c r="BX73" s="41" t="str">
        <f ca="1">IFERROR(SUMIFS('TRA balance'!Y$5:Y$40,'TRA balance'!$C$5:$C$40,Assumptions!$C73,'TRA balance'!$D$5:$D$40,Assumptions!$B73)*DS73*AB73,"")</f>
        <v/>
      </c>
      <c r="BY73" s="41" t="str">
        <f ca="1">IFERROR(SUMIFS('TRA balance'!Z$5:Z$40,'TRA balance'!$C$5:$C$40,Assumptions!$C73,'TRA balance'!$D$5:$D$40,Assumptions!$B73)*DT73*AC73,"")</f>
        <v/>
      </c>
      <c r="BZ73" s="41" t="str">
        <f ca="1">IFERROR(SUMIFS('TRA balance'!AA$5:AA$40,'TRA balance'!$C$5:$C$40,Assumptions!$C73,'TRA balance'!$D$5:$D$40,Assumptions!$B73)*DU73*AD73,"")</f>
        <v/>
      </c>
      <c r="CA73" s="41" t="str">
        <f ca="1">IFERROR(SUMIFS('TRA balance'!AB$5:AB$40,'TRA balance'!$C$5:$C$40,Assumptions!$C73,'TRA balance'!$D$5:$D$40,Assumptions!$B73)*DV73*AE73,"")</f>
        <v/>
      </c>
      <c r="CB73" s="41" t="str">
        <f ca="1">IFERROR(SUMIFS('TRA balance'!AC$5:AC$40,'TRA balance'!$C$5:$C$40,Assumptions!$C73,'TRA balance'!$D$5:$D$40,Assumptions!$B73)*DW73*AF73,"")</f>
        <v/>
      </c>
      <c r="CC73" s="41" t="str">
        <f ca="1">IFERROR(SUMIFS('TRA balance'!AD$5:AD$40,'TRA balance'!$C$5:$C$40,Assumptions!$C73,'TRA balance'!$D$5:$D$40,Assumptions!$B73)*DX73*AG73,"")</f>
        <v/>
      </c>
      <c r="CD73" s="41" t="str">
        <f ca="1">IFERROR(SUMIFS('TRA balance'!AE$5:AE$40,'TRA balance'!$C$5:$C$40,Assumptions!$C73,'TRA balance'!$D$5:$D$40,Assumptions!$B73)*DY73*AH73,"")</f>
        <v/>
      </c>
      <c r="CE73" s="41" t="str">
        <f ca="1">IFERROR(SUMIFS('TRA balance'!AF$5:AF$40,'TRA balance'!$C$5:$C$40,Assumptions!$C73,'TRA balance'!$D$5:$D$40,Assumptions!$B73)*DZ73*AI73,"")</f>
        <v/>
      </c>
      <c r="CF73" s="41" t="str">
        <f ca="1">IFERROR(SUMIFS('TRA balance'!AG$5:AG$40,'TRA balance'!$C$5:$C$40,Assumptions!$C73,'TRA balance'!$D$5:$D$40,Assumptions!$B73)*EA73*AJ73,"")</f>
        <v/>
      </c>
      <c r="CG73" s="41" t="str">
        <f ca="1">IFERROR(SUMIFS('TRA balance'!AH$5:AH$40,'TRA balance'!$C$5:$C$40,Assumptions!$C73,'TRA balance'!$D$5:$D$40,Assumptions!$B73)*EB73*AK73,"")</f>
        <v/>
      </c>
      <c r="CH73" s="41" t="str">
        <f ca="1">IFERROR(SUMIFS('TRA balance'!AI$5:AI$40,'TRA balance'!$C$5:$C$40,Assumptions!$C73,'TRA balance'!$D$5:$D$40,Assumptions!$B73)*EC73*AL73,"")</f>
        <v/>
      </c>
      <c r="CI73" s="41" t="str">
        <f ca="1">IFERROR(SUMIFS('TRA balance'!AJ$5:AJ$40,'TRA balance'!$C$5:$C$40,Assumptions!$C73,'TRA balance'!$D$5:$D$40,Assumptions!$B73)*ED73*AM73,"")</f>
        <v/>
      </c>
      <c r="CJ73" s="41" t="str">
        <f ca="1">IFERROR(SUMIFS('TRA balance'!AK$5:AK$40,'TRA balance'!$C$5:$C$40,Assumptions!$C73,'TRA balance'!$D$5:$D$40,Assumptions!$B73)*EE73*AN73,"")</f>
        <v/>
      </c>
      <c r="CK73" s="41" t="str">
        <f ca="1">IFERROR(SUMIFS('TRA balance'!AL$5:AL$40,'TRA balance'!$C$5:$C$40,Assumptions!$C73,'TRA balance'!$D$5:$D$40,Assumptions!$B73)*EF73*AO73,"")</f>
        <v/>
      </c>
      <c r="CL73" s="41" t="str">
        <f ca="1">IFERROR(SUMIFS('TRA balance'!AM$5:AM$40,'TRA balance'!$C$5:$C$40,Assumptions!$C73,'TRA balance'!$D$5:$D$40,Assumptions!$B73)*EG73*AP73,"")</f>
        <v/>
      </c>
      <c r="CM73" s="41" t="str">
        <f ca="1">IFERROR(SUMIFS('TRA balance'!AN$5:AN$40,'TRA balance'!$C$5:$C$40,Assumptions!$C73,'TRA balance'!$D$5:$D$40,Assumptions!$B73)*EH73*AQ73,"")</f>
        <v/>
      </c>
      <c r="CN73" s="41" t="str">
        <f ca="1">IFERROR(SUMIFS('TRA balance'!AO$5:AO$40,'TRA balance'!$C$5:$C$40,Assumptions!$C73,'TRA balance'!$D$5:$D$40,Assumptions!$B73)*EI73*AR73,"")</f>
        <v/>
      </c>
      <c r="CO73" s="41" t="str">
        <f ca="1">IFERROR(SUMIFS('TRA balance'!AP$5:AP$40,'TRA balance'!$C$5:$C$40,Assumptions!$C73,'TRA balance'!$D$5:$D$40,Assumptions!$B73)*EJ73*AS73,"")</f>
        <v/>
      </c>
      <c r="CP73" s="41" t="str">
        <f ca="1">IFERROR(SUMIFS('TRA balance'!AQ$5:AQ$40,'TRA balance'!$C$5:$C$40,Assumptions!$C73,'TRA balance'!$D$5:$D$40,Assumptions!$B73)*EK73*AT73,"")</f>
        <v/>
      </c>
      <c r="CQ73" s="41" t="str">
        <f ca="1">IFERROR(SUMIFS('TRA balance'!AR$5:AR$40,'TRA balance'!$C$5:$C$40,Assumptions!$C73,'TRA balance'!$D$5:$D$40,Assumptions!$B73)*EL73*AU73,"")</f>
        <v/>
      </c>
      <c r="CR73" s="41" t="str">
        <f ca="1">IFERROR(SUMIFS('TRA balance'!AS$5:AS$40,'TRA balance'!$C$5:$C$40,Assumptions!$C73,'TRA balance'!$D$5:$D$40,Assumptions!$B73)*EM73*AV73,"")</f>
        <v/>
      </c>
      <c r="CS73" s="41" t="str">
        <f ca="1">IFERROR(SUMIFS('TRA balance'!AT$5:AT$40,'TRA balance'!$C$5:$C$40,Assumptions!$C73,'TRA balance'!$D$5:$D$40,Assumptions!$B73)*EN73*AW73,"")</f>
        <v/>
      </c>
      <c r="CT73" s="41" t="str">
        <f ca="1">IFERROR(SUMIFS('TRA balance'!AU$5:AU$40,'TRA balance'!$C$5:$C$40,Assumptions!$C73,'TRA balance'!$D$5:$D$40,Assumptions!$B73)*EO73*AX73,"")</f>
        <v/>
      </c>
      <c r="CU73" s="41" t="str">
        <f ca="1">IFERROR(SUMIFS('TRA balance'!AV$5:AV$40,'TRA balance'!$C$5:$C$40,Assumptions!$C73,'TRA balance'!$D$5:$D$40,Assumptions!$B73)*EP73*AY73,"")</f>
        <v/>
      </c>
      <c r="CV73" s="41" t="str">
        <f ca="1">IFERROR(SUMIFS('TRA balance'!AW$5:AW$40,'TRA balance'!$C$5:$C$40,Assumptions!$C73,'TRA balance'!$D$5:$D$40,Assumptions!$B73)*EQ73*AZ73,"")</f>
        <v/>
      </c>
      <c r="CW73" s="41" t="str">
        <f ca="1">IFERROR(SUMIFS('TRA balance'!AX$5:AX$40,'TRA balance'!$C$5:$C$40,Assumptions!$C73,'TRA balance'!$D$5:$D$40,Assumptions!$B73)*ER73*BA73,"")</f>
        <v/>
      </c>
      <c r="CY73" s="40">
        <f ca="1" t="shared" si="86"/>
        <v>1</v>
      </c>
      <c r="CZ73" s="40">
        <f ca="1" t="shared" si="87"/>
        <v>1</v>
      </c>
      <c r="DA73" s="40">
        <f ca="1" t="shared" si="88"/>
        <v>1</v>
      </c>
      <c r="DB73" s="40">
        <f ca="1" t="shared" si="89"/>
        <v>1</v>
      </c>
      <c r="DC73" s="40">
        <f ca="1" t="shared" si="90"/>
        <v>1</v>
      </c>
      <c r="DD73" s="40">
        <f ca="1" t="shared" si="91"/>
        <v>1</v>
      </c>
      <c r="DE73" s="40">
        <f ca="1" t="shared" si="92"/>
        <v>1</v>
      </c>
      <c r="DF73" s="40">
        <f ca="1" t="shared" si="93"/>
        <v>1</v>
      </c>
      <c r="DG73" s="40">
        <f ca="1" t="shared" si="94"/>
        <v>1</v>
      </c>
      <c r="DH73" s="40">
        <f ca="1" t="shared" si="95"/>
        <v>1</v>
      </c>
      <c r="DI73" s="40">
        <f ca="1" t="shared" si="96"/>
        <v>1</v>
      </c>
      <c r="DJ73" s="40">
        <f ca="1" t="shared" si="97"/>
        <v>1</v>
      </c>
      <c r="DK73" s="40">
        <f ca="1" t="shared" si="98"/>
        <v>1</v>
      </c>
      <c r="DL73" s="40">
        <f ca="1" t="shared" si="99"/>
        <v>1</v>
      </c>
      <c r="DM73" s="40">
        <f ca="1" t="shared" si="100"/>
        <v>1</v>
      </c>
      <c r="DN73" s="40">
        <f ca="1" t="shared" si="101"/>
        <v>1</v>
      </c>
      <c r="DO73" s="40">
        <f ca="1" t="shared" si="102"/>
        <v>1</v>
      </c>
      <c r="DP73" s="40">
        <f ca="1" t="shared" si="103"/>
        <v>1</v>
      </c>
      <c r="DQ73" s="40">
        <f ca="1" t="shared" si="104"/>
        <v>1</v>
      </c>
      <c r="DR73" s="40">
        <f ca="1" t="shared" si="105"/>
        <v>1</v>
      </c>
      <c r="DS73" s="40">
        <f ca="1" t="shared" si="106"/>
        <v>1</v>
      </c>
      <c r="DT73" s="40">
        <f ca="1" t="shared" si="107"/>
        <v>1</v>
      </c>
      <c r="DU73" s="40">
        <f ca="1" t="shared" si="108"/>
        <v>1</v>
      </c>
      <c r="DV73" s="40">
        <f ca="1" t="shared" si="109"/>
        <v>1</v>
      </c>
      <c r="DW73" s="40">
        <f ca="1" t="shared" si="110"/>
        <v>1</v>
      </c>
      <c r="DX73" s="40">
        <f ca="1" t="shared" si="111"/>
        <v>1</v>
      </c>
      <c r="DY73" s="40">
        <f ca="1" t="shared" si="112"/>
        <v>1</v>
      </c>
      <c r="DZ73" s="40">
        <f ca="1" t="shared" si="113"/>
        <v>1</v>
      </c>
      <c r="EA73" s="40">
        <f ca="1" t="shared" si="114"/>
        <v>1</v>
      </c>
      <c r="EB73" s="40">
        <f ca="1" t="shared" si="115"/>
        <v>1</v>
      </c>
      <c r="EC73" s="40">
        <f ca="1" t="shared" si="116"/>
        <v>1</v>
      </c>
      <c r="ED73" s="40">
        <f ca="1" t="shared" si="117"/>
        <v>1</v>
      </c>
      <c r="EE73" s="40">
        <f ca="1" t="shared" si="118"/>
        <v>1</v>
      </c>
      <c r="EF73" s="40">
        <f ca="1" t="shared" si="119"/>
        <v>1</v>
      </c>
      <c r="EG73" s="40">
        <f ca="1" t="shared" si="120"/>
        <v>1</v>
      </c>
      <c r="EH73" s="40">
        <f ca="1" t="shared" si="121"/>
        <v>1</v>
      </c>
      <c r="EI73" s="40">
        <f ca="1" t="shared" si="122"/>
        <v>1</v>
      </c>
      <c r="EJ73" s="40">
        <f ca="1" t="shared" si="123"/>
        <v>1</v>
      </c>
      <c r="EK73" s="40">
        <f ca="1" t="shared" si="124"/>
        <v>1</v>
      </c>
      <c r="EL73" s="40">
        <f ca="1" t="shared" si="125"/>
        <v>1</v>
      </c>
      <c r="EM73" s="40">
        <f ca="1" t="shared" si="126"/>
        <v>1</v>
      </c>
      <c r="EN73" s="40">
        <f ca="1" t="shared" si="127"/>
        <v>1</v>
      </c>
      <c r="EO73" s="40">
        <f ca="1" t="shared" si="128"/>
        <v>1</v>
      </c>
      <c r="EP73" s="40">
        <f ca="1" t="shared" si="129"/>
        <v>1</v>
      </c>
      <c r="EQ73" s="40">
        <f ca="1" t="shared" si="130"/>
        <v>1</v>
      </c>
      <c r="ER73" s="40">
        <f ca="1" t="shared" si="131"/>
        <v>1</v>
      </c>
    </row>
    <row r="74" spans="1:148">
      <c r="A74">
        <v>1</v>
      </c>
      <c r="B74" t="str">
        <f>VLOOKUP(F74,'TRA balance'!$BA$5:$BB$14,2,FALSE)</f>
        <v>TRABDS</v>
      </c>
      <c r="C74" s="56" t="str">
        <f t="shared" si="133"/>
        <v>TT</v>
      </c>
      <c r="D74" s="57" t="s">
        <v>192</v>
      </c>
      <c r="E74" s="57" t="s">
        <v>193</v>
      </c>
      <c r="F74" s="58" t="str">
        <f t="shared" si="134"/>
        <v>Bio Diesel</v>
      </c>
      <c r="G74" s="56" t="s">
        <v>194</v>
      </c>
      <c r="H74" s="59">
        <f ca="1">OFFSET(TIAM15_assumptions!$G74,0,MATCH(VLOOKUP(Assumptions!H$2,TIAM15_assumptions!$Y$3:$Z$87,2,FALSE),TIAM15_assumptions!$H$2:$V$2,0))</f>
        <v>0.7</v>
      </c>
      <c r="I74" s="59">
        <f ca="1">OFFSET(TIAM15_assumptions!$G74,0,MATCH(VLOOKUP(Assumptions!I$2,TIAM15_assumptions!$Y$3:$Z$87,2,FALSE),TIAM15_assumptions!$H$2:$V$2,0))</f>
        <v>0.7</v>
      </c>
      <c r="J74" s="59">
        <f ca="1">OFFSET(TIAM15_assumptions!$G74,0,MATCH(VLOOKUP(Assumptions!J$2,TIAM15_assumptions!$Y$3:$Z$87,2,FALSE),TIAM15_assumptions!$H$2:$V$2,0))</f>
        <v>0.7</v>
      </c>
      <c r="K74" s="59">
        <f ca="1">OFFSET(TIAM15_assumptions!$G74,0,MATCH(VLOOKUP(Assumptions!K$2,TIAM15_assumptions!$Y$3:$Z$87,2,FALSE),TIAM15_assumptions!$H$2:$V$2,0))</f>
        <v>0.9</v>
      </c>
      <c r="L74" s="59">
        <f ca="1">OFFSET(TIAM15_assumptions!$G74,0,MATCH(VLOOKUP(Assumptions!L$2,TIAM15_assumptions!$Y$3:$Z$87,2,FALSE),TIAM15_assumptions!$H$2:$V$2,0))</f>
        <v>0.9</v>
      </c>
      <c r="M74" s="59">
        <f ca="1">OFFSET(TIAM15_assumptions!$G74,0,MATCH(VLOOKUP(Assumptions!M$2,TIAM15_assumptions!$Y$3:$Z$87,2,FALSE),TIAM15_assumptions!$H$2:$V$2,0))</f>
        <v>0.9</v>
      </c>
      <c r="N74" s="59">
        <f ca="1">OFFSET(TIAM15_assumptions!$G74,0,MATCH(VLOOKUP(Assumptions!N$2,TIAM15_assumptions!$Y$3:$Z$87,2,FALSE),TIAM15_assumptions!$H$2:$V$2,0))</f>
        <v>0.8</v>
      </c>
      <c r="O74" s="59">
        <f ca="1">OFFSET(TIAM15_assumptions!$G74,0,MATCH(VLOOKUP(Assumptions!O$2,TIAM15_assumptions!$Y$3:$Z$87,2,FALSE),TIAM15_assumptions!$H$2:$V$2,0))</f>
        <v>0.6</v>
      </c>
      <c r="P74" s="59">
        <f ca="1">OFFSET(TIAM15_assumptions!$G74,0,MATCH(VLOOKUP(Assumptions!P$2,TIAM15_assumptions!$Y$3:$Z$87,2,FALSE),TIAM15_assumptions!$H$2:$V$2,0))</f>
        <v>0.9</v>
      </c>
      <c r="Q74" s="59">
        <f ca="1">OFFSET(TIAM15_assumptions!$G74,0,MATCH(VLOOKUP(Assumptions!Q$2,TIAM15_assumptions!$Y$3:$Z$87,2,FALSE),TIAM15_assumptions!$H$2:$V$2,0))</f>
        <v>0.9</v>
      </c>
      <c r="R74" s="59">
        <f ca="1">OFFSET(TIAM15_assumptions!$G74,0,MATCH(VLOOKUP(Assumptions!R$2,TIAM15_assumptions!$Y$3:$Z$87,2,FALSE),TIAM15_assumptions!$H$2:$V$2,0))</f>
        <v>0.9</v>
      </c>
      <c r="S74" s="59">
        <f ca="1">OFFSET(TIAM15_assumptions!$G74,0,MATCH(VLOOKUP(Assumptions!S$2,TIAM15_assumptions!$Y$3:$Z$87,2,FALSE),TIAM15_assumptions!$H$2:$V$2,0))</f>
        <v>0.9</v>
      </c>
      <c r="T74" s="59">
        <f ca="1">OFFSET(TIAM15_assumptions!$G74,0,MATCH(VLOOKUP(Assumptions!T$2,TIAM15_assumptions!$Y$3:$Z$87,2,FALSE),TIAM15_assumptions!$H$2:$V$2,0))</f>
        <v>0.9</v>
      </c>
      <c r="U74" s="59">
        <f ca="1">OFFSET(TIAM15_assumptions!$G74,0,MATCH(VLOOKUP(Assumptions!U$2,TIAM15_assumptions!$Y$3:$Z$87,2,FALSE),TIAM15_assumptions!$H$2:$V$2,0))</f>
        <v>0.9</v>
      </c>
      <c r="V74" s="59">
        <f ca="1">OFFSET(TIAM15_assumptions!$G74,0,MATCH(VLOOKUP(Assumptions!V$2,TIAM15_assumptions!$Y$3:$Z$87,2,FALSE),TIAM15_assumptions!$H$2:$V$2,0))</f>
        <v>0.9</v>
      </c>
      <c r="W74" s="59">
        <f ca="1">OFFSET(TIAM15_assumptions!$G74,0,MATCH(VLOOKUP(Assumptions!W$2,TIAM15_assumptions!$Y$3:$Z$87,2,FALSE),TIAM15_assumptions!$H$2:$V$2,0))</f>
        <v>0.5</v>
      </c>
      <c r="X74" s="59">
        <f ca="1">OFFSET(TIAM15_assumptions!$G74,0,MATCH(VLOOKUP(Assumptions!X$2,TIAM15_assumptions!$Y$3:$Z$87,2,FALSE),TIAM15_assumptions!$H$2:$V$2,0))</f>
        <v>0.9</v>
      </c>
      <c r="Y74" s="59">
        <f ca="1">OFFSET(TIAM15_assumptions!$G74,0,MATCH(VLOOKUP(Assumptions!Y$2,TIAM15_assumptions!$Y$3:$Z$87,2,FALSE),TIAM15_assumptions!$H$2:$V$2,0))</f>
        <v>0.9</v>
      </c>
      <c r="Z74" s="59">
        <f ca="1">OFFSET(TIAM15_assumptions!$G74,0,MATCH(VLOOKUP(Assumptions!Z$2,TIAM15_assumptions!$Y$3:$Z$87,2,FALSE),TIAM15_assumptions!$H$2:$V$2,0))</f>
        <v>0.3</v>
      </c>
      <c r="AA74" s="59">
        <f ca="1">OFFSET(TIAM15_assumptions!$G74,0,MATCH(VLOOKUP(Assumptions!AA$2,TIAM15_assumptions!$Y$3:$Z$87,2,FALSE),TIAM15_assumptions!$H$2:$V$2,0))</f>
        <v>0.8</v>
      </c>
      <c r="AB74" s="59">
        <f ca="1">OFFSET(TIAM15_assumptions!$G74,0,MATCH(VLOOKUP(Assumptions!AB$2,TIAM15_assumptions!$Y$3:$Z$87,2,FALSE),TIAM15_assumptions!$H$2:$V$2,0))</f>
        <v>0.7</v>
      </c>
      <c r="AC74" s="59">
        <f ca="1">OFFSET(TIAM15_assumptions!$G74,0,MATCH(VLOOKUP(Assumptions!AC$2,TIAM15_assumptions!$Y$3:$Z$87,2,FALSE),TIAM15_assumptions!$H$2:$V$2,0))</f>
        <v>0.960321230917373</v>
      </c>
      <c r="AD74" s="59">
        <f ca="1">OFFSET(TIAM15_assumptions!$G74,0,MATCH(VLOOKUP(Assumptions!AD$2,TIAM15_assumptions!$Y$3:$Z$87,2,FALSE),TIAM15_assumptions!$H$2:$V$2,0))</f>
        <v>0.9</v>
      </c>
      <c r="AE74" s="59">
        <f ca="1">OFFSET(TIAM15_assumptions!$G74,0,MATCH(VLOOKUP(Assumptions!AE$2,TIAM15_assumptions!$Y$3:$Z$87,2,FALSE),TIAM15_assumptions!$H$2:$V$2,0))</f>
        <v>0.9</v>
      </c>
      <c r="AF74" s="59">
        <f ca="1">OFFSET(TIAM15_assumptions!$G74,0,MATCH(VLOOKUP(Assumptions!AF$2,TIAM15_assumptions!$Y$3:$Z$87,2,FALSE),TIAM15_assumptions!$H$2:$V$2,0))</f>
        <v>0.8</v>
      </c>
      <c r="AG74" s="59">
        <f ca="1">OFFSET(TIAM15_assumptions!$G74,0,MATCH(VLOOKUP(Assumptions!AG$2,TIAM15_assumptions!$Y$3:$Z$87,2,FALSE),TIAM15_assumptions!$H$2:$V$2,0))</f>
        <v>0.9</v>
      </c>
      <c r="AH74" s="59">
        <f ca="1">OFFSET(TIAM15_assumptions!$G74,0,MATCH(VLOOKUP(Assumptions!AH$2,TIAM15_assumptions!$Y$3:$Z$87,2,FALSE),TIAM15_assumptions!$H$2:$V$2,0))</f>
        <v>0.7</v>
      </c>
      <c r="AI74" s="59">
        <f ca="1">OFFSET(TIAM15_assumptions!$G74,0,MATCH(VLOOKUP(Assumptions!AI$2,TIAM15_assumptions!$Y$3:$Z$87,2,FALSE),TIAM15_assumptions!$H$2:$V$2,0))</f>
        <v>0.7</v>
      </c>
      <c r="AJ74" s="59">
        <f ca="1">OFFSET(TIAM15_assumptions!$G74,0,MATCH(VLOOKUP(Assumptions!AJ$2,TIAM15_assumptions!$Y$3:$Z$87,2,FALSE),TIAM15_assumptions!$H$2:$V$2,0))</f>
        <v>0.9</v>
      </c>
      <c r="AK74" s="59">
        <f ca="1">OFFSET(TIAM15_assumptions!$G74,0,MATCH(VLOOKUP(Assumptions!AK$2,TIAM15_assumptions!$Y$3:$Z$87,2,FALSE),TIAM15_assumptions!$H$2:$V$2,0))</f>
        <v>0.9</v>
      </c>
      <c r="AL74" s="59">
        <f ca="1">OFFSET(TIAM15_assumptions!$G74,0,MATCH(VLOOKUP(Assumptions!AL$2,TIAM15_assumptions!$Y$3:$Z$87,2,FALSE),TIAM15_assumptions!$H$2:$V$2,0))</f>
        <v>0.9</v>
      </c>
      <c r="AM74" s="59">
        <f ca="1">OFFSET(TIAM15_assumptions!$G74,0,MATCH(VLOOKUP(Assumptions!AM$2,TIAM15_assumptions!$Y$3:$Z$87,2,FALSE),TIAM15_assumptions!$H$2:$V$2,0))</f>
        <v>0.7</v>
      </c>
      <c r="AN74" s="59">
        <f ca="1">OFFSET(TIAM15_assumptions!$G74,0,MATCH(VLOOKUP(Assumptions!AN$2,TIAM15_assumptions!$Y$3:$Z$87,2,FALSE),TIAM15_assumptions!$H$2:$V$2,0))</f>
        <v>0.9</v>
      </c>
      <c r="AO74" s="59">
        <f ca="1">OFFSET(TIAM15_assumptions!$G74,0,MATCH(VLOOKUP(Assumptions!AO$2,TIAM15_assumptions!$Y$3:$Z$87,2,FALSE),TIAM15_assumptions!$H$2:$V$2,0))</f>
        <v>0.9</v>
      </c>
      <c r="AP74" s="59">
        <f ca="1">OFFSET(TIAM15_assumptions!$G74,0,MATCH(VLOOKUP(Assumptions!AP$2,TIAM15_assumptions!$Y$3:$Z$87,2,FALSE),TIAM15_assumptions!$H$2:$V$2,0))</f>
        <v>0.9</v>
      </c>
      <c r="AQ74" s="59">
        <f ca="1">OFFSET(TIAM15_assumptions!$G74,0,MATCH(VLOOKUP(Assumptions!AQ$2,TIAM15_assumptions!$Y$3:$Z$87,2,FALSE),TIAM15_assumptions!$H$2:$V$2,0))</f>
        <v>0.960321230917373</v>
      </c>
      <c r="AR74" s="59">
        <f ca="1">OFFSET(TIAM15_assumptions!$G74,0,MATCH(VLOOKUP(Assumptions!AR$2,TIAM15_assumptions!$Y$3:$Z$87,2,FALSE),TIAM15_assumptions!$H$2:$V$2,0))</f>
        <v>0.960321230917373</v>
      </c>
      <c r="AS74" s="59">
        <f ca="1">OFFSET(TIAM15_assumptions!$G74,0,MATCH(VLOOKUP(Assumptions!AS$2,TIAM15_assumptions!$Y$3:$Z$87,2,FALSE),TIAM15_assumptions!$H$2:$V$2,0))</f>
        <v>0.960321230917373</v>
      </c>
      <c r="AT74" s="59">
        <f ca="1">OFFSET(TIAM15_assumptions!$G74,0,MATCH(VLOOKUP(Assumptions!AT$2,TIAM15_assumptions!$Y$3:$Z$87,2,FALSE),TIAM15_assumptions!$H$2:$V$2,0))</f>
        <v>0.960321230917373</v>
      </c>
      <c r="AU74" s="59">
        <f ca="1">OFFSET(TIAM15_assumptions!$G74,0,MATCH(VLOOKUP(Assumptions!AU$2,TIAM15_assumptions!$Y$3:$Z$87,2,FALSE),TIAM15_assumptions!$H$2:$V$2,0))</f>
        <v>0.960321230917373</v>
      </c>
      <c r="AV74" s="59">
        <f ca="1">OFFSET(TIAM15_assumptions!$G74,0,MATCH(VLOOKUP(Assumptions!AV$2,TIAM15_assumptions!$Y$3:$Z$87,2,FALSE),TIAM15_assumptions!$H$2:$V$2,0))</f>
        <v>0.960321230917373</v>
      </c>
      <c r="AW74" s="59">
        <f ca="1">OFFSET(TIAM15_assumptions!$G74,0,MATCH(VLOOKUP(Assumptions!AW$2,TIAM15_assumptions!$Y$3:$Z$87,2,FALSE),TIAM15_assumptions!$H$2:$V$2,0))</f>
        <v>0.960321230917373</v>
      </c>
      <c r="AX74" s="59">
        <f ca="1">OFFSET(TIAM15_assumptions!$G74,0,MATCH(VLOOKUP(Assumptions!AX$2,TIAM15_assumptions!$Y$3:$Z$87,2,FALSE),TIAM15_assumptions!$H$2:$V$2,0))</f>
        <v>0.960321230917373</v>
      </c>
      <c r="AY74" s="59">
        <f ca="1">OFFSET(TIAM15_assumptions!$G74,0,MATCH(VLOOKUP(Assumptions!AY$2,TIAM15_assumptions!$Y$3:$Z$87,2,FALSE),TIAM15_assumptions!$H$2:$V$2,0))</f>
        <v>0.960321230917373</v>
      </c>
      <c r="AZ74" s="59">
        <f ca="1">OFFSET(TIAM15_assumptions!$G74,0,MATCH(VLOOKUP(Assumptions!AZ$2,TIAM15_assumptions!$Y$3:$Z$87,2,FALSE),TIAM15_assumptions!$H$2:$V$2,0))</f>
        <v>0.960321230917373</v>
      </c>
      <c r="BA74" s="59">
        <f ca="1">OFFSET(TIAM15_assumptions!$G74,0,MATCH(VLOOKUP(Assumptions!BA$2,TIAM15_assumptions!$Y$3:$Z$87,2,FALSE),TIAM15_assumptions!$H$2:$V$2,0))</f>
        <v>0.960321230917373</v>
      </c>
      <c r="BD74" s="41">
        <f ca="1">IFERROR(SUMIFS('TRA balance'!E$5:E$40,'TRA balance'!$C$5:$C$40,Assumptions!$C74,'TRA balance'!$D$5:$D$40,Assumptions!$B74)*CY74*H74,"")</f>
        <v>0</v>
      </c>
      <c r="BE74" s="41">
        <f ca="1">IFERROR(SUMIFS('TRA balance'!F$5:F$40,'TRA balance'!$C$5:$C$40,Assumptions!$C74,'TRA balance'!$D$5:$D$40,Assumptions!$B74)*CZ74*I74,"")</f>
        <v>0</v>
      </c>
      <c r="BF74" s="41">
        <f ca="1">IFERROR(SUMIFS('TRA balance'!G$5:G$40,'TRA balance'!$C$5:$C$40,Assumptions!$C74,'TRA balance'!$D$5:$D$40,Assumptions!$B74)*DA74*J74,"")</f>
        <v>0</v>
      </c>
      <c r="BG74" s="41">
        <f ca="1">IFERROR(SUMIFS('TRA balance'!H$5:H$40,'TRA balance'!$C$5:$C$40,Assumptions!$C74,'TRA balance'!$D$5:$D$40,Assumptions!$B74)*DB74*K74,"")</f>
        <v>0.06931079928</v>
      </c>
      <c r="BH74" s="41">
        <f ca="1">IFERROR(SUMIFS('TRA balance'!I$5:I$40,'TRA balance'!$C$5:$C$40,Assumptions!$C74,'TRA balance'!$D$5:$D$40,Assumptions!$B74)*DC74*L74,"")</f>
        <v>0.1155493998</v>
      </c>
      <c r="BI74" s="41">
        <f ca="1">IFERROR(SUMIFS('TRA balance'!J$5:J$40,'TRA balance'!$C$5:$C$40,Assumptions!$C74,'TRA balance'!$D$5:$D$40,Assumptions!$B74)*DD74*M74,"")</f>
        <v>0.06241137156</v>
      </c>
      <c r="BJ74" s="41">
        <f ca="1">IFERROR(SUMIFS('TRA balance'!K$5:K$40,'TRA balance'!$C$5:$C$40,Assumptions!$C74,'TRA balance'!$D$5:$D$40,Assumptions!$B74)*DE74*N74,"")</f>
        <v>3.51382716576</v>
      </c>
      <c r="BK74" s="41">
        <f ca="1">IFERROR(SUMIFS('TRA balance'!L$5:L$40,'TRA balance'!$C$5:$C$40,Assumptions!$C74,'TRA balance'!$D$5:$D$40,Assumptions!$B74)*DF74*O74,"")</f>
        <v>0</v>
      </c>
      <c r="BL74" s="41">
        <f ca="1">IFERROR(SUMIFS('TRA balance'!M$5:M$40,'TRA balance'!$C$5:$C$40,Assumptions!$C74,'TRA balance'!$D$5:$D$40,Assumptions!$B74)*DG74*P74,"")</f>
        <v>0</v>
      </c>
      <c r="BM74" s="41">
        <f ca="1">IFERROR(SUMIFS('TRA balance'!N$5:N$40,'TRA balance'!$C$5:$C$40,Assumptions!$C74,'TRA balance'!$D$5:$D$40,Assumptions!$B74)*DH74*Q74,"")</f>
        <v>0.16649815032</v>
      </c>
      <c r="BN74" s="41">
        <f ca="1">IFERROR(SUMIFS('TRA balance'!O$5:O$40,'TRA balance'!$C$5:$C$40,Assumptions!$C74,'TRA balance'!$D$5:$D$40,Assumptions!$B74)*DI74*R74,"")</f>
        <v>0.30773859228</v>
      </c>
      <c r="BO74" s="41">
        <f ca="1">IFERROR(SUMIFS('TRA balance'!P$5:P$40,'TRA balance'!$C$5:$C$40,Assumptions!$C74,'TRA balance'!$D$5:$D$40,Assumptions!$B74)*DJ74*S74,"")</f>
        <v>0.53435332908</v>
      </c>
      <c r="BP74" s="41">
        <f ca="1">IFERROR(SUMIFS('TRA balance'!Q$5:Q$40,'TRA balance'!$C$5:$C$40,Assumptions!$C74,'TRA balance'!$D$5:$D$40,Assumptions!$B74)*DK74*T74,"")</f>
        <v>0</v>
      </c>
      <c r="BQ74" s="41">
        <f ca="1">IFERROR(SUMIFS('TRA balance'!R$5:R$40,'TRA balance'!$C$5:$C$40,Assumptions!$C74,'TRA balance'!$D$5:$D$40,Assumptions!$B74)*DL74*U74,"")</f>
        <v>0</v>
      </c>
      <c r="BR74" s="41">
        <f ca="1">IFERROR(SUMIFS('TRA balance'!S$5:S$40,'TRA balance'!$C$5:$C$40,Assumptions!$C74,'TRA balance'!$D$5:$D$40,Assumptions!$B74)*DM74*V74,"")</f>
        <v>0</v>
      </c>
      <c r="BS74" s="41">
        <f ca="1">IFERROR(SUMIFS('TRA balance'!T$5:T$40,'TRA balance'!$C$5:$C$40,Assumptions!$C74,'TRA balance'!$D$5:$D$40,Assumptions!$B74)*DN74*W74,"")</f>
        <v>0</v>
      </c>
      <c r="BT74" s="41">
        <f ca="1">IFERROR(SUMIFS('TRA balance'!U$5:U$40,'TRA balance'!$C$5:$C$40,Assumptions!$C74,'TRA balance'!$D$5:$D$40,Assumptions!$B74)*DO74*X74,"")</f>
        <v>0</v>
      </c>
      <c r="BU74" s="41">
        <f ca="1">IFERROR(SUMIFS('TRA balance'!V$5:V$40,'TRA balance'!$C$5:$C$40,Assumptions!$C74,'TRA balance'!$D$5:$D$40,Assumptions!$B74)*DP74*Y74,"")</f>
        <v>0</v>
      </c>
      <c r="BV74" s="41">
        <f ca="1">IFERROR(SUMIFS('TRA balance'!W$5:W$40,'TRA balance'!$C$5:$C$40,Assumptions!$C74,'TRA balance'!$D$5:$D$40,Assumptions!$B74)*DQ74*Z74,"")</f>
        <v>0</v>
      </c>
      <c r="BW74" s="41">
        <f ca="1">IFERROR(SUMIFS('TRA balance'!X$5:X$40,'TRA balance'!$C$5:$C$40,Assumptions!$C74,'TRA balance'!$D$5:$D$40,Assumptions!$B74)*DR74*AA74,"")</f>
        <v>0</v>
      </c>
      <c r="BX74" s="41">
        <f ca="1">IFERROR(SUMIFS('TRA balance'!Y$5:Y$40,'TRA balance'!$C$5:$C$40,Assumptions!$C74,'TRA balance'!$D$5:$D$40,Assumptions!$B74)*DS74*AB74,"")</f>
        <v>0</v>
      </c>
      <c r="BY74" s="41">
        <f ca="1">IFERROR(SUMIFS('TRA balance'!Z$5:Z$40,'TRA balance'!$C$5:$C$40,Assumptions!$C74,'TRA balance'!$D$5:$D$40,Assumptions!$B74)*DT74*AC74,"")</f>
        <v>16.5262000872654</v>
      </c>
      <c r="BZ74" s="41">
        <f ca="1">IFERROR(SUMIFS('TRA balance'!AA$5:AA$40,'TRA balance'!$C$5:$C$40,Assumptions!$C74,'TRA balance'!$D$5:$D$40,Assumptions!$B74)*DU74*AD74,"")</f>
        <v>0</v>
      </c>
      <c r="CA74" s="41">
        <f ca="1">IFERROR(SUMIFS('TRA balance'!AB$5:AB$40,'TRA balance'!$C$5:$C$40,Assumptions!$C74,'TRA balance'!$D$5:$D$40,Assumptions!$B74)*DV74*AE74,"")</f>
        <v>0</v>
      </c>
      <c r="CB74" s="41">
        <f ca="1">IFERROR(SUMIFS('TRA balance'!AC$5:AC$40,'TRA balance'!$C$5:$C$40,Assumptions!$C74,'TRA balance'!$D$5:$D$40,Assumptions!$B74)*DW74*AF74,"")</f>
        <v>0.00100818144</v>
      </c>
      <c r="CC74" s="41">
        <f ca="1">IFERROR(SUMIFS('TRA balance'!AD$5:AD$40,'TRA balance'!$C$5:$C$40,Assumptions!$C74,'TRA balance'!$D$5:$D$40,Assumptions!$B74)*DX74*AG74,"")</f>
        <v>0</v>
      </c>
      <c r="CD74" s="41">
        <f ca="1">IFERROR(SUMIFS('TRA balance'!AE$5:AE$40,'TRA balance'!$C$5:$C$40,Assumptions!$C74,'TRA balance'!$D$5:$D$40,Assumptions!$B74)*DY74*AH74,"")</f>
        <v>0</v>
      </c>
      <c r="CE74" s="41">
        <f ca="1">IFERROR(SUMIFS('TRA balance'!AF$5:AF$40,'TRA balance'!$C$5:$C$40,Assumptions!$C74,'TRA balance'!$D$5:$D$40,Assumptions!$B74)*DZ74*AI74,"")</f>
        <v>0</v>
      </c>
      <c r="CF74" s="41">
        <f ca="1">IFERROR(SUMIFS('TRA balance'!AG$5:AG$40,'TRA balance'!$C$5:$C$40,Assumptions!$C74,'TRA balance'!$D$5:$D$40,Assumptions!$B74)*EA74*AJ74,"")</f>
        <v>0</v>
      </c>
      <c r="CG74" s="41">
        <f ca="1">IFERROR(SUMIFS('TRA balance'!AH$5:AH$40,'TRA balance'!$C$5:$C$40,Assumptions!$C74,'TRA balance'!$D$5:$D$40,Assumptions!$B74)*EB74*AK74,"")</f>
        <v>0</v>
      </c>
      <c r="CH74" s="41">
        <f ca="1">IFERROR(SUMIFS('TRA balance'!AI$5:AI$40,'TRA balance'!$C$5:$C$40,Assumptions!$C74,'TRA balance'!$D$5:$D$40,Assumptions!$B74)*EC74*AL74,"")</f>
        <v>0.01168494012</v>
      </c>
      <c r="CI74" s="41">
        <f ca="1">IFERROR(SUMIFS('TRA balance'!AJ$5:AJ$40,'TRA balance'!$C$5:$C$40,Assumptions!$C74,'TRA balance'!$D$5:$D$40,Assumptions!$B74)*ED74*AM74,"")</f>
        <v>0</v>
      </c>
      <c r="CJ74" s="41">
        <f ca="1">IFERROR(SUMIFS('TRA balance'!AK$5:AK$40,'TRA balance'!$C$5:$C$40,Assumptions!$C74,'TRA balance'!$D$5:$D$40,Assumptions!$B74)*EE74*AN74,"")</f>
        <v>0</v>
      </c>
      <c r="CK74" s="41">
        <f ca="1">IFERROR(SUMIFS('TRA balance'!AL$5:AL$40,'TRA balance'!$C$5:$C$40,Assumptions!$C74,'TRA balance'!$D$5:$D$40,Assumptions!$B74)*EF74*AO74,"")</f>
        <v>0</v>
      </c>
      <c r="CL74" s="41">
        <f ca="1">IFERROR(SUMIFS('TRA balance'!AM$5:AM$40,'TRA balance'!$C$5:$C$40,Assumptions!$C74,'TRA balance'!$D$5:$D$40,Assumptions!$B74)*EG74*AP74,"")</f>
        <v>0</v>
      </c>
      <c r="CM74" s="41">
        <f ca="1">IFERROR(SUMIFS('TRA balance'!AN$5:AN$40,'TRA balance'!$C$5:$C$40,Assumptions!$C74,'TRA balance'!$D$5:$D$40,Assumptions!$B74)*EH74*AQ74,"")</f>
        <v>0</v>
      </c>
      <c r="CN74" s="41">
        <f ca="1">IFERROR(SUMIFS('TRA balance'!AO$5:AO$40,'TRA balance'!$C$5:$C$40,Assumptions!$C74,'TRA balance'!$D$5:$D$40,Assumptions!$B74)*EI74*AR74,"")</f>
        <v>0</v>
      </c>
      <c r="CO74" s="41">
        <f ca="1">IFERROR(SUMIFS('TRA balance'!AP$5:AP$40,'TRA balance'!$C$5:$C$40,Assumptions!$C74,'TRA balance'!$D$5:$D$40,Assumptions!$B74)*EJ74*AS74,"")</f>
        <v>0</v>
      </c>
      <c r="CP74" s="41">
        <f ca="1">IFERROR(SUMIFS('TRA balance'!AQ$5:AQ$40,'TRA balance'!$C$5:$C$40,Assumptions!$C74,'TRA balance'!$D$5:$D$40,Assumptions!$B74)*EK74*AT74,"")</f>
        <v>0</v>
      </c>
      <c r="CQ74" s="41">
        <f ca="1">IFERROR(SUMIFS('TRA balance'!AR$5:AR$40,'TRA balance'!$C$5:$C$40,Assumptions!$C74,'TRA balance'!$D$5:$D$40,Assumptions!$B74)*EL74*AU74,"")</f>
        <v>0</v>
      </c>
      <c r="CR74" s="41">
        <f ca="1">IFERROR(SUMIFS('TRA balance'!AS$5:AS$40,'TRA balance'!$C$5:$C$40,Assumptions!$C74,'TRA balance'!$D$5:$D$40,Assumptions!$B74)*EM74*AV74,"")</f>
        <v>0</v>
      </c>
      <c r="CS74" s="41">
        <f ca="1">IFERROR(SUMIFS('TRA balance'!AT$5:AT$40,'TRA balance'!$C$5:$C$40,Assumptions!$C74,'TRA balance'!$D$5:$D$40,Assumptions!$B74)*EN74*AW74,"")</f>
        <v>0</v>
      </c>
      <c r="CT74" s="41">
        <f ca="1">IFERROR(SUMIFS('TRA balance'!AU$5:AU$40,'TRA balance'!$C$5:$C$40,Assumptions!$C74,'TRA balance'!$D$5:$D$40,Assumptions!$B74)*EO74*AX74,"")</f>
        <v>0</v>
      </c>
      <c r="CU74" s="41">
        <f ca="1">IFERROR(SUMIFS('TRA balance'!AV$5:AV$40,'TRA balance'!$C$5:$C$40,Assumptions!$C74,'TRA balance'!$D$5:$D$40,Assumptions!$B74)*EP74*AY74,"")</f>
        <v>0</v>
      </c>
      <c r="CV74" s="41">
        <f ca="1">IFERROR(SUMIFS('TRA balance'!AW$5:AW$40,'TRA balance'!$C$5:$C$40,Assumptions!$C74,'TRA balance'!$D$5:$D$40,Assumptions!$B74)*EQ74*AZ74,"")</f>
        <v>0</v>
      </c>
      <c r="CW74" s="41">
        <f ca="1">IFERROR(SUMIFS('TRA balance'!AX$5:AX$40,'TRA balance'!$C$5:$C$40,Assumptions!$C74,'TRA balance'!$D$5:$D$40,Assumptions!$B74)*ER74*BA74,"")</f>
        <v>0</v>
      </c>
      <c r="CY74" s="40">
        <f ca="1" t="shared" si="86"/>
        <v>1</v>
      </c>
      <c r="CZ74" s="40">
        <f ca="1" t="shared" si="87"/>
        <v>1</v>
      </c>
      <c r="DA74" s="40">
        <f ca="1" t="shared" si="88"/>
        <v>1</v>
      </c>
      <c r="DB74" s="40">
        <f ca="1" t="shared" si="89"/>
        <v>1</v>
      </c>
      <c r="DC74" s="40">
        <f ca="1" t="shared" si="90"/>
        <v>1</v>
      </c>
      <c r="DD74" s="40">
        <f ca="1" t="shared" si="91"/>
        <v>1</v>
      </c>
      <c r="DE74" s="40">
        <f ca="1" t="shared" si="92"/>
        <v>1</v>
      </c>
      <c r="DF74" s="40">
        <f ca="1" t="shared" si="93"/>
        <v>1</v>
      </c>
      <c r="DG74" s="40">
        <f ca="1" t="shared" si="94"/>
        <v>1</v>
      </c>
      <c r="DH74" s="40">
        <f ca="1" t="shared" si="95"/>
        <v>1</v>
      </c>
      <c r="DI74" s="40">
        <f ca="1" t="shared" si="96"/>
        <v>1</v>
      </c>
      <c r="DJ74" s="40">
        <f ca="1" t="shared" si="97"/>
        <v>1</v>
      </c>
      <c r="DK74" s="40">
        <f ca="1" t="shared" si="98"/>
        <v>1</v>
      </c>
      <c r="DL74" s="40">
        <f ca="1" t="shared" si="99"/>
        <v>1</v>
      </c>
      <c r="DM74" s="40">
        <f ca="1" t="shared" si="100"/>
        <v>1</v>
      </c>
      <c r="DN74" s="40">
        <f ca="1" t="shared" si="101"/>
        <v>1</v>
      </c>
      <c r="DO74" s="40">
        <f ca="1" t="shared" si="102"/>
        <v>1</v>
      </c>
      <c r="DP74" s="40">
        <f ca="1" t="shared" si="103"/>
        <v>1</v>
      </c>
      <c r="DQ74" s="40">
        <f ca="1" t="shared" si="104"/>
        <v>1</v>
      </c>
      <c r="DR74" s="40">
        <f ca="1" t="shared" si="105"/>
        <v>1</v>
      </c>
      <c r="DS74" s="40">
        <f ca="1" t="shared" si="106"/>
        <v>1</v>
      </c>
      <c r="DT74" s="40">
        <f ca="1" t="shared" si="107"/>
        <v>1</v>
      </c>
      <c r="DU74" s="40">
        <f ca="1" t="shared" si="108"/>
        <v>1</v>
      </c>
      <c r="DV74" s="40">
        <f ca="1" t="shared" si="109"/>
        <v>1</v>
      </c>
      <c r="DW74" s="40">
        <f ca="1" t="shared" si="110"/>
        <v>1</v>
      </c>
      <c r="DX74" s="40">
        <f ca="1" t="shared" si="111"/>
        <v>1</v>
      </c>
      <c r="DY74" s="40">
        <f ca="1" t="shared" si="112"/>
        <v>1</v>
      </c>
      <c r="DZ74" s="40">
        <f ca="1" t="shared" si="113"/>
        <v>1</v>
      </c>
      <c r="EA74" s="40">
        <f ca="1" t="shared" si="114"/>
        <v>1</v>
      </c>
      <c r="EB74" s="40">
        <f ca="1" t="shared" si="115"/>
        <v>1</v>
      </c>
      <c r="EC74" s="40">
        <f ca="1" t="shared" si="116"/>
        <v>1</v>
      </c>
      <c r="ED74" s="40">
        <f ca="1" t="shared" si="117"/>
        <v>1</v>
      </c>
      <c r="EE74" s="40">
        <f ca="1" t="shared" si="118"/>
        <v>1</v>
      </c>
      <c r="EF74" s="40">
        <f ca="1" t="shared" si="119"/>
        <v>1</v>
      </c>
      <c r="EG74" s="40">
        <f ca="1" t="shared" si="120"/>
        <v>1</v>
      </c>
      <c r="EH74" s="40">
        <f ca="1" t="shared" si="121"/>
        <v>1</v>
      </c>
      <c r="EI74" s="40">
        <f ca="1" t="shared" si="122"/>
        <v>1</v>
      </c>
      <c r="EJ74" s="40">
        <f ca="1" t="shared" si="123"/>
        <v>1</v>
      </c>
      <c r="EK74" s="40">
        <f ca="1" t="shared" si="124"/>
        <v>1</v>
      </c>
      <c r="EL74" s="40">
        <f ca="1" t="shared" si="125"/>
        <v>1</v>
      </c>
      <c r="EM74" s="40">
        <f ca="1" t="shared" si="126"/>
        <v>1</v>
      </c>
      <c r="EN74" s="40">
        <f ca="1" t="shared" si="127"/>
        <v>1</v>
      </c>
      <c r="EO74" s="40">
        <f ca="1" t="shared" si="128"/>
        <v>1</v>
      </c>
      <c r="EP74" s="40">
        <f ca="1" t="shared" si="129"/>
        <v>1</v>
      </c>
      <c r="EQ74" s="40">
        <f ca="1" t="shared" si="130"/>
        <v>1</v>
      </c>
      <c r="ER74" s="40">
        <f ca="1" t="shared" si="131"/>
        <v>1</v>
      </c>
    </row>
    <row r="75" spans="1:148">
      <c r="A75">
        <v>1</v>
      </c>
      <c r="B75" t="str">
        <f>VLOOKUP(F75,'TRA balance'!$BA$5:$BB$14,2,FALSE)</f>
        <v>TRABDS</v>
      </c>
      <c r="C75" s="56" t="str">
        <f t="shared" si="133"/>
        <v>TT</v>
      </c>
      <c r="D75" s="57" t="s">
        <v>192</v>
      </c>
      <c r="E75" s="57" t="s">
        <v>197</v>
      </c>
      <c r="F75" s="58" t="str">
        <f t="shared" si="134"/>
        <v>Bio Diesel</v>
      </c>
      <c r="G75" s="56" t="s">
        <v>198</v>
      </c>
      <c r="H75" s="59">
        <f ca="1">OFFSET(TIAM15_assumptions!$G75,0,MATCH(VLOOKUP(Assumptions!H$2,TIAM15_assumptions!$Y$3:$Z$87,2,FALSE),TIAM15_assumptions!$H$2:$V$2,0))</f>
        <v>0.3</v>
      </c>
      <c r="I75" s="59">
        <f ca="1">OFFSET(TIAM15_assumptions!$G75,0,MATCH(VLOOKUP(Assumptions!I$2,TIAM15_assumptions!$Y$3:$Z$87,2,FALSE),TIAM15_assumptions!$H$2:$V$2,0))</f>
        <v>0.3</v>
      </c>
      <c r="J75" s="59">
        <f ca="1">OFFSET(TIAM15_assumptions!$G75,0,MATCH(VLOOKUP(Assumptions!J$2,TIAM15_assumptions!$Y$3:$Z$87,2,FALSE),TIAM15_assumptions!$H$2:$V$2,0))</f>
        <v>0.3</v>
      </c>
      <c r="K75" s="59">
        <f ca="1">OFFSET(TIAM15_assumptions!$G75,0,MATCH(VLOOKUP(Assumptions!K$2,TIAM15_assumptions!$Y$3:$Z$87,2,FALSE),TIAM15_assumptions!$H$2:$V$2,0))</f>
        <v>0.1</v>
      </c>
      <c r="L75" s="59">
        <f ca="1">OFFSET(TIAM15_assumptions!$G75,0,MATCH(VLOOKUP(Assumptions!L$2,TIAM15_assumptions!$Y$3:$Z$87,2,FALSE),TIAM15_assumptions!$H$2:$V$2,0))</f>
        <v>0.1</v>
      </c>
      <c r="M75" s="59">
        <f ca="1">OFFSET(TIAM15_assumptions!$G75,0,MATCH(VLOOKUP(Assumptions!M$2,TIAM15_assumptions!$Y$3:$Z$87,2,FALSE),TIAM15_assumptions!$H$2:$V$2,0))</f>
        <v>0.1</v>
      </c>
      <c r="N75" s="59">
        <f ca="1">OFFSET(TIAM15_assumptions!$G75,0,MATCH(VLOOKUP(Assumptions!N$2,TIAM15_assumptions!$Y$3:$Z$87,2,FALSE),TIAM15_assumptions!$H$2:$V$2,0))</f>
        <v>0.2</v>
      </c>
      <c r="O75" s="59">
        <f ca="1">OFFSET(TIAM15_assumptions!$G75,0,MATCH(VLOOKUP(Assumptions!O$2,TIAM15_assumptions!$Y$3:$Z$87,2,FALSE),TIAM15_assumptions!$H$2:$V$2,0))</f>
        <v>0.4</v>
      </c>
      <c r="P75" s="59">
        <f ca="1">OFFSET(TIAM15_assumptions!$G75,0,MATCH(VLOOKUP(Assumptions!P$2,TIAM15_assumptions!$Y$3:$Z$87,2,FALSE),TIAM15_assumptions!$H$2:$V$2,0))</f>
        <v>0.1</v>
      </c>
      <c r="Q75" s="59">
        <f ca="1">OFFSET(TIAM15_assumptions!$G75,0,MATCH(VLOOKUP(Assumptions!Q$2,TIAM15_assumptions!$Y$3:$Z$87,2,FALSE),TIAM15_assumptions!$H$2:$V$2,0))</f>
        <v>0.1</v>
      </c>
      <c r="R75" s="59">
        <f ca="1">OFFSET(TIAM15_assumptions!$G75,0,MATCH(VLOOKUP(Assumptions!R$2,TIAM15_assumptions!$Y$3:$Z$87,2,FALSE),TIAM15_assumptions!$H$2:$V$2,0))</f>
        <v>0.1</v>
      </c>
      <c r="S75" s="59">
        <f ca="1">OFFSET(TIAM15_assumptions!$G75,0,MATCH(VLOOKUP(Assumptions!S$2,TIAM15_assumptions!$Y$3:$Z$87,2,FALSE),TIAM15_assumptions!$H$2:$V$2,0))</f>
        <v>0.1</v>
      </c>
      <c r="T75" s="59">
        <f ca="1">OFFSET(TIAM15_assumptions!$G75,0,MATCH(VLOOKUP(Assumptions!T$2,TIAM15_assumptions!$Y$3:$Z$87,2,FALSE),TIAM15_assumptions!$H$2:$V$2,0))</f>
        <v>0.1</v>
      </c>
      <c r="U75" s="59">
        <f ca="1">OFFSET(TIAM15_assumptions!$G75,0,MATCH(VLOOKUP(Assumptions!U$2,TIAM15_assumptions!$Y$3:$Z$87,2,FALSE),TIAM15_assumptions!$H$2:$V$2,0))</f>
        <v>0.1</v>
      </c>
      <c r="V75" s="59">
        <f ca="1">OFFSET(TIAM15_assumptions!$G75,0,MATCH(VLOOKUP(Assumptions!V$2,TIAM15_assumptions!$Y$3:$Z$87,2,FALSE),TIAM15_assumptions!$H$2:$V$2,0))</f>
        <v>0.1</v>
      </c>
      <c r="W75" s="59">
        <f ca="1">OFFSET(TIAM15_assumptions!$G75,0,MATCH(VLOOKUP(Assumptions!W$2,TIAM15_assumptions!$Y$3:$Z$87,2,FALSE),TIAM15_assumptions!$H$2:$V$2,0))</f>
        <v>0.5</v>
      </c>
      <c r="X75" s="59">
        <f ca="1">OFFSET(TIAM15_assumptions!$G75,0,MATCH(VLOOKUP(Assumptions!X$2,TIAM15_assumptions!$Y$3:$Z$87,2,FALSE),TIAM15_assumptions!$H$2:$V$2,0))</f>
        <v>0.1</v>
      </c>
      <c r="Y75" s="59">
        <f ca="1">OFFSET(TIAM15_assumptions!$G75,0,MATCH(VLOOKUP(Assumptions!Y$2,TIAM15_assumptions!$Y$3:$Z$87,2,FALSE),TIAM15_assumptions!$H$2:$V$2,0))</f>
        <v>0.1</v>
      </c>
      <c r="Z75" s="59">
        <f ca="1">OFFSET(TIAM15_assumptions!$G75,0,MATCH(VLOOKUP(Assumptions!Z$2,TIAM15_assumptions!$Y$3:$Z$87,2,FALSE),TIAM15_assumptions!$H$2:$V$2,0))</f>
        <v>0.7</v>
      </c>
      <c r="AA75" s="59">
        <f ca="1">OFFSET(TIAM15_assumptions!$G75,0,MATCH(VLOOKUP(Assumptions!AA$2,TIAM15_assumptions!$Y$3:$Z$87,2,FALSE),TIAM15_assumptions!$H$2:$V$2,0))</f>
        <v>0.2</v>
      </c>
      <c r="AB75" s="59">
        <f ca="1">OFFSET(TIAM15_assumptions!$G75,0,MATCH(VLOOKUP(Assumptions!AB$2,TIAM15_assumptions!$Y$3:$Z$87,2,FALSE),TIAM15_assumptions!$H$2:$V$2,0))</f>
        <v>0.3</v>
      </c>
      <c r="AC75" s="59">
        <f ca="1">OFFSET(TIAM15_assumptions!$G75,0,MATCH(VLOOKUP(Assumptions!AC$2,TIAM15_assumptions!$Y$3:$Z$87,2,FALSE),TIAM15_assumptions!$H$2:$V$2,0))</f>
        <v>0.0396787690826272</v>
      </c>
      <c r="AD75" s="59">
        <f ca="1">OFFSET(TIAM15_assumptions!$G75,0,MATCH(VLOOKUP(Assumptions!AD$2,TIAM15_assumptions!$Y$3:$Z$87,2,FALSE),TIAM15_assumptions!$H$2:$V$2,0))</f>
        <v>0.1</v>
      </c>
      <c r="AE75" s="59">
        <f ca="1">OFFSET(TIAM15_assumptions!$G75,0,MATCH(VLOOKUP(Assumptions!AE$2,TIAM15_assumptions!$Y$3:$Z$87,2,FALSE),TIAM15_assumptions!$H$2:$V$2,0))</f>
        <v>0.1</v>
      </c>
      <c r="AF75" s="59">
        <f ca="1">OFFSET(TIAM15_assumptions!$G75,0,MATCH(VLOOKUP(Assumptions!AF$2,TIAM15_assumptions!$Y$3:$Z$87,2,FALSE),TIAM15_assumptions!$H$2:$V$2,0))</f>
        <v>0.2</v>
      </c>
      <c r="AG75" s="59">
        <f ca="1">OFFSET(TIAM15_assumptions!$G75,0,MATCH(VLOOKUP(Assumptions!AG$2,TIAM15_assumptions!$Y$3:$Z$87,2,FALSE),TIAM15_assumptions!$H$2:$V$2,0))</f>
        <v>0.1</v>
      </c>
      <c r="AH75" s="59">
        <f ca="1">OFFSET(TIAM15_assumptions!$G75,0,MATCH(VLOOKUP(Assumptions!AH$2,TIAM15_assumptions!$Y$3:$Z$87,2,FALSE),TIAM15_assumptions!$H$2:$V$2,0))</f>
        <v>0.3</v>
      </c>
      <c r="AI75" s="59">
        <f ca="1">OFFSET(TIAM15_assumptions!$G75,0,MATCH(VLOOKUP(Assumptions!AI$2,TIAM15_assumptions!$Y$3:$Z$87,2,FALSE),TIAM15_assumptions!$H$2:$V$2,0))</f>
        <v>0.3</v>
      </c>
      <c r="AJ75" s="59">
        <f ca="1">OFFSET(TIAM15_assumptions!$G75,0,MATCH(VLOOKUP(Assumptions!AJ$2,TIAM15_assumptions!$Y$3:$Z$87,2,FALSE),TIAM15_assumptions!$H$2:$V$2,0))</f>
        <v>0.1</v>
      </c>
      <c r="AK75" s="59">
        <f ca="1">OFFSET(TIAM15_assumptions!$G75,0,MATCH(VLOOKUP(Assumptions!AK$2,TIAM15_assumptions!$Y$3:$Z$87,2,FALSE),TIAM15_assumptions!$H$2:$V$2,0))</f>
        <v>0.1</v>
      </c>
      <c r="AL75" s="59">
        <f ca="1">OFFSET(TIAM15_assumptions!$G75,0,MATCH(VLOOKUP(Assumptions!AL$2,TIAM15_assumptions!$Y$3:$Z$87,2,FALSE),TIAM15_assumptions!$H$2:$V$2,0))</f>
        <v>0.1</v>
      </c>
      <c r="AM75" s="59">
        <f ca="1">OFFSET(TIAM15_assumptions!$G75,0,MATCH(VLOOKUP(Assumptions!AM$2,TIAM15_assumptions!$Y$3:$Z$87,2,FALSE),TIAM15_assumptions!$H$2:$V$2,0))</f>
        <v>0.3</v>
      </c>
      <c r="AN75" s="59">
        <f ca="1">OFFSET(TIAM15_assumptions!$G75,0,MATCH(VLOOKUP(Assumptions!AN$2,TIAM15_assumptions!$Y$3:$Z$87,2,FALSE),TIAM15_assumptions!$H$2:$V$2,0))</f>
        <v>0.1</v>
      </c>
      <c r="AO75" s="59">
        <f ca="1">OFFSET(TIAM15_assumptions!$G75,0,MATCH(VLOOKUP(Assumptions!AO$2,TIAM15_assumptions!$Y$3:$Z$87,2,FALSE),TIAM15_assumptions!$H$2:$V$2,0))</f>
        <v>0.1</v>
      </c>
      <c r="AP75" s="59">
        <f ca="1">OFFSET(TIAM15_assumptions!$G75,0,MATCH(VLOOKUP(Assumptions!AP$2,TIAM15_assumptions!$Y$3:$Z$87,2,FALSE),TIAM15_assumptions!$H$2:$V$2,0))</f>
        <v>0.1</v>
      </c>
      <c r="AQ75" s="59">
        <f ca="1">OFFSET(TIAM15_assumptions!$G75,0,MATCH(VLOOKUP(Assumptions!AQ$2,TIAM15_assumptions!$Y$3:$Z$87,2,FALSE),TIAM15_assumptions!$H$2:$V$2,0))</f>
        <v>0.0396787690826272</v>
      </c>
      <c r="AR75" s="59">
        <f ca="1">OFFSET(TIAM15_assumptions!$G75,0,MATCH(VLOOKUP(Assumptions!AR$2,TIAM15_assumptions!$Y$3:$Z$87,2,FALSE),TIAM15_assumptions!$H$2:$V$2,0))</f>
        <v>0.0396787690826272</v>
      </c>
      <c r="AS75" s="59">
        <f ca="1">OFFSET(TIAM15_assumptions!$G75,0,MATCH(VLOOKUP(Assumptions!AS$2,TIAM15_assumptions!$Y$3:$Z$87,2,FALSE),TIAM15_assumptions!$H$2:$V$2,0))</f>
        <v>0.0396787690826272</v>
      </c>
      <c r="AT75" s="59">
        <f ca="1">OFFSET(TIAM15_assumptions!$G75,0,MATCH(VLOOKUP(Assumptions!AT$2,TIAM15_assumptions!$Y$3:$Z$87,2,FALSE),TIAM15_assumptions!$H$2:$V$2,0))</f>
        <v>0.0396787690826272</v>
      </c>
      <c r="AU75" s="59">
        <f ca="1">OFFSET(TIAM15_assumptions!$G75,0,MATCH(VLOOKUP(Assumptions!AU$2,TIAM15_assumptions!$Y$3:$Z$87,2,FALSE),TIAM15_assumptions!$H$2:$V$2,0))</f>
        <v>0.0396787690826272</v>
      </c>
      <c r="AV75" s="59">
        <f ca="1">OFFSET(TIAM15_assumptions!$G75,0,MATCH(VLOOKUP(Assumptions!AV$2,TIAM15_assumptions!$Y$3:$Z$87,2,FALSE),TIAM15_assumptions!$H$2:$V$2,0))</f>
        <v>0.0396787690826272</v>
      </c>
      <c r="AW75" s="59">
        <f ca="1">OFFSET(TIAM15_assumptions!$G75,0,MATCH(VLOOKUP(Assumptions!AW$2,TIAM15_assumptions!$Y$3:$Z$87,2,FALSE),TIAM15_assumptions!$H$2:$V$2,0))</f>
        <v>0.0396787690826272</v>
      </c>
      <c r="AX75" s="59">
        <f ca="1">OFFSET(TIAM15_assumptions!$G75,0,MATCH(VLOOKUP(Assumptions!AX$2,TIAM15_assumptions!$Y$3:$Z$87,2,FALSE),TIAM15_assumptions!$H$2:$V$2,0))</f>
        <v>0.0396787690826272</v>
      </c>
      <c r="AY75" s="59">
        <f ca="1">OFFSET(TIAM15_assumptions!$G75,0,MATCH(VLOOKUP(Assumptions!AY$2,TIAM15_assumptions!$Y$3:$Z$87,2,FALSE),TIAM15_assumptions!$H$2:$V$2,0))</f>
        <v>0.0396787690826272</v>
      </c>
      <c r="AZ75" s="59">
        <f ca="1">OFFSET(TIAM15_assumptions!$G75,0,MATCH(VLOOKUP(Assumptions!AZ$2,TIAM15_assumptions!$Y$3:$Z$87,2,FALSE),TIAM15_assumptions!$H$2:$V$2,0))</f>
        <v>0.0396787690826272</v>
      </c>
      <c r="BA75" s="59">
        <f ca="1">OFFSET(TIAM15_assumptions!$G75,0,MATCH(VLOOKUP(Assumptions!BA$2,TIAM15_assumptions!$Y$3:$Z$87,2,FALSE),TIAM15_assumptions!$H$2:$V$2,0))</f>
        <v>0.0396787690826272</v>
      </c>
      <c r="BD75" s="41">
        <f ca="1">IFERROR(SUMIFS('TRA balance'!E$5:E$40,'TRA balance'!$C$5:$C$40,Assumptions!$C75,'TRA balance'!$D$5:$D$40,Assumptions!$B75)*CY75*H75,"")</f>
        <v>0</v>
      </c>
      <c r="BE75" s="41">
        <f ca="1">IFERROR(SUMIFS('TRA balance'!F$5:F$40,'TRA balance'!$C$5:$C$40,Assumptions!$C75,'TRA balance'!$D$5:$D$40,Assumptions!$B75)*CZ75*I75,"")</f>
        <v>0</v>
      </c>
      <c r="BF75" s="41">
        <f ca="1">IFERROR(SUMIFS('TRA balance'!G$5:G$40,'TRA balance'!$C$5:$C$40,Assumptions!$C75,'TRA balance'!$D$5:$D$40,Assumptions!$B75)*DA75*J75,"")</f>
        <v>0</v>
      </c>
      <c r="BG75" s="41">
        <f ca="1">IFERROR(SUMIFS('TRA balance'!H$5:H$40,'TRA balance'!$C$5:$C$40,Assumptions!$C75,'TRA balance'!$D$5:$D$40,Assumptions!$B75)*DB75*K75,"")</f>
        <v>0.00770119992</v>
      </c>
      <c r="BH75" s="41">
        <f ca="1">IFERROR(SUMIFS('TRA balance'!I$5:I$40,'TRA balance'!$C$5:$C$40,Assumptions!$C75,'TRA balance'!$D$5:$D$40,Assumptions!$B75)*DC75*L75,"")</f>
        <v>0.0128388222</v>
      </c>
      <c r="BI75" s="41">
        <f ca="1">IFERROR(SUMIFS('TRA balance'!J$5:J$40,'TRA balance'!$C$5:$C$40,Assumptions!$C75,'TRA balance'!$D$5:$D$40,Assumptions!$B75)*DD75*M75,"")</f>
        <v>0.00693459684</v>
      </c>
      <c r="BJ75" s="41">
        <f ca="1">IFERROR(SUMIFS('TRA balance'!K$5:K$40,'TRA balance'!$C$5:$C$40,Assumptions!$C75,'TRA balance'!$D$5:$D$40,Assumptions!$B75)*DE75*N75,"")</f>
        <v>0.87845679144</v>
      </c>
      <c r="BK75" s="41">
        <f ca="1">IFERROR(SUMIFS('TRA balance'!L$5:L$40,'TRA balance'!$C$5:$C$40,Assumptions!$C75,'TRA balance'!$D$5:$D$40,Assumptions!$B75)*DF75*O75,"")</f>
        <v>0</v>
      </c>
      <c r="BL75" s="41">
        <f ca="1">IFERROR(SUMIFS('TRA balance'!M$5:M$40,'TRA balance'!$C$5:$C$40,Assumptions!$C75,'TRA balance'!$D$5:$D$40,Assumptions!$B75)*DG75*P75,"")</f>
        <v>0</v>
      </c>
      <c r="BM75" s="41">
        <f ca="1">IFERROR(SUMIFS('TRA balance'!N$5:N$40,'TRA balance'!$C$5:$C$40,Assumptions!$C75,'TRA balance'!$D$5:$D$40,Assumptions!$B75)*DH75*Q75,"")</f>
        <v>0.01849979448</v>
      </c>
      <c r="BN75" s="41">
        <f ca="1">IFERROR(SUMIFS('TRA balance'!O$5:O$40,'TRA balance'!$C$5:$C$40,Assumptions!$C75,'TRA balance'!$D$5:$D$40,Assumptions!$B75)*DI75*R75,"")</f>
        <v>0.03419317692</v>
      </c>
      <c r="BO75" s="41">
        <f ca="1">IFERROR(SUMIFS('TRA balance'!P$5:P$40,'TRA balance'!$C$5:$C$40,Assumptions!$C75,'TRA balance'!$D$5:$D$40,Assumptions!$B75)*DJ75*S75,"")</f>
        <v>0.05937259212</v>
      </c>
      <c r="BP75" s="41">
        <f ca="1">IFERROR(SUMIFS('TRA balance'!Q$5:Q$40,'TRA balance'!$C$5:$C$40,Assumptions!$C75,'TRA balance'!$D$5:$D$40,Assumptions!$B75)*DK75*T75,"")</f>
        <v>0</v>
      </c>
      <c r="BQ75" s="41">
        <f ca="1">IFERROR(SUMIFS('TRA balance'!R$5:R$40,'TRA balance'!$C$5:$C$40,Assumptions!$C75,'TRA balance'!$D$5:$D$40,Assumptions!$B75)*DL75*U75,"")</f>
        <v>0</v>
      </c>
      <c r="BR75" s="41">
        <f ca="1">IFERROR(SUMIFS('TRA balance'!S$5:S$40,'TRA balance'!$C$5:$C$40,Assumptions!$C75,'TRA balance'!$D$5:$D$40,Assumptions!$B75)*DM75*V75,"")</f>
        <v>0</v>
      </c>
      <c r="BS75" s="41">
        <f ca="1">IFERROR(SUMIFS('TRA balance'!T$5:T$40,'TRA balance'!$C$5:$C$40,Assumptions!$C75,'TRA balance'!$D$5:$D$40,Assumptions!$B75)*DN75*W75,"")</f>
        <v>0</v>
      </c>
      <c r="BT75" s="41">
        <f ca="1">IFERROR(SUMIFS('TRA balance'!U$5:U$40,'TRA balance'!$C$5:$C$40,Assumptions!$C75,'TRA balance'!$D$5:$D$40,Assumptions!$B75)*DO75*X75,"")</f>
        <v>0</v>
      </c>
      <c r="BU75" s="41">
        <f ca="1">IFERROR(SUMIFS('TRA balance'!V$5:V$40,'TRA balance'!$C$5:$C$40,Assumptions!$C75,'TRA balance'!$D$5:$D$40,Assumptions!$B75)*DP75*Y75,"")</f>
        <v>0</v>
      </c>
      <c r="BV75" s="41">
        <f ca="1">IFERROR(SUMIFS('TRA balance'!W$5:W$40,'TRA balance'!$C$5:$C$40,Assumptions!$C75,'TRA balance'!$D$5:$D$40,Assumptions!$B75)*DQ75*Z75,"")</f>
        <v>0</v>
      </c>
      <c r="BW75" s="41">
        <f ca="1">IFERROR(SUMIFS('TRA balance'!X$5:X$40,'TRA balance'!$C$5:$C$40,Assumptions!$C75,'TRA balance'!$D$5:$D$40,Assumptions!$B75)*DR75*AA75,"")</f>
        <v>0</v>
      </c>
      <c r="BX75" s="41">
        <f ca="1">IFERROR(SUMIFS('TRA balance'!Y$5:Y$40,'TRA balance'!$C$5:$C$40,Assumptions!$C75,'TRA balance'!$D$5:$D$40,Assumptions!$B75)*DS75*AB75,"")</f>
        <v>0</v>
      </c>
      <c r="BY75" s="41">
        <f ca="1">IFERROR(SUMIFS('TRA balance'!Z$5:Z$40,'TRA balance'!$C$5:$C$40,Assumptions!$C75,'TRA balance'!$D$5:$D$40,Assumptions!$B75)*DT75*AC75,"")</f>
        <v>0.682833260334651</v>
      </c>
      <c r="BZ75" s="41">
        <f ca="1">IFERROR(SUMIFS('TRA balance'!AA$5:AA$40,'TRA balance'!$C$5:$C$40,Assumptions!$C75,'TRA balance'!$D$5:$D$40,Assumptions!$B75)*DU75*AD75,"")</f>
        <v>0</v>
      </c>
      <c r="CA75" s="41">
        <f ca="1">IFERROR(SUMIFS('TRA balance'!AB$5:AB$40,'TRA balance'!$C$5:$C$40,Assumptions!$C75,'TRA balance'!$D$5:$D$40,Assumptions!$B75)*DV75*AE75,"")</f>
        <v>0</v>
      </c>
      <c r="CB75" s="41">
        <f ca="1">IFERROR(SUMIFS('TRA balance'!AC$5:AC$40,'TRA balance'!$C$5:$C$40,Assumptions!$C75,'TRA balance'!$D$5:$D$40,Assumptions!$B75)*DW75*AF75,"")</f>
        <v>0.00025204536</v>
      </c>
      <c r="CC75" s="41">
        <f ca="1">IFERROR(SUMIFS('TRA balance'!AD$5:AD$40,'TRA balance'!$C$5:$C$40,Assumptions!$C75,'TRA balance'!$D$5:$D$40,Assumptions!$B75)*DX75*AG75,"")</f>
        <v>0</v>
      </c>
      <c r="CD75" s="41">
        <f ca="1">IFERROR(SUMIFS('TRA balance'!AE$5:AE$40,'TRA balance'!$C$5:$C$40,Assumptions!$C75,'TRA balance'!$D$5:$D$40,Assumptions!$B75)*DY75*AH75,"")</f>
        <v>0</v>
      </c>
      <c r="CE75" s="41">
        <f ca="1">IFERROR(SUMIFS('TRA balance'!AF$5:AF$40,'TRA balance'!$C$5:$C$40,Assumptions!$C75,'TRA balance'!$D$5:$D$40,Assumptions!$B75)*DZ75*AI75,"")</f>
        <v>0</v>
      </c>
      <c r="CF75" s="41">
        <f ca="1">IFERROR(SUMIFS('TRA balance'!AG$5:AG$40,'TRA balance'!$C$5:$C$40,Assumptions!$C75,'TRA balance'!$D$5:$D$40,Assumptions!$B75)*EA75*AJ75,"")</f>
        <v>0</v>
      </c>
      <c r="CG75" s="41">
        <f ca="1">IFERROR(SUMIFS('TRA balance'!AH$5:AH$40,'TRA balance'!$C$5:$C$40,Assumptions!$C75,'TRA balance'!$D$5:$D$40,Assumptions!$B75)*EB75*AK75,"")</f>
        <v>0</v>
      </c>
      <c r="CH75" s="41">
        <f ca="1">IFERROR(SUMIFS('TRA balance'!AI$5:AI$40,'TRA balance'!$C$5:$C$40,Assumptions!$C75,'TRA balance'!$D$5:$D$40,Assumptions!$B75)*EC75*AL75,"")</f>
        <v>0.00129832668</v>
      </c>
      <c r="CI75" s="41">
        <f ca="1">IFERROR(SUMIFS('TRA balance'!AJ$5:AJ$40,'TRA balance'!$C$5:$C$40,Assumptions!$C75,'TRA balance'!$D$5:$D$40,Assumptions!$B75)*ED75*AM75,"")</f>
        <v>0</v>
      </c>
      <c r="CJ75" s="41">
        <f ca="1">IFERROR(SUMIFS('TRA balance'!AK$5:AK$40,'TRA balance'!$C$5:$C$40,Assumptions!$C75,'TRA balance'!$D$5:$D$40,Assumptions!$B75)*EE75*AN75,"")</f>
        <v>0</v>
      </c>
      <c r="CK75" s="41">
        <f ca="1">IFERROR(SUMIFS('TRA balance'!AL$5:AL$40,'TRA balance'!$C$5:$C$40,Assumptions!$C75,'TRA balance'!$D$5:$D$40,Assumptions!$B75)*EF75*AO75,"")</f>
        <v>0</v>
      </c>
      <c r="CL75" s="41">
        <f ca="1">IFERROR(SUMIFS('TRA balance'!AM$5:AM$40,'TRA balance'!$C$5:$C$40,Assumptions!$C75,'TRA balance'!$D$5:$D$40,Assumptions!$B75)*EG75*AP75,"")</f>
        <v>0</v>
      </c>
      <c r="CM75" s="41">
        <f ca="1">IFERROR(SUMIFS('TRA balance'!AN$5:AN$40,'TRA balance'!$C$5:$C$40,Assumptions!$C75,'TRA balance'!$D$5:$D$40,Assumptions!$B75)*EH75*AQ75,"")</f>
        <v>0</v>
      </c>
      <c r="CN75" s="41">
        <f ca="1">IFERROR(SUMIFS('TRA balance'!AO$5:AO$40,'TRA balance'!$C$5:$C$40,Assumptions!$C75,'TRA balance'!$D$5:$D$40,Assumptions!$B75)*EI75*AR75,"")</f>
        <v>0</v>
      </c>
      <c r="CO75" s="41">
        <f ca="1">IFERROR(SUMIFS('TRA balance'!AP$5:AP$40,'TRA balance'!$C$5:$C$40,Assumptions!$C75,'TRA balance'!$D$5:$D$40,Assumptions!$B75)*EJ75*AS75,"")</f>
        <v>0</v>
      </c>
      <c r="CP75" s="41">
        <f ca="1">IFERROR(SUMIFS('TRA balance'!AQ$5:AQ$40,'TRA balance'!$C$5:$C$40,Assumptions!$C75,'TRA balance'!$D$5:$D$40,Assumptions!$B75)*EK75*AT75,"")</f>
        <v>0</v>
      </c>
      <c r="CQ75" s="41">
        <f ca="1">IFERROR(SUMIFS('TRA balance'!AR$5:AR$40,'TRA balance'!$C$5:$C$40,Assumptions!$C75,'TRA balance'!$D$5:$D$40,Assumptions!$B75)*EL75*AU75,"")</f>
        <v>0</v>
      </c>
      <c r="CR75" s="41">
        <f ca="1">IFERROR(SUMIFS('TRA balance'!AS$5:AS$40,'TRA balance'!$C$5:$C$40,Assumptions!$C75,'TRA balance'!$D$5:$D$40,Assumptions!$B75)*EM75*AV75,"")</f>
        <v>0</v>
      </c>
      <c r="CS75" s="41">
        <f ca="1">IFERROR(SUMIFS('TRA balance'!AT$5:AT$40,'TRA balance'!$C$5:$C$40,Assumptions!$C75,'TRA balance'!$D$5:$D$40,Assumptions!$B75)*EN75*AW75,"")</f>
        <v>0</v>
      </c>
      <c r="CT75" s="41">
        <f ca="1">IFERROR(SUMIFS('TRA balance'!AU$5:AU$40,'TRA balance'!$C$5:$C$40,Assumptions!$C75,'TRA balance'!$D$5:$D$40,Assumptions!$B75)*EO75*AX75,"")</f>
        <v>0</v>
      </c>
      <c r="CU75" s="41">
        <f ca="1">IFERROR(SUMIFS('TRA balance'!AV$5:AV$40,'TRA balance'!$C$5:$C$40,Assumptions!$C75,'TRA balance'!$D$5:$D$40,Assumptions!$B75)*EP75*AY75,"")</f>
        <v>0</v>
      </c>
      <c r="CV75" s="41">
        <f ca="1">IFERROR(SUMIFS('TRA balance'!AW$5:AW$40,'TRA balance'!$C$5:$C$40,Assumptions!$C75,'TRA balance'!$D$5:$D$40,Assumptions!$B75)*EQ75*AZ75,"")</f>
        <v>0</v>
      </c>
      <c r="CW75" s="41">
        <f ca="1">IFERROR(SUMIFS('TRA balance'!AX$5:AX$40,'TRA balance'!$C$5:$C$40,Assumptions!$C75,'TRA balance'!$D$5:$D$40,Assumptions!$B75)*ER75*BA75,"")</f>
        <v>0</v>
      </c>
      <c r="CY75" s="40">
        <f ca="1" t="shared" si="86"/>
        <v>1</v>
      </c>
      <c r="CZ75" s="40">
        <f ca="1" t="shared" si="87"/>
        <v>1</v>
      </c>
      <c r="DA75" s="40">
        <f ca="1" t="shared" si="88"/>
        <v>1</v>
      </c>
      <c r="DB75" s="40">
        <f ca="1" t="shared" si="89"/>
        <v>1</v>
      </c>
      <c r="DC75" s="40">
        <f ca="1" t="shared" si="90"/>
        <v>1</v>
      </c>
      <c r="DD75" s="40">
        <f ca="1" t="shared" si="91"/>
        <v>1</v>
      </c>
      <c r="DE75" s="40">
        <f ca="1" t="shared" si="92"/>
        <v>1</v>
      </c>
      <c r="DF75" s="40">
        <f ca="1" t="shared" si="93"/>
        <v>1</v>
      </c>
      <c r="DG75" s="40">
        <f ca="1" t="shared" si="94"/>
        <v>1</v>
      </c>
      <c r="DH75" s="40">
        <f ca="1" t="shared" si="95"/>
        <v>1</v>
      </c>
      <c r="DI75" s="40">
        <f ca="1" t="shared" si="96"/>
        <v>1</v>
      </c>
      <c r="DJ75" s="40">
        <f ca="1" t="shared" si="97"/>
        <v>1</v>
      </c>
      <c r="DK75" s="40">
        <f ca="1" t="shared" si="98"/>
        <v>1</v>
      </c>
      <c r="DL75" s="40">
        <f ca="1" t="shared" si="99"/>
        <v>1</v>
      </c>
      <c r="DM75" s="40">
        <f ca="1" t="shared" si="100"/>
        <v>1</v>
      </c>
      <c r="DN75" s="40">
        <f ca="1" t="shared" si="101"/>
        <v>1</v>
      </c>
      <c r="DO75" s="40">
        <f ca="1" t="shared" si="102"/>
        <v>1</v>
      </c>
      <c r="DP75" s="40">
        <f ca="1" t="shared" si="103"/>
        <v>1</v>
      </c>
      <c r="DQ75" s="40">
        <f ca="1" t="shared" si="104"/>
        <v>1</v>
      </c>
      <c r="DR75" s="40">
        <f ca="1" t="shared" si="105"/>
        <v>1</v>
      </c>
      <c r="DS75" s="40">
        <f ca="1" t="shared" si="106"/>
        <v>1</v>
      </c>
      <c r="DT75" s="40">
        <f ca="1" t="shared" si="107"/>
        <v>1</v>
      </c>
      <c r="DU75" s="40">
        <f ca="1" t="shared" si="108"/>
        <v>1</v>
      </c>
      <c r="DV75" s="40">
        <f ca="1" t="shared" si="109"/>
        <v>1</v>
      </c>
      <c r="DW75" s="40">
        <f ca="1" t="shared" si="110"/>
        <v>1</v>
      </c>
      <c r="DX75" s="40">
        <f ca="1" t="shared" si="111"/>
        <v>1</v>
      </c>
      <c r="DY75" s="40">
        <f ca="1" t="shared" si="112"/>
        <v>1</v>
      </c>
      <c r="DZ75" s="40">
        <f ca="1" t="shared" si="113"/>
        <v>1</v>
      </c>
      <c r="EA75" s="40">
        <f ca="1" t="shared" si="114"/>
        <v>1</v>
      </c>
      <c r="EB75" s="40">
        <f ca="1" t="shared" si="115"/>
        <v>1</v>
      </c>
      <c r="EC75" s="40">
        <f ca="1" t="shared" si="116"/>
        <v>1</v>
      </c>
      <c r="ED75" s="40">
        <f ca="1" t="shared" si="117"/>
        <v>1</v>
      </c>
      <c r="EE75" s="40">
        <f ca="1" t="shared" si="118"/>
        <v>1</v>
      </c>
      <c r="EF75" s="40">
        <f ca="1" t="shared" si="119"/>
        <v>1</v>
      </c>
      <c r="EG75" s="40">
        <f ca="1" t="shared" si="120"/>
        <v>1</v>
      </c>
      <c r="EH75" s="40">
        <f ca="1" t="shared" si="121"/>
        <v>1</v>
      </c>
      <c r="EI75" s="40">
        <f ca="1" t="shared" si="122"/>
        <v>1</v>
      </c>
      <c r="EJ75" s="40">
        <f ca="1" t="shared" si="123"/>
        <v>1</v>
      </c>
      <c r="EK75" s="40">
        <f ca="1" t="shared" si="124"/>
        <v>1</v>
      </c>
      <c r="EL75" s="40">
        <f ca="1" t="shared" si="125"/>
        <v>1</v>
      </c>
      <c r="EM75" s="40">
        <f ca="1" t="shared" si="126"/>
        <v>1</v>
      </c>
      <c r="EN75" s="40">
        <f ca="1" t="shared" si="127"/>
        <v>1</v>
      </c>
      <c r="EO75" s="40">
        <f ca="1" t="shared" si="128"/>
        <v>1</v>
      </c>
      <c r="EP75" s="40">
        <f ca="1" t="shared" si="129"/>
        <v>1</v>
      </c>
      <c r="EQ75" s="40">
        <f ca="1" t="shared" si="130"/>
        <v>1</v>
      </c>
      <c r="ER75" s="40">
        <f ca="1" t="shared" si="131"/>
        <v>1</v>
      </c>
    </row>
    <row r="76" spans="1:148">
      <c r="A76">
        <v>1</v>
      </c>
      <c r="B76" t="str">
        <f>VLOOKUP(F76,'TRA balance'!$BA$5:$BB$14,2,FALSE)</f>
        <v>TRABDS</v>
      </c>
      <c r="C76" s="60"/>
      <c r="D76" s="60"/>
      <c r="E76" s="61" t="s">
        <v>199</v>
      </c>
      <c r="F76" s="62" t="str">
        <f t="shared" si="134"/>
        <v>Bio Diesel</v>
      </c>
      <c r="G76" s="60"/>
      <c r="H76" s="61" t="str">
        <f ca="1" t="shared" ref="H76" si="136">IF(SUM(H74:H75)=1,"-","&lt;&gt;1!!")</f>
        <v>-</v>
      </c>
      <c r="I76" s="61" t="str">
        <f ca="1" t="shared" ref="I76:BA76" si="137">IF(SUM(I74:I75)=1,"-","&lt;&gt;1!!")</f>
        <v>-</v>
      </c>
      <c r="J76" s="61" t="str">
        <f ca="1" t="shared" si="137"/>
        <v>-</v>
      </c>
      <c r="K76" s="61" t="str">
        <f ca="1" t="shared" si="137"/>
        <v>-</v>
      </c>
      <c r="L76" s="61" t="str">
        <f ca="1" t="shared" si="137"/>
        <v>-</v>
      </c>
      <c r="M76" s="61" t="str">
        <f ca="1" t="shared" si="137"/>
        <v>-</v>
      </c>
      <c r="N76" s="61" t="str">
        <f ca="1" t="shared" si="137"/>
        <v>-</v>
      </c>
      <c r="O76" s="61" t="str">
        <f ca="1" t="shared" si="137"/>
        <v>-</v>
      </c>
      <c r="P76" s="61" t="str">
        <f ca="1" t="shared" si="137"/>
        <v>-</v>
      </c>
      <c r="Q76" s="61" t="str">
        <f ca="1" t="shared" si="137"/>
        <v>-</v>
      </c>
      <c r="R76" s="61" t="str">
        <f ca="1" t="shared" si="137"/>
        <v>-</v>
      </c>
      <c r="S76" s="61" t="str">
        <f ca="1" t="shared" si="137"/>
        <v>-</v>
      </c>
      <c r="T76" s="61" t="str">
        <f ca="1" t="shared" si="137"/>
        <v>-</v>
      </c>
      <c r="U76" s="61" t="str">
        <f ca="1" t="shared" si="137"/>
        <v>-</v>
      </c>
      <c r="V76" s="61" t="str">
        <f ca="1" t="shared" si="137"/>
        <v>-</v>
      </c>
      <c r="W76" s="61" t="str">
        <f ca="1" t="shared" si="137"/>
        <v>-</v>
      </c>
      <c r="X76" s="61" t="str">
        <f ca="1" t="shared" si="137"/>
        <v>-</v>
      </c>
      <c r="Y76" s="61" t="str">
        <f ca="1" t="shared" si="137"/>
        <v>-</v>
      </c>
      <c r="Z76" s="61" t="str">
        <f ca="1" t="shared" si="137"/>
        <v>-</v>
      </c>
      <c r="AA76" s="61" t="str">
        <f ca="1" t="shared" si="137"/>
        <v>-</v>
      </c>
      <c r="AB76" s="61" t="str">
        <f ca="1" t="shared" si="137"/>
        <v>-</v>
      </c>
      <c r="AC76" s="61" t="str">
        <f ca="1" t="shared" si="137"/>
        <v>-</v>
      </c>
      <c r="AD76" s="61" t="str">
        <f ca="1" t="shared" si="137"/>
        <v>-</v>
      </c>
      <c r="AE76" s="61" t="str">
        <f ca="1" t="shared" si="137"/>
        <v>-</v>
      </c>
      <c r="AF76" s="61" t="str">
        <f ca="1" t="shared" si="137"/>
        <v>-</v>
      </c>
      <c r="AG76" s="61" t="str">
        <f ca="1" t="shared" si="137"/>
        <v>-</v>
      </c>
      <c r="AH76" s="61" t="str">
        <f ca="1" t="shared" si="137"/>
        <v>-</v>
      </c>
      <c r="AI76" s="61" t="str">
        <f ca="1" t="shared" si="137"/>
        <v>-</v>
      </c>
      <c r="AJ76" s="61" t="str">
        <f ca="1" t="shared" si="137"/>
        <v>-</v>
      </c>
      <c r="AK76" s="61" t="str">
        <f ca="1" t="shared" si="137"/>
        <v>-</v>
      </c>
      <c r="AL76" s="61" t="str">
        <f ca="1" t="shared" si="137"/>
        <v>-</v>
      </c>
      <c r="AM76" s="61" t="str">
        <f ca="1" t="shared" si="137"/>
        <v>-</v>
      </c>
      <c r="AN76" s="61" t="str">
        <f ca="1" t="shared" si="137"/>
        <v>-</v>
      </c>
      <c r="AO76" s="61" t="str">
        <f ca="1" t="shared" si="137"/>
        <v>-</v>
      </c>
      <c r="AP76" s="61" t="str">
        <f ca="1" t="shared" si="137"/>
        <v>-</v>
      </c>
      <c r="AQ76" s="61" t="str">
        <f ca="1" t="shared" si="137"/>
        <v>-</v>
      </c>
      <c r="AR76" s="61" t="str">
        <f ca="1" t="shared" si="137"/>
        <v>-</v>
      </c>
      <c r="AS76" s="61" t="str">
        <f ca="1" t="shared" si="137"/>
        <v>-</v>
      </c>
      <c r="AT76" s="61" t="str">
        <f ca="1" t="shared" si="137"/>
        <v>-</v>
      </c>
      <c r="AU76" s="61" t="str">
        <f ca="1" t="shared" si="137"/>
        <v>-</v>
      </c>
      <c r="AV76" s="61" t="str">
        <f ca="1" t="shared" si="137"/>
        <v>-</v>
      </c>
      <c r="AW76" s="61" t="str">
        <f ca="1" t="shared" si="137"/>
        <v>-</v>
      </c>
      <c r="AX76" s="61" t="str">
        <f ca="1" t="shared" si="137"/>
        <v>-</v>
      </c>
      <c r="AY76" s="61" t="str">
        <f ca="1" t="shared" si="137"/>
        <v>-</v>
      </c>
      <c r="AZ76" s="61" t="str">
        <f ca="1" t="shared" si="137"/>
        <v>-</v>
      </c>
      <c r="BA76" s="61" t="str">
        <f ca="1" t="shared" si="137"/>
        <v>-</v>
      </c>
      <c r="BD76" s="41" t="str">
        <f ca="1">IFERROR(SUMIFS('TRA balance'!E$5:E$40,'TRA balance'!$C$5:$C$40,Assumptions!$C76,'TRA balance'!$D$5:$D$40,Assumptions!$B76)*CY76*H76,"")</f>
        <v/>
      </c>
      <c r="BE76" s="41" t="str">
        <f ca="1">IFERROR(SUMIFS('TRA balance'!F$5:F$40,'TRA balance'!$C$5:$C$40,Assumptions!$C76,'TRA balance'!$D$5:$D$40,Assumptions!$B76)*CZ76*I76,"")</f>
        <v/>
      </c>
      <c r="BF76" s="41" t="str">
        <f ca="1">IFERROR(SUMIFS('TRA balance'!G$5:G$40,'TRA balance'!$C$5:$C$40,Assumptions!$C76,'TRA balance'!$D$5:$D$40,Assumptions!$B76)*DA76*J76,"")</f>
        <v/>
      </c>
      <c r="BG76" s="41" t="str">
        <f ca="1">IFERROR(SUMIFS('TRA balance'!H$5:H$40,'TRA balance'!$C$5:$C$40,Assumptions!$C76,'TRA balance'!$D$5:$D$40,Assumptions!$B76)*DB76*K76,"")</f>
        <v/>
      </c>
      <c r="BH76" s="41" t="str">
        <f ca="1">IFERROR(SUMIFS('TRA balance'!I$5:I$40,'TRA balance'!$C$5:$C$40,Assumptions!$C76,'TRA balance'!$D$5:$D$40,Assumptions!$B76)*DC76*L76,"")</f>
        <v/>
      </c>
      <c r="BI76" s="41" t="str">
        <f ca="1">IFERROR(SUMIFS('TRA balance'!J$5:J$40,'TRA balance'!$C$5:$C$40,Assumptions!$C76,'TRA balance'!$D$5:$D$40,Assumptions!$B76)*DD76*M76,"")</f>
        <v/>
      </c>
      <c r="BJ76" s="41" t="str">
        <f ca="1">IFERROR(SUMIFS('TRA balance'!K$5:K$40,'TRA balance'!$C$5:$C$40,Assumptions!$C76,'TRA balance'!$D$5:$D$40,Assumptions!$B76)*DE76*N76,"")</f>
        <v/>
      </c>
      <c r="BK76" s="41" t="str">
        <f ca="1">IFERROR(SUMIFS('TRA balance'!L$5:L$40,'TRA balance'!$C$5:$C$40,Assumptions!$C76,'TRA balance'!$D$5:$D$40,Assumptions!$B76)*DF76*O76,"")</f>
        <v/>
      </c>
      <c r="BL76" s="41" t="str">
        <f ca="1">IFERROR(SUMIFS('TRA balance'!M$5:M$40,'TRA balance'!$C$5:$C$40,Assumptions!$C76,'TRA balance'!$D$5:$D$40,Assumptions!$B76)*DG76*P76,"")</f>
        <v/>
      </c>
      <c r="BM76" s="41" t="str">
        <f ca="1">IFERROR(SUMIFS('TRA balance'!N$5:N$40,'TRA balance'!$C$5:$C$40,Assumptions!$C76,'TRA balance'!$D$5:$D$40,Assumptions!$B76)*DH76*Q76,"")</f>
        <v/>
      </c>
      <c r="BN76" s="41" t="str">
        <f ca="1">IFERROR(SUMIFS('TRA balance'!O$5:O$40,'TRA balance'!$C$5:$C$40,Assumptions!$C76,'TRA balance'!$D$5:$D$40,Assumptions!$B76)*DI76*R76,"")</f>
        <v/>
      </c>
      <c r="BO76" s="41" t="str">
        <f ca="1">IFERROR(SUMIFS('TRA balance'!P$5:P$40,'TRA balance'!$C$5:$C$40,Assumptions!$C76,'TRA balance'!$D$5:$D$40,Assumptions!$B76)*DJ76*S76,"")</f>
        <v/>
      </c>
      <c r="BP76" s="41" t="str">
        <f ca="1">IFERROR(SUMIFS('TRA balance'!Q$5:Q$40,'TRA balance'!$C$5:$C$40,Assumptions!$C76,'TRA balance'!$D$5:$D$40,Assumptions!$B76)*DK76*T76,"")</f>
        <v/>
      </c>
      <c r="BQ76" s="41" t="str">
        <f ca="1">IFERROR(SUMIFS('TRA balance'!R$5:R$40,'TRA balance'!$C$5:$C$40,Assumptions!$C76,'TRA balance'!$D$5:$D$40,Assumptions!$B76)*DL76*U76,"")</f>
        <v/>
      </c>
      <c r="BR76" s="41" t="str">
        <f ca="1">IFERROR(SUMIFS('TRA balance'!S$5:S$40,'TRA balance'!$C$5:$C$40,Assumptions!$C76,'TRA balance'!$D$5:$D$40,Assumptions!$B76)*DM76*V76,"")</f>
        <v/>
      </c>
      <c r="BS76" s="41" t="str">
        <f ca="1">IFERROR(SUMIFS('TRA balance'!T$5:T$40,'TRA balance'!$C$5:$C$40,Assumptions!$C76,'TRA balance'!$D$5:$D$40,Assumptions!$B76)*DN76*W76,"")</f>
        <v/>
      </c>
      <c r="BT76" s="41" t="str">
        <f ca="1">IFERROR(SUMIFS('TRA balance'!U$5:U$40,'TRA balance'!$C$5:$C$40,Assumptions!$C76,'TRA balance'!$D$5:$D$40,Assumptions!$B76)*DO76*X76,"")</f>
        <v/>
      </c>
      <c r="BU76" s="41" t="str">
        <f ca="1">IFERROR(SUMIFS('TRA balance'!V$5:V$40,'TRA balance'!$C$5:$C$40,Assumptions!$C76,'TRA balance'!$D$5:$D$40,Assumptions!$B76)*DP76*Y76,"")</f>
        <v/>
      </c>
      <c r="BV76" s="41" t="str">
        <f ca="1">IFERROR(SUMIFS('TRA balance'!W$5:W$40,'TRA balance'!$C$5:$C$40,Assumptions!$C76,'TRA balance'!$D$5:$D$40,Assumptions!$B76)*DQ76*Z76,"")</f>
        <v/>
      </c>
      <c r="BW76" s="41" t="str">
        <f ca="1">IFERROR(SUMIFS('TRA balance'!X$5:X$40,'TRA balance'!$C$5:$C$40,Assumptions!$C76,'TRA balance'!$D$5:$D$40,Assumptions!$B76)*DR76*AA76,"")</f>
        <v/>
      </c>
      <c r="BX76" s="41" t="str">
        <f ca="1">IFERROR(SUMIFS('TRA balance'!Y$5:Y$40,'TRA balance'!$C$5:$C$40,Assumptions!$C76,'TRA balance'!$D$5:$D$40,Assumptions!$B76)*DS76*AB76,"")</f>
        <v/>
      </c>
      <c r="BY76" s="41" t="str">
        <f ca="1">IFERROR(SUMIFS('TRA balance'!Z$5:Z$40,'TRA balance'!$C$5:$C$40,Assumptions!$C76,'TRA balance'!$D$5:$D$40,Assumptions!$B76)*DT76*AC76,"")</f>
        <v/>
      </c>
      <c r="BZ76" s="41" t="str">
        <f ca="1">IFERROR(SUMIFS('TRA balance'!AA$5:AA$40,'TRA balance'!$C$5:$C$40,Assumptions!$C76,'TRA balance'!$D$5:$D$40,Assumptions!$B76)*DU76*AD76,"")</f>
        <v/>
      </c>
      <c r="CA76" s="41" t="str">
        <f ca="1">IFERROR(SUMIFS('TRA balance'!AB$5:AB$40,'TRA balance'!$C$5:$C$40,Assumptions!$C76,'TRA balance'!$D$5:$D$40,Assumptions!$B76)*DV76*AE76,"")</f>
        <v/>
      </c>
      <c r="CB76" s="41" t="str">
        <f ca="1">IFERROR(SUMIFS('TRA balance'!AC$5:AC$40,'TRA balance'!$C$5:$C$40,Assumptions!$C76,'TRA balance'!$D$5:$D$40,Assumptions!$B76)*DW76*AF76,"")</f>
        <v/>
      </c>
      <c r="CC76" s="41" t="str">
        <f ca="1">IFERROR(SUMIFS('TRA balance'!AD$5:AD$40,'TRA balance'!$C$5:$C$40,Assumptions!$C76,'TRA balance'!$D$5:$D$40,Assumptions!$B76)*DX76*AG76,"")</f>
        <v/>
      </c>
      <c r="CD76" s="41" t="str">
        <f ca="1">IFERROR(SUMIFS('TRA balance'!AE$5:AE$40,'TRA balance'!$C$5:$C$40,Assumptions!$C76,'TRA balance'!$D$5:$D$40,Assumptions!$B76)*DY76*AH76,"")</f>
        <v/>
      </c>
      <c r="CE76" s="41" t="str">
        <f ca="1">IFERROR(SUMIFS('TRA balance'!AF$5:AF$40,'TRA balance'!$C$5:$C$40,Assumptions!$C76,'TRA balance'!$D$5:$D$40,Assumptions!$B76)*DZ76*AI76,"")</f>
        <v/>
      </c>
      <c r="CF76" s="41" t="str">
        <f ca="1">IFERROR(SUMIFS('TRA balance'!AG$5:AG$40,'TRA balance'!$C$5:$C$40,Assumptions!$C76,'TRA balance'!$D$5:$D$40,Assumptions!$B76)*EA76*AJ76,"")</f>
        <v/>
      </c>
      <c r="CG76" s="41" t="str">
        <f ca="1">IFERROR(SUMIFS('TRA balance'!AH$5:AH$40,'TRA balance'!$C$5:$C$40,Assumptions!$C76,'TRA balance'!$D$5:$D$40,Assumptions!$B76)*EB76*AK76,"")</f>
        <v/>
      </c>
      <c r="CH76" s="41" t="str">
        <f ca="1">IFERROR(SUMIFS('TRA balance'!AI$5:AI$40,'TRA balance'!$C$5:$C$40,Assumptions!$C76,'TRA balance'!$D$5:$D$40,Assumptions!$B76)*EC76*AL76,"")</f>
        <v/>
      </c>
      <c r="CI76" s="41" t="str">
        <f ca="1">IFERROR(SUMIFS('TRA balance'!AJ$5:AJ$40,'TRA balance'!$C$5:$C$40,Assumptions!$C76,'TRA balance'!$D$5:$D$40,Assumptions!$B76)*ED76*AM76,"")</f>
        <v/>
      </c>
      <c r="CJ76" s="41" t="str">
        <f ca="1">IFERROR(SUMIFS('TRA balance'!AK$5:AK$40,'TRA balance'!$C$5:$C$40,Assumptions!$C76,'TRA balance'!$D$5:$D$40,Assumptions!$B76)*EE76*AN76,"")</f>
        <v/>
      </c>
      <c r="CK76" s="41" t="str">
        <f ca="1">IFERROR(SUMIFS('TRA balance'!AL$5:AL$40,'TRA balance'!$C$5:$C$40,Assumptions!$C76,'TRA balance'!$D$5:$D$40,Assumptions!$B76)*EF76*AO76,"")</f>
        <v/>
      </c>
      <c r="CL76" s="41" t="str">
        <f ca="1">IFERROR(SUMIFS('TRA balance'!AM$5:AM$40,'TRA balance'!$C$5:$C$40,Assumptions!$C76,'TRA balance'!$D$5:$D$40,Assumptions!$B76)*EG76*AP76,"")</f>
        <v/>
      </c>
      <c r="CM76" s="41" t="str">
        <f ca="1">IFERROR(SUMIFS('TRA balance'!AN$5:AN$40,'TRA balance'!$C$5:$C$40,Assumptions!$C76,'TRA balance'!$D$5:$D$40,Assumptions!$B76)*EH76*AQ76,"")</f>
        <v/>
      </c>
      <c r="CN76" s="41" t="str">
        <f ca="1">IFERROR(SUMIFS('TRA balance'!AO$5:AO$40,'TRA balance'!$C$5:$C$40,Assumptions!$C76,'TRA balance'!$D$5:$D$40,Assumptions!$B76)*EI76*AR76,"")</f>
        <v/>
      </c>
      <c r="CO76" s="41" t="str">
        <f ca="1">IFERROR(SUMIFS('TRA balance'!AP$5:AP$40,'TRA balance'!$C$5:$C$40,Assumptions!$C76,'TRA balance'!$D$5:$D$40,Assumptions!$B76)*EJ76*AS76,"")</f>
        <v/>
      </c>
      <c r="CP76" s="41" t="str">
        <f ca="1">IFERROR(SUMIFS('TRA balance'!AQ$5:AQ$40,'TRA balance'!$C$5:$C$40,Assumptions!$C76,'TRA balance'!$D$5:$D$40,Assumptions!$B76)*EK76*AT76,"")</f>
        <v/>
      </c>
      <c r="CQ76" s="41" t="str">
        <f ca="1">IFERROR(SUMIFS('TRA balance'!AR$5:AR$40,'TRA balance'!$C$5:$C$40,Assumptions!$C76,'TRA balance'!$D$5:$D$40,Assumptions!$B76)*EL76*AU76,"")</f>
        <v/>
      </c>
      <c r="CR76" s="41" t="str">
        <f ca="1">IFERROR(SUMIFS('TRA balance'!AS$5:AS$40,'TRA balance'!$C$5:$C$40,Assumptions!$C76,'TRA balance'!$D$5:$D$40,Assumptions!$B76)*EM76*AV76,"")</f>
        <v/>
      </c>
      <c r="CS76" s="41" t="str">
        <f ca="1">IFERROR(SUMIFS('TRA balance'!AT$5:AT$40,'TRA balance'!$C$5:$C$40,Assumptions!$C76,'TRA balance'!$D$5:$D$40,Assumptions!$B76)*EN76*AW76,"")</f>
        <v/>
      </c>
      <c r="CT76" s="41" t="str">
        <f ca="1">IFERROR(SUMIFS('TRA balance'!AU$5:AU$40,'TRA balance'!$C$5:$C$40,Assumptions!$C76,'TRA balance'!$D$5:$D$40,Assumptions!$B76)*EO76*AX76,"")</f>
        <v/>
      </c>
      <c r="CU76" s="41" t="str">
        <f ca="1">IFERROR(SUMIFS('TRA balance'!AV$5:AV$40,'TRA balance'!$C$5:$C$40,Assumptions!$C76,'TRA balance'!$D$5:$D$40,Assumptions!$B76)*EP76*AY76,"")</f>
        <v/>
      </c>
      <c r="CV76" s="41" t="str">
        <f ca="1">IFERROR(SUMIFS('TRA balance'!AW$5:AW$40,'TRA balance'!$C$5:$C$40,Assumptions!$C76,'TRA balance'!$D$5:$D$40,Assumptions!$B76)*EQ76*AZ76,"")</f>
        <v/>
      </c>
      <c r="CW76" s="41" t="str">
        <f ca="1">IFERROR(SUMIFS('TRA balance'!AX$5:AX$40,'TRA balance'!$C$5:$C$40,Assumptions!$C76,'TRA balance'!$D$5:$D$40,Assumptions!$B76)*ER76*BA76,"")</f>
        <v/>
      </c>
      <c r="CY76" s="40">
        <f ca="1" t="shared" si="86"/>
        <v>1</v>
      </c>
      <c r="CZ76" s="40">
        <f ca="1" t="shared" si="87"/>
        <v>1</v>
      </c>
      <c r="DA76" s="40">
        <f ca="1" t="shared" si="88"/>
        <v>1</v>
      </c>
      <c r="DB76" s="40">
        <f ca="1" t="shared" si="89"/>
        <v>1</v>
      </c>
      <c r="DC76" s="40">
        <f ca="1" t="shared" si="90"/>
        <v>1</v>
      </c>
      <c r="DD76" s="40">
        <f ca="1" t="shared" si="91"/>
        <v>1</v>
      </c>
      <c r="DE76" s="40">
        <f ca="1" t="shared" si="92"/>
        <v>1</v>
      </c>
      <c r="DF76" s="40">
        <f ca="1" t="shared" si="93"/>
        <v>1</v>
      </c>
      <c r="DG76" s="40">
        <f ca="1" t="shared" si="94"/>
        <v>1</v>
      </c>
      <c r="DH76" s="40">
        <f ca="1" t="shared" si="95"/>
        <v>1</v>
      </c>
      <c r="DI76" s="40">
        <f ca="1" t="shared" si="96"/>
        <v>1</v>
      </c>
      <c r="DJ76" s="40">
        <f ca="1" t="shared" si="97"/>
        <v>1</v>
      </c>
      <c r="DK76" s="40">
        <f ca="1" t="shared" si="98"/>
        <v>1</v>
      </c>
      <c r="DL76" s="40">
        <f ca="1" t="shared" si="99"/>
        <v>1</v>
      </c>
      <c r="DM76" s="40">
        <f ca="1" t="shared" si="100"/>
        <v>1</v>
      </c>
      <c r="DN76" s="40">
        <f ca="1" t="shared" si="101"/>
        <v>1</v>
      </c>
      <c r="DO76" s="40">
        <f ca="1" t="shared" si="102"/>
        <v>1</v>
      </c>
      <c r="DP76" s="40">
        <f ca="1" t="shared" si="103"/>
        <v>1</v>
      </c>
      <c r="DQ76" s="40">
        <f ca="1" t="shared" si="104"/>
        <v>1</v>
      </c>
      <c r="DR76" s="40">
        <f ca="1" t="shared" si="105"/>
        <v>1</v>
      </c>
      <c r="DS76" s="40">
        <f ca="1" t="shared" si="106"/>
        <v>1</v>
      </c>
      <c r="DT76" s="40">
        <f ca="1" t="shared" si="107"/>
        <v>1</v>
      </c>
      <c r="DU76" s="40">
        <f ca="1" t="shared" si="108"/>
        <v>1</v>
      </c>
      <c r="DV76" s="40">
        <f ca="1" t="shared" si="109"/>
        <v>1</v>
      </c>
      <c r="DW76" s="40">
        <f ca="1" t="shared" si="110"/>
        <v>1</v>
      </c>
      <c r="DX76" s="40">
        <f ca="1" t="shared" si="111"/>
        <v>1</v>
      </c>
      <c r="DY76" s="40">
        <f ca="1" t="shared" si="112"/>
        <v>1</v>
      </c>
      <c r="DZ76" s="40">
        <f ca="1" t="shared" si="113"/>
        <v>1</v>
      </c>
      <c r="EA76" s="40">
        <f ca="1" t="shared" si="114"/>
        <v>1</v>
      </c>
      <c r="EB76" s="40">
        <f ca="1" t="shared" si="115"/>
        <v>1</v>
      </c>
      <c r="EC76" s="40">
        <f ca="1" t="shared" si="116"/>
        <v>1</v>
      </c>
      <c r="ED76" s="40">
        <f ca="1" t="shared" si="117"/>
        <v>1</v>
      </c>
      <c r="EE76" s="40">
        <f ca="1" t="shared" si="118"/>
        <v>1</v>
      </c>
      <c r="EF76" s="40">
        <f ca="1" t="shared" si="119"/>
        <v>1</v>
      </c>
      <c r="EG76" s="40">
        <f ca="1" t="shared" si="120"/>
        <v>1</v>
      </c>
      <c r="EH76" s="40">
        <f ca="1" t="shared" si="121"/>
        <v>1</v>
      </c>
      <c r="EI76" s="40">
        <f ca="1" t="shared" si="122"/>
        <v>1</v>
      </c>
      <c r="EJ76" s="40">
        <f ca="1" t="shared" si="123"/>
        <v>1</v>
      </c>
      <c r="EK76" s="40">
        <f ca="1" t="shared" si="124"/>
        <v>1</v>
      </c>
      <c r="EL76" s="40">
        <f ca="1" t="shared" si="125"/>
        <v>1</v>
      </c>
      <c r="EM76" s="40">
        <f ca="1" t="shared" si="126"/>
        <v>1</v>
      </c>
      <c r="EN76" s="40">
        <f ca="1" t="shared" si="127"/>
        <v>1</v>
      </c>
      <c r="EO76" s="40">
        <f ca="1" t="shared" si="128"/>
        <v>1</v>
      </c>
      <c r="EP76" s="40">
        <f ca="1" t="shared" si="129"/>
        <v>1</v>
      </c>
      <c r="EQ76" s="40">
        <f ca="1" t="shared" si="130"/>
        <v>1</v>
      </c>
      <c r="ER76" s="40">
        <f ca="1" t="shared" si="131"/>
        <v>1</v>
      </c>
    </row>
    <row r="77" spans="1:148">
      <c r="A77">
        <v>1</v>
      </c>
      <c r="B77" t="str">
        <f>VLOOKUP(F77,'TRA balance'!$BA$5:$BB$14,2,FALSE)</f>
        <v>TRABGS</v>
      </c>
      <c r="C77" s="64">
        <v>1</v>
      </c>
      <c r="D77" s="65" t="s">
        <v>200</v>
      </c>
      <c r="E77" s="65" t="s">
        <v>201</v>
      </c>
      <c r="F77" s="66" t="s">
        <v>47</v>
      </c>
      <c r="G77" s="64"/>
      <c r="H77" s="59">
        <f ca="1">OFFSET(TIAM15_assumptions!$G77,0,MATCH(VLOOKUP(Assumptions!H$2,TIAM15_assumptions!$Y$3:$Z$87,2,FALSE),TIAM15_assumptions!$H$2:$V$2,0))</f>
        <v>0</v>
      </c>
      <c r="I77" s="59">
        <f ca="1">OFFSET(TIAM15_assumptions!$G77,0,MATCH(VLOOKUP(Assumptions!I$2,TIAM15_assumptions!$Y$3:$Z$87,2,FALSE),TIAM15_assumptions!$H$2:$V$2,0))</f>
        <v>0</v>
      </c>
      <c r="J77" s="59">
        <f ca="1">OFFSET(TIAM15_assumptions!$G77,0,MATCH(VLOOKUP(Assumptions!J$2,TIAM15_assumptions!$Y$3:$Z$87,2,FALSE),TIAM15_assumptions!$H$2:$V$2,0))</f>
        <v>0</v>
      </c>
      <c r="K77" s="59">
        <f ca="1">OFFSET(TIAM15_assumptions!$G77,0,MATCH(VLOOKUP(Assumptions!K$2,TIAM15_assumptions!$Y$3:$Z$87,2,FALSE),TIAM15_assumptions!$H$2:$V$2,0))</f>
        <v>0</v>
      </c>
      <c r="L77" s="59">
        <f ca="1">OFFSET(TIAM15_assumptions!$G77,0,MATCH(VLOOKUP(Assumptions!L$2,TIAM15_assumptions!$Y$3:$Z$87,2,FALSE),TIAM15_assumptions!$H$2:$V$2,0))</f>
        <v>0</v>
      </c>
      <c r="M77" s="59">
        <f ca="1">OFFSET(TIAM15_assumptions!$G77,0,MATCH(VLOOKUP(Assumptions!M$2,TIAM15_assumptions!$Y$3:$Z$87,2,FALSE),TIAM15_assumptions!$H$2:$V$2,0))</f>
        <v>0</v>
      </c>
      <c r="N77" s="59">
        <f ca="1">OFFSET(TIAM15_assumptions!$G77,0,MATCH(VLOOKUP(Assumptions!N$2,TIAM15_assumptions!$Y$3:$Z$87,2,FALSE),TIAM15_assumptions!$H$2:$V$2,0))</f>
        <v>0</v>
      </c>
      <c r="O77" s="59">
        <f ca="1">OFFSET(TIAM15_assumptions!$G77,0,MATCH(VLOOKUP(Assumptions!O$2,TIAM15_assumptions!$Y$3:$Z$87,2,FALSE),TIAM15_assumptions!$H$2:$V$2,0))</f>
        <v>0</v>
      </c>
      <c r="P77" s="59">
        <f ca="1">OFFSET(TIAM15_assumptions!$G77,0,MATCH(VLOOKUP(Assumptions!P$2,TIAM15_assumptions!$Y$3:$Z$87,2,FALSE),TIAM15_assumptions!$H$2:$V$2,0))</f>
        <v>0</v>
      </c>
      <c r="Q77" s="59">
        <f ca="1">OFFSET(TIAM15_assumptions!$G77,0,MATCH(VLOOKUP(Assumptions!Q$2,TIAM15_assumptions!$Y$3:$Z$87,2,FALSE),TIAM15_assumptions!$H$2:$V$2,0))</f>
        <v>0</v>
      </c>
      <c r="R77" s="59">
        <f ca="1">OFFSET(TIAM15_assumptions!$G77,0,MATCH(VLOOKUP(Assumptions!R$2,TIAM15_assumptions!$Y$3:$Z$87,2,FALSE),TIAM15_assumptions!$H$2:$V$2,0))</f>
        <v>0</v>
      </c>
      <c r="S77" s="59">
        <f ca="1">OFFSET(TIAM15_assumptions!$G77,0,MATCH(VLOOKUP(Assumptions!S$2,TIAM15_assumptions!$Y$3:$Z$87,2,FALSE),TIAM15_assumptions!$H$2:$V$2,0))</f>
        <v>0</v>
      </c>
      <c r="T77" s="59">
        <f ca="1">OFFSET(TIAM15_assumptions!$G77,0,MATCH(VLOOKUP(Assumptions!T$2,TIAM15_assumptions!$Y$3:$Z$87,2,FALSE),TIAM15_assumptions!$H$2:$V$2,0))</f>
        <v>0</v>
      </c>
      <c r="U77" s="59">
        <f ca="1">OFFSET(TIAM15_assumptions!$G77,0,MATCH(VLOOKUP(Assumptions!U$2,TIAM15_assumptions!$Y$3:$Z$87,2,FALSE),TIAM15_assumptions!$H$2:$V$2,0))</f>
        <v>0</v>
      </c>
      <c r="V77" s="59">
        <f ca="1">OFFSET(TIAM15_assumptions!$G77,0,MATCH(VLOOKUP(Assumptions!V$2,TIAM15_assumptions!$Y$3:$Z$87,2,FALSE),TIAM15_assumptions!$H$2:$V$2,0))</f>
        <v>0</v>
      </c>
      <c r="W77" s="59">
        <f ca="1">OFFSET(TIAM15_assumptions!$G77,0,MATCH(VLOOKUP(Assumptions!W$2,TIAM15_assumptions!$Y$3:$Z$87,2,FALSE),TIAM15_assumptions!$H$2:$V$2,0))</f>
        <v>0</v>
      </c>
      <c r="X77" s="59">
        <f ca="1">OFFSET(TIAM15_assumptions!$G77,0,MATCH(VLOOKUP(Assumptions!X$2,TIAM15_assumptions!$Y$3:$Z$87,2,FALSE),TIAM15_assumptions!$H$2:$V$2,0))</f>
        <v>0</v>
      </c>
      <c r="Y77" s="59">
        <f ca="1">OFFSET(TIAM15_assumptions!$G77,0,MATCH(VLOOKUP(Assumptions!Y$2,TIAM15_assumptions!$Y$3:$Z$87,2,FALSE),TIAM15_assumptions!$H$2:$V$2,0))</f>
        <v>0</v>
      </c>
      <c r="Z77" s="59">
        <f ca="1">OFFSET(TIAM15_assumptions!$G77,0,MATCH(VLOOKUP(Assumptions!Z$2,TIAM15_assumptions!$Y$3:$Z$87,2,FALSE),TIAM15_assumptions!$H$2:$V$2,0))</f>
        <v>0</v>
      </c>
      <c r="AA77" s="59">
        <f ca="1">OFFSET(TIAM15_assumptions!$G77,0,MATCH(VLOOKUP(Assumptions!AA$2,TIAM15_assumptions!$Y$3:$Z$87,2,FALSE),TIAM15_assumptions!$H$2:$V$2,0))</f>
        <v>0</v>
      </c>
      <c r="AB77" s="59">
        <f ca="1">OFFSET(TIAM15_assumptions!$G77,0,MATCH(VLOOKUP(Assumptions!AB$2,TIAM15_assumptions!$Y$3:$Z$87,2,FALSE),TIAM15_assumptions!$H$2:$V$2,0))</f>
        <v>0</v>
      </c>
      <c r="AC77" s="59">
        <f ca="1">OFFSET(TIAM15_assumptions!$G77,0,MATCH(VLOOKUP(Assumptions!AC$2,TIAM15_assumptions!$Y$3:$Z$87,2,FALSE),TIAM15_assumptions!$H$2:$V$2,0))</f>
        <v>0</v>
      </c>
      <c r="AD77" s="59">
        <f ca="1">OFFSET(TIAM15_assumptions!$G77,0,MATCH(VLOOKUP(Assumptions!AD$2,TIAM15_assumptions!$Y$3:$Z$87,2,FALSE),TIAM15_assumptions!$H$2:$V$2,0))</f>
        <v>0</v>
      </c>
      <c r="AE77" s="59">
        <f ca="1">OFFSET(TIAM15_assumptions!$G77,0,MATCH(VLOOKUP(Assumptions!AE$2,TIAM15_assumptions!$Y$3:$Z$87,2,FALSE),TIAM15_assumptions!$H$2:$V$2,0))</f>
        <v>0</v>
      </c>
      <c r="AF77" s="59">
        <f ca="1">OFFSET(TIAM15_assumptions!$G77,0,MATCH(VLOOKUP(Assumptions!AF$2,TIAM15_assumptions!$Y$3:$Z$87,2,FALSE),TIAM15_assumptions!$H$2:$V$2,0))</f>
        <v>0</v>
      </c>
      <c r="AG77" s="59">
        <f ca="1">OFFSET(TIAM15_assumptions!$G77,0,MATCH(VLOOKUP(Assumptions!AG$2,TIAM15_assumptions!$Y$3:$Z$87,2,FALSE),TIAM15_assumptions!$H$2:$V$2,0))</f>
        <v>0</v>
      </c>
      <c r="AH77" s="59">
        <f ca="1">OFFSET(TIAM15_assumptions!$G77,0,MATCH(VLOOKUP(Assumptions!AH$2,TIAM15_assumptions!$Y$3:$Z$87,2,FALSE),TIAM15_assumptions!$H$2:$V$2,0))</f>
        <v>0</v>
      </c>
      <c r="AI77" s="59">
        <f ca="1">OFFSET(TIAM15_assumptions!$G77,0,MATCH(VLOOKUP(Assumptions!AI$2,TIAM15_assumptions!$Y$3:$Z$87,2,FALSE),TIAM15_assumptions!$H$2:$V$2,0))</f>
        <v>0</v>
      </c>
      <c r="AJ77" s="59">
        <f ca="1">OFFSET(TIAM15_assumptions!$G77,0,MATCH(VLOOKUP(Assumptions!AJ$2,TIAM15_assumptions!$Y$3:$Z$87,2,FALSE),TIAM15_assumptions!$H$2:$V$2,0))</f>
        <v>0</v>
      </c>
      <c r="AK77" s="59">
        <f ca="1">OFFSET(TIAM15_assumptions!$G77,0,MATCH(VLOOKUP(Assumptions!AK$2,TIAM15_assumptions!$Y$3:$Z$87,2,FALSE),TIAM15_assumptions!$H$2:$V$2,0))</f>
        <v>0</v>
      </c>
      <c r="AL77" s="59">
        <f ca="1">OFFSET(TIAM15_assumptions!$G77,0,MATCH(VLOOKUP(Assumptions!AL$2,TIAM15_assumptions!$Y$3:$Z$87,2,FALSE),TIAM15_assumptions!$H$2:$V$2,0))</f>
        <v>0</v>
      </c>
      <c r="AM77" s="59">
        <f ca="1">OFFSET(TIAM15_assumptions!$G77,0,MATCH(VLOOKUP(Assumptions!AM$2,TIAM15_assumptions!$Y$3:$Z$87,2,FALSE),TIAM15_assumptions!$H$2:$V$2,0))</f>
        <v>0</v>
      </c>
      <c r="AN77" s="59">
        <f ca="1">OFFSET(TIAM15_assumptions!$G77,0,MATCH(VLOOKUP(Assumptions!AN$2,TIAM15_assumptions!$Y$3:$Z$87,2,FALSE),TIAM15_assumptions!$H$2:$V$2,0))</f>
        <v>0</v>
      </c>
      <c r="AO77" s="59">
        <f ca="1">OFFSET(TIAM15_assumptions!$G77,0,MATCH(VLOOKUP(Assumptions!AO$2,TIAM15_assumptions!$Y$3:$Z$87,2,FALSE),TIAM15_assumptions!$H$2:$V$2,0))</f>
        <v>0</v>
      </c>
      <c r="AP77" s="59">
        <f ca="1">OFFSET(TIAM15_assumptions!$G77,0,MATCH(VLOOKUP(Assumptions!AP$2,TIAM15_assumptions!$Y$3:$Z$87,2,FALSE),TIAM15_assumptions!$H$2:$V$2,0))</f>
        <v>0</v>
      </c>
      <c r="AQ77" s="59">
        <f ca="1">OFFSET(TIAM15_assumptions!$G77,0,MATCH(VLOOKUP(Assumptions!AQ$2,TIAM15_assumptions!$Y$3:$Z$87,2,FALSE),TIAM15_assumptions!$H$2:$V$2,0))</f>
        <v>0</v>
      </c>
      <c r="AR77" s="59">
        <f ca="1">OFFSET(TIAM15_assumptions!$G77,0,MATCH(VLOOKUP(Assumptions!AR$2,TIAM15_assumptions!$Y$3:$Z$87,2,FALSE),TIAM15_assumptions!$H$2:$V$2,0))</f>
        <v>0</v>
      </c>
      <c r="AS77" s="59">
        <f ca="1">OFFSET(TIAM15_assumptions!$G77,0,MATCH(VLOOKUP(Assumptions!AS$2,TIAM15_assumptions!$Y$3:$Z$87,2,FALSE),TIAM15_assumptions!$H$2:$V$2,0))</f>
        <v>0</v>
      </c>
      <c r="AT77" s="59">
        <f ca="1">OFFSET(TIAM15_assumptions!$G77,0,MATCH(VLOOKUP(Assumptions!AT$2,TIAM15_assumptions!$Y$3:$Z$87,2,FALSE),TIAM15_assumptions!$H$2:$V$2,0))</f>
        <v>0</v>
      </c>
      <c r="AU77" s="59">
        <f ca="1">OFFSET(TIAM15_assumptions!$G77,0,MATCH(VLOOKUP(Assumptions!AU$2,TIAM15_assumptions!$Y$3:$Z$87,2,FALSE),TIAM15_assumptions!$H$2:$V$2,0))</f>
        <v>0</v>
      </c>
      <c r="AV77" s="59">
        <f ca="1">OFFSET(TIAM15_assumptions!$G77,0,MATCH(VLOOKUP(Assumptions!AV$2,TIAM15_assumptions!$Y$3:$Z$87,2,FALSE),TIAM15_assumptions!$H$2:$V$2,0))</f>
        <v>0</v>
      </c>
      <c r="AW77" s="59">
        <f ca="1">OFFSET(TIAM15_assumptions!$G77,0,MATCH(VLOOKUP(Assumptions!AW$2,TIAM15_assumptions!$Y$3:$Z$87,2,FALSE),TIAM15_assumptions!$H$2:$V$2,0))</f>
        <v>0</v>
      </c>
      <c r="AX77" s="59">
        <f ca="1">OFFSET(TIAM15_assumptions!$G77,0,MATCH(VLOOKUP(Assumptions!AX$2,TIAM15_assumptions!$Y$3:$Z$87,2,FALSE),TIAM15_assumptions!$H$2:$V$2,0))</f>
        <v>0</v>
      </c>
      <c r="AY77" s="59">
        <f ca="1">OFFSET(TIAM15_assumptions!$G77,0,MATCH(VLOOKUP(Assumptions!AY$2,TIAM15_assumptions!$Y$3:$Z$87,2,FALSE),TIAM15_assumptions!$H$2:$V$2,0))</f>
        <v>0</v>
      </c>
      <c r="AZ77" s="59">
        <f ca="1">OFFSET(TIAM15_assumptions!$G77,0,MATCH(VLOOKUP(Assumptions!AZ$2,TIAM15_assumptions!$Y$3:$Z$87,2,FALSE),TIAM15_assumptions!$H$2:$V$2,0))</f>
        <v>0</v>
      </c>
      <c r="BA77" s="59">
        <f ca="1">OFFSET(TIAM15_assumptions!$G77,0,MATCH(VLOOKUP(Assumptions!BA$2,TIAM15_assumptions!$Y$3:$Z$87,2,FALSE),TIAM15_assumptions!$H$2:$V$2,0))</f>
        <v>0</v>
      </c>
      <c r="BD77" s="41">
        <f ca="1">IFERROR(SUMIFS('TRA balance'!E$5:E$40,'TRA balance'!$C$5:$C$40,Assumptions!$C77,'TRA balance'!$D$5:$D$40,Assumptions!$B77)*CY77*H77,"")</f>
        <v>0</v>
      </c>
      <c r="BE77" s="41">
        <f ca="1">IFERROR(SUMIFS('TRA balance'!F$5:F$40,'TRA balance'!$C$5:$C$40,Assumptions!$C77,'TRA balance'!$D$5:$D$40,Assumptions!$B77)*CZ77*I77,"")</f>
        <v>0</v>
      </c>
      <c r="BF77" s="41">
        <f ca="1">IFERROR(SUMIFS('TRA balance'!G$5:G$40,'TRA balance'!$C$5:$C$40,Assumptions!$C77,'TRA balance'!$D$5:$D$40,Assumptions!$B77)*DA77*J77,"")</f>
        <v>0</v>
      </c>
      <c r="BG77" s="41">
        <f ca="1">IFERROR(SUMIFS('TRA balance'!H$5:H$40,'TRA balance'!$C$5:$C$40,Assumptions!$C77,'TRA balance'!$D$5:$D$40,Assumptions!$B77)*DB77*K77,"")</f>
        <v>0</v>
      </c>
      <c r="BH77" s="41">
        <f ca="1">IFERROR(SUMIFS('TRA balance'!I$5:I$40,'TRA balance'!$C$5:$C$40,Assumptions!$C77,'TRA balance'!$D$5:$D$40,Assumptions!$B77)*DC77*L77,"")</f>
        <v>0</v>
      </c>
      <c r="BI77" s="41">
        <f ca="1">IFERROR(SUMIFS('TRA balance'!J$5:J$40,'TRA balance'!$C$5:$C$40,Assumptions!$C77,'TRA balance'!$D$5:$D$40,Assumptions!$B77)*DD77*M77,"")</f>
        <v>0</v>
      </c>
      <c r="BJ77" s="41">
        <f ca="1">IFERROR(SUMIFS('TRA balance'!K$5:K$40,'TRA balance'!$C$5:$C$40,Assumptions!$C77,'TRA balance'!$D$5:$D$40,Assumptions!$B77)*DE77*N77,"")</f>
        <v>0</v>
      </c>
      <c r="BK77" s="41">
        <f ca="1">IFERROR(SUMIFS('TRA balance'!L$5:L$40,'TRA balance'!$C$5:$C$40,Assumptions!$C77,'TRA balance'!$D$5:$D$40,Assumptions!$B77)*DF77*O77,"")</f>
        <v>0</v>
      </c>
      <c r="BL77" s="41">
        <f ca="1">IFERROR(SUMIFS('TRA balance'!M$5:M$40,'TRA balance'!$C$5:$C$40,Assumptions!$C77,'TRA balance'!$D$5:$D$40,Assumptions!$B77)*DG77*P77,"")</f>
        <v>0</v>
      </c>
      <c r="BM77" s="41">
        <f ca="1">IFERROR(SUMIFS('TRA balance'!N$5:N$40,'TRA balance'!$C$5:$C$40,Assumptions!$C77,'TRA balance'!$D$5:$D$40,Assumptions!$B77)*DH77*Q77,"")</f>
        <v>0</v>
      </c>
      <c r="BN77" s="41">
        <f ca="1">IFERROR(SUMIFS('TRA balance'!O$5:O$40,'TRA balance'!$C$5:$C$40,Assumptions!$C77,'TRA balance'!$D$5:$D$40,Assumptions!$B77)*DI77*R77,"")</f>
        <v>0</v>
      </c>
      <c r="BO77" s="41">
        <f ca="1">IFERROR(SUMIFS('TRA balance'!P$5:P$40,'TRA balance'!$C$5:$C$40,Assumptions!$C77,'TRA balance'!$D$5:$D$40,Assumptions!$B77)*DJ77*S77,"")</f>
        <v>0</v>
      </c>
      <c r="BP77" s="41">
        <f ca="1">IFERROR(SUMIFS('TRA balance'!Q$5:Q$40,'TRA balance'!$C$5:$C$40,Assumptions!$C77,'TRA balance'!$D$5:$D$40,Assumptions!$B77)*DK77*T77,"")</f>
        <v>0</v>
      </c>
      <c r="BQ77" s="41">
        <f ca="1">IFERROR(SUMIFS('TRA balance'!R$5:R$40,'TRA balance'!$C$5:$C$40,Assumptions!$C77,'TRA balance'!$D$5:$D$40,Assumptions!$B77)*DL77*U77,"")</f>
        <v>0</v>
      </c>
      <c r="BR77" s="41">
        <f ca="1">IFERROR(SUMIFS('TRA balance'!S$5:S$40,'TRA balance'!$C$5:$C$40,Assumptions!$C77,'TRA balance'!$D$5:$D$40,Assumptions!$B77)*DM77*V77,"")</f>
        <v>0</v>
      </c>
      <c r="BS77" s="41">
        <f ca="1">IFERROR(SUMIFS('TRA balance'!T$5:T$40,'TRA balance'!$C$5:$C$40,Assumptions!$C77,'TRA balance'!$D$5:$D$40,Assumptions!$B77)*DN77*W77,"")</f>
        <v>0</v>
      </c>
      <c r="BT77" s="41">
        <f ca="1">IFERROR(SUMIFS('TRA balance'!U$5:U$40,'TRA balance'!$C$5:$C$40,Assumptions!$C77,'TRA balance'!$D$5:$D$40,Assumptions!$B77)*DO77*X77,"")</f>
        <v>0</v>
      </c>
      <c r="BU77" s="41">
        <f ca="1">IFERROR(SUMIFS('TRA balance'!V$5:V$40,'TRA balance'!$C$5:$C$40,Assumptions!$C77,'TRA balance'!$D$5:$D$40,Assumptions!$B77)*DP77*Y77,"")</f>
        <v>0</v>
      </c>
      <c r="BV77" s="41">
        <f ca="1">IFERROR(SUMIFS('TRA balance'!W$5:W$40,'TRA balance'!$C$5:$C$40,Assumptions!$C77,'TRA balance'!$D$5:$D$40,Assumptions!$B77)*DQ77*Z77,"")</f>
        <v>0</v>
      </c>
      <c r="BW77" s="41">
        <f ca="1">IFERROR(SUMIFS('TRA balance'!X$5:X$40,'TRA balance'!$C$5:$C$40,Assumptions!$C77,'TRA balance'!$D$5:$D$40,Assumptions!$B77)*DR77*AA77,"")</f>
        <v>0</v>
      </c>
      <c r="BX77" s="41">
        <f ca="1">IFERROR(SUMIFS('TRA balance'!Y$5:Y$40,'TRA balance'!$C$5:$C$40,Assumptions!$C77,'TRA balance'!$D$5:$D$40,Assumptions!$B77)*DS77*AB77,"")</f>
        <v>0</v>
      </c>
      <c r="BY77" s="41">
        <f ca="1">IFERROR(SUMIFS('TRA balance'!Z$5:Z$40,'TRA balance'!$C$5:$C$40,Assumptions!$C77,'TRA balance'!$D$5:$D$40,Assumptions!$B77)*DT77*AC77,"")</f>
        <v>0</v>
      </c>
      <c r="BZ77" s="41">
        <f ca="1">IFERROR(SUMIFS('TRA balance'!AA$5:AA$40,'TRA balance'!$C$5:$C$40,Assumptions!$C77,'TRA balance'!$D$5:$D$40,Assumptions!$B77)*DU77*AD77,"")</f>
        <v>0</v>
      </c>
      <c r="CA77" s="41">
        <f ca="1">IFERROR(SUMIFS('TRA balance'!AB$5:AB$40,'TRA balance'!$C$5:$C$40,Assumptions!$C77,'TRA balance'!$D$5:$D$40,Assumptions!$B77)*DV77*AE77,"")</f>
        <v>0</v>
      </c>
      <c r="CB77" s="41">
        <f ca="1">IFERROR(SUMIFS('TRA balance'!AC$5:AC$40,'TRA balance'!$C$5:$C$40,Assumptions!$C77,'TRA balance'!$D$5:$D$40,Assumptions!$B77)*DW77*AF77,"")</f>
        <v>0</v>
      </c>
      <c r="CC77" s="41">
        <f ca="1">IFERROR(SUMIFS('TRA balance'!AD$5:AD$40,'TRA balance'!$C$5:$C$40,Assumptions!$C77,'TRA balance'!$D$5:$D$40,Assumptions!$B77)*DX77*AG77,"")</f>
        <v>0</v>
      </c>
      <c r="CD77" s="41">
        <f ca="1">IFERROR(SUMIFS('TRA balance'!AE$5:AE$40,'TRA balance'!$C$5:$C$40,Assumptions!$C77,'TRA balance'!$D$5:$D$40,Assumptions!$B77)*DY77*AH77,"")</f>
        <v>0</v>
      </c>
      <c r="CE77" s="41">
        <f ca="1">IFERROR(SUMIFS('TRA balance'!AF$5:AF$40,'TRA balance'!$C$5:$C$40,Assumptions!$C77,'TRA balance'!$D$5:$D$40,Assumptions!$B77)*DZ77*AI77,"")</f>
        <v>0</v>
      </c>
      <c r="CF77" s="41">
        <f ca="1">IFERROR(SUMIFS('TRA balance'!AG$5:AG$40,'TRA balance'!$C$5:$C$40,Assumptions!$C77,'TRA balance'!$D$5:$D$40,Assumptions!$B77)*EA77*AJ77,"")</f>
        <v>0</v>
      </c>
      <c r="CG77" s="41">
        <f ca="1">IFERROR(SUMIFS('TRA balance'!AH$5:AH$40,'TRA balance'!$C$5:$C$40,Assumptions!$C77,'TRA balance'!$D$5:$D$40,Assumptions!$B77)*EB77*AK77,"")</f>
        <v>0</v>
      </c>
      <c r="CH77" s="41">
        <f ca="1">IFERROR(SUMIFS('TRA balance'!AI$5:AI$40,'TRA balance'!$C$5:$C$40,Assumptions!$C77,'TRA balance'!$D$5:$D$40,Assumptions!$B77)*EC77*AL77,"")</f>
        <v>0</v>
      </c>
      <c r="CI77" s="41">
        <f ca="1">IFERROR(SUMIFS('TRA balance'!AJ$5:AJ$40,'TRA balance'!$C$5:$C$40,Assumptions!$C77,'TRA balance'!$D$5:$D$40,Assumptions!$B77)*ED77*AM77,"")</f>
        <v>0</v>
      </c>
      <c r="CJ77" s="41">
        <f ca="1">IFERROR(SUMIFS('TRA balance'!AK$5:AK$40,'TRA balance'!$C$5:$C$40,Assumptions!$C77,'TRA balance'!$D$5:$D$40,Assumptions!$B77)*EE77*AN77,"")</f>
        <v>0</v>
      </c>
      <c r="CK77" s="41">
        <f ca="1">IFERROR(SUMIFS('TRA balance'!AL$5:AL$40,'TRA balance'!$C$5:$C$40,Assumptions!$C77,'TRA balance'!$D$5:$D$40,Assumptions!$B77)*EF77*AO77,"")</f>
        <v>0</v>
      </c>
      <c r="CL77" s="41">
        <f ca="1">IFERROR(SUMIFS('TRA balance'!AM$5:AM$40,'TRA balance'!$C$5:$C$40,Assumptions!$C77,'TRA balance'!$D$5:$D$40,Assumptions!$B77)*EG77*AP77,"")</f>
        <v>0</v>
      </c>
      <c r="CM77" s="41">
        <f ca="1">IFERROR(SUMIFS('TRA balance'!AN$5:AN$40,'TRA balance'!$C$5:$C$40,Assumptions!$C77,'TRA balance'!$D$5:$D$40,Assumptions!$B77)*EH77*AQ77,"")</f>
        <v>0</v>
      </c>
      <c r="CN77" s="41">
        <f ca="1">IFERROR(SUMIFS('TRA balance'!AO$5:AO$40,'TRA balance'!$C$5:$C$40,Assumptions!$C77,'TRA balance'!$D$5:$D$40,Assumptions!$B77)*EI77*AR77,"")</f>
        <v>0</v>
      </c>
      <c r="CO77" s="41">
        <f ca="1">IFERROR(SUMIFS('TRA balance'!AP$5:AP$40,'TRA balance'!$C$5:$C$40,Assumptions!$C77,'TRA balance'!$D$5:$D$40,Assumptions!$B77)*EJ77*AS77,"")</f>
        <v>0</v>
      </c>
      <c r="CP77" s="41">
        <f ca="1">IFERROR(SUMIFS('TRA balance'!AQ$5:AQ$40,'TRA balance'!$C$5:$C$40,Assumptions!$C77,'TRA balance'!$D$5:$D$40,Assumptions!$B77)*EK77*AT77,"")</f>
        <v>0</v>
      </c>
      <c r="CQ77" s="41">
        <f ca="1">IFERROR(SUMIFS('TRA balance'!AR$5:AR$40,'TRA balance'!$C$5:$C$40,Assumptions!$C77,'TRA balance'!$D$5:$D$40,Assumptions!$B77)*EL77*AU77,"")</f>
        <v>0</v>
      </c>
      <c r="CR77" s="41">
        <f ca="1">IFERROR(SUMIFS('TRA balance'!AS$5:AS$40,'TRA balance'!$C$5:$C$40,Assumptions!$C77,'TRA balance'!$D$5:$D$40,Assumptions!$B77)*EM77*AV77,"")</f>
        <v>0</v>
      </c>
      <c r="CS77" s="41">
        <f ca="1">IFERROR(SUMIFS('TRA balance'!AT$5:AT$40,'TRA balance'!$C$5:$C$40,Assumptions!$C77,'TRA balance'!$D$5:$D$40,Assumptions!$B77)*EN77*AW77,"")</f>
        <v>0</v>
      </c>
      <c r="CT77" s="41">
        <f ca="1">IFERROR(SUMIFS('TRA balance'!AU$5:AU$40,'TRA balance'!$C$5:$C$40,Assumptions!$C77,'TRA balance'!$D$5:$D$40,Assumptions!$B77)*EO77*AX77,"")</f>
        <v>0</v>
      </c>
      <c r="CU77" s="41">
        <f ca="1">IFERROR(SUMIFS('TRA balance'!AV$5:AV$40,'TRA balance'!$C$5:$C$40,Assumptions!$C77,'TRA balance'!$D$5:$D$40,Assumptions!$B77)*EP77*AY77,"")</f>
        <v>0</v>
      </c>
      <c r="CV77" s="41">
        <f ca="1">IFERROR(SUMIFS('TRA balance'!AW$5:AW$40,'TRA balance'!$C$5:$C$40,Assumptions!$C77,'TRA balance'!$D$5:$D$40,Assumptions!$B77)*EQ77*AZ77,"")</f>
        <v>0</v>
      </c>
      <c r="CW77" s="41">
        <f ca="1">IFERROR(SUMIFS('TRA balance'!AX$5:AX$40,'TRA balance'!$C$5:$C$40,Assumptions!$C77,'TRA balance'!$D$5:$D$40,Assumptions!$B77)*ER77*BA77,"")</f>
        <v>0</v>
      </c>
      <c r="CY77" s="40">
        <f ca="1" t="shared" si="86"/>
        <v>1</v>
      </c>
      <c r="CZ77" s="40">
        <f ca="1" t="shared" si="87"/>
        <v>1</v>
      </c>
      <c r="DA77" s="40">
        <f ca="1" t="shared" si="88"/>
        <v>1</v>
      </c>
      <c r="DB77" s="40">
        <f ca="1" t="shared" si="89"/>
        <v>1</v>
      </c>
      <c r="DC77" s="40">
        <f ca="1" t="shared" si="90"/>
        <v>1</v>
      </c>
      <c r="DD77" s="40">
        <f ca="1" t="shared" si="91"/>
        <v>1</v>
      </c>
      <c r="DE77" s="40">
        <f ca="1" t="shared" si="92"/>
        <v>1</v>
      </c>
      <c r="DF77" s="40">
        <f ca="1" t="shared" si="93"/>
        <v>1</v>
      </c>
      <c r="DG77" s="40">
        <f ca="1" t="shared" si="94"/>
        <v>1</v>
      </c>
      <c r="DH77" s="40">
        <f ca="1" t="shared" si="95"/>
        <v>1</v>
      </c>
      <c r="DI77" s="40">
        <f ca="1" t="shared" si="96"/>
        <v>1</v>
      </c>
      <c r="DJ77" s="40">
        <f ca="1" t="shared" si="97"/>
        <v>1</v>
      </c>
      <c r="DK77" s="40">
        <f ca="1" t="shared" si="98"/>
        <v>1</v>
      </c>
      <c r="DL77" s="40">
        <f ca="1" t="shared" si="99"/>
        <v>1</v>
      </c>
      <c r="DM77" s="40">
        <f ca="1" t="shared" si="100"/>
        <v>1</v>
      </c>
      <c r="DN77" s="40">
        <f ca="1" t="shared" si="101"/>
        <v>1</v>
      </c>
      <c r="DO77" s="40">
        <f ca="1" t="shared" si="102"/>
        <v>1</v>
      </c>
      <c r="DP77" s="40">
        <f ca="1" t="shared" si="103"/>
        <v>1</v>
      </c>
      <c r="DQ77" s="40">
        <f ca="1" t="shared" si="104"/>
        <v>1</v>
      </c>
      <c r="DR77" s="40">
        <f ca="1" t="shared" si="105"/>
        <v>1</v>
      </c>
      <c r="DS77" s="40">
        <f ca="1" t="shared" si="106"/>
        <v>1</v>
      </c>
      <c r="DT77" s="40">
        <f ca="1" t="shared" si="107"/>
        <v>1</v>
      </c>
      <c r="DU77" s="40">
        <f ca="1" t="shared" si="108"/>
        <v>1</v>
      </c>
      <c r="DV77" s="40">
        <f ca="1" t="shared" si="109"/>
        <v>1</v>
      </c>
      <c r="DW77" s="40">
        <f ca="1" t="shared" si="110"/>
        <v>1</v>
      </c>
      <c r="DX77" s="40">
        <f ca="1" t="shared" si="111"/>
        <v>1</v>
      </c>
      <c r="DY77" s="40">
        <f ca="1" t="shared" si="112"/>
        <v>1</v>
      </c>
      <c r="DZ77" s="40">
        <f ca="1" t="shared" si="113"/>
        <v>1</v>
      </c>
      <c r="EA77" s="40">
        <f ca="1" t="shared" si="114"/>
        <v>1</v>
      </c>
      <c r="EB77" s="40">
        <f ca="1" t="shared" si="115"/>
        <v>1</v>
      </c>
      <c r="EC77" s="40">
        <f ca="1" t="shared" si="116"/>
        <v>1</v>
      </c>
      <c r="ED77" s="40">
        <f ca="1" t="shared" si="117"/>
        <v>1</v>
      </c>
      <c r="EE77" s="40">
        <f ca="1" t="shared" si="118"/>
        <v>1</v>
      </c>
      <c r="EF77" s="40">
        <f ca="1" t="shared" si="119"/>
        <v>1</v>
      </c>
      <c r="EG77" s="40">
        <f ca="1" t="shared" si="120"/>
        <v>1</v>
      </c>
      <c r="EH77" s="40">
        <f ca="1" t="shared" si="121"/>
        <v>1</v>
      </c>
      <c r="EI77" s="40">
        <f ca="1" t="shared" si="122"/>
        <v>1</v>
      </c>
      <c r="EJ77" s="40">
        <f ca="1" t="shared" si="123"/>
        <v>1</v>
      </c>
      <c r="EK77" s="40">
        <f ca="1" t="shared" si="124"/>
        <v>1</v>
      </c>
      <c r="EL77" s="40">
        <f ca="1" t="shared" si="125"/>
        <v>1</v>
      </c>
      <c r="EM77" s="40">
        <f ca="1" t="shared" si="126"/>
        <v>1</v>
      </c>
      <c r="EN77" s="40">
        <f ca="1" t="shared" si="127"/>
        <v>1</v>
      </c>
      <c r="EO77" s="40">
        <f ca="1" t="shared" si="128"/>
        <v>1</v>
      </c>
      <c r="EP77" s="40">
        <f ca="1" t="shared" si="129"/>
        <v>1</v>
      </c>
      <c r="EQ77" s="40">
        <f ca="1" t="shared" si="130"/>
        <v>1</v>
      </c>
      <c r="ER77" s="40">
        <f ca="1" t="shared" si="131"/>
        <v>1</v>
      </c>
    </row>
    <row r="78" spans="1:148">
      <c r="A78">
        <v>1</v>
      </c>
      <c r="B78" t="str">
        <f>VLOOKUP(F78,'TRA balance'!$BA$5:$BB$14,2,FALSE)</f>
        <v>TRABGS</v>
      </c>
      <c r="C78" s="56" t="str">
        <f t="shared" si="133"/>
        <v>TR</v>
      </c>
      <c r="D78" s="57" t="s">
        <v>200</v>
      </c>
      <c r="E78" s="68" t="s">
        <v>202</v>
      </c>
      <c r="F78" s="58" t="str">
        <f>F77</f>
        <v>Bio Gasoline</v>
      </c>
      <c r="G78" s="56" t="s">
        <v>203</v>
      </c>
      <c r="H78" s="59">
        <f ca="1">OFFSET(TIAM15_assumptions!$G78,0,MATCH(VLOOKUP(Assumptions!H$2,TIAM15_assumptions!$Y$3:$Z$87,2,FALSE),TIAM15_assumptions!$H$2:$V$2,0))</f>
        <v>1</v>
      </c>
      <c r="I78" s="59">
        <f ca="1">OFFSET(TIAM15_assumptions!$G78,0,MATCH(VLOOKUP(Assumptions!I$2,TIAM15_assumptions!$Y$3:$Z$87,2,FALSE),TIAM15_assumptions!$H$2:$V$2,0))</f>
        <v>1</v>
      </c>
      <c r="J78" s="59">
        <f ca="1">OFFSET(TIAM15_assumptions!$G78,0,MATCH(VLOOKUP(Assumptions!J$2,TIAM15_assumptions!$Y$3:$Z$87,2,FALSE),TIAM15_assumptions!$H$2:$V$2,0))</f>
        <v>1</v>
      </c>
      <c r="K78" s="59">
        <f ca="1">OFFSET(TIAM15_assumptions!$G78,0,MATCH(VLOOKUP(Assumptions!K$2,TIAM15_assumptions!$Y$3:$Z$87,2,FALSE),TIAM15_assumptions!$H$2:$V$2,0))</f>
        <v>1</v>
      </c>
      <c r="L78" s="59">
        <f ca="1">OFFSET(TIAM15_assumptions!$G78,0,MATCH(VLOOKUP(Assumptions!L$2,TIAM15_assumptions!$Y$3:$Z$87,2,FALSE),TIAM15_assumptions!$H$2:$V$2,0))</f>
        <v>1</v>
      </c>
      <c r="M78" s="59">
        <f ca="1">OFFSET(TIAM15_assumptions!$G78,0,MATCH(VLOOKUP(Assumptions!M$2,TIAM15_assumptions!$Y$3:$Z$87,2,FALSE),TIAM15_assumptions!$H$2:$V$2,0))</f>
        <v>1</v>
      </c>
      <c r="N78" s="59">
        <f ca="1">OFFSET(TIAM15_assumptions!$G78,0,MATCH(VLOOKUP(Assumptions!N$2,TIAM15_assumptions!$Y$3:$Z$87,2,FALSE),TIAM15_assumptions!$H$2:$V$2,0))</f>
        <v>1</v>
      </c>
      <c r="O78" s="59">
        <f ca="1">OFFSET(TIAM15_assumptions!$G78,0,MATCH(VLOOKUP(Assumptions!O$2,TIAM15_assumptions!$Y$3:$Z$87,2,FALSE),TIAM15_assumptions!$H$2:$V$2,0))</f>
        <v>1</v>
      </c>
      <c r="P78" s="59">
        <f ca="1">OFFSET(TIAM15_assumptions!$G78,0,MATCH(VLOOKUP(Assumptions!P$2,TIAM15_assumptions!$Y$3:$Z$87,2,FALSE),TIAM15_assumptions!$H$2:$V$2,0))</f>
        <v>1</v>
      </c>
      <c r="Q78" s="59">
        <f ca="1">OFFSET(TIAM15_assumptions!$G78,0,MATCH(VLOOKUP(Assumptions!Q$2,TIAM15_assumptions!$Y$3:$Z$87,2,FALSE),TIAM15_assumptions!$H$2:$V$2,0))</f>
        <v>1</v>
      </c>
      <c r="R78" s="59">
        <f ca="1">OFFSET(TIAM15_assumptions!$G78,0,MATCH(VLOOKUP(Assumptions!R$2,TIAM15_assumptions!$Y$3:$Z$87,2,FALSE),TIAM15_assumptions!$H$2:$V$2,0))</f>
        <v>1</v>
      </c>
      <c r="S78" s="59">
        <f ca="1">OFFSET(TIAM15_assumptions!$G78,0,MATCH(VLOOKUP(Assumptions!S$2,TIAM15_assumptions!$Y$3:$Z$87,2,FALSE),TIAM15_assumptions!$H$2:$V$2,0))</f>
        <v>1</v>
      </c>
      <c r="T78" s="59">
        <f ca="1">OFFSET(TIAM15_assumptions!$G78,0,MATCH(VLOOKUP(Assumptions!T$2,TIAM15_assumptions!$Y$3:$Z$87,2,FALSE),TIAM15_assumptions!$H$2:$V$2,0))</f>
        <v>1</v>
      </c>
      <c r="U78" s="59">
        <f ca="1">OFFSET(TIAM15_assumptions!$G78,0,MATCH(VLOOKUP(Assumptions!U$2,TIAM15_assumptions!$Y$3:$Z$87,2,FALSE),TIAM15_assumptions!$H$2:$V$2,0))</f>
        <v>1</v>
      </c>
      <c r="V78" s="59">
        <f ca="1">OFFSET(TIAM15_assumptions!$G78,0,MATCH(VLOOKUP(Assumptions!V$2,TIAM15_assumptions!$Y$3:$Z$87,2,FALSE),TIAM15_assumptions!$H$2:$V$2,0))</f>
        <v>1</v>
      </c>
      <c r="W78" s="59">
        <f ca="1">OFFSET(TIAM15_assumptions!$G78,0,MATCH(VLOOKUP(Assumptions!W$2,TIAM15_assumptions!$Y$3:$Z$87,2,FALSE),TIAM15_assumptions!$H$2:$V$2,0))</f>
        <v>1</v>
      </c>
      <c r="X78" s="59">
        <f ca="1">OFFSET(TIAM15_assumptions!$G78,0,MATCH(VLOOKUP(Assumptions!X$2,TIAM15_assumptions!$Y$3:$Z$87,2,FALSE),TIAM15_assumptions!$H$2:$V$2,0))</f>
        <v>1</v>
      </c>
      <c r="Y78" s="59">
        <f ca="1">OFFSET(TIAM15_assumptions!$G78,0,MATCH(VLOOKUP(Assumptions!Y$2,TIAM15_assumptions!$Y$3:$Z$87,2,FALSE),TIAM15_assumptions!$H$2:$V$2,0))</f>
        <v>1</v>
      </c>
      <c r="Z78" s="59">
        <f ca="1">OFFSET(TIAM15_assumptions!$G78,0,MATCH(VLOOKUP(Assumptions!Z$2,TIAM15_assumptions!$Y$3:$Z$87,2,FALSE),TIAM15_assumptions!$H$2:$V$2,0))</f>
        <v>1</v>
      </c>
      <c r="AA78" s="59">
        <f ca="1">OFFSET(TIAM15_assumptions!$G78,0,MATCH(VLOOKUP(Assumptions!AA$2,TIAM15_assumptions!$Y$3:$Z$87,2,FALSE),TIAM15_assumptions!$H$2:$V$2,0))</f>
        <v>1</v>
      </c>
      <c r="AB78" s="59">
        <f ca="1">OFFSET(TIAM15_assumptions!$G78,0,MATCH(VLOOKUP(Assumptions!AB$2,TIAM15_assumptions!$Y$3:$Z$87,2,FALSE),TIAM15_assumptions!$H$2:$V$2,0))</f>
        <v>1</v>
      </c>
      <c r="AC78" s="59">
        <f ca="1">OFFSET(TIAM15_assumptions!$G78,0,MATCH(VLOOKUP(Assumptions!AC$2,TIAM15_assumptions!$Y$3:$Z$87,2,FALSE),TIAM15_assumptions!$H$2:$V$2,0))</f>
        <v>1</v>
      </c>
      <c r="AD78" s="59">
        <f ca="1">OFFSET(TIAM15_assumptions!$G78,0,MATCH(VLOOKUP(Assumptions!AD$2,TIAM15_assumptions!$Y$3:$Z$87,2,FALSE),TIAM15_assumptions!$H$2:$V$2,0))</f>
        <v>1</v>
      </c>
      <c r="AE78" s="59">
        <f ca="1">OFFSET(TIAM15_assumptions!$G78,0,MATCH(VLOOKUP(Assumptions!AE$2,TIAM15_assumptions!$Y$3:$Z$87,2,FALSE),TIAM15_assumptions!$H$2:$V$2,0))</f>
        <v>1</v>
      </c>
      <c r="AF78" s="59">
        <f ca="1">OFFSET(TIAM15_assumptions!$G78,0,MATCH(VLOOKUP(Assumptions!AF$2,TIAM15_assumptions!$Y$3:$Z$87,2,FALSE),TIAM15_assumptions!$H$2:$V$2,0))</f>
        <v>1</v>
      </c>
      <c r="AG78" s="59">
        <f ca="1">OFFSET(TIAM15_assumptions!$G78,0,MATCH(VLOOKUP(Assumptions!AG$2,TIAM15_assumptions!$Y$3:$Z$87,2,FALSE),TIAM15_assumptions!$H$2:$V$2,0))</f>
        <v>1</v>
      </c>
      <c r="AH78" s="59">
        <f ca="1">OFFSET(TIAM15_assumptions!$G78,0,MATCH(VLOOKUP(Assumptions!AH$2,TIAM15_assumptions!$Y$3:$Z$87,2,FALSE),TIAM15_assumptions!$H$2:$V$2,0))</f>
        <v>1</v>
      </c>
      <c r="AI78" s="59">
        <f ca="1">OFFSET(TIAM15_assumptions!$G78,0,MATCH(VLOOKUP(Assumptions!AI$2,TIAM15_assumptions!$Y$3:$Z$87,2,FALSE),TIAM15_assumptions!$H$2:$V$2,0))</f>
        <v>1</v>
      </c>
      <c r="AJ78" s="59">
        <f ca="1">OFFSET(TIAM15_assumptions!$G78,0,MATCH(VLOOKUP(Assumptions!AJ$2,TIAM15_assumptions!$Y$3:$Z$87,2,FALSE),TIAM15_assumptions!$H$2:$V$2,0))</f>
        <v>1</v>
      </c>
      <c r="AK78" s="59">
        <f ca="1">OFFSET(TIAM15_assumptions!$G78,0,MATCH(VLOOKUP(Assumptions!AK$2,TIAM15_assumptions!$Y$3:$Z$87,2,FALSE),TIAM15_assumptions!$H$2:$V$2,0))</f>
        <v>1</v>
      </c>
      <c r="AL78" s="59">
        <f ca="1">OFFSET(TIAM15_assumptions!$G78,0,MATCH(VLOOKUP(Assumptions!AL$2,TIAM15_assumptions!$Y$3:$Z$87,2,FALSE),TIAM15_assumptions!$H$2:$V$2,0))</f>
        <v>1</v>
      </c>
      <c r="AM78" s="59">
        <f ca="1">OFFSET(TIAM15_assumptions!$G78,0,MATCH(VLOOKUP(Assumptions!AM$2,TIAM15_assumptions!$Y$3:$Z$87,2,FALSE),TIAM15_assumptions!$H$2:$V$2,0))</f>
        <v>1</v>
      </c>
      <c r="AN78" s="59">
        <f ca="1">OFFSET(TIAM15_assumptions!$G78,0,MATCH(VLOOKUP(Assumptions!AN$2,TIAM15_assumptions!$Y$3:$Z$87,2,FALSE),TIAM15_assumptions!$H$2:$V$2,0))</f>
        <v>1</v>
      </c>
      <c r="AO78" s="59">
        <f ca="1">OFFSET(TIAM15_assumptions!$G78,0,MATCH(VLOOKUP(Assumptions!AO$2,TIAM15_assumptions!$Y$3:$Z$87,2,FALSE),TIAM15_assumptions!$H$2:$V$2,0))</f>
        <v>1</v>
      </c>
      <c r="AP78" s="59">
        <f ca="1">OFFSET(TIAM15_assumptions!$G78,0,MATCH(VLOOKUP(Assumptions!AP$2,TIAM15_assumptions!$Y$3:$Z$87,2,FALSE),TIAM15_assumptions!$H$2:$V$2,0))</f>
        <v>1</v>
      </c>
      <c r="AQ78" s="59">
        <f ca="1">OFFSET(TIAM15_assumptions!$G78,0,MATCH(VLOOKUP(Assumptions!AQ$2,TIAM15_assumptions!$Y$3:$Z$87,2,FALSE),TIAM15_assumptions!$H$2:$V$2,0))</f>
        <v>1</v>
      </c>
      <c r="AR78" s="59">
        <f ca="1">OFFSET(TIAM15_assumptions!$G78,0,MATCH(VLOOKUP(Assumptions!AR$2,TIAM15_assumptions!$Y$3:$Z$87,2,FALSE),TIAM15_assumptions!$H$2:$V$2,0))</f>
        <v>1</v>
      </c>
      <c r="AS78" s="59">
        <f ca="1">OFFSET(TIAM15_assumptions!$G78,0,MATCH(VLOOKUP(Assumptions!AS$2,TIAM15_assumptions!$Y$3:$Z$87,2,FALSE),TIAM15_assumptions!$H$2:$V$2,0))</f>
        <v>1</v>
      </c>
      <c r="AT78" s="59">
        <f ca="1">OFFSET(TIAM15_assumptions!$G78,0,MATCH(VLOOKUP(Assumptions!AT$2,TIAM15_assumptions!$Y$3:$Z$87,2,FALSE),TIAM15_assumptions!$H$2:$V$2,0))</f>
        <v>1</v>
      </c>
      <c r="AU78" s="59">
        <f ca="1">OFFSET(TIAM15_assumptions!$G78,0,MATCH(VLOOKUP(Assumptions!AU$2,TIAM15_assumptions!$Y$3:$Z$87,2,FALSE),TIAM15_assumptions!$H$2:$V$2,0))</f>
        <v>1</v>
      </c>
      <c r="AV78" s="59">
        <f ca="1">OFFSET(TIAM15_assumptions!$G78,0,MATCH(VLOOKUP(Assumptions!AV$2,TIAM15_assumptions!$Y$3:$Z$87,2,FALSE),TIAM15_assumptions!$H$2:$V$2,0))</f>
        <v>1</v>
      </c>
      <c r="AW78" s="59">
        <f ca="1">OFFSET(TIAM15_assumptions!$G78,0,MATCH(VLOOKUP(Assumptions!AW$2,TIAM15_assumptions!$Y$3:$Z$87,2,FALSE),TIAM15_assumptions!$H$2:$V$2,0))</f>
        <v>1</v>
      </c>
      <c r="AX78" s="59">
        <f ca="1">OFFSET(TIAM15_assumptions!$G78,0,MATCH(VLOOKUP(Assumptions!AX$2,TIAM15_assumptions!$Y$3:$Z$87,2,FALSE),TIAM15_assumptions!$H$2:$V$2,0))</f>
        <v>1</v>
      </c>
      <c r="AY78" s="59">
        <f ca="1">OFFSET(TIAM15_assumptions!$G78,0,MATCH(VLOOKUP(Assumptions!AY$2,TIAM15_assumptions!$Y$3:$Z$87,2,FALSE),TIAM15_assumptions!$H$2:$V$2,0))</f>
        <v>1</v>
      </c>
      <c r="AZ78" s="59">
        <f ca="1">OFFSET(TIAM15_assumptions!$G78,0,MATCH(VLOOKUP(Assumptions!AZ$2,TIAM15_assumptions!$Y$3:$Z$87,2,FALSE),TIAM15_assumptions!$H$2:$V$2,0))</f>
        <v>1</v>
      </c>
      <c r="BA78" s="59">
        <f ca="1">OFFSET(TIAM15_assumptions!$G78,0,MATCH(VLOOKUP(Assumptions!BA$2,TIAM15_assumptions!$Y$3:$Z$87,2,FALSE),TIAM15_assumptions!$H$2:$V$2,0))</f>
        <v>1</v>
      </c>
      <c r="BD78" s="41">
        <f ca="1">IFERROR(SUMIFS('TRA balance'!E$5:E$40,'TRA balance'!$C$5:$C$40,Assumptions!$C78,'TRA balance'!$D$5:$D$40,Assumptions!$B78)*CY78*H78,"")</f>
        <v>0</v>
      </c>
      <c r="BE78" s="41">
        <f ca="1">IFERROR(SUMIFS('TRA balance'!F$5:F$40,'TRA balance'!$C$5:$C$40,Assumptions!$C78,'TRA balance'!$D$5:$D$40,Assumptions!$B78)*CZ78*I78,"")</f>
        <v>0</v>
      </c>
      <c r="BF78" s="41">
        <f ca="1">IFERROR(SUMIFS('TRA balance'!G$5:G$40,'TRA balance'!$C$5:$C$40,Assumptions!$C78,'TRA balance'!$D$5:$D$40,Assumptions!$B78)*DA78*J78,"")</f>
        <v>0</v>
      </c>
      <c r="BG78" s="41">
        <f ca="1">IFERROR(SUMIFS('TRA balance'!H$5:H$40,'TRA balance'!$C$5:$C$40,Assumptions!$C78,'TRA balance'!$D$5:$D$40,Assumptions!$B78)*DB78*K78,"")</f>
        <v>0</v>
      </c>
      <c r="BH78" s="41">
        <f ca="1">IFERROR(SUMIFS('TRA balance'!I$5:I$40,'TRA balance'!$C$5:$C$40,Assumptions!$C78,'TRA balance'!$D$5:$D$40,Assumptions!$B78)*DC78*L78,"")</f>
        <v>0</v>
      </c>
      <c r="BI78" s="41">
        <f ca="1">IFERROR(SUMIFS('TRA balance'!J$5:J$40,'TRA balance'!$C$5:$C$40,Assumptions!$C78,'TRA balance'!$D$5:$D$40,Assumptions!$B78)*DD78*M78,"")</f>
        <v>0</v>
      </c>
      <c r="BJ78" s="41">
        <f ca="1">IFERROR(SUMIFS('TRA balance'!K$5:K$40,'TRA balance'!$C$5:$C$40,Assumptions!$C78,'TRA balance'!$D$5:$D$40,Assumptions!$B78)*DE78*N78,"")</f>
        <v>0</v>
      </c>
      <c r="BK78" s="41">
        <f ca="1">IFERROR(SUMIFS('TRA balance'!L$5:L$40,'TRA balance'!$C$5:$C$40,Assumptions!$C78,'TRA balance'!$D$5:$D$40,Assumptions!$B78)*DF78*O78,"")</f>
        <v>0</v>
      </c>
      <c r="BL78" s="41">
        <f ca="1">IFERROR(SUMIFS('TRA balance'!M$5:M$40,'TRA balance'!$C$5:$C$40,Assumptions!$C78,'TRA balance'!$D$5:$D$40,Assumptions!$B78)*DG78*P78,"")</f>
        <v>0</v>
      </c>
      <c r="BM78" s="41">
        <f ca="1">IFERROR(SUMIFS('TRA balance'!N$5:N$40,'TRA balance'!$C$5:$C$40,Assumptions!$C78,'TRA balance'!$D$5:$D$40,Assumptions!$B78)*DH78*Q78,"")</f>
        <v>0</v>
      </c>
      <c r="BN78" s="41">
        <f ca="1">IFERROR(SUMIFS('TRA balance'!O$5:O$40,'TRA balance'!$C$5:$C$40,Assumptions!$C78,'TRA balance'!$D$5:$D$40,Assumptions!$B78)*DI78*R78,"")</f>
        <v>0</v>
      </c>
      <c r="BO78" s="41">
        <f ca="1">IFERROR(SUMIFS('TRA balance'!P$5:P$40,'TRA balance'!$C$5:$C$40,Assumptions!$C78,'TRA balance'!$D$5:$D$40,Assumptions!$B78)*DJ78*S78,"")</f>
        <v>0</v>
      </c>
      <c r="BP78" s="41">
        <f ca="1">IFERROR(SUMIFS('TRA balance'!Q$5:Q$40,'TRA balance'!$C$5:$C$40,Assumptions!$C78,'TRA balance'!$D$5:$D$40,Assumptions!$B78)*DK78*T78,"")</f>
        <v>0</v>
      </c>
      <c r="BQ78" s="41">
        <f ca="1">IFERROR(SUMIFS('TRA balance'!R$5:R$40,'TRA balance'!$C$5:$C$40,Assumptions!$C78,'TRA balance'!$D$5:$D$40,Assumptions!$B78)*DL78*U78,"")</f>
        <v>0</v>
      </c>
      <c r="BR78" s="41">
        <f ca="1">IFERROR(SUMIFS('TRA balance'!S$5:S$40,'TRA balance'!$C$5:$C$40,Assumptions!$C78,'TRA balance'!$D$5:$D$40,Assumptions!$B78)*DM78*V78,"")</f>
        <v>0</v>
      </c>
      <c r="BS78" s="41">
        <f ca="1">IFERROR(SUMIFS('TRA balance'!T$5:T$40,'TRA balance'!$C$5:$C$40,Assumptions!$C78,'TRA balance'!$D$5:$D$40,Assumptions!$B78)*DN78*W78,"")</f>
        <v>0</v>
      </c>
      <c r="BT78" s="41">
        <f ca="1">IFERROR(SUMIFS('TRA balance'!U$5:U$40,'TRA balance'!$C$5:$C$40,Assumptions!$C78,'TRA balance'!$D$5:$D$40,Assumptions!$B78)*DO78*X78,"")</f>
        <v>0</v>
      </c>
      <c r="BU78" s="41">
        <f ca="1">IFERROR(SUMIFS('TRA balance'!V$5:V$40,'TRA balance'!$C$5:$C$40,Assumptions!$C78,'TRA balance'!$D$5:$D$40,Assumptions!$B78)*DP78*Y78,"")</f>
        <v>0</v>
      </c>
      <c r="BV78" s="41">
        <f ca="1">IFERROR(SUMIFS('TRA balance'!W$5:W$40,'TRA balance'!$C$5:$C$40,Assumptions!$C78,'TRA balance'!$D$5:$D$40,Assumptions!$B78)*DQ78*Z78,"")</f>
        <v>0</v>
      </c>
      <c r="BW78" s="41">
        <f ca="1">IFERROR(SUMIFS('TRA balance'!X$5:X$40,'TRA balance'!$C$5:$C$40,Assumptions!$C78,'TRA balance'!$D$5:$D$40,Assumptions!$B78)*DR78*AA78,"")</f>
        <v>0</v>
      </c>
      <c r="BX78" s="41">
        <f ca="1">IFERROR(SUMIFS('TRA balance'!Y$5:Y$40,'TRA balance'!$C$5:$C$40,Assumptions!$C78,'TRA balance'!$D$5:$D$40,Assumptions!$B78)*DS78*AB78,"")</f>
        <v>0</v>
      </c>
      <c r="BY78" s="41">
        <f ca="1">IFERROR(SUMIFS('TRA balance'!Z$5:Z$40,'TRA balance'!$C$5:$C$40,Assumptions!$C78,'TRA balance'!$D$5:$D$40,Assumptions!$B78)*DT78*AC78,"")</f>
        <v>0</v>
      </c>
      <c r="BZ78" s="41">
        <f ca="1">IFERROR(SUMIFS('TRA balance'!AA$5:AA$40,'TRA balance'!$C$5:$C$40,Assumptions!$C78,'TRA balance'!$D$5:$D$40,Assumptions!$B78)*DU78*AD78,"")</f>
        <v>0</v>
      </c>
      <c r="CA78" s="41">
        <f ca="1">IFERROR(SUMIFS('TRA balance'!AB$5:AB$40,'TRA balance'!$C$5:$C$40,Assumptions!$C78,'TRA balance'!$D$5:$D$40,Assumptions!$B78)*DV78*AE78,"")</f>
        <v>0</v>
      </c>
      <c r="CB78" s="41">
        <f ca="1">IFERROR(SUMIFS('TRA balance'!AC$5:AC$40,'TRA balance'!$C$5:$C$40,Assumptions!$C78,'TRA balance'!$D$5:$D$40,Assumptions!$B78)*DW78*AF78,"")</f>
        <v>0</v>
      </c>
      <c r="CC78" s="41">
        <f ca="1">IFERROR(SUMIFS('TRA balance'!AD$5:AD$40,'TRA balance'!$C$5:$C$40,Assumptions!$C78,'TRA balance'!$D$5:$D$40,Assumptions!$B78)*DX78*AG78,"")</f>
        <v>0</v>
      </c>
      <c r="CD78" s="41">
        <f ca="1">IFERROR(SUMIFS('TRA balance'!AE$5:AE$40,'TRA balance'!$C$5:$C$40,Assumptions!$C78,'TRA balance'!$D$5:$D$40,Assumptions!$B78)*DY78*AH78,"")</f>
        <v>0</v>
      </c>
      <c r="CE78" s="41">
        <f ca="1">IFERROR(SUMIFS('TRA balance'!AF$5:AF$40,'TRA balance'!$C$5:$C$40,Assumptions!$C78,'TRA balance'!$D$5:$D$40,Assumptions!$B78)*DZ78*AI78,"")</f>
        <v>0</v>
      </c>
      <c r="CF78" s="41">
        <f ca="1">IFERROR(SUMIFS('TRA balance'!AG$5:AG$40,'TRA balance'!$C$5:$C$40,Assumptions!$C78,'TRA balance'!$D$5:$D$40,Assumptions!$B78)*EA78*AJ78,"")</f>
        <v>0</v>
      </c>
      <c r="CG78" s="41">
        <f ca="1">IFERROR(SUMIFS('TRA balance'!AH$5:AH$40,'TRA balance'!$C$5:$C$40,Assumptions!$C78,'TRA balance'!$D$5:$D$40,Assumptions!$B78)*EB78*AK78,"")</f>
        <v>0</v>
      </c>
      <c r="CH78" s="41">
        <f ca="1">IFERROR(SUMIFS('TRA balance'!AI$5:AI$40,'TRA balance'!$C$5:$C$40,Assumptions!$C78,'TRA balance'!$D$5:$D$40,Assumptions!$B78)*EC78*AL78,"")</f>
        <v>0</v>
      </c>
      <c r="CI78" s="41">
        <f ca="1">IFERROR(SUMIFS('TRA balance'!AJ$5:AJ$40,'TRA balance'!$C$5:$C$40,Assumptions!$C78,'TRA balance'!$D$5:$D$40,Assumptions!$B78)*ED78*AM78,"")</f>
        <v>0</v>
      </c>
      <c r="CJ78" s="41">
        <f ca="1">IFERROR(SUMIFS('TRA balance'!AK$5:AK$40,'TRA balance'!$C$5:$C$40,Assumptions!$C78,'TRA balance'!$D$5:$D$40,Assumptions!$B78)*EE78*AN78,"")</f>
        <v>0</v>
      </c>
      <c r="CK78" s="41">
        <f ca="1">IFERROR(SUMIFS('TRA balance'!AL$5:AL$40,'TRA balance'!$C$5:$C$40,Assumptions!$C78,'TRA balance'!$D$5:$D$40,Assumptions!$B78)*EF78*AO78,"")</f>
        <v>0</v>
      </c>
      <c r="CL78" s="41">
        <f ca="1">IFERROR(SUMIFS('TRA balance'!AM$5:AM$40,'TRA balance'!$C$5:$C$40,Assumptions!$C78,'TRA balance'!$D$5:$D$40,Assumptions!$B78)*EG78*AP78,"")</f>
        <v>0</v>
      </c>
      <c r="CM78" s="41">
        <f ca="1">IFERROR(SUMIFS('TRA balance'!AN$5:AN$40,'TRA balance'!$C$5:$C$40,Assumptions!$C78,'TRA balance'!$D$5:$D$40,Assumptions!$B78)*EH78*AQ78,"")</f>
        <v>0</v>
      </c>
      <c r="CN78" s="41">
        <f ca="1">IFERROR(SUMIFS('TRA balance'!AO$5:AO$40,'TRA balance'!$C$5:$C$40,Assumptions!$C78,'TRA balance'!$D$5:$D$40,Assumptions!$B78)*EI78*AR78,"")</f>
        <v>0</v>
      </c>
      <c r="CO78" s="41">
        <f ca="1">IFERROR(SUMIFS('TRA balance'!AP$5:AP$40,'TRA balance'!$C$5:$C$40,Assumptions!$C78,'TRA balance'!$D$5:$D$40,Assumptions!$B78)*EJ78*AS78,"")</f>
        <v>0</v>
      </c>
      <c r="CP78" s="41">
        <f ca="1">IFERROR(SUMIFS('TRA balance'!AQ$5:AQ$40,'TRA balance'!$C$5:$C$40,Assumptions!$C78,'TRA balance'!$D$5:$D$40,Assumptions!$B78)*EK78*AT78,"")</f>
        <v>0</v>
      </c>
      <c r="CQ78" s="41">
        <f ca="1">IFERROR(SUMIFS('TRA balance'!AR$5:AR$40,'TRA balance'!$C$5:$C$40,Assumptions!$C78,'TRA balance'!$D$5:$D$40,Assumptions!$B78)*EL78*AU78,"")</f>
        <v>0</v>
      </c>
      <c r="CR78" s="41">
        <f ca="1">IFERROR(SUMIFS('TRA balance'!AS$5:AS$40,'TRA balance'!$C$5:$C$40,Assumptions!$C78,'TRA balance'!$D$5:$D$40,Assumptions!$B78)*EM78*AV78,"")</f>
        <v>0</v>
      </c>
      <c r="CS78" s="41">
        <f ca="1">IFERROR(SUMIFS('TRA balance'!AT$5:AT$40,'TRA balance'!$C$5:$C$40,Assumptions!$C78,'TRA balance'!$D$5:$D$40,Assumptions!$B78)*EN78*AW78,"")</f>
        <v>0</v>
      </c>
      <c r="CT78" s="41">
        <f ca="1">IFERROR(SUMIFS('TRA balance'!AU$5:AU$40,'TRA balance'!$C$5:$C$40,Assumptions!$C78,'TRA balance'!$D$5:$D$40,Assumptions!$B78)*EO78*AX78,"")</f>
        <v>0</v>
      </c>
      <c r="CU78" s="41">
        <f ca="1">IFERROR(SUMIFS('TRA balance'!AV$5:AV$40,'TRA balance'!$C$5:$C$40,Assumptions!$C78,'TRA balance'!$D$5:$D$40,Assumptions!$B78)*EP78*AY78,"")</f>
        <v>0</v>
      </c>
      <c r="CV78" s="41">
        <f ca="1">IFERROR(SUMIFS('TRA balance'!AW$5:AW$40,'TRA balance'!$C$5:$C$40,Assumptions!$C78,'TRA balance'!$D$5:$D$40,Assumptions!$B78)*EQ78*AZ78,"")</f>
        <v>0</v>
      </c>
      <c r="CW78" s="41">
        <f ca="1">IFERROR(SUMIFS('TRA balance'!AX$5:AX$40,'TRA balance'!$C$5:$C$40,Assumptions!$C78,'TRA balance'!$D$5:$D$40,Assumptions!$B78)*ER78*BA78,"")</f>
        <v>0</v>
      </c>
      <c r="CY78" s="40">
        <f ca="1" t="shared" si="86"/>
        <v>0</v>
      </c>
      <c r="CZ78" s="40">
        <f ca="1" t="shared" si="87"/>
        <v>0</v>
      </c>
      <c r="DA78" s="40">
        <f ca="1" t="shared" si="88"/>
        <v>0</v>
      </c>
      <c r="DB78" s="40">
        <f ca="1" t="shared" si="89"/>
        <v>0</v>
      </c>
      <c r="DC78" s="40">
        <f ca="1" t="shared" si="90"/>
        <v>0</v>
      </c>
      <c r="DD78" s="40">
        <f ca="1" t="shared" si="91"/>
        <v>0</v>
      </c>
      <c r="DE78" s="40">
        <f ca="1" t="shared" si="92"/>
        <v>0</v>
      </c>
      <c r="DF78" s="40">
        <f ca="1" t="shared" si="93"/>
        <v>0</v>
      </c>
      <c r="DG78" s="40">
        <f ca="1" t="shared" si="94"/>
        <v>0</v>
      </c>
      <c r="DH78" s="40">
        <f ca="1" t="shared" si="95"/>
        <v>0</v>
      </c>
      <c r="DI78" s="40">
        <f ca="1" t="shared" si="96"/>
        <v>0</v>
      </c>
      <c r="DJ78" s="40">
        <f ca="1" t="shared" si="97"/>
        <v>0</v>
      </c>
      <c r="DK78" s="40">
        <f ca="1" t="shared" si="98"/>
        <v>0</v>
      </c>
      <c r="DL78" s="40">
        <f ca="1" t="shared" si="99"/>
        <v>0</v>
      </c>
      <c r="DM78" s="40">
        <f ca="1" t="shared" si="100"/>
        <v>0</v>
      </c>
      <c r="DN78" s="40">
        <f ca="1" t="shared" si="101"/>
        <v>0</v>
      </c>
      <c r="DO78" s="40">
        <f ca="1" t="shared" si="102"/>
        <v>0</v>
      </c>
      <c r="DP78" s="40">
        <f ca="1" t="shared" si="103"/>
        <v>0</v>
      </c>
      <c r="DQ78" s="40">
        <f ca="1" t="shared" si="104"/>
        <v>0</v>
      </c>
      <c r="DR78" s="40">
        <f ca="1" t="shared" si="105"/>
        <v>0</v>
      </c>
      <c r="DS78" s="40">
        <f ca="1" t="shared" si="106"/>
        <v>0</v>
      </c>
      <c r="DT78" s="40">
        <f ca="1" t="shared" si="107"/>
        <v>0</v>
      </c>
      <c r="DU78" s="40">
        <f ca="1" t="shared" si="108"/>
        <v>0</v>
      </c>
      <c r="DV78" s="40">
        <f ca="1" t="shared" si="109"/>
        <v>0</v>
      </c>
      <c r="DW78" s="40">
        <f ca="1" t="shared" si="110"/>
        <v>0</v>
      </c>
      <c r="DX78" s="40">
        <f ca="1" t="shared" si="111"/>
        <v>0</v>
      </c>
      <c r="DY78" s="40">
        <f ca="1" t="shared" si="112"/>
        <v>0</v>
      </c>
      <c r="DZ78" s="40">
        <f ca="1" t="shared" si="113"/>
        <v>0</v>
      </c>
      <c r="EA78" s="40">
        <f ca="1" t="shared" si="114"/>
        <v>0</v>
      </c>
      <c r="EB78" s="40">
        <f ca="1" t="shared" si="115"/>
        <v>0</v>
      </c>
      <c r="EC78" s="40">
        <f ca="1" t="shared" si="116"/>
        <v>0</v>
      </c>
      <c r="ED78" s="40">
        <f ca="1" t="shared" si="117"/>
        <v>0</v>
      </c>
      <c r="EE78" s="40">
        <f ca="1" t="shared" si="118"/>
        <v>0</v>
      </c>
      <c r="EF78" s="40">
        <f ca="1" t="shared" si="119"/>
        <v>0</v>
      </c>
      <c r="EG78" s="40">
        <f ca="1" t="shared" si="120"/>
        <v>0</v>
      </c>
      <c r="EH78" s="40">
        <f ca="1" t="shared" si="121"/>
        <v>0</v>
      </c>
      <c r="EI78" s="40">
        <f ca="1" t="shared" si="122"/>
        <v>0</v>
      </c>
      <c r="EJ78" s="40">
        <f ca="1" t="shared" si="123"/>
        <v>0</v>
      </c>
      <c r="EK78" s="40">
        <f ca="1" t="shared" si="124"/>
        <v>0</v>
      </c>
      <c r="EL78" s="40">
        <f ca="1" t="shared" si="125"/>
        <v>0</v>
      </c>
      <c r="EM78" s="40">
        <f ca="1" t="shared" si="126"/>
        <v>0</v>
      </c>
      <c r="EN78" s="40">
        <f ca="1" t="shared" si="127"/>
        <v>0</v>
      </c>
      <c r="EO78" s="40">
        <f ca="1" t="shared" si="128"/>
        <v>0</v>
      </c>
      <c r="EP78" s="40">
        <f ca="1" t="shared" si="129"/>
        <v>0</v>
      </c>
      <c r="EQ78" s="40">
        <f ca="1" t="shared" si="130"/>
        <v>0</v>
      </c>
      <c r="ER78" s="40">
        <f ca="1" t="shared" si="131"/>
        <v>0</v>
      </c>
    </row>
    <row r="79" spans="1:148">
      <c r="A79">
        <v>1</v>
      </c>
      <c r="B79" t="str">
        <f>VLOOKUP(F79,'TRA balance'!$BA$5:$BB$14,2,FALSE)</f>
        <v>TRABGS</v>
      </c>
      <c r="C79" s="56" t="str">
        <f t="shared" si="133"/>
        <v>TR</v>
      </c>
      <c r="D79" s="57" t="s">
        <v>200</v>
      </c>
      <c r="E79" s="68" t="s">
        <v>204</v>
      </c>
      <c r="F79" s="58" t="str">
        <f t="shared" ref="F79:F84" si="138">F78</f>
        <v>Bio Gasoline</v>
      </c>
      <c r="G79" s="56" t="s">
        <v>205</v>
      </c>
      <c r="H79" s="59">
        <f ca="1">OFFSET(TIAM15_assumptions!$G79,0,MATCH(VLOOKUP(Assumptions!H$2,TIAM15_assumptions!$Y$3:$Z$87,2,FALSE),TIAM15_assumptions!$H$2:$V$2,0))</f>
        <v>0</v>
      </c>
      <c r="I79" s="59">
        <f ca="1">OFFSET(TIAM15_assumptions!$G79,0,MATCH(VLOOKUP(Assumptions!I$2,TIAM15_assumptions!$Y$3:$Z$87,2,FALSE),TIAM15_assumptions!$H$2:$V$2,0))</f>
        <v>0</v>
      </c>
      <c r="J79" s="59">
        <f ca="1">OFFSET(TIAM15_assumptions!$G79,0,MATCH(VLOOKUP(Assumptions!J$2,TIAM15_assumptions!$Y$3:$Z$87,2,FALSE),TIAM15_assumptions!$H$2:$V$2,0))</f>
        <v>0</v>
      </c>
      <c r="K79" s="59">
        <f ca="1">OFFSET(TIAM15_assumptions!$G79,0,MATCH(VLOOKUP(Assumptions!K$2,TIAM15_assumptions!$Y$3:$Z$87,2,FALSE),TIAM15_assumptions!$H$2:$V$2,0))</f>
        <v>0</v>
      </c>
      <c r="L79" s="59">
        <f ca="1">OFFSET(TIAM15_assumptions!$G79,0,MATCH(VLOOKUP(Assumptions!L$2,TIAM15_assumptions!$Y$3:$Z$87,2,FALSE),TIAM15_assumptions!$H$2:$V$2,0))</f>
        <v>0</v>
      </c>
      <c r="M79" s="59">
        <f ca="1">OFFSET(TIAM15_assumptions!$G79,0,MATCH(VLOOKUP(Assumptions!M$2,TIAM15_assumptions!$Y$3:$Z$87,2,FALSE),TIAM15_assumptions!$H$2:$V$2,0))</f>
        <v>0</v>
      </c>
      <c r="N79" s="59">
        <f ca="1">OFFSET(TIAM15_assumptions!$G79,0,MATCH(VLOOKUP(Assumptions!N$2,TIAM15_assumptions!$Y$3:$Z$87,2,FALSE),TIAM15_assumptions!$H$2:$V$2,0))</f>
        <v>0</v>
      </c>
      <c r="O79" s="59">
        <f ca="1">OFFSET(TIAM15_assumptions!$G79,0,MATCH(VLOOKUP(Assumptions!O$2,TIAM15_assumptions!$Y$3:$Z$87,2,FALSE),TIAM15_assumptions!$H$2:$V$2,0))</f>
        <v>0</v>
      </c>
      <c r="P79" s="59">
        <f ca="1">OFFSET(TIAM15_assumptions!$G79,0,MATCH(VLOOKUP(Assumptions!P$2,TIAM15_assumptions!$Y$3:$Z$87,2,FALSE),TIAM15_assumptions!$H$2:$V$2,0))</f>
        <v>0</v>
      </c>
      <c r="Q79" s="59">
        <f ca="1">OFFSET(TIAM15_assumptions!$G79,0,MATCH(VLOOKUP(Assumptions!Q$2,TIAM15_assumptions!$Y$3:$Z$87,2,FALSE),TIAM15_assumptions!$H$2:$V$2,0))</f>
        <v>0</v>
      </c>
      <c r="R79" s="59">
        <f ca="1">OFFSET(TIAM15_assumptions!$G79,0,MATCH(VLOOKUP(Assumptions!R$2,TIAM15_assumptions!$Y$3:$Z$87,2,FALSE),TIAM15_assumptions!$H$2:$V$2,0))</f>
        <v>0</v>
      </c>
      <c r="S79" s="59">
        <f ca="1">OFFSET(TIAM15_assumptions!$G79,0,MATCH(VLOOKUP(Assumptions!S$2,TIAM15_assumptions!$Y$3:$Z$87,2,FALSE),TIAM15_assumptions!$H$2:$V$2,0))</f>
        <v>0</v>
      </c>
      <c r="T79" s="59">
        <f ca="1">OFFSET(TIAM15_assumptions!$G79,0,MATCH(VLOOKUP(Assumptions!T$2,TIAM15_assumptions!$Y$3:$Z$87,2,FALSE),TIAM15_assumptions!$H$2:$V$2,0))</f>
        <v>0</v>
      </c>
      <c r="U79" s="59">
        <f ca="1">OFFSET(TIAM15_assumptions!$G79,0,MATCH(VLOOKUP(Assumptions!U$2,TIAM15_assumptions!$Y$3:$Z$87,2,FALSE),TIAM15_assumptions!$H$2:$V$2,0))</f>
        <v>0</v>
      </c>
      <c r="V79" s="59">
        <f ca="1">OFFSET(TIAM15_assumptions!$G79,0,MATCH(VLOOKUP(Assumptions!V$2,TIAM15_assumptions!$Y$3:$Z$87,2,FALSE),TIAM15_assumptions!$H$2:$V$2,0))</f>
        <v>0</v>
      </c>
      <c r="W79" s="59">
        <f ca="1">OFFSET(TIAM15_assumptions!$G79,0,MATCH(VLOOKUP(Assumptions!W$2,TIAM15_assumptions!$Y$3:$Z$87,2,FALSE),TIAM15_assumptions!$H$2:$V$2,0))</f>
        <v>0</v>
      </c>
      <c r="X79" s="59">
        <f ca="1">OFFSET(TIAM15_assumptions!$G79,0,MATCH(VLOOKUP(Assumptions!X$2,TIAM15_assumptions!$Y$3:$Z$87,2,FALSE),TIAM15_assumptions!$H$2:$V$2,0))</f>
        <v>0</v>
      </c>
      <c r="Y79" s="59">
        <f ca="1">OFFSET(TIAM15_assumptions!$G79,0,MATCH(VLOOKUP(Assumptions!Y$2,TIAM15_assumptions!$Y$3:$Z$87,2,FALSE),TIAM15_assumptions!$H$2:$V$2,0))</f>
        <v>0</v>
      </c>
      <c r="Z79" s="59">
        <f ca="1">OFFSET(TIAM15_assumptions!$G79,0,MATCH(VLOOKUP(Assumptions!Z$2,TIAM15_assumptions!$Y$3:$Z$87,2,FALSE),TIAM15_assumptions!$H$2:$V$2,0))</f>
        <v>0</v>
      </c>
      <c r="AA79" s="59">
        <f ca="1">OFFSET(TIAM15_assumptions!$G79,0,MATCH(VLOOKUP(Assumptions!AA$2,TIAM15_assumptions!$Y$3:$Z$87,2,FALSE),TIAM15_assumptions!$H$2:$V$2,0))</f>
        <v>0</v>
      </c>
      <c r="AB79" s="59">
        <f ca="1">OFFSET(TIAM15_assumptions!$G79,0,MATCH(VLOOKUP(Assumptions!AB$2,TIAM15_assumptions!$Y$3:$Z$87,2,FALSE),TIAM15_assumptions!$H$2:$V$2,0))</f>
        <v>0</v>
      </c>
      <c r="AC79" s="59">
        <f ca="1">OFFSET(TIAM15_assumptions!$G79,0,MATCH(VLOOKUP(Assumptions!AC$2,TIAM15_assumptions!$Y$3:$Z$87,2,FALSE),TIAM15_assumptions!$H$2:$V$2,0))</f>
        <v>0</v>
      </c>
      <c r="AD79" s="59">
        <f ca="1">OFFSET(TIAM15_assumptions!$G79,0,MATCH(VLOOKUP(Assumptions!AD$2,TIAM15_assumptions!$Y$3:$Z$87,2,FALSE),TIAM15_assumptions!$H$2:$V$2,0))</f>
        <v>0</v>
      </c>
      <c r="AE79" s="59">
        <f ca="1">OFFSET(TIAM15_assumptions!$G79,0,MATCH(VLOOKUP(Assumptions!AE$2,TIAM15_assumptions!$Y$3:$Z$87,2,FALSE),TIAM15_assumptions!$H$2:$V$2,0))</f>
        <v>0</v>
      </c>
      <c r="AF79" s="59">
        <f ca="1">OFFSET(TIAM15_assumptions!$G79,0,MATCH(VLOOKUP(Assumptions!AF$2,TIAM15_assumptions!$Y$3:$Z$87,2,FALSE),TIAM15_assumptions!$H$2:$V$2,0))</f>
        <v>0</v>
      </c>
      <c r="AG79" s="59">
        <f ca="1">OFFSET(TIAM15_assumptions!$G79,0,MATCH(VLOOKUP(Assumptions!AG$2,TIAM15_assumptions!$Y$3:$Z$87,2,FALSE),TIAM15_assumptions!$H$2:$V$2,0))</f>
        <v>0</v>
      </c>
      <c r="AH79" s="59">
        <f ca="1">OFFSET(TIAM15_assumptions!$G79,0,MATCH(VLOOKUP(Assumptions!AH$2,TIAM15_assumptions!$Y$3:$Z$87,2,FALSE),TIAM15_assumptions!$H$2:$V$2,0))</f>
        <v>0</v>
      </c>
      <c r="AI79" s="59">
        <f ca="1">OFFSET(TIAM15_assumptions!$G79,0,MATCH(VLOOKUP(Assumptions!AI$2,TIAM15_assumptions!$Y$3:$Z$87,2,FALSE),TIAM15_assumptions!$H$2:$V$2,0))</f>
        <v>0</v>
      </c>
      <c r="AJ79" s="59">
        <f ca="1">OFFSET(TIAM15_assumptions!$G79,0,MATCH(VLOOKUP(Assumptions!AJ$2,TIAM15_assumptions!$Y$3:$Z$87,2,FALSE),TIAM15_assumptions!$H$2:$V$2,0))</f>
        <v>0</v>
      </c>
      <c r="AK79" s="59">
        <f ca="1">OFFSET(TIAM15_assumptions!$G79,0,MATCH(VLOOKUP(Assumptions!AK$2,TIAM15_assumptions!$Y$3:$Z$87,2,FALSE),TIAM15_assumptions!$H$2:$V$2,0))</f>
        <v>0</v>
      </c>
      <c r="AL79" s="59">
        <f ca="1">OFFSET(TIAM15_assumptions!$G79,0,MATCH(VLOOKUP(Assumptions!AL$2,TIAM15_assumptions!$Y$3:$Z$87,2,FALSE),TIAM15_assumptions!$H$2:$V$2,0))</f>
        <v>0</v>
      </c>
      <c r="AM79" s="59">
        <f ca="1">OFFSET(TIAM15_assumptions!$G79,0,MATCH(VLOOKUP(Assumptions!AM$2,TIAM15_assumptions!$Y$3:$Z$87,2,FALSE),TIAM15_assumptions!$H$2:$V$2,0))</f>
        <v>0</v>
      </c>
      <c r="AN79" s="59">
        <f ca="1">OFFSET(TIAM15_assumptions!$G79,0,MATCH(VLOOKUP(Assumptions!AN$2,TIAM15_assumptions!$Y$3:$Z$87,2,FALSE),TIAM15_assumptions!$H$2:$V$2,0))</f>
        <v>0</v>
      </c>
      <c r="AO79" s="59">
        <f ca="1">OFFSET(TIAM15_assumptions!$G79,0,MATCH(VLOOKUP(Assumptions!AO$2,TIAM15_assumptions!$Y$3:$Z$87,2,FALSE),TIAM15_assumptions!$H$2:$V$2,0))</f>
        <v>0</v>
      </c>
      <c r="AP79" s="59">
        <f ca="1">OFFSET(TIAM15_assumptions!$G79,0,MATCH(VLOOKUP(Assumptions!AP$2,TIAM15_assumptions!$Y$3:$Z$87,2,FALSE),TIAM15_assumptions!$H$2:$V$2,0))</f>
        <v>0</v>
      </c>
      <c r="AQ79" s="59">
        <f ca="1">OFFSET(TIAM15_assumptions!$G79,0,MATCH(VLOOKUP(Assumptions!AQ$2,TIAM15_assumptions!$Y$3:$Z$87,2,FALSE),TIAM15_assumptions!$H$2:$V$2,0))</f>
        <v>0</v>
      </c>
      <c r="AR79" s="59">
        <f ca="1">OFFSET(TIAM15_assumptions!$G79,0,MATCH(VLOOKUP(Assumptions!AR$2,TIAM15_assumptions!$Y$3:$Z$87,2,FALSE),TIAM15_assumptions!$H$2:$V$2,0))</f>
        <v>0</v>
      </c>
      <c r="AS79" s="59">
        <f ca="1">OFFSET(TIAM15_assumptions!$G79,0,MATCH(VLOOKUP(Assumptions!AS$2,TIAM15_assumptions!$Y$3:$Z$87,2,FALSE),TIAM15_assumptions!$H$2:$V$2,0))</f>
        <v>0</v>
      </c>
      <c r="AT79" s="59">
        <f ca="1">OFFSET(TIAM15_assumptions!$G79,0,MATCH(VLOOKUP(Assumptions!AT$2,TIAM15_assumptions!$Y$3:$Z$87,2,FALSE),TIAM15_assumptions!$H$2:$V$2,0))</f>
        <v>0</v>
      </c>
      <c r="AU79" s="59">
        <f ca="1">OFFSET(TIAM15_assumptions!$G79,0,MATCH(VLOOKUP(Assumptions!AU$2,TIAM15_assumptions!$Y$3:$Z$87,2,FALSE),TIAM15_assumptions!$H$2:$V$2,0))</f>
        <v>0</v>
      </c>
      <c r="AV79" s="59">
        <f ca="1">OFFSET(TIAM15_assumptions!$G79,0,MATCH(VLOOKUP(Assumptions!AV$2,TIAM15_assumptions!$Y$3:$Z$87,2,FALSE),TIAM15_assumptions!$H$2:$V$2,0))</f>
        <v>0</v>
      </c>
      <c r="AW79" s="59">
        <f ca="1">OFFSET(TIAM15_assumptions!$G79,0,MATCH(VLOOKUP(Assumptions!AW$2,TIAM15_assumptions!$Y$3:$Z$87,2,FALSE),TIAM15_assumptions!$H$2:$V$2,0))</f>
        <v>0</v>
      </c>
      <c r="AX79" s="59">
        <f ca="1">OFFSET(TIAM15_assumptions!$G79,0,MATCH(VLOOKUP(Assumptions!AX$2,TIAM15_assumptions!$Y$3:$Z$87,2,FALSE),TIAM15_assumptions!$H$2:$V$2,0))</f>
        <v>0</v>
      </c>
      <c r="AY79" s="59">
        <f ca="1">OFFSET(TIAM15_assumptions!$G79,0,MATCH(VLOOKUP(Assumptions!AY$2,TIAM15_assumptions!$Y$3:$Z$87,2,FALSE),TIAM15_assumptions!$H$2:$V$2,0))</f>
        <v>0</v>
      </c>
      <c r="AZ79" s="59">
        <f ca="1">OFFSET(TIAM15_assumptions!$G79,0,MATCH(VLOOKUP(Assumptions!AZ$2,TIAM15_assumptions!$Y$3:$Z$87,2,FALSE),TIAM15_assumptions!$H$2:$V$2,0))</f>
        <v>0</v>
      </c>
      <c r="BA79" s="59">
        <f ca="1">OFFSET(TIAM15_assumptions!$G79,0,MATCH(VLOOKUP(Assumptions!BA$2,TIAM15_assumptions!$Y$3:$Z$87,2,FALSE),TIAM15_assumptions!$H$2:$V$2,0))</f>
        <v>0</v>
      </c>
      <c r="BD79" s="41">
        <f ca="1">IFERROR(SUMIFS('TRA balance'!E$5:E$40,'TRA balance'!$C$5:$C$40,Assumptions!$C79,'TRA balance'!$D$5:$D$40,Assumptions!$B79)*CY79*H79,"")</f>
        <v>0</v>
      </c>
      <c r="BE79" s="41">
        <f ca="1">IFERROR(SUMIFS('TRA balance'!F$5:F$40,'TRA balance'!$C$5:$C$40,Assumptions!$C79,'TRA balance'!$D$5:$D$40,Assumptions!$B79)*CZ79*I79,"")</f>
        <v>0</v>
      </c>
      <c r="BF79" s="41">
        <f ca="1">IFERROR(SUMIFS('TRA balance'!G$5:G$40,'TRA balance'!$C$5:$C$40,Assumptions!$C79,'TRA balance'!$D$5:$D$40,Assumptions!$B79)*DA79*J79,"")</f>
        <v>0</v>
      </c>
      <c r="BG79" s="41">
        <f ca="1">IFERROR(SUMIFS('TRA balance'!H$5:H$40,'TRA balance'!$C$5:$C$40,Assumptions!$C79,'TRA balance'!$D$5:$D$40,Assumptions!$B79)*DB79*K79,"")</f>
        <v>0</v>
      </c>
      <c r="BH79" s="41">
        <f ca="1">IFERROR(SUMIFS('TRA balance'!I$5:I$40,'TRA balance'!$C$5:$C$40,Assumptions!$C79,'TRA balance'!$D$5:$D$40,Assumptions!$B79)*DC79*L79,"")</f>
        <v>0</v>
      </c>
      <c r="BI79" s="41">
        <f ca="1">IFERROR(SUMIFS('TRA balance'!J$5:J$40,'TRA balance'!$C$5:$C$40,Assumptions!$C79,'TRA balance'!$D$5:$D$40,Assumptions!$B79)*DD79*M79,"")</f>
        <v>0</v>
      </c>
      <c r="BJ79" s="41">
        <f ca="1">IFERROR(SUMIFS('TRA balance'!K$5:K$40,'TRA balance'!$C$5:$C$40,Assumptions!$C79,'TRA balance'!$D$5:$D$40,Assumptions!$B79)*DE79*N79,"")</f>
        <v>0</v>
      </c>
      <c r="BK79" s="41">
        <f ca="1">IFERROR(SUMIFS('TRA balance'!L$5:L$40,'TRA balance'!$C$5:$C$40,Assumptions!$C79,'TRA balance'!$D$5:$D$40,Assumptions!$B79)*DF79*O79,"")</f>
        <v>0</v>
      </c>
      <c r="BL79" s="41">
        <f ca="1">IFERROR(SUMIFS('TRA balance'!M$5:M$40,'TRA balance'!$C$5:$C$40,Assumptions!$C79,'TRA balance'!$D$5:$D$40,Assumptions!$B79)*DG79*P79,"")</f>
        <v>0</v>
      </c>
      <c r="BM79" s="41">
        <f ca="1">IFERROR(SUMIFS('TRA balance'!N$5:N$40,'TRA balance'!$C$5:$C$40,Assumptions!$C79,'TRA balance'!$D$5:$D$40,Assumptions!$B79)*DH79*Q79,"")</f>
        <v>0</v>
      </c>
      <c r="BN79" s="41">
        <f ca="1">IFERROR(SUMIFS('TRA balance'!O$5:O$40,'TRA balance'!$C$5:$C$40,Assumptions!$C79,'TRA balance'!$D$5:$D$40,Assumptions!$B79)*DI79*R79,"")</f>
        <v>0</v>
      </c>
      <c r="BO79" s="41">
        <f ca="1">IFERROR(SUMIFS('TRA balance'!P$5:P$40,'TRA balance'!$C$5:$C$40,Assumptions!$C79,'TRA balance'!$D$5:$D$40,Assumptions!$B79)*DJ79*S79,"")</f>
        <v>0</v>
      </c>
      <c r="BP79" s="41">
        <f ca="1">IFERROR(SUMIFS('TRA balance'!Q$5:Q$40,'TRA balance'!$C$5:$C$40,Assumptions!$C79,'TRA balance'!$D$5:$D$40,Assumptions!$B79)*DK79*T79,"")</f>
        <v>0</v>
      </c>
      <c r="BQ79" s="41">
        <f ca="1">IFERROR(SUMIFS('TRA balance'!R$5:R$40,'TRA balance'!$C$5:$C$40,Assumptions!$C79,'TRA balance'!$D$5:$D$40,Assumptions!$B79)*DL79*U79,"")</f>
        <v>0</v>
      </c>
      <c r="BR79" s="41">
        <f ca="1">IFERROR(SUMIFS('TRA balance'!S$5:S$40,'TRA balance'!$C$5:$C$40,Assumptions!$C79,'TRA balance'!$D$5:$D$40,Assumptions!$B79)*DM79*V79,"")</f>
        <v>0</v>
      </c>
      <c r="BS79" s="41">
        <f ca="1">IFERROR(SUMIFS('TRA balance'!T$5:T$40,'TRA balance'!$C$5:$C$40,Assumptions!$C79,'TRA balance'!$D$5:$D$40,Assumptions!$B79)*DN79*W79,"")</f>
        <v>0</v>
      </c>
      <c r="BT79" s="41">
        <f ca="1">IFERROR(SUMIFS('TRA balance'!U$5:U$40,'TRA balance'!$C$5:$C$40,Assumptions!$C79,'TRA balance'!$D$5:$D$40,Assumptions!$B79)*DO79*X79,"")</f>
        <v>0</v>
      </c>
      <c r="BU79" s="41">
        <f ca="1">IFERROR(SUMIFS('TRA balance'!V$5:V$40,'TRA balance'!$C$5:$C$40,Assumptions!$C79,'TRA balance'!$D$5:$D$40,Assumptions!$B79)*DP79*Y79,"")</f>
        <v>0</v>
      </c>
      <c r="BV79" s="41">
        <f ca="1">IFERROR(SUMIFS('TRA balance'!W$5:W$40,'TRA balance'!$C$5:$C$40,Assumptions!$C79,'TRA balance'!$D$5:$D$40,Assumptions!$B79)*DQ79*Z79,"")</f>
        <v>0</v>
      </c>
      <c r="BW79" s="41">
        <f ca="1">IFERROR(SUMIFS('TRA balance'!X$5:X$40,'TRA balance'!$C$5:$C$40,Assumptions!$C79,'TRA balance'!$D$5:$D$40,Assumptions!$B79)*DR79*AA79,"")</f>
        <v>0</v>
      </c>
      <c r="BX79" s="41">
        <f ca="1">IFERROR(SUMIFS('TRA balance'!Y$5:Y$40,'TRA balance'!$C$5:$C$40,Assumptions!$C79,'TRA balance'!$D$5:$D$40,Assumptions!$B79)*DS79*AB79,"")</f>
        <v>0</v>
      </c>
      <c r="BY79" s="41">
        <f ca="1">IFERROR(SUMIFS('TRA balance'!Z$5:Z$40,'TRA balance'!$C$5:$C$40,Assumptions!$C79,'TRA balance'!$D$5:$D$40,Assumptions!$B79)*DT79*AC79,"")</f>
        <v>0</v>
      </c>
      <c r="BZ79" s="41">
        <f ca="1">IFERROR(SUMIFS('TRA balance'!AA$5:AA$40,'TRA balance'!$C$5:$C$40,Assumptions!$C79,'TRA balance'!$D$5:$D$40,Assumptions!$B79)*DU79*AD79,"")</f>
        <v>0</v>
      </c>
      <c r="CA79" s="41">
        <f ca="1">IFERROR(SUMIFS('TRA balance'!AB$5:AB$40,'TRA balance'!$C$5:$C$40,Assumptions!$C79,'TRA balance'!$D$5:$D$40,Assumptions!$B79)*DV79*AE79,"")</f>
        <v>0</v>
      </c>
      <c r="CB79" s="41">
        <f ca="1">IFERROR(SUMIFS('TRA balance'!AC$5:AC$40,'TRA balance'!$C$5:$C$40,Assumptions!$C79,'TRA balance'!$D$5:$D$40,Assumptions!$B79)*DW79*AF79,"")</f>
        <v>0</v>
      </c>
      <c r="CC79" s="41">
        <f ca="1">IFERROR(SUMIFS('TRA balance'!AD$5:AD$40,'TRA balance'!$C$5:$C$40,Assumptions!$C79,'TRA balance'!$D$5:$D$40,Assumptions!$B79)*DX79*AG79,"")</f>
        <v>0</v>
      </c>
      <c r="CD79" s="41">
        <f ca="1">IFERROR(SUMIFS('TRA balance'!AE$5:AE$40,'TRA balance'!$C$5:$C$40,Assumptions!$C79,'TRA balance'!$D$5:$D$40,Assumptions!$B79)*DY79*AH79,"")</f>
        <v>0</v>
      </c>
      <c r="CE79" s="41">
        <f ca="1">IFERROR(SUMIFS('TRA balance'!AF$5:AF$40,'TRA balance'!$C$5:$C$40,Assumptions!$C79,'TRA balance'!$D$5:$D$40,Assumptions!$B79)*DZ79*AI79,"")</f>
        <v>0</v>
      </c>
      <c r="CF79" s="41">
        <f ca="1">IFERROR(SUMIFS('TRA balance'!AG$5:AG$40,'TRA balance'!$C$5:$C$40,Assumptions!$C79,'TRA balance'!$D$5:$D$40,Assumptions!$B79)*EA79*AJ79,"")</f>
        <v>0</v>
      </c>
      <c r="CG79" s="41">
        <f ca="1">IFERROR(SUMIFS('TRA balance'!AH$5:AH$40,'TRA balance'!$C$5:$C$40,Assumptions!$C79,'TRA balance'!$D$5:$D$40,Assumptions!$B79)*EB79*AK79,"")</f>
        <v>0</v>
      </c>
      <c r="CH79" s="41">
        <f ca="1">IFERROR(SUMIFS('TRA balance'!AI$5:AI$40,'TRA balance'!$C$5:$C$40,Assumptions!$C79,'TRA balance'!$D$5:$D$40,Assumptions!$B79)*EC79*AL79,"")</f>
        <v>0</v>
      </c>
      <c r="CI79" s="41">
        <f ca="1">IFERROR(SUMIFS('TRA balance'!AJ$5:AJ$40,'TRA balance'!$C$5:$C$40,Assumptions!$C79,'TRA balance'!$D$5:$D$40,Assumptions!$B79)*ED79*AM79,"")</f>
        <v>0</v>
      </c>
      <c r="CJ79" s="41">
        <f ca="1">IFERROR(SUMIFS('TRA balance'!AK$5:AK$40,'TRA balance'!$C$5:$C$40,Assumptions!$C79,'TRA balance'!$D$5:$D$40,Assumptions!$B79)*EE79*AN79,"")</f>
        <v>0</v>
      </c>
      <c r="CK79" s="41">
        <f ca="1">IFERROR(SUMIFS('TRA balance'!AL$5:AL$40,'TRA balance'!$C$5:$C$40,Assumptions!$C79,'TRA balance'!$D$5:$D$40,Assumptions!$B79)*EF79*AO79,"")</f>
        <v>0</v>
      </c>
      <c r="CL79" s="41">
        <f ca="1">IFERROR(SUMIFS('TRA balance'!AM$5:AM$40,'TRA balance'!$C$5:$C$40,Assumptions!$C79,'TRA balance'!$D$5:$D$40,Assumptions!$B79)*EG79*AP79,"")</f>
        <v>0</v>
      </c>
      <c r="CM79" s="41">
        <f ca="1">IFERROR(SUMIFS('TRA balance'!AN$5:AN$40,'TRA balance'!$C$5:$C$40,Assumptions!$C79,'TRA balance'!$D$5:$D$40,Assumptions!$B79)*EH79*AQ79,"")</f>
        <v>0</v>
      </c>
      <c r="CN79" s="41">
        <f ca="1">IFERROR(SUMIFS('TRA balance'!AO$5:AO$40,'TRA balance'!$C$5:$C$40,Assumptions!$C79,'TRA balance'!$D$5:$D$40,Assumptions!$B79)*EI79*AR79,"")</f>
        <v>0</v>
      </c>
      <c r="CO79" s="41">
        <f ca="1">IFERROR(SUMIFS('TRA balance'!AP$5:AP$40,'TRA balance'!$C$5:$C$40,Assumptions!$C79,'TRA balance'!$D$5:$D$40,Assumptions!$B79)*EJ79*AS79,"")</f>
        <v>0</v>
      </c>
      <c r="CP79" s="41">
        <f ca="1">IFERROR(SUMIFS('TRA balance'!AQ$5:AQ$40,'TRA balance'!$C$5:$C$40,Assumptions!$C79,'TRA balance'!$D$5:$D$40,Assumptions!$B79)*EK79*AT79,"")</f>
        <v>0</v>
      </c>
      <c r="CQ79" s="41">
        <f ca="1">IFERROR(SUMIFS('TRA balance'!AR$5:AR$40,'TRA balance'!$C$5:$C$40,Assumptions!$C79,'TRA balance'!$D$5:$D$40,Assumptions!$B79)*EL79*AU79,"")</f>
        <v>0</v>
      </c>
      <c r="CR79" s="41">
        <f ca="1">IFERROR(SUMIFS('TRA balance'!AS$5:AS$40,'TRA balance'!$C$5:$C$40,Assumptions!$C79,'TRA balance'!$D$5:$D$40,Assumptions!$B79)*EM79*AV79,"")</f>
        <v>0</v>
      </c>
      <c r="CS79" s="41">
        <f ca="1">IFERROR(SUMIFS('TRA balance'!AT$5:AT$40,'TRA balance'!$C$5:$C$40,Assumptions!$C79,'TRA balance'!$D$5:$D$40,Assumptions!$B79)*EN79*AW79,"")</f>
        <v>0</v>
      </c>
      <c r="CT79" s="41">
        <f ca="1">IFERROR(SUMIFS('TRA balance'!AU$5:AU$40,'TRA balance'!$C$5:$C$40,Assumptions!$C79,'TRA balance'!$D$5:$D$40,Assumptions!$B79)*EO79*AX79,"")</f>
        <v>0</v>
      </c>
      <c r="CU79" s="41">
        <f ca="1">IFERROR(SUMIFS('TRA balance'!AV$5:AV$40,'TRA balance'!$C$5:$C$40,Assumptions!$C79,'TRA balance'!$D$5:$D$40,Assumptions!$B79)*EP79*AY79,"")</f>
        <v>0</v>
      </c>
      <c r="CV79" s="41">
        <f ca="1">IFERROR(SUMIFS('TRA balance'!AW$5:AW$40,'TRA balance'!$C$5:$C$40,Assumptions!$C79,'TRA balance'!$D$5:$D$40,Assumptions!$B79)*EQ79*AZ79,"")</f>
        <v>0</v>
      </c>
      <c r="CW79" s="41">
        <f ca="1">IFERROR(SUMIFS('TRA balance'!AX$5:AX$40,'TRA balance'!$C$5:$C$40,Assumptions!$C79,'TRA balance'!$D$5:$D$40,Assumptions!$B79)*ER79*BA79,"")</f>
        <v>0</v>
      </c>
      <c r="CY79" s="40">
        <f ca="1" t="shared" si="86"/>
        <v>0</v>
      </c>
      <c r="CZ79" s="40">
        <f ca="1" t="shared" si="87"/>
        <v>0</v>
      </c>
      <c r="DA79" s="40">
        <f ca="1" t="shared" si="88"/>
        <v>0</v>
      </c>
      <c r="DB79" s="40">
        <f ca="1" t="shared" si="89"/>
        <v>0</v>
      </c>
      <c r="DC79" s="40">
        <f ca="1" t="shared" si="90"/>
        <v>0</v>
      </c>
      <c r="DD79" s="40">
        <f ca="1" t="shared" si="91"/>
        <v>0</v>
      </c>
      <c r="DE79" s="40">
        <f ca="1" t="shared" si="92"/>
        <v>0</v>
      </c>
      <c r="DF79" s="40">
        <f ca="1" t="shared" si="93"/>
        <v>0</v>
      </c>
      <c r="DG79" s="40">
        <f ca="1" t="shared" si="94"/>
        <v>0</v>
      </c>
      <c r="DH79" s="40">
        <f ca="1" t="shared" si="95"/>
        <v>0</v>
      </c>
      <c r="DI79" s="40">
        <f ca="1" t="shared" si="96"/>
        <v>0</v>
      </c>
      <c r="DJ79" s="40">
        <f ca="1" t="shared" si="97"/>
        <v>0</v>
      </c>
      <c r="DK79" s="40">
        <f ca="1" t="shared" si="98"/>
        <v>0</v>
      </c>
      <c r="DL79" s="40">
        <f ca="1" t="shared" si="99"/>
        <v>0</v>
      </c>
      <c r="DM79" s="40">
        <f ca="1" t="shared" si="100"/>
        <v>0</v>
      </c>
      <c r="DN79" s="40">
        <f ca="1" t="shared" si="101"/>
        <v>0</v>
      </c>
      <c r="DO79" s="40">
        <f ca="1" t="shared" si="102"/>
        <v>0</v>
      </c>
      <c r="DP79" s="40">
        <f ca="1" t="shared" si="103"/>
        <v>0</v>
      </c>
      <c r="DQ79" s="40">
        <f ca="1" t="shared" si="104"/>
        <v>0</v>
      </c>
      <c r="DR79" s="40">
        <f ca="1" t="shared" si="105"/>
        <v>0</v>
      </c>
      <c r="DS79" s="40">
        <f ca="1" t="shared" si="106"/>
        <v>0</v>
      </c>
      <c r="DT79" s="40">
        <f ca="1" t="shared" si="107"/>
        <v>0</v>
      </c>
      <c r="DU79" s="40">
        <f ca="1" t="shared" si="108"/>
        <v>0</v>
      </c>
      <c r="DV79" s="40">
        <f ca="1" t="shared" si="109"/>
        <v>0</v>
      </c>
      <c r="DW79" s="40">
        <f ca="1" t="shared" si="110"/>
        <v>0</v>
      </c>
      <c r="DX79" s="40">
        <f ca="1" t="shared" si="111"/>
        <v>0</v>
      </c>
      <c r="DY79" s="40">
        <f ca="1" t="shared" si="112"/>
        <v>0</v>
      </c>
      <c r="DZ79" s="40">
        <f ca="1" t="shared" si="113"/>
        <v>0</v>
      </c>
      <c r="EA79" s="40">
        <f ca="1" t="shared" si="114"/>
        <v>0</v>
      </c>
      <c r="EB79" s="40">
        <f ca="1" t="shared" si="115"/>
        <v>0</v>
      </c>
      <c r="EC79" s="40">
        <f ca="1" t="shared" si="116"/>
        <v>0</v>
      </c>
      <c r="ED79" s="40">
        <f ca="1" t="shared" si="117"/>
        <v>0</v>
      </c>
      <c r="EE79" s="40">
        <f ca="1" t="shared" si="118"/>
        <v>0</v>
      </c>
      <c r="EF79" s="40">
        <f ca="1" t="shared" si="119"/>
        <v>0</v>
      </c>
      <c r="EG79" s="40">
        <f ca="1" t="shared" si="120"/>
        <v>0</v>
      </c>
      <c r="EH79" s="40">
        <f ca="1" t="shared" si="121"/>
        <v>0</v>
      </c>
      <c r="EI79" s="40">
        <f ca="1" t="shared" si="122"/>
        <v>0</v>
      </c>
      <c r="EJ79" s="40">
        <f ca="1" t="shared" si="123"/>
        <v>0</v>
      </c>
      <c r="EK79" s="40">
        <f ca="1" t="shared" si="124"/>
        <v>0</v>
      </c>
      <c r="EL79" s="40">
        <f ca="1" t="shared" si="125"/>
        <v>0</v>
      </c>
      <c r="EM79" s="40">
        <f ca="1" t="shared" si="126"/>
        <v>0</v>
      </c>
      <c r="EN79" s="40">
        <f ca="1" t="shared" si="127"/>
        <v>0</v>
      </c>
      <c r="EO79" s="40">
        <f ca="1" t="shared" si="128"/>
        <v>0</v>
      </c>
      <c r="EP79" s="40">
        <f ca="1" t="shared" si="129"/>
        <v>0</v>
      </c>
      <c r="EQ79" s="40">
        <f ca="1" t="shared" si="130"/>
        <v>0</v>
      </c>
      <c r="ER79" s="40">
        <f ca="1" t="shared" si="131"/>
        <v>0</v>
      </c>
    </row>
    <row r="80" spans="1:148">
      <c r="A80">
        <v>1</v>
      </c>
      <c r="B80" t="str">
        <f>VLOOKUP(F80,'TRA balance'!$BA$5:$BB$14,2,FALSE)</f>
        <v>TRABGS</v>
      </c>
      <c r="C80" s="56" t="str">
        <f t="shared" si="133"/>
        <v>TR</v>
      </c>
      <c r="D80" s="57" t="s">
        <v>200</v>
      </c>
      <c r="E80" s="68" t="s">
        <v>206</v>
      </c>
      <c r="F80" s="58" t="str">
        <f t="shared" si="138"/>
        <v>Bio Gasoline</v>
      </c>
      <c r="G80" s="56" t="s">
        <v>207</v>
      </c>
      <c r="H80" s="59">
        <f ca="1">OFFSET(TIAM15_assumptions!$G80,0,MATCH(VLOOKUP(Assumptions!H$2,TIAM15_assumptions!$Y$3:$Z$87,2,FALSE),TIAM15_assumptions!$H$2:$V$2,0))</f>
        <v>0</v>
      </c>
      <c r="I80" s="59">
        <f ca="1">OFFSET(TIAM15_assumptions!$G80,0,MATCH(VLOOKUP(Assumptions!I$2,TIAM15_assumptions!$Y$3:$Z$87,2,FALSE),TIAM15_assumptions!$H$2:$V$2,0))</f>
        <v>0</v>
      </c>
      <c r="J80" s="59">
        <f ca="1">OFFSET(TIAM15_assumptions!$G80,0,MATCH(VLOOKUP(Assumptions!J$2,TIAM15_assumptions!$Y$3:$Z$87,2,FALSE),TIAM15_assumptions!$H$2:$V$2,0))</f>
        <v>0</v>
      </c>
      <c r="K80" s="59">
        <f ca="1">OFFSET(TIAM15_assumptions!$G80,0,MATCH(VLOOKUP(Assumptions!K$2,TIAM15_assumptions!$Y$3:$Z$87,2,FALSE),TIAM15_assumptions!$H$2:$V$2,0))</f>
        <v>0</v>
      </c>
      <c r="L80" s="59">
        <f ca="1">OFFSET(TIAM15_assumptions!$G80,0,MATCH(VLOOKUP(Assumptions!L$2,TIAM15_assumptions!$Y$3:$Z$87,2,FALSE),TIAM15_assumptions!$H$2:$V$2,0))</f>
        <v>0</v>
      </c>
      <c r="M80" s="59">
        <f ca="1">OFFSET(TIAM15_assumptions!$G80,0,MATCH(VLOOKUP(Assumptions!M$2,TIAM15_assumptions!$Y$3:$Z$87,2,FALSE),TIAM15_assumptions!$H$2:$V$2,0))</f>
        <v>0</v>
      </c>
      <c r="N80" s="59">
        <f ca="1">OFFSET(TIAM15_assumptions!$G80,0,MATCH(VLOOKUP(Assumptions!N$2,TIAM15_assumptions!$Y$3:$Z$87,2,FALSE),TIAM15_assumptions!$H$2:$V$2,0))</f>
        <v>0</v>
      </c>
      <c r="O80" s="59">
        <f ca="1">OFFSET(TIAM15_assumptions!$G80,0,MATCH(VLOOKUP(Assumptions!O$2,TIAM15_assumptions!$Y$3:$Z$87,2,FALSE),TIAM15_assumptions!$H$2:$V$2,0))</f>
        <v>0</v>
      </c>
      <c r="P80" s="59">
        <f ca="1">OFFSET(TIAM15_assumptions!$G80,0,MATCH(VLOOKUP(Assumptions!P$2,TIAM15_assumptions!$Y$3:$Z$87,2,FALSE),TIAM15_assumptions!$H$2:$V$2,0))</f>
        <v>0</v>
      </c>
      <c r="Q80" s="59">
        <f ca="1">OFFSET(TIAM15_assumptions!$G80,0,MATCH(VLOOKUP(Assumptions!Q$2,TIAM15_assumptions!$Y$3:$Z$87,2,FALSE),TIAM15_assumptions!$H$2:$V$2,0))</f>
        <v>0</v>
      </c>
      <c r="R80" s="59">
        <f ca="1">OFFSET(TIAM15_assumptions!$G80,0,MATCH(VLOOKUP(Assumptions!R$2,TIAM15_assumptions!$Y$3:$Z$87,2,FALSE),TIAM15_assumptions!$H$2:$V$2,0))</f>
        <v>0</v>
      </c>
      <c r="S80" s="59">
        <f ca="1">OFFSET(TIAM15_assumptions!$G80,0,MATCH(VLOOKUP(Assumptions!S$2,TIAM15_assumptions!$Y$3:$Z$87,2,FALSE),TIAM15_assumptions!$H$2:$V$2,0))</f>
        <v>0</v>
      </c>
      <c r="T80" s="59">
        <f ca="1">OFFSET(TIAM15_assumptions!$G80,0,MATCH(VLOOKUP(Assumptions!T$2,TIAM15_assumptions!$Y$3:$Z$87,2,FALSE),TIAM15_assumptions!$H$2:$V$2,0))</f>
        <v>0</v>
      </c>
      <c r="U80" s="59">
        <f ca="1">OFFSET(TIAM15_assumptions!$G80,0,MATCH(VLOOKUP(Assumptions!U$2,TIAM15_assumptions!$Y$3:$Z$87,2,FALSE),TIAM15_assumptions!$H$2:$V$2,0))</f>
        <v>0</v>
      </c>
      <c r="V80" s="59">
        <f ca="1">OFFSET(TIAM15_assumptions!$G80,0,MATCH(VLOOKUP(Assumptions!V$2,TIAM15_assumptions!$Y$3:$Z$87,2,FALSE),TIAM15_assumptions!$H$2:$V$2,0))</f>
        <v>0</v>
      </c>
      <c r="W80" s="59">
        <f ca="1">OFFSET(TIAM15_assumptions!$G80,0,MATCH(VLOOKUP(Assumptions!W$2,TIAM15_assumptions!$Y$3:$Z$87,2,FALSE),TIAM15_assumptions!$H$2:$V$2,0))</f>
        <v>0</v>
      </c>
      <c r="X80" s="59">
        <f ca="1">OFFSET(TIAM15_assumptions!$G80,0,MATCH(VLOOKUP(Assumptions!X$2,TIAM15_assumptions!$Y$3:$Z$87,2,FALSE),TIAM15_assumptions!$H$2:$V$2,0))</f>
        <v>0</v>
      </c>
      <c r="Y80" s="59">
        <f ca="1">OFFSET(TIAM15_assumptions!$G80,0,MATCH(VLOOKUP(Assumptions!Y$2,TIAM15_assumptions!$Y$3:$Z$87,2,FALSE),TIAM15_assumptions!$H$2:$V$2,0))</f>
        <v>0</v>
      </c>
      <c r="Z80" s="59">
        <f ca="1">OFFSET(TIAM15_assumptions!$G80,0,MATCH(VLOOKUP(Assumptions!Z$2,TIAM15_assumptions!$Y$3:$Z$87,2,FALSE),TIAM15_assumptions!$H$2:$V$2,0))</f>
        <v>0</v>
      </c>
      <c r="AA80" s="59">
        <f ca="1">OFFSET(TIAM15_assumptions!$G80,0,MATCH(VLOOKUP(Assumptions!AA$2,TIAM15_assumptions!$Y$3:$Z$87,2,FALSE),TIAM15_assumptions!$H$2:$V$2,0))</f>
        <v>0</v>
      </c>
      <c r="AB80" s="59">
        <f ca="1">OFFSET(TIAM15_assumptions!$G80,0,MATCH(VLOOKUP(Assumptions!AB$2,TIAM15_assumptions!$Y$3:$Z$87,2,FALSE),TIAM15_assumptions!$H$2:$V$2,0))</f>
        <v>0</v>
      </c>
      <c r="AC80" s="59">
        <f ca="1">OFFSET(TIAM15_assumptions!$G80,0,MATCH(VLOOKUP(Assumptions!AC$2,TIAM15_assumptions!$Y$3:$Z$87,2,FALSE),TIAM15_assumptions!$H$2:$V$2,0))</f>
        <v>0</v>
      </c>
      <c r="AD80" s="59">
        <f ca="1">OFFSET(TIAM15_assumptions!$G80,0,MATCH(VLOOKUP(Assumptions!AD$2,TIAM15_assumptions!$Y$3:$Z$87,2,FALSE),TIAM15_assumptions!$H$2:$V$2,0))</f>
        <v>0</v>
      </c>
      <c r="AE80" s="59">
        <f ca="1">OFFSET(TIAM15_assumptions!$G80,0,MATCH(VLOOKUP(Assumptions!AE$2,TIAM15_assumptions!$Y$3:$Z$87,2,FALSE),TIAM15_assumptions!$H$2:$V$2,0))</f>
        <v>0</v>
      </c>
      <c r="AF80" s="59">
        <f ca="1">OFFSET(TIAM15_assumptions!$G80,0,MATCH(VLOOKUP(Assumptions!AF$2,TIAM15_assumptions!$Y$3:$Z$87,2,FALSE),TIAM15_assumptions!$H$2:$V$2,0))</f>
        <v>0</v>
      </c>
      <c r="AG80" s="59">
        <f ca="1">OFFSET(TIAM15_assumptions!$G80,0,MATCH(VLOOKUP(Assumptions!AG$2,TIAM15_assumptions!$Y$3:$Z$87,2,FALSE),TIAM15_assumptions!$H$2:$V$2,0))</f>
        <v>0</v>
      </c>
      <c r="AH80" s="59">
        <f ca="1">OFFSET(TIAM15_assumptions!$G80,0,MATCH(VLOOKUP(Assumptions!AH$2,TIAM15_assumptions!$Y$3:$Z$87,2,FALSE),TIAM15_assumptions!$H$2:$V$2,0))</f>
        <v>0</v>
      </c>
      <c r="AI80" s="59">
        <f ca="1">OFFSET(TIAM15_assumptions!$G80,0,MATCH(VLOOKUP(Assumptions!AI$2,TIAM15_assumptions!$Y$3:$Z$87,2,FALSE),TIAM15_assumptions!$H$2:$V$2,0))</f>
        <v>0</v>
      </c>
      <c r="AJ80" s="59">
        <f ca="1">OFFSET(TIAM15_assumptions!$G80,0,MATCH(VLOOKUP(Assumptions!AJ$2,TIAM15_assumptions!$Y$3:$Z$87,2,FALSE),TIAM15_assumptions!$H$2:$V$2,0))</f>
        <v>0</v>
      </c>
      <c r="AK80" s="59">
        <f ca="1">OFFSET(TIAM15_assumptions!$G80,0,MATCH(VLOOKUP(Assumptions!AK$2,TIAM15_assumptions!$Y$3:$Z$87,2,FALSE),TIAM15_assumptions!$H$2:$V$2,0))</f>
        <v>0</v>
      </c>
      <c r="AL80" s="59">
        <f ca="1">OFFSET(TIAM15_assumptions!$G80,0,MATCH(VLOOKUP(Assumptions!AL$2,TIAM15_assumptions!$Y$3:$Z$87,2,FALSE),TIAM15_assumptions!$H$2:$V$2,0))</f>
        <v>0</v>
      </c>
      <c r="AM80" s="59">
        <f ca="1">OFFSET(TIAM15_assumptions!$G80,0,MATCH(VLOOKUP(Assumptions!AM$2,TIAM15_assumptions!$Y$3:$Z$87,2,FALSE),TIAM15_assumptions!$H$2:$V$2,0))</f>
        <v>0</v>
      </c>
      <c r="AN80" s="59">
        <f ca="1">OFFSET(TIAM15_assumptions!$G80,0,MATCH(VLOOKUP(Assumptions!AN$2,TIAM15_assumptions!$Y$3:$Z$87,2,FALSE),TIAM15_assumptions!$H$2:$V$2,0))</f>
        <v>0</v>
      </c>
      <c r="AO80" s="59">
        <f ca="1">OFFSET(TIAM15_assumptions!$G80,0,MATCH(VLOOKUP(Assumptions!AO$2,TIAM15_assumptions!$Y$3:$Z$87,2,FALSE),TIAM15_assumptions!$H$2:$V$2,0))</f>
        <v>0</v>
      </c>
      <c r="AP80" s="59">
        <f ca="1">OFFSET(TIAM15_assumptions!$G80,0,MATCH(VLOOKUP(Assumptions!AP$2,TIAM15_assumptions!$Y$3:$Z$87,2,FALSE),TIAM15_assumptions!$H$2:$V$2,0))</f>
        <v>0</v>
      </c>
      <c r="AQ80" s="59">
        <f ca="1">OFFSET(TIAM15_assumptions!$G80,0,MATCH(VLOOKUP(Assumptions!AQ$2,TIAM15_assumptions!$Y$3:$Z$87,2,FALSE),TIAM15_assumptions!$H$2:$V$2,0))</f>
        <v>0</v>
      </c>
      <c r="AR80" s="59">
        <f ca="1">OFFSET(TIAM15_assumptions!$G80,0,MATCH(VLOOKUP(Assumptions!AR$2,TIAM15_assumptions!$Y$3:$Z$87,2,FALSE),TIAM15_assumptions!$H$2:$V$2,0))</f>
        <v>0</v>
      </c>
      <c r="AS80" s="59">
        <f ca="1">OFFSET(TIAM15_assumptions!$G80,0,MATCH(VLOOKUP(Assumptions!AS$2,TIAM15_assumptions!$Y$3:$Z$87,2,FALSE),TIAM15_assumptions!$H$2:$V$2,0))</f>
        <v>0</v>
      </c>
      <c r="AT80" s="59">
        <f ca="1">OFFSET(TIAM15_assumptions!$G80,0,MATCH(VLOOKUP(Assumptions!AT$2,TIAM15_assumptions!$Y$3:$Z$87,2,FALSE),TIAM15_assumptions!$H$2:$V$2,0))</f>
        <v>0</v>
      </c>
      <c r="AU80" s="59">
        <f ca="1">OFFSET(TIAM15_assumptions!$G80,0,MATCH(VLOOKUP(Assumptions!AU$2,TIAM15_assumptions!$Y$3:$Z$87,2,FALSE),TIAM15_assumptions!$H$2:$V$2,0))</f>
        <v>0</v>
      </c>
      <c r="AV80" s="59">
        <f ca="1">OFFSET(TIAM15_assumptions!$G80,0,MATCH(VLOOKUP(Assumptions!AV$2,TIAM15_assumptions!$Y$3:$Z$87,2,FALSE),TIAM15_assumptions!$H$2:$V$2,0))</f>
        <v>0</v>
      </c>
      <c r="AW80" s="59">
        <f ca="1">OFFSET(TIAM15_assumptions!$G80,0,MATCH(VLOOKUP(Assumptions!AW$2,TIAM15_assumptions!$Y$3:$Z$87,2,FALSE),TIAM15_assumptions!$H$2:$V$2,0))</f>
        <v>0</v>
      </c>
      <c r="AX80" s="59">
        <f ca="1">OFFSET(TIAM15_assumptions!$G80,0,MATCH(VLOOKUP(Assumptions!AX$2,TIAM15_assumptions!$Y$3:$Z$87,2,FALSE),TIAM15_assumptions!$H$2:$V$2,0))</f>
        <v>0</v>
      </c>
      <c r="AY80" s="59">
        <f ca="1">OFFSET(TIAM15_assumptions!$G80,0,MATCH(VLOOKUP(Assumptions!AY$2,TIAM15_assumptions!$Y$3:$Z$87,2,FALSE),TIAM15_assumptions!$H$2:$V$2,0))</f>
        <v>0</v>
      </c>
      <c r="AZ80" s="59">
        <f ca="1">OFFSET(TIAM15_assumptions!$G80,0,MATCH(VLOOKUP(Assumptions!AZ$2,TIAM15_assumptions!$Y$3:$Z$87,2,FALSE),TIAM15_assumptions!$H$2:$V$2,0))</f>
        <v>0</v>
      </c>
      <c r="BA80" s="59">
        <f ca="1">OFFSET(TIAM15_assumptions!$G80,0,MATCH(VLOOKUP(Assumptions!BA$2,TIAM15_assumptions!$Y$3:$Z$87,2,FALSE),TIAM15_assumptions!$H$2:$V$2,0))</f>
        <v>0</v>
      </c>
      <c r="BD80" s="41">
        <f ca="1">IFERROR(SUMIFS('TRA balance'!E$5:E$40,'TRA balance'!$C$5:$C$40,Assumptions!$C80,'TRA balance'!$D$5:$D$40,Assumptions!$B80)*CY80*H80,"")</f>
        <v>0</v>
      </c>
      <c r="BE80" s="41">
        <f ca="1">IFERROR(SUMIFS('TRA balance'!F$5:F$40,'TRA balance'!$C$5:$C$40,Assumptions!$C80,'TRA balance'!$D$5:$D$40,Assumptions!$B80)*CZ80*I80,"")</f>
        <v>0</v>
      </c>
      <c r="BF80" s="41">
        <f ca="1">IFERROR(SUMIFS('TRA balance'!G$5:G$40,'TRA balance'!$C$5:$C$40,Assumptions!$C80,'TRA balance'!$D$5:$D$40,Assumptions!$B80)*DA80*J80,"")</f>
        <v>0</v>
      </c>
      <c r="BG80" s="41">
        <f ca="1">IFERROR(SUMIFS('TRA balance'!H$5:H$40,'TRA balance'!$C$5:$C$40,Assumptions!$C80,'TRA balance'!$D$5:$D$40,Assumptions!$B80)*DB80*K80,"")</f>
        <v>0</v>
      </c>
      <c r="BH80" s="41">
        <f ca="1">IFERROR(SUMIFS('TRA balance'!I$5:I$40,'TRA balance'!$C$5:$C$40,Assumptions!$C80,'TRA balance'!$D$5:$D$40,Assumptions!$B80)*DC80*L80,"")</f>
        <v>0</v>
      </c>
      <c r="BI80" s="41">
        <f ca="1">IFERROR(SUMIFS('TRA balance'!J$5:J$40,'TRA balance'!$C$5:$C$40,Assumptions!$C80,'TRA balance'!$D$5:$D$40,Assumptions!$B80)*DD80*M80,"")</f>
        <v>0</v>
      </c>
      <c r="BJ80" s="41">
        <f ca="1">IFERROR(SUMIFS('TRA balance'!K$5:K$40,'TRA balance'!$C$5:$C$40,Assumptions!$C80,'TRA balance'!$D$5:$D$40,Assumptions!$B80)*DE80*N80,"")</f>
        <v>0</v>
      </c>
      <c r="BK80" s="41">
        <f ca="1">IFERROR(SUMIFS('TRA balance'!L$5:L$40,'TRA balance'!$C$5:$C$40,Assumptions!$C80,'TRA balance'!$D$5:$D$40,Assumptions!$B80)*DF80*O80,"")</f>
        <v>0</v>
      </c>
      <c r="BL80" s="41">
        <f ca="1">IFERROR(SUMIFS('TRA balance'!M$5:M$40,'TRA balance'!$C$5:$C$40,Assumptions!$C80,'TRA balance'!$D$5:$D$40,Assumptions!$B80)*DG80*P80,"")</f>
        <v>0</v>
      </c>
      <c r="BM80" s="41">
        <f ca="1">IFERROR(SUMIFS('TRA balance'!N$5:N$40,'TRA balance'!$C$5:$C$40,Assumptions!$C80,'TRA balance'!$D$5:$D$40,Assumptions!$B80)*DH80*Q80,"")</f>
        <v>0</v>
      </c>
      <c r="BN80" s="41">
        <f ca="1">IFERROR(SUMIFS('TRA balance'!O$5:O$40,'TRA balance'!$C$5:$C$40,Assumptions!$C80,'TRA balance'!$D$5:$D$40,Assumptions!$B80)*DI80*R80,"")</f>
        <v>0</v>
      </c>
      <c r="BO80" s="41">
        <f ca="1">IFERROR(SUMIFS('TRA balance'!P$5:P$40,'TRA balance'!$C$5:$C$40,Assumptions!$C80,'TRA balance'!$D$5:$D$40,Assumptions!$B80)*DJ80*S80,"")</f>
        <v>0</v>
      </c>
      <c r="BP80" s="41">
        <f ca="1">IFERROR(SUMIFS('TRA balance'!Q$5:Q$40,'TRA balance'!$C$5:$C$40,Assumptions!$C80,'TRA balance'!$D$5:$D$40,Assumptions!$B80)*DK80*T80,"")</f>
        <v>0</v>
      </c>
      <c r="BQ80" s="41">
        <f ca="1">IFERROR(SUMIFS('TRA balance'!R$5:R$40,'TRA balance'!$C$5:$C$40,Assumptions!$C80,'TRA balance'!$D$5:$D$40,Assumptions!$B80)*DL80*U80,"")</f>
        <v>0</v>
      </c>
      <c r="BR80" s="41">
        <f ca="1">IFERROR(SUMIFS('TRA balance'!S$5:S$40,'TRA balance'!$C$5:$C$40,Assumptions!$C80,'TRA balance'!$D$5:$D$40,Assumptions!$B80)*DM80*V80,"")</f>
        <v>0</v>
      </c>
      <c r="BS80" s="41">
        <f ca="1">IFERROR(SUMIFS('TRA balance'!T$5:T$40,'TRA balance'!$C$5:$C$40,Assumptions!$C80,'TRA balance'!$D$5:$D$40,Assumptions!$B80)*DN80*W80,"")</f>
        <v>0</v>
      </c>
      <c r="BT80" s="41">
        <f ca="1">IFERROR(SUMIFS('TRA balance'!U$5:U$40,'TRA balance'!$C$5:$C$40,Assumptions!$C80,'TRA balance'!$D$5:$D$40,Assumptions!$B80)*DO80*X80,"")</f>
        <v>0</v>
      </c>
      <c r="BU80" s="41">
        <f ca="1">IFERROR(SUMIFS('TRA balance'!V$5:V$40,'TRA balance'!$C$5:$C$40,Assumptions!$C80,'TRA balance'!$D$5:$D$40,Assumptions!$B80)*DP80*Y80,"")</f>
        <v>0</v>
      </c>
      <c r="BV80" s="41">
        <f ca="1">IFERROR(SUMIFS('TRA balance'!W$5:W$40,'TRA balance'!$C$5:$C$40,Assumptions!$C80,'TRA balance'!$D$5:$D$40,Assumptions!$B80)*DQ80*Z80,"")</f>
        <v>0</v>
      </c>
      <c r="BW80" s="41">
        <f ca="1">IFERROR(SUMIFS('TRA balance'!X$5:X$40,'TRA balance'!$C$5:$C$40,Assumptions!$C80,'TRA balance'!$D$5:$D$40,Assumptions!$B80)*DR80*AA80,"")</f>
        <v>0</v>
      </c>
      <c r="BX80" s="41">
        <f ca="1">IFERROR(SUMIFS('TRA balance'!Y$5:Y$40,'TRA balance'!$C$5:$C$40,Assumptions!$C80,'TRA balance'!$D$5:$D$40,Assumptions!$B80)*DS80*AB80,"")</f>
        <v>0</v>
      </c>
      <c r="BY80" s="41">
        <f ca="1">IFERROR(SUMIFS('TRA balance'!Z$5:Z$40,'TRA balance'!$C$5:$C$40,Assumptions!$C80,'TRA balance'!$D$5:$D$40,Assumptions!$B80)*DT80*AC80,"")</f>
        <v>0</v>
      </c>
      <c r="BZ80" s="41">
        <f ca="1">IFERROR(SUMIFS('TRA balance'!AA$5:AA$40,'TRA balance'!$C$5:$C$40,Assumptions!$C80,'TRA balance'!$D$5:$D$40,Assumptions!$B80)*DU80*AD80,"")</f>
        <v>0</v>
      </c>
      <c r="CA80" s="41">
        <f ca="1">IFERROR(SUMIFS('TRA balance'!AB$5:AB$40,'TRA balance'!$C$5:$C$40,Assumptions!$C80,'TRA balance'!$D$5:$D$40,Assumptions!$B80)*DV80*AE80,"")</f>
        <v>0</v>
      </c>
      <c r="CB80" s="41">
        <f ca="1">IFERROR(SUMIFS('TRA balance'!AC$5:AC$40,'TRA balance'!$C$5:$C$40,Assumptions!$C80,'TRA balance'!$D$5:$D$40,Assumptions!$B80)*DW80*AF80,"")</f>
        <v>0</v>
      </c>
      <c r="CC80" s="41">
        <f ca="1">IFERROR(SUMIFS('TRA balance'!AD$5:AD$40,'TRA balance'!$C$5:$C$40,Assumptions!$C80,'TRA balance'!$D$5:$D$40,Assumptions!$B80)*DX80*AG80,"")</f>
        <v>0</v>
      </c>
      <c r="CD80" s="41">
        <f ca="1">IFERROR(SUMIFS('TRA balance'!AE$5:AE$40,'TRA balance'!$C$5:$C$40,Assumptions!$C80,'TRA balance'!$D$5:$D$40,Assumptions!$B80)*DY80*AH80,"")</f>
        <v>0</v>
      </c>
      <c r="CE80" s="41">
        <f ca="1">IFERROR(SUMIFS('TRA balance'!AF$5:AF$40,'TRA balance'!$C$5:$C$40,Assumptions!$C80,'TRA balance'!$D$5:$D$40,Assumptions!$B80)*DZ80*AI80,"")</f>
        <v>0</v>
      </c>
      <c r="CF80" s="41">
        <f ca="1">IFERROR(SUMIFS('TRA balance'!AG$5:AG$40,'TRA balance'!$C$5:$C$40,Assumptions!$C80,'TRA balance'!$D$5:$D$40,Assumptions!$B80)*EA80*AJ80,"")</f>
        <v>0</v>
      </c>
      <c r="CG80" s="41">
        <f ca="1">IFERROR(SUMIFS('TRA balance'!AH$5:AH$40,'TRA balance'!$C$5:$C$40,Assumptions!$C80,'TRA balance'!$D$5:$D$40,Assumptions!$B80)*EB80*AK80,"")</f>
        <v>0</v>
      </c>
      <c r="CH80" s="41">
        <f ca="1">IFERROR(SUMIFS('TRA balance'!AI$5:AI$40,'TRA balance'!$C$5:$C$40,Assumptions!$C80,'TRA balance'!$D$5:$D$40,Assumptions!$B80)*EC80*AL80,"")</f>
        <v>0</v>
      </c>
      <c r="CI80" s="41">
        <f ca="1">IFERROR(SUMIFS('TRA balance'!AJ$5:AJ$40,'TRA balance'!$C$5:$C$40,Assumptions!$C80,'TRA balance'!$D$5:$D$40,Assumptions!$B80)*ED80*AM80,"")</f>
        <v>0</v>
      </c>
      <c r="CJ80" s="41">
        <f ca="1">IFERROR(SUMIFS('TRA balance'!AK$5:AK$40,'TRA balance'!$C$5:$C$40,Assumptions!$C80,'TRA balance'!$D$5:$D$40,Assumptions!$B80)*EE80*AN80,"")</f>
        <v>0</v>
      </c>
      <c r="CK80" s="41">
        <f ca="1">IFERROR(SUMIFS('TRA balance'!AL$5:AL$40,'TRA balance'!$C$5:$C$40,Assumptions!$C80,'TRA balance'!$D$5:$D$40,Assumptions!$B80)*EF80*AO80,"")</f>
        <v>0</v>
      </c>
      <c r="CL80" s="41">
        <f ca="1">IFERROR(SUMIFS('TRA balance'!AM$5:AM$40,'TRA balance'!$C$5:$C$40,Assumptions!$C80,'TRA balance'!$D$5:$D$40,Assumptions!$B80)*EG80*AP80,"")</f>
        <v>0</v>
      </c>
      <c r="CM80" s="41">
        <f ca="1">IFERROR(SUMIFS('TRA balance'!AN$5:AN$40,'TRA balance'!$C$5:$C$40,Assumptions!$C80,'TRA balance'!$D$5:$D$40,Assumptions!$B80)*EH80*AQ80,"")</f>
        <v>0</v>
      </c>
      <c r="CN80" s="41">
        <f ca="1">IFERROR(SUMIFS('TRA balance'!AO$5:AO$40,'TRA balance'!$C$5:$C$40,Assumptions!$C80,'TRA balance'!$D$5:$D$40,Assumptions!$B80)*EI80*AR80,"")</f>
        <v>0</v>
      </c>
      <c r="CO80" s="41">
        <f ca="1">IFERROR(SUMIFS('TRA balance'!AP$5:AP$40,'TRA balance'!$C$5:$C$40,Assumptions!$C80,'TRA balance'!$D$5:$D$40,Assumptions!$B80)*EJ80*AS80,"")</f>
        <v>0</v>
      </c>
      <c r="CP80" s="41">
        <f ca="1">IFERROR(SUMIFS('TRA balance'!AQ$5:AQ$40,'TRA balance'!$C$5:$C$40,Assumptions!$C80,'TRA balance'!$D$5:$D$40,Assumptions!$B80)*EK80*AT80,"")</f>
        <v>0</v>
      </c>
      <c r="CQ80" s="41">
        <f ca="1">IFERROR(SUMIFS('TRA balance'!AR$5:AR$40,'TRA balance'!$C$5:$C$40,Assumptions!$C80,'TRA balance'!$D$5:$D$40,Assumptions!$B80)*EL80*AU80,"")</f>
        <v>0</v>
      </c>
      <c r="CR80" s="41">
        <f ca="1">IFERROR(SUMIFS('TRA balance'!AS$5:AS$40,'TRA balance'!$C$5:$C$40,Assumptions!$C80,'TRA balance'!$D$5:$D$40,Assumptions!$B80)*EM80*AV80,"")</f>
        <v>0</v>
      </c>
      <c r="CS80" s="41">
        <f ca="1">IFERROR(SUMIFS('TRA balance'!AT$5:AT$40,'TRA balance'!$C$5:$C$40,Assumptions!$C80,'TRA balance'!$D$5:$D$40,Assumptions!$B80)*EN80*AW80,"")</f>
        <v>0</v>
      </c>
      <c r="CT80" s="41">
        <f ca="1">IFERROR(SUMIFS('TRA balance'!AU$5:AU$40,'TRA balance'!$C$5:$C$40,Assumptions!$C80,'TRA balance'!$D$5:$D$40,Assumptions!$B80)*EO80*AX80,"")</f>
        <v>0</v>
      </c>
      <c r="CU80" s="41">
        <f ca="1">IFERROR(SUMIFS('TRA balance'!AV$5:AV$40,'TRA balance'!$C$5:$C$40,Assumptions!$C80,'TRA balance'!$D$5:$D$40,Assumptions!$B80)*EP80*AY80,"")</f>
        <v>0</v>
      </c>
      <c r="CV80" s="41">
        <f ca="1">IFERROR(SUMIFS('TRA balance'!AW$5:AW$40,'TRA balance'!$C$5:$C$40,Assumptions!$C80,'TRA balance'!$D$5:$D$40,Assumptions!$B80)*EQ80*AZ80,"")</f>
        <v>0</v>
      </c>
      <c r="CW80" s="41">
        <f ca="1">IFERROR(SUMIFS('TRA balance'!AX$5:AX$40,'TRA balance'!$C$5:$C$40,Assumptions!$C80,'TRA balance'!$D$5:$D$40,Assumptions!$B80)*ER80*BA80,"")</f>
        <v>0</v>
      </c>
      <c r="CY80" s="40">
        <f ca="1" t="shared" si="86"/>
        <v>0</v>
      </c>
      <c r="CZ80" s="40">
        <f ca="1" t="shared" si="87"/>
        <v>0</v>
      </c>
      <c r="DA80" s="40">
        <f ca="1" t="shared" si="88"/>
        <v>0</v>
      </c>
      <c r="DB80" s="40">
        <f ca="1" t="shared" si="89"/>
        <v>0</v>
      </c>
      <c r="DC80" s="40">
        <f ca="1" t="shared" si="90"/>
        <v>0</v>
      </c>
      <c r="DD80" s="40">
        <f ca="1" t="shared" si="91"/>
        <v>0</v>
      </c>
      <c r="DE80" s="40">
        <f ca="1" t="shared" si="92"/>
        <v>0</v>
      </c>
      <c r="DF80" s="40">
        <f ca="1" t="shared" si="93"/>
        <v>0</v>
      </c>
      <c r="DG80" s="40">
        <f ca="1" t="shared" si="94"/>
        <v>0</v>
      </c>
      <c r="DH80" s="40">
        <f ca="1" t="shared" si="95"/>
        <v>0</v>
      </c>
      <c r="DI80" s="40">
        <f ca="1" t="shared" si="96"/>
        <v>0</v>
      </c>
      <c r="DJ80" s="40">
        <f ca="1" t="shared" si="97"/>
        <v>0</v>
      </c>
      <c r="DK80" s="40">
        <f ca="1" t="shared" si="98"/>
        <v>0</v>
      </c>
      <c r="DL80" s="40">
        <f ca="1" t="shared" si="99"/>
        <v>0</v>
      </c>
      <c r="DM80" s="40">
        <f ca="1" t="shared" si="100"/>
        <v>0</v>
      </c>
      <c r="DN80" s="40">
        <f ca="1" t="shared" si="101"/>
        <v>0</v>
      </c>
      <c r="DO80" s="40">
        <f ca="1" t="shared" si="102"/>
        <v>0</v>
      </c>
      <c r="DP80" s="40">
        <f ca="1" t="shared" si="103"/>
        <v>0</v>
      </c>
      <c r="DQ80" s="40">
        <f ca="1" t="shared" si="104"/>
        <v>0</v>
      </c>
      <c r="DR80" s="40">
        <f ca="1" t="shared" si="105"/>
        <v>0</v>
      </c>
      <c r="DS80" s="40">
        <f ca="1" t="shared" si="106"/>
        <v>0</v>
      </c>
      <c r="DT80" s="40">
        <f ca="1" t="shared" si="107"/>
        <v>0</v>
      </c>
      <c r="DU80" s="40">
        <f ca="1" t="shared" si="108"/>
        <v>0</v>
      </c>
      <c r="DV80" s="40">
        <f ca="1" t="shared" si="109"/>
        <v>0</v>
      </c>
      <c r="DW80" s="40">
        <f ca="1" t="shared" si="110"/>
        <v>0</v>
      </c>
      <c r="DX80" s="40">
        <f ca="1" t="shared" si="111"/>
        <v>0</v>
      </c>
      <c r="DY80" s="40">
        <f ca="1" t="shared" si="112"/>
        <v>0</v>
      </c>
      <c r="DZ80" s="40">
        <f ca="1" t="shared" si="113"/>
        <v>0</v>
      </c>
      <c r="EA80" s="40">
        <f ca="1" t="shared" si="114"/>
        <v>0</v>
      </c>
      <c r="EB80" s="40">
        <f ca="1" t="shared" si="115"/>
        <v>0</v>
      </c>
      <c r="EC80" s="40">
        <f ca="1" t="shared" si="116"/>
        <v>0</v>
      </c>
      <c r="ED80" s="40">
        <f ca="1" t="shared" si="117"/>
        <v>0</v>
      </c>
      <c r="EE80" s="40">
        <f ca="1" t="shared" si="118"/>
        <v>0</v>
      </c>
      <c r="EF80" s="40">
        <f ca="1" t="shared" si="119"/>
        <v>0</v>
      </c>
      <c r="EG80" s="40">
        <f ca="1" t="shared" si="120"/>
        <v>0</v>
      </c>
      <c r="EH80" s="40">
        <f ca="1" t="shared" si="121"/>
        <v>0</v>
      </c>
      <c r="EI80" s="40">
        <f ca="1" t="shared" si="122"/>
        <v>0</v>
      </c>
      <c r="EJ80" s="40">
        <f ca="1" t="shared" si="123"/>
        <v>0</v>
      </c>
      <c r="EK80" s="40">
        <f ca="1" t="shared" si="124"/>
        <v>0</v>
      </c>
      <c r="EL80" s="40">
        <f ca="1" t="shared" si="125"/>
        <v>0</v>
      </c>
      <c r="EM80" s="40">
        <f ca="1" t="shared" si="126"/>
        <v>0</v>
      </c>
      <c r="EN80" s="40">
        <f ca="1" t="shared" si="127"/>
        <v>0</v>
      </c>
      <c r="EO80" s="40">
        <f ca="1" t="shared" si="128"/>
        <v>0</v>
      </c>
      <c r="EP80" s="40">
        <f ca="1" t="shared" si="129"/>
        <v>0</v>
      </c>
      <c r="EQ80" s="40">
        <f ca="1" t="shared" si="130"/>
        <v>0</v>
      </c>
      <c r="ER80" s="40">
        <f ca="1" t="shared" si="131"/>
        <v>0</v>
      </c>
    </row>
    <row r="81" spans="1:148">
      <c r="A81">
        <v>1</v>
      </c>
      <c r="B81" t="str">
        <f>VLOOKUP(F81,'TRA balance'!$BA$5:$BB$14,2,FALSE)</f>
        <v>TRABGS</v>
      </c>
      <c r="C81" s="56" t="str">
        <f t="shared" si="133"/>
        <v>TR</v>
      </c>
      <c r="D81" s="57" t="s">
        <v>200</v>
      </c>
      <c r="E81" s="68" t="s">
        <v>208</v>
      </c>
      <c r="F81" s="58" t="str">
        <f t="shared" si="138"/>
        <v>Bio Gasoline</v>
      </c>
      <c r="G81" s="56" t="s">
        <v>209</v>
      </c>
      <c r="H81" s="59">
        <f ca="1">OFFSET(TIAM15_assumptions!$G81,0,MATCH(VLOOKUP(Assumptions!H$2,TIAM15_assumptions!$Y$3:$Z$87,2,FALSE),TIAM15_assumptions!$H$2:$V$2,0))</f>
        <v>0</v>
      </c>
      <c r="I81" s="59">
        <f ca="1">OFFSET(TIAM15_assumptions!$G81,0,MATCH(VLOOKUP(Assumptions!I$2,TIAM15_assumptions!$Y$3:$Z$87,2,FALSE),TIAM15_assumptions!$H$2:$V$2,0))</f>
        <v>0</v>
      </c>
      <c r="J81" s="59">
        <f ca="1">OFFSET(TIAM15_assumptions!$G81,0,MATCH(VLOOKUP(Assumptions!J$2,TIAM15_assumptions!$Y$3:$Z$87,2,FALSE),TIAM15_assumptions!$H$2:$V$2,0))</f>
        <v>0</v>
      </c>
      <c r="K81" s="59">
        <f ca="1">OFFSET(TIAM15_assumptions!$G81,0,MATCH(VLOOKUP(Assumptions!K$2,TIAM15_assumptions!$Y$3:$Z$87,2,FALSE),TIAM15_assumptions!$H$2:$V$2,0))</f>
        <v>0</v>
      </c>
      <c r="L81" s="59">
        <f ca="1">OFFSET(TIAM15_assumptions!$G81,0,MATCH(VLOOKUP(Assumptions!L$2,TIAM15_assumptions!$Y$3:$Z$87,2,FALSE),TIAM15_assumptions!$H$2:$V$2,0))</f>
        <v>0</v>
      </c>
      <c r="M81" s="59">
        <f ca="1">OFFSET(TIAM15_assumptions!$G81,0,MATCH(VLOOKUP(Assumptions!M$2,TIAM15_assumptions!$Y$3:$Z$87,2,FALSE),TIAM15_assumptions!$H$2:$V$2,0))</f>
        <v>0</v>
      </c>
      <c r="N81" s="59">
        <f ca="1">OFFSET(TIAM15_assumptions!$G81,0,MATCH(VLOOKUP(Assumptions!N$2,TIAM15_assumptions!$Y$3:$Z$87,2,FALSE),TIAM15_assumptions!$H$2:$V$2,0))</f>
        <v>0</v>
      </c>
      <c r="O81" s="59">
        <f ca="1">OFFSET(TIAM15_assumptions!$G81,0,MATCH(VLOOKUP(Assumptions!O$2,TIAM15_assumptions!$Y$3:$Z$87,2,FALSE),TIAM15_assumptions!$H$2:$V$2,0))</f>
        <v>0</v>
      </c>
      <c r="P81" s="59">
        <f ca="1">OFFSET(TIAM15_assumptions!$G81,0,MATCH(VLOOKUP(Assumptions!P$2,TIAM15_assumptions!$Y$3:$Z$87,2,FALSE),TIAM15_assumptions!$H$2:$V$2,0))</f>
        <v>0</v>
      </c>
      <c r="Q81" s="59">
        <f ca="1">OFFSET(TIAM15_assumptions!$G81,0,MATCH(VLOOKUP(Assumptions!Q$2,TIAM15_assumptions!$Y$3:$Z$87,2,FALSE),TIAM15_assumptions!$H$2:$V$2,0))</f>
        <v>0</v>
      </c>
      <c r="R81" s="59">
        <f ca="1">OFFSET(TIAM15_assumptions!$G81,0,MATCH(VLOOKUP(Assumptions!R$2,TIAM15_assumptions!$Y$3:$Z$87,2,FALSE),TIAM15_assumptions!$H$2:$V$2,0))</f>
        <v>0</v>
      </c>
      <c r="S81" s="59">
        <f ca="1">OFFSET(TIAM15_assumptions!$G81,0,MATCH(VLOOKUP(Assumptions!S$2,TIAM15_assumptions!$Y$3:$Z$87,2,FALSE),TIAM15_assumptions!$H$2:$V$2,0))</f>
        <v>0</v>
      </c>
      <c r="T81" s="59">
        <f ca="1">OFFSET(TIAM15_assumptions!$G81,0,MATCH(VLOOKUP(Assumptions!T$2,TIAM15_assumptions!$Y$3:$Z$87,2,FALSE),TIAM15_assumptions!$H$2:$V$2,0))</f>
        <v>0</v>
      </c>
      <c r="U81" s="59">
        <f ca="1">OFFSET(TIAM15_assumptions!$G81,0,MATCH(VLOOKUP(Assumptions!U$2,TIAM15_assumptions!$Y$3:$Z$87,2,FALSE),TIAM15_assumptions!$H$2:$V$2,0))</f>
        <v>0</v>
      </c>
      <c r="V81" s="59">
        <f ca="1">OFFSET(TIAM15_assumptions!$G81,0,MATCH(VLOOKUP(Assumptions!V$2,TIAM15_assumptions!$Y$3:$Z$87,2,FALSE),TIAM15_assumptions!$H$2:$V$2,0))</f>
        <v>0</v>
      </c>
      <c r="W81" s="59">
        <f ca="1">OFFSET(TIAM15_assumptions!$G81,0,MATCH(VLOOKUP(Assumptions!W$2,TIAM15_assumptions!$Y$3:$Z$87,2,FALSE),TIAM15_assumptions!$H$2:$V$2,0))</f>
        <v>0</v>
      </c>
      <c r="X81" s="59">
        <f ca="1">OFFSET(TIAM15_assumptions!$G81,0,MATCH(VLOOKUP(Assumptions!X$2,TIAM15_assumptions!$Y$3:$Z$87,2,FALSE),TIAM15_assumptions!$H$2:$V$2,0))</f>
        <v>0</v>
      </c>
      <c r="Y81" s="59">
        <f ca="1">OFFSET(TIAM15_assumptions!$G81,0,MATCH(VLOOKUP(Assumptions!Y$2,TIAM15_assumptions!$Y$3:$Z$87,2,FALSE),TIAM15_assumptions!$H$2:$V$2,0))</f>
        <v>0</v>
      </c>
      <c r="Z81" s="59">
        <f ca="1">OFFSET(TIAM15_assumptions!$G81,0,MATCH(VLOOKUP(Assumptions!Z$2,TIAM15_assumptions!$Y$3:$Z$87,2,FALSE),TIAM15_assumptions!$H$2:$V$2,0))</f>
        <v>0</v>
      </c>
      <c r="AA81" s="59">
        <f ca="1">OFFSET(TIAM15_assumptions!$G81,0,MATCH(VLOOKUP(Assumptions!AA$2,TIAM15_assumptions!$Y$3:$Z$87,2,FALSE),TIAM15_assumptions!$H$2:$V$2,0))</f>
        <v>0</v>
      </c>
      <c r="AB81" s="59">
        <f ca="1">OFFSET(TIAM15_assumptions!$G81,0,MATCH(VLOOKUP(Assumptions!AB$2,TIAM15_assumptions!$Y$3:$Z$87,2,FALSE),TIAM15_assumptions!$H$2:$V$2,0))</f>
        <v>0</v>
      </c>
      <c r="AC81" s="59">
        <f ca="1">OFFSET(TIAM15_assumptions!$G81,0,MATCH(VLOOKUP(Assumptions!AC$2,TIAM15_assumptions!$Y$3:$Z$87,2,FALSE),TIAM15_assumptions!$H$2:$V$2,0))</f>
        <v>0</v>
      </c>
      <c r="AD81" s="59">
        <f ca="1">OFFSET(TIAM15_assumptions!$G81,0,MATCH(VLOOKUP(Assumptions!AD$2,TIAM15_assumptions!$Y$3:$Z$87,2,FALSE),TIAM15_assumptions!$H$2:$V$2,0))</f>
        <v>0</v>
      </c>
      <c r="AE81" s="59">
        <f ca="1">OFFSET(TIAM15_assumptions!$G81,0,MATCH(VLOOKUP(Assumptions!AE$2,TIAM15_assumptions!$Y$3:$Z$87,2,FALSE),TIAM15_assumptions!$H$2:$V$2,0))</f>
        <v>0</v>
      </c>
      <c r="AF81" s="59">
        <f ca="1">OFFSET(TIAM15_assumptions!$G81,0,MATCH(VLOOKUP(Assumptions!AF$2,TIAM15_assumptions!$Y$3:$Z$87,2,FALSE),TIAM15_assumptions!$H$2:$V$2,0))</f>
        <v>0</v>
      </c>
      <c r="AG81" s="59">
        <f ca="1">OFFSET(TIAM15_assumptions!$G81,0,MATCH(VLOOKUP(Assumptions!AG$2,TIAM15_assumptions!$Y$3:$Z$87,2,FALSE),TIAM15_assumptions!$H$2:$V$2,0))</f>
        <v>0</v>
      </c>
      <c r="AH81" s="59">
        <f ca="1">OFFSET(TIAM15_assumptions!$G81,0,MATCH(VLOOKUP(Assumptions!AH$2,TIAM15_assumptions!$Y$3:$Z$87,2,FALSE),TIAM15_assumptions!$H$2:$V$2,0))</f>
        <v>0</v>
      </c>
      <c r="AI81" s="59">
        <f ca="1">OFFSET(TIAM15_assumptions!$G81,0,MATCH(VLOOKUP(Assumptions!AI$2,TIAM15_assumptions!$Y$3:$Z$87,2,FALSE),TIAM15_assumptions!$H$2:$V$2,0))</f>
        <v>0</v>
      </c>
      <c r="AJ81" s="59">
        <f ca="1">OFFSET(TIAM15_assumptions!$G81,0,MATCH(VLOOKUP(Assumptions!AJ$2,TIAM15_assumptions!$Y$3:$Z$87,2,FALSE),TIAM15_assumptions!$H$2:$V$2,0))</f>
        <v>0</v>
      </c>
      <c r="AK81" s="59">
        <f ca="1">OFFSET(TIAM15_assumptions!$G81,0,MATCH(VLOOKUP(Assumptions!AK$2,TIAM15_assumptions!$Y$3:$Z$87,2,FALSE),TIAM15_assumptions!$H$2:$V$2,0))</f>
        <v>0</v>
      </c>
      <c r="AL81" s="59">
        <f ca="1">OFFSET(TIAM15_assumptions!$G81,0,MATCH(VLOOKUP(Assumptions!AL$2,TIAM15_assumptions!$Y$3:$Z$87,2,FALSE),TIAM15_assumptions!$H$2:$V$2,0))</f>
        <v>0</v>
      </c>
      <c r="AM81" s="59">
        <f ca="1">OFFSET(TIAM15_assumptions!$G81,0,MATCH(VLOOKUP(Assumptions!AM$2,TIAM15_assumptions!$Y$3:$Z$87,2,FALSE),TIAM15_assumptions!$H$2:$V$2,0))</f>
        <v>0</v>
      </c>
      <c r="AN81" s="59">
        <f ca="1">OFFSET(TIAM15_assumptions!$G81,0,MATCH(VLOOKUP(Assumptions!AN$2,TIAM15_assumptions!$Y$3:$Z$87,2,FALSE),TIAM15_assumptions!$H$2:$V$2,0))</f>
        <v>0</v>
      </c>
      <c r="AO81" s="59">
        <f ca="1">OFFSET(TIAM15_assumptions!$G81,0,MATCH(VLOOKUP(Assumptions!AO$2,TIAM15_assumptions!$Y$3:$Z$87,2,FALSE),TIAM15_assumptions!$H$2:$V$2,0))</f>
        <v>0</v>
      </c>
      <c r="AP81" s="59">
        <f ca="1">OFFSET(TIAM15_assumptions!$G81,0,MATCH(VLOOKUP(Assumptions!AP$2,TIAM15_assumptions!$Y$3:$Z$87,2,FALSE),TIAM15_assumptions!$H$2:$V$2,0))</f>
        <v>0</v>
      </c>
      <c r="AQ81" s="59">
        <f ca="1">OFFSET(TIAM15_assumptions!$G81,0,MATCH(VLOOKUP(Assumptions!AQ$2,TIAM15_assumptions!$Y$3:$Z$87,2,FALSE),TIAM15_assumptions!$H$2:$V$2,0))</f>
        <v>0</v>
      </c>
      <c r="AR81" s="59">
        <f ca="1">OFFSET(TIAM15_assumptions!$G81,0,MATCH(VLOOKUP(Assumptions!AR$2,TIAM15_assumptions!$Y$3:$Z$87,2,FALSE),TIAM15_assumptions!$H$2:$V$2,0))</f>
        <v>0</v>
      </c>
      <c r="AS81" s="59">
        <f ca="1">OFFSET(TIAM15_assumptions!$G81,0,MATCH(VLOOKUP(Assumptions!AS$2,TIAM15_assumptions!$Y$3:$Z$87,2,FALSE),TIAM15_assumptions!$H$2:$V$2,0))</f>
        <v>0</v>
      </c>
      <c r="AT81" s="59">
        <f ca="1">OFFSET(TIAM15_assumptions!$G81,0,MATCH(VLOOKUP(Assumptions!AT$2,TIAM15_assumptions!$Y$3:$Z$87,2,FALSE),TIAM15_assumptions!$H$2:$V$2,0))</f>
        <v>0</v>
      </c>
      <c r="AU81" s="59">
        <f ca="1">OFFSET(TIAM15_assumptions!$G81,0,MATCH(VLOOKUP(Assumptions!AU$2,TIAM15_assumptions!$Y$3:$Z$87,2,FALSE),TIAM15_assumptions!$H$2:$V$2,0))</f>
        <v>0</v>
      </c>
      <c r="AV81" s="59">
        <f ca="1">OFFSET(TIAM15_assumptions!$G81,0,MATCH(VLOOKUP(Assumptions!AV$2,TIAM15_assumptions!$Y$3:$Z$87,2,FALSE),TIAM15_assumptions!$H$2:$V$2,0))</f>
        <v>0</v>
      </c>
      <c r="AW81" s="59">
        <f ca="1">OFFSET(TIAM15_assumptions!$G81,0,MATCH(VLOOKUP(Assumptions!AW$2,TIAM15_assumptions!$Y$3:$Z$87,2,FALSE),TIAM15_assumptions!$H$2:$V$2,0))</f>
        <v>0</v>
      </c>
      <c r="AX81" s="59">
        <f ca="1">OFFSET(TIAM15_assumptions!$G81,0,MATCH(VLOOKUP(Assumptions!AX$2,TIAM15_assumptions!$Y$3:$Z$87,2,FALSE),TIAM15_assumptions!$H$2:$V$2,0))</f>
        <v>0</v>
      </c>
      <c r="AY81" s="59">
        <f ca="1">OFFSET(TIAM15_assumptions!$G81,0,MATCH(VLOOKUP(Assumptions!AY$2,TIAM15_assumptions!$Y$3:$Z$87,2,FALSE),TIAM15_assumptions!$H$2:$V$2,0))</f>
        <v>0</v>
      </c>
      <c r="AZ81" s="59">
        <f ca="1">OFFSET(TIAM15_assumptions!$G81,0,MATCH(VLOOKUP(Assumptions!AZ$2,TIAM15_assumptions!$Y$3:$Z$87,2,FALSE),TIAM15_assumptions!$H$2:$V$2,0))</f>
        <v>0</v>
      </c>
      <c r="BA81" s="59">
        <f ca="1">OFFSET(TIAM15_assumptions!$G81,0,MATCH(VLOOKUP(Assumptions!BA$2,TIAM15_assumptions!$Y$3:$Z$87,2,FALSE),TIAM15_assumptions!$H$2:$V$2,0))</f>
        <v>0</v>
      </c>
      <c r="BD81" s="41">
        <f ca="1">IFERROR(SUMIFS('TRA balance'!E$5:E$40,'TRA balance'!$C$5:$C$40,Assumptions!$C81,'TRA balance'!$D$5:$D$40,Assumptions!$B81)*CY81*H81,"")</f>
        <v>0</v>
      </c>
      <c r="BE81" s="41">
        <f ca="1">IFERROR(SUMIFS('TRA balance'!F$5:F$40,'TRA balance'!$C$5:$C$40,Assumptions!$C81,'TRA balance'!$D$5:$D$40,Assumptions!$B81)*CZ81*I81,"")</f>
        <v>0</v>
      </c>
      <c r="BF81" s="41">
        <f ca="1">IFERROR(SUMIFS('TRA balance'!G$5:G$40,'TRA balance'!$C$5:$C$40,Assumptions!$C81,'TRA balance'!$D$5:$D$40,Assumptions!$B81)*DA81*J81,"")</f>
        <v>0</v>
      </c>
      <c r="BG81" s="41">
        <f ca="1">IFERROR(SUMIFS('TRA balance'!H$5:H$40,'TRA balance'!$C$5:$C$40,Assumptions!$C81,'TRA balance'!$D$5:$D$40,Assumptions!$B81)*DB81*K81,"")</f>
        <v>0</v>
      </c>
      <c r="BH81" s="41">
        <f ca="1">IFERROR(SUMIFS('TRA balance'!I$5:I$40,'TRA balance'!$C$5:$C$40,Assumptions!$C81,'TRA balance'!$D$5:$D$40,Assumptions!$B81)*DC81*L81,"")</f>
        <v>0</v>
      </c>
      <c r="BI81" s="41">
        <f ca="1">IFERROR(SUMIFS('TRA balance'!J$5:J$40,'TRA balance'!$C$5:$C$40,Assumptions!$C81,'TRA balance'!$D$5:$D$40,Assumptions!$B81)*DD81*M81,"")</f>
        <v>0</v>
      </c>
      <c r="BJ81" s="41">
        <f ca="1">IFERROR(SUMIFS('TRA balance'!K$5:K$40,'TRA balance'!$C$5:$C$40,Assumptions!$C81,'TRA balance'!$D$5:$D$40,Assumptions!$B81)*DE81*N81,"")</f>
        <v>0</v>
      </c>
      <c r="BK81" s="41">
        <f ca="1">IFERROR(SUMIFS('TRA balance'!L$5:L$40,'TRA balance'!$C$5:$C$40,Assumptions!$C81,'TRA balance'!$D$5:$D$40,Assumptions!$B81)*DF81*O81,"")</f>
        <v>0</v>
      </c>
      <c r="BL81" s="41">
        <f ca="1">IFERROR(SUMIFS('TRA balance'!M$5:M$40,'TRA balance'!$C$5:$C$40,Assumptions!$C81,'TRA balance'!$D$5:$D$40,Assumptions!$B81)*DG81*P81,"")</f>
        <v>0</v>
      </c>
      <c r="BM81" s="41">
        <f ca="1">IFERROR(SUMIFS('TRA balance'!N$5:N$40,'TRA balance'!$C$5:$C$40,Assumptions!$C81,'TRA balance'!$D$5:$D$40,Assumptions!$B81)*DH81*Q81,"")</f>
        <v>0</v>
      </c>
      <c r="BN81" s="41">
        <f ca="1">IFERROR(SUMIFS('TRA balance'!O$5:O$40,'TRA balance'!$C$5:$C$40,Assumptions!$C81,'TRA balance'!$D$5:$D$40,Assumptions!$B81)*DI81*R81,"")</f>
        <v>0</v>
      </c>
      <c r="BO81" s="41">
        <f ca="1">IFERROR(SUMIFS('TRA balance'!P$5:P$40,'TRA balance'!$C$5:$C$40,Assumptions!$C81,'TRA balance'!$D$5:$D$40,Assumptions!$B81)*DJ81*S81,"")</f>
        <v>0</v>
      </c>
      <c r="BP81" s="41">
        <f ca="1">IFERROR(SUMIFS('TRA balance'!Q$5:Q$40,'TRA balance'!$C$5:$C$40,Assumptions!$C81,'TRA balance'!$D$5:$D$40,Assumptions!$B81)*DK81*T81,"")</f>
        <v>0</v>
      </c>
      <c r="BQ81" s="41">
        <f ca="1">IFERROR(SUMIFS('TRA balance'!R$5:R$40,'TRA balance'!$C$5:$C$40,Assumptions!$C81,'TRA balance'!$D$5:$D$40,Assumptions!$B81)*DL81*U81,"")</f>
        <v>0</v>
      </c>
      <c r="BR81" s="41">
        <f ca="1">IFERROR(SUMIFS('TRA balance'!S$5:S$40,'TRA balance'!$C$5:$C$40,Assumptions!$C81,'TRA balance'!$D$5:$D$40,Assumptions!$B81)*DM81*V81,"")</f>
        <v>0</v>
      </c>
      <c r="BS81" s="41">
        <f ca="1">IFERROR(SUMIFS('TRA balance'!T$5:T$40,'TRA balance'!$C$5:$C$40,Assumptions!$C81,'TRA balance'!$D$5:$D$40,Assumptions!$B81)*DN81*W81,"")</f>
        <v>0</v>
      </c>
      <c r="BT81" s="41">
        <f ca="1">IFERROR(SUMIFS('TRA balance'!U$5:U$40,'TRA balance'!$C$5:$C$40,Assumptions!$C81,'TRA balance'!$D$5:$D$40,Assumptions!$B81)*DO81*X81,"")</f>
        <v>0</v>
      </c>
      <c r="BU81" s="41">
        <f ca="1">IFERROR(SUMIFS('TRA balance'!V$5:V$40,'TRA balance'!$C$5:$C$40,Assumptions!$C81,'TRA balance'!$D$5:$D$40,Assumptions!$B81)*DP81*Y81,"")</f>
        <v>0</v>
      </c>
      <c r="BV81" s="41">
        <f ca="1">IFERROR(SUMIFS('TRA balance'!W$5:W$40,'TRA balance'!$C$5:$C$40,Assumptions!$C81,'TRA balance'!$D$5:$D$40,Assumptions!$B81)*DQ81*Z81,"")</f>
        <v>0</v>
      </c>
      <c r="BW81" s="41">
        <f ca="1">IFERROR(SUMIFS('TRA balance'!X$5:X$40,'TRA balance'!$C$5:$C$40,Assumptions!$C81,'TRA balance'!$D$5:$D$40,Assumptions!$B81)*DR81*AA81,"")</f>
        <v>0</v>
      </c>
      <c r="BX81" s="41">
        <f ca="1">IFERROR(SUMIFS('TRA balance'!Y$5:Y$40,'TRA balance'!$C$5:$C$40,Assumptions!$C81,'TRA balance'!$D$5:$D$40,Assumptions!$B81)*DS81*AB81,"")</f>
        <v>0</v>
      </c>
      <c r="BY81" s="41">
        <f ca="1">IFERROR(SUMIFS('TRA balance'!Z$5:Z$40,'TRA balance'!$C$5:$C$40,Assumptions!$C81,'TRA balance'!$D$5:$D$40,Assumptions!$B81)*DT81*AC81,"")</f>
        <v>0</v>
      </c>
      <c r="BZ81" s="41">
        <f ca="1">IFERROR(SUMIFS('TRA balance'!AA$5:AA$40,'TRA balance'!$C$5:$C$40,Assumptions!$C81,'TRA balance'!$D$5:$D$40,Assumptions!$B81)*DU81*AD81,"")</f>
        <v>0</v>
      </c>
      <c r="CA81" s="41">
        <f ca="1">IFERROR(SUMIFS('TRA balance'!AB$5:AB$40,'TRA balance'!$C$5:$C$40,Assumptions!$C81,'TRA balance'!$D$5:$D$40,Assumptions!$B81)*DV81*AE81,"")</f>
        <v>0</v>
      </c>
      <c r="CB81" s="41">
        <f ca="1">IFERROR(SUMIFS('TRA balance'!AC$5:AC$40,'TRA balance'!$C$5:$C$40,Assumptions!$C81,'TRA balance'!$D$5:$D$40,Assumptions!$B81)*DW81*AF81,"")</f>
        <v>0</v>
      </c>
      <c r="CC81" s="41">
        <f ca="1">IFERROR(SUMIFS('TRA balance'!AD$5:AD$40,'TRA balance'!$C$5:$C$40,Assumptions!$C81,'TRA balance'!$D$5:$D$40,Assumptions!$B81)*DX81*AG81,"")</f>
        <v>0</v>
      </c>
      <c r="CD81" s="41">
        <f ca="1">IFERROR(SUMIFS('TRA balance'!AE$5:AE$40,'TRA balance'!$C$5:$C$40,Assumptions!$C81,'TRA balance'!$D$5:$D$40,Assumptions!$B81)*DY81*AH81,"")</f>
        <v>0</v>
      </c>
      <c r="CE81" s="41">
        <f ca="1">IFERROR(SUMIFS('TRA balance'!AF$5:AF$40,'TRA balance'!$C$5:$C$40,Assumptions!$C81,'TRA balance'!$D$5:$D$40,Assumptions!$B81)*DZ81*AI81,"")</f>
        <v>0</v>
      </c>
      <c r="CF81" s="41">
        <f ca="1">IFERROR(SUMIFS('TRA balance'!AG$5:AG$40,'TRA balance'!$C$5:$C$40,Assumptions!$C81,'TRA balance'!$D$5:$D$40,Assumptions!$B81)*EA81*AJ81,"")</f>
        <v>0</v>
      </c>
      <c r="CG81" s="41">
        <f ca="1">IFERROR(SUMIFS('TRA balance'!AH$5:AH$40,'TRA balance'!$C$5:$C$40,Assumptions!$C81,'TRA balance'!$D$5:$D$40,Assumptions!$B81)*EB81*AK81,"")</f>
        <v>0</v>
      </c>
      <c r="CH81" s="41">
        <f ca="1">IFERROR(SUMIFS('TRA balance'!AI$5:AI$40,'TRA balance'!$C$5:$C$40,Assumptions!$C81,'TRA balance'!$D$5:$D$40,Assumptions!$B81)*EC81*AL81,"")</f>
        <v>0</v>
      </c>
      <c r="CI81" s="41">
        <f ca="1">IFERROR(SUMIFS('TRA balance'!AJ$5:AJ$40,'TRA balance'!$C$5:$C$40,Assumptions!$C81,'TRA balance'!$D$5:$D$40,Assumptions!$B81)*ED81*AM81,"")</f>
        <v>0</v>
      </c>
      <c r="CJ81" s="41">
        <f ca="1">IFERROR(SUMIFS('TRA balance'!AK$5:AK$40,'TRA balance'!$C$5:$C$40,Assumptions!$C81,'TRA balance'!$D$5:$D$40,Assumptions!$B81)*EE81*AN81,"")</f>
        <v>0</v>
      </c>
      <c r="CK81" s="41">
        <f ca="1">IFERROR(SUMIFS('TRA balance'!AL$5:AL$40,'TRA balance'!$C$5:$C$40,Assumptions!$C81,'TRA balance'!$D$5:$D$40,Assumptions!$B81)*EF81*AO81,"")</f>
        <v>0</v>
      </c>
      <c r="CL81" s="41">
        <f ca="1">IFERROR(SUMIFS('TRA balance'!AM$5:AM$40,'TRA balance'!$C$5:$C$40,Assumptions!$C81,'TRA balance'!$D$5:$D$40,Assumptions!$B81)*EG81*AP81,"")</f>
        <v>0</v>
      </c>
      <c r="CM81" s="41">
        <f ca="1">IFERROR(SUMIFS('TRA balance'!AN$5:AN$40,'TRA balance'!$C$5:$C$40,Assumptions!$C81,'TRA balance'!$D$5:$D$40,Assumptions!$B81)*EH81*AQ81,"")</f>
        <v>0</v>
      </c>
      <c r="CN81" s="41">
        <f ca="1">IFERROR(SUMIFS('TRA balance'!AO$5:AO$40,'TRA balance'!$C$5:$C$40,Assumptions!$C81,'TRA balance'!$D$5:$D$40,Assumptions!$B81)*EI81*AR81,"")</f>
        <v>0</v>
      </c>
      <c r="CO81" s="41">
        <f ca="1">IFERROR(SUMIFS('TRA balance'!AP$5:AP$40,'TRA balance'!$C$5:$C$40,Assumptions!$C81,'TRA balance'!$D$5:$D$40,Assumptions!$B81)*EJ81*AS81,"")</f>
        <v>0</v>
      </c>
      <c r="CP81" s="41">
        <f ca="1">IFERROR(SUMIFS('TRA balance'!AQ$5:AQ$40,'TRA balance'!$C$5:$C$40,Assumptions!$C81,'TRA balance'!$D$5:$D$40,Assumptions!$B81)*EK81*AT81,"")</f>
        <v>0</v>
      </c>
      <c r="CQ81" s="41">
        <f ca="1">IFERROR(SUMIFS('TRA balance'!AR$5:AR$40,'TRA balance'!$C$5:$C$40,Assumptions!$C81,'TRA balance'!$D$5:$D$40,Assumptions!$B81)*EL81*AU81,"")</f>
        <v>0</v>
      </c>
      <c r="CR81" s="41">
        <f ca="1">IFERROR(SUMIFS('TRA balance'!AS$5:AS$40,'TRA balance'!$C$5:$C$40,Assumptions!$C81,'TRA balance'!$D$5:$D$40,Assumptions!$B81)*EM81*AV81,"")</f>
        <v>0</v>
      </c>
      <c r="CS81" s="41">
        <f ca="1">IFERROR(SUMIFS('TRA balance'!AT$5:AT$40,'TRA balance'!$C$5:$C$40,Assumptions!$C81,'TRA balance'!$D$5:$D$40,Assumptions!$B81)*EN81*AW81,"")</f>
        <v>0</v>
      </c>
      <c r="CT81" s="41">
        <f ca="1">IFERROR(SUMIFS('TRA balance'!AU$5:AU$40,'TRA balance'!$C$5:$C$40,Assumptions!$C81,'TRA balance'!$D$5:$D$40,Assumptions!$B81)*EO81*AX81,"")</f>
        <v>0</v>
      </c>
      <c r="CU81" s="41">
        <f ca="1">IFERROR(SUMIFS('TRA balance'!AV$5:AV$40,'TRA balance'!$C$5:$C$40,Assumptions!$C81,'TRA balance'!$D$5:$D$40,Assumptions!$B81)*EP81*AY81,"")</f>
        <v>0</v>
      </c>
      <c r="CV81" s="41">
        <f ca="1">IFERROR(SUMIFS('TRA balance'!AW$5:AW$40,'TRA balance'!$C$5:$C$40,Assumptions!$C81,'TRA balance'!$D$5:$D$40,Assumptions!$B81)*EQ81*AZ81,"")</f>
        <v>0</v>
      </c>
      <c r="CW81" s="41">
        <f ca="1">IFERROR(SUMIFS('TRA balance'!AX$5:AX$40,'TRA balance'!$C$5:$C$40,Assumptions!$C81,'TRA balance'!$D$5:$D$40,Assumptions!$B81)*ER81*BA81,"")</f>
        <v>0</v>
      </c>
      <c r="CY81" s="40">
        <f ca="1" t="shared" si="86"/>
        <v>0</v>
      </c>
      <c r="CZ81" s="40">
        <f ca="1" t="shared" si="87"/>
        <v>0</v>
      </c>
      <c r="DA81" s="40">
        <f ca="1" t="shared" si="88"/>
        <v>0</v>
      </c>
      <c r="DB81" s="40">
        <f ca="1" t="shared" si="89"/>
        <v>0</v>
      </c>
      <c r="DC81" s="40">
        <f ca="1" t="shared" si="90"/>
        <v>0</v>
      </c>
      <c r="DD81" s="40">
        <f ca="1" t="shared" si="91"/>
        <v>0</v>
      </c>
      <c r="DE81" s="40">
        <f ca="1" t="shared" si="92"/>
        <v>0</v>
      </c>
      <c r="DF81" s="40">
        <f ca="1" t="shared" si="93"/>
        <v>0</v>
      </c>
      <c r="DG81" s="40">
        <f ca="1" t="shared" si="94"/>
        <v>0</v>
      </c>
      <c r="DH81" s="40">
        <f ca="1" t="shared" si="95"/>
        <v>0</v>
      </c>
      <c r="DI81" s="40">
        <f ca="1" t="shared" si="96"/>
        <v>0</v>
      </c>
      <c r="DJ81" s="40">
        <f ca="1" t="shared" si="97"/>
        <v>0</v>
      </c>
      <c r="DK81" s="40">
        <f ca="1" t="shared" si="98"/>
        <v>0</v>
      </c>
      <c r="DL81" s="40">
        <f ca="1" t="shared" si="99"/>
        <v>0</v>
      </c>
      <c r="DM81" s="40">
        <f ca="1" t="shared" si="100"/>
        <v>0</v>
      </c>
      <c r="DN81" s="40">
        <f ca="1" t="shared" si="101"/>
        <v>0</v>
      </c>
      <c r="DO81" s="40">
        <f ca="1" t="shared" si="102"/>
        <v>0</v>
      </c>
      <c r="DP81" s="40">
        <f ca="1" t="shared" si="103"/>
        <v>0</v>
      </c>
      <c r="DQ81" s="40">
        <f ca="1" t="shared" si="104"/>
        <v>0</v>
      </c>
      <c r="DR81" s="40">
        <f ca="1" t="shared" si="105"/>
        <v>0</v>
      </c>
      <c r="DS81" s="40">
        <f ca="1" t="shared" si="106"/>
        <v>0</v>
      </c>
      <c r="DT81" s="40">
        <f ca="1" t="shared" si="107"/>
        <v>0</v>
      </c>
      <c r="DU81" s="40">
        <f ca="1" t="shared" si="108"/>
        <v>0</v>
      </c>
      <c r="DV81" s="40">
        <f ca="1" t="shared" si="109"/>
        <v>0</v>
      </c>
      <c r="DW81" s="40">
        <f ca="1" t="shared" si="110"/>
        <v>0</v>
      </c>
      <c r="DX81" s="40">
        <f ca="1" t="shared" si="111"/>
        <v>0</v>
      </c>
      <c r="DY81" s="40">
        <f ca="1" t="shared" si="112"/>
        <v>0</v>
      </c>
      <c r="DZ81" s="40">
        <f ca="1" t="shared" si="113"/>
        <v>0</v>
      </c>
      <c r="EA81" s="40">
        <f ca="1" t="shared" si="114"/>
        <v>0</v>
      </c>
      <c r="EB81" s="40">
        <f ca="1" t="shared" si="115"/>
        <v>0</v>
      </c>
      <c r="EC81" s="40">
        <f ca="1" t="shared" si="116"/>
        <v>0</v>
      </c>
      <c r="ED81" s="40">
        <f ca="1" t="shared" si="117"/>
        <v>0</v>
      </c>
      <c r="EE81" s="40">
        <f ca="1" t="shared" si="118"/>
        <v>0</v>
      </c>
      <c r="EF81" s="40">
        <f ca="1" t="shared" si="119"/>
        <v>0</v>
      </c>
      <c r="EG81" s="40">
        <f ca="1" t="shared" si="120"/>
        <v>0</v>
      </c>
      <c r="EH81" s="40">
        <f ca="1" t="shared" si="121"/>
        <v>0</v>
      </c>
      <c r="EI81" s="40">
        <f ca="1" t="shared" si="122"/>
        <v>0</v>
      </c>
      <c r="EJ81" s="40">
        <f ca="1" t="shared" si="123"/>
        <v>0</v>
      </c>
      <c r="EK81" s="40">
        <f ca="1" t="shared" si="124"/>
        <v>0</v>
      </c>
      <c r="EL81" s="40">
        <f ca="1" t="shared" si="125"/>
        <v>0</v>
      </c>
      <c r="EM81" s="40">
        <f ca="1" t="shared" si="126"/>
        <v>0</v>
      </c>
      <c r="EN81" s="40">
        <f ca="1" t="shared" si="127"/>
        <v>0</v>
      </c>
      <c r="EO81" s="40">
        <f ca="1" t="shared" si="128"/>
        <v>0</v>
      </c>
      <c r="EP81" s="40">
        <f ca="1" t="shared" si="129"/>
        <v>0</v>
      </c>
      <c r="EQ81" s="40">
        <f ca="1" t="shared" si="130"/>
        <v>0</v>
      </c>
      <c r="ER81" s="40">
        <f ca="1" t="shared" si="131"/>
        <v>0</v>
      </c>
    </row>
    <row r="82" spans="1:148">
      <c r="A82">
        <v>1</v>
      </c>
      <c r="B82" t="str">
        <f>VLOOKUP(F82,'TRA balance'!$BA$5:$BB$14,2,FALSE)</f>
        <v>TRABGS</v>
      </c>
      <c r="C82" s="56" t="str">
        <f t="shared" si="133"/>
        <v/>
      </c>
      <c r="D82" s="57"/>
      <c r="E82" s="69" t="s">
        <v>210</v>
      </c>
      <c r="F82" s="58" t="str">
        <f t="shared" si="138"/>
        <v>Bio Gasoline</v>
      </c>
      <c r="G82" s="56"/>
      <c r="H82" s="69" t="str">
        <f ca="1">IF(SUM(H78:H81)=1,"-","&lt;&gt;1!!")</f>
        <v>-</v>
      </c>
      <c r="I82" s="69" t="str">
        <f ca="1" t="shared" ref="I82:BA82" si="139">IF(SUM(I78:I81)=1,"-","&lt;&gt;1!!")</f>
        <v>-</v>
      </c>
      <c r="J82" s="69" t="str">
        <f ca="1" t="shared" si="139"/>
        <v>-</v>
      </c>
      <c r="K82" s="69" t="str">
        <f ca="1" t="shared" si="139"/>
        <v>-</v>
      </c>
      <c r="L82" s="69" t="str">
        <f ca="1" t="shared" si="139"/>
        <v>-</v>
      </c>
      <c r="M82" s="69" t="str">
        <f ca="1" t="shared" si="139"/>
        <v>-</v>
      </c>
      <c r="N82" s="69" t="str">
        <f ca="1" t="shared" si="139"/>
        <v>-</v>
      </c>
      <c r="O82" s="69" t="str">
        <f ca="1" t="shared" si="139"/>
        <v>-</v>
      </c>
      <c r="P82" s="69" t="str">
        <f ca="1" t="shared" si="139"/>
        <v>-</v>
      </c>
      <c r="Q82" s="69" t="str">
        <f ca="1" t="shared" si="139"/>
        <v>-</v>
      </c>
      <c r="R82" s="69" t="str">
        <f ca="1" t="shared" si="139"/>
        <v>-</v>
      </c>
      <c r="S82" s="69" t="str">
        <f ca="1" t="shared" si="139"/>
        <v>-</v>
      </c>
      <c r="T82" s="69" t="str">
        <f ca="1" t="shared" si="139"/>
        <v>-</v>
      </c>
      <c r="U82" s="69" t="str">
        <f ca="1" t="shared" si="139"/>
        <v>-</v>
      </c>
      <c r="V82" s="69" t="str">
        <f ca="1" t="shared" si="139"/>
        <v>-</v>
      </c>
      <c r="W82" s="69" t="str">
        <f ca="1" t="shared" si="139"/>
        <v>-</v>
      </c>
      <c r="X82" s="69" t="str">
        <f ca="1" t="shared" si="139"/>
        <v>-</v>
      </c>
      <c r="Y82" s="69" t="str">
        <f ca="1" t="shared" si="139"/>
        <v>-</v>
      </c>
      <c r="Z82" s="69" t="str">
        <f ca="1" t="shared" si="139"/>
        <v>-</v>
      </c>
      <c r="AA82" s="69" t="str">
        <f ca="1" t="shared" si="139"/>
        <v>-</v>
      </c>
      <c r="AB82" s="69" t="str">
        <f ca="1" t="shared" si="139"/>
        <v>-</v>
      </c>
      <c r="AC82" s="69" t="str">
        <f ca="1" t="shared" si="139"/>
        <v>-</v>
      </c>
      <c r="AD82" s="69" t="str">
        <f ca="1" t="shared" si="139"/>
        <v>-</v>
      </c>
      <c r="AE82" s="69" t="str">
        <f ca="1" t="shared" si="139"/>
        <v>-</v>
      </c>
      <c r="AF82" s="69" t="str">
        <f ca="1" t="shared" si="139"/>
        <v>-</v>
      </c>
      <c r="AG82" s="69" t="str">
        <f ca="1" t="shared" si="139"/>
        <v>-</v>
      </c>
      <c r="AH82" s="69" t="str">
        <f ca="1" t="shared" si="139"/>
        <v>-</v>
      </c>
      <c r="AI82" s="69" t="str">
        <f ca="1" t="shared" si="139"/>
        <v>-</v>
      </c>
      <c r="AJ82" s="69" t="str">
        <f ca="1" t="shared" si="139"/>
        <v>-</v>
      </c>
      <c r="AK82" s="69" t="str">
        <f ca="1" t="shared" si="139"/>
        <v>-</v>
      </c>
      <c r="AL82" s="69" t="str">
        <f ca="1" t="shared" si="139"/>
        <v>-</v>
      </c>
      <c r="AM82" s="69" t="str">
        <f ca="1" t="shared" si="139"/>
        <v>-</v>
      </c>
      <c r="AN82" s="69" t="str">
        <f ca="1" t="shared" si="139"/>
        <v>-</v>
      </c>
      <c r="AO82" s="69" t="str">
        <f ca="1" t="shared" si="139"/>
        <v>-</v>
      </c>
      <c r="AP82" s="69" t="str">
        <f ca="1" t="shared" si="139"/>
        <v>-</v>
      </c>
      <c r="AQ82" s="69" t="str">
        <f ca="1" t="shared" si="139"/>
        <v>-</v>
      </c>
      <c r="AR82" s="69" t="str">
        <f ca="1" t="shared" si="139"/>
        <v>-</v>
      </c>
      <c r="AS82" s="69" t="str">
        <f ca="1" t="shared" si="139"/>
        <v>-</v>
      </c>
      <c r="AT82" s="69" t="str">
        <f ca="1" t="shared" si="139"/>
        <v>-</v>
      </c>
      <c r="AU82" s="69" t="str">
        <f ca="1" t="shared" si="139"/>
        <v>-</v>
      </c>
      <c r="AV82" s="69" t="str">
        <f ca="1" t="shared" si="139"/>
        <v>-</v>
      </c>
      <c r="AW82" s="69" t="str">
        <f ca="1" t="shared" si="139"/>
        <v>-</v>
      </c>
      <c r="AX82" s="69" t="str">
        <f ca="1" t="shared" si="139"/>
        <v>-</v>
      </c>
      <c r="AY82" s="69" t="str">
        <f ca="1" t="shared" si="139"/>
        <v>-</v>
      </c>
      <c r="AZ82" s="69" t="str">
        <f ca="1" t="shared" si="139"/>
        <v>-</v>
      </c>
      <c r="BA82" s="69" t="str">
        <f ca="1" t="shared" si="139"/>
        <v>-</v>
      </c>
      <c r="BD82" s="41" t="str">
        <f ca="1">IFERROR(SUMIFS('TRA balance'!E$5:E$40,'TRA balance'!$C$5:$C$40,Assumptions!$C82,'TRA balance'!$D$5:$D$40,Assumptions!$B82)*CY82*H82,"")</f>
        <v/>
      </c>
      <c r="BE82" s="41" t="str">
        <f ca="1">IFERROR(SUMIFS('TRA balance'!F$5:F$40,'TRA balance'!$C$5:$C$40,Assumptions!$C82,'TRA balance'!$D$5:$D$40,Assumptions!$B82)*CZ82*I82,"")</f>
        <v/>
      </c>
      <c r="BF82" s="41" t="str">
        <f ca="1">IFERROR(SUMIFS('TRA balance'!G$5:G$40,'TRA balance'!$C$5:$C$40,Assumptions!$C82,'TRA balance'!$D$5:$D$40,Assumptions!$B82)*DA82*J82,"")</f>
        <v/>
      </c>
      <c r="BG82" s="41" t="str">
        <f ca="1">IFERROR(SUMIFS('TRA balance'!H$5:H$40,'TRA balance'!$C$5:$C$40,Assumptions!$C82,'TRA balance'!$D$5:$D$40,Assumptions!$B82)*DB82*K82,"")</f>
        <v/>
      </c>
      <c r="BH82" s="41" t="str">
        <f ca="1">IFERROR(SUMIFS('TRA balance'!I$5:I$40,'TRA balance'!$C$5:$C$40,Assumptions!$C82,'TRA balance'!$D$5:$D$40,Assumptions!$B82)*DC82*L82,"")</f>
        <v/>
      </c>
      <c r="BI82" s="41" t="str">
        <f ca="1">IFERROR(SUMIFS('TRA balance'!J$5:J$40,'TRA balance'!$C$5:$C$40,Assumptions!$C82,'TRA balance'!$D$5:$D$40,Assumptions!$B82)*DD82*M82,"")</f>
        <v/>
      </c>
      <c r="BJ82" s="41" t="str">
        <f ca="1">IFERROR(SUMIFS('TRA balance'!K$5:K$40,'TRA balance'!$C$5:$C$40,Assumptions!$C82,'TRA balance'!$D$5:$D$40,Assumptions!$B82)*DE82*N82,"")</f>
        <v/>
      </c>
      <c r="BK82" s="41" t="str">
        <f ca="1">IFERROR(SUMIFS('TRA balance'!L$5:L$40,'TRA balance'!$C$5:$C$40,Assumptions!$C82,'TRA balance'!$D$5:$D$40,Assumptions!$B82)*DF82*O82,"")</f>
        <v/>
      </c>
      <c r="BL82" s="41" t="str">
        <f ca="1">IFERROR(SUMIFS('TRA balance'!M$5:M$40,'TRA balance'!$C$5:$C$40,Assumptions!$C82,'TRA balance'!$D$5:$D$40,Assumptions!$B82)*DG82*P82,"")</f>
        <v/>
      </c>
      <c r="BM82" s="41" t="str">
        <f ca="1">IFERROR(SUMIFS('TRA balance'!N$5:N$40,'TRA balance'!$C$5:$C$40,Assumptions!$C82,'TRA balance'!$D$5:$D$40,Assumptions!$B82)*DH82*Q82,"")</f>
        <v/>
      </c>
      <c r="BN82" s="41" t="str">
        <f ca="1">IFERROR(SUMIFS('TRA balance'!O$5:O$40,'TRA balance'!$C$5:$C$40,Assumptions!$C82,'TRA balance'!$D$5:$D$40,Assumptions!$B82)*DI82*R82,"")</f>
        <v/>
      </c>
      <c r="BO82" s="41" t="str">
        <f ca="1">IFERROR(SUMIFS('TRA balance'!P$5:P$40,'TRA balance'!$C$5:$C$40,Assumptions!$C82,'TRA balance'!$D$5:$D$40,Assumptions!$B82)*DJ82*S82,"")</f>
        <v/>
      </c>
      <c r="BP82" s="41" t="str">
        <f ca="1">IFERROR(SUMIFS('TRA balance'!Q$5:Q$40,'TRA balance'!$C$5:$C$40,Assumptions!$C82,'TRA balance'!$D$5:$D$40,Assumptions!$B82)*DK82*T82,"")</f>
        <v/>
      </c>
      <c r="BQ82" s="41" t="str">
        <f ca="1">IFERROR(SUMIFS('TRA balance'!R$5:R$40,'TRA balance'!$C$5:$C$40,Assumptions!$C82,'TRA balance'!$D$5:$D$40,Assumptions!$B82)*DL82*U82,"")</f>
        <v/>
      </c>
      <c r="BR82" s="41" t="str">
        <f ca="1">IFERROR(SUMIFS('TRA balance'!S$5:S$40,'TRA balance'!$C$5:$C$40,Assumptions!$C82,'TRA balance'!$D$5:$D$40,Assumptions!$B82)*DM82*V82,"")</f>
        <v/>
      </c>
      <c r="BS82" s="41" t="str">
        <f ca="1">IFERROR(SUMIFS('TRA balance'!T$5:T$40,'TRA balance'!$C$5:$C$40,Assumptions!$C82,'TRA balance'!$D$5:$D$40,Assumptions!$B82)*DN82*W82,"")</f>
        <v/>
      </c>
      <c r="BT82" s="41" t="str">
        <f ca="1">IFERROR(SUMIFS('TRA balance'!U$5:U$40,'TRA balance'!$C$5:$C$40,Assumptions!$C82,'TRA balance'!$D$5:$D$40,Assumptions!$B82)*DO82*X82,"")</f>
        <v/>
      </c>
      <c r="BU82" s="41" t="str">
        <f ca="1">IFERROR(SUMIFS('TRA balance'!V$5:V$40,'TRA balance'!$C$5:$C$40,Assumptions!$C82,'TRA balance'!$D$5:$D$40,Assumptions!$B82)*DP82*Y82,"")</f>
        <v/>
      </c>
      <c r="BV82" s="41" t="str">
        <f ca="1">IFERROR(SUMIFS('TRA balance'!W$5:W$40,'TRA balance'!$C$5:$C$40,Assumptions!$C82,'TRA balance'!$D$5:$D$40,Assumptions!$B82)*DQ82*Z82,"")</f>
        <v/>
      </c>
      <c r="BW82" s="41" t="str">
        <f ca="1">IFERROR(SUMIFS('TRA balance'!X$5:X$40,'TRA balance'!$C$5:$C$40,Assumptions!$C82,'TRA balance'!$D$5:$D$40,Assumptions!$B82)*DR82*AA82,"")</f>
        <v/>
      </c>
      <c r="BX82" s="41" t="str">
        <f ca="1">IFERROR(SUMIFS('TRA balance'!Y$5:Y$40,'TRA balance'!$C$5:$C$40,Assumptions!$C82,'TRA balance'!$D$5:$D$40,Assumptions!$B82)*DS82*AB82,"")</f>
        <v/>
      </c>
      <c r="BY82" s="41" t="str">
        <f ca="1">IFERROR(SUMIFS('TRA balance'!Z$5:Z$40,'TRA balance'!$C$5:$C$40,Assumptions!$C82,'TRA balance'!$D$5:$D$40,Assumptions!$B82)*DT82*AC82,"")</f>
        <v/>
      </c>
      <c r="BZ82" s="41" t="str">
        <f ca="1">IFERROR(SUMIFS('TRA balance'!AA$5:AA$40,'TRA balance'!$C$5:$C$40,Assumptions!$C82,'TRA balance'!$D$5:$D$40,Assumptions!$B82)*DU82*AD82,"")</f>
        <v/>
      </c>
      <c r="CA82" s="41" t="str">
        <f ca="1">IFERROR(SUMIFS('TRA balance'!AB$5:AB$40,'TRA balance'!$C$5:$C$40,Assumptions!$C82,'TRA balance'!$D$5:$D$40,Assumptions!$B82)*DV82*AE82,"")</f>
        <v/>
      </c>
      <c r="CB82" s="41" t="str">
        <f ca="1">IFERROR(SUMIFS('TRA balance'!AC$5:AC$40,'TRA balance'!$C$5:$C$40,Assumptions!$C82,'TRA balance'!$D$5:$D$40,Assumptions!$B82)*DW82*AF82,"")</f>
        <v/>
      </c>
      <c r="CC82" s="41" t="str">
        <f ca="1">IFERROR(SUMIFS('TRA balance'!AD$5:AD$40,'TRA balance'!$C$5:$C$40,Assumptions!$C82,'TRA balance'!$D$5:$D$40,Assumptions!$B82)*DX82*AG82,"")</f>
        <v/>
      </c>
      <c r="CD82" s="41" t="str">
        <f ca="1">IFERROR(SUMIFS('TRA balance'!AE$5:AE$40,'TRA balance'!$C$5:$C$40,Assumptions!$C82,'TRA balance'!$D$5:$D$40,Assumptions!$B82)*DY82*AH82,"")</f>
        <v/>
      </c>
      <c r="CE82" s="41" t="str">
        <f ca="1">IFERROR(SUMIFS('TRA balance'!AF$5:AF$40,'TRA balance'!$C$5:$C$40,Assumptions!$C82,'TRA balance'!$D$5:$D$40,Assumptions!$B82)*DZ82*AI82,"")</f>
        <v/>
      </c>
      <c r="CF82" s="41" t="str">
        <f ca="1">IFERROR(SUMIFS('TRA balance'!AG$5:AG$40,'TRA balance'!$C$5:$C$40,Assumptions!$C82,'TRA balance'!$D$5:$D$40,Assumptions!$B82)*EA82*AJ82,"")</f>
        <v/>
      </c>
      <c r="CG82" s="41" t="str">
        <f ca="1">IFERROR(SUMIFS('TRA balance'!AH$5:AH$40,'TRA balance'!$C$5:$C$40,Assumptions!$C82,'TRA balance'!$D$5:$D$40,Assumptions!$B82)*EB82*AK82,"")</f>
        <v/>
      </c>
      <c r="CH82" s="41" t="str">
        <f ca="1">IFERROR(SUMIFS('TRA balance'!AI$5:AI$40,'TRA balance'!$C$5:$C$40,Assumptions!$C82,'TRA balance'!$D$5:$D$40,Assumptions!$B82)*EC82*AL82,"")</f>
        <v/>
      </c>
      <c r="CI82" s="41" t="str">
        <f ca="1">IFERROR(SUMIFS('TRA balance'!AJ$5:AJ$40,'TRA balance'!$C$5:$C$40,Assumptions!$C82,'TRA balance'!$D$5:$D$40,Assumptions!$B82)*ED82*AM82,"")</f>
        <v/>
      </c>
      <c r="CJ82" s="41" t="str">
        <f ca="1">IFERROR(SUMIFS('TRA balance'!AK$5:AK$40,'TRA balance'!$C$5:$C$40,Assumptions!$C82,'TRA balance'!$D$5:$D$40,Assumptions!$B82)*EE82*AN82,"")</f>
        <v/>
      </c>
      <c r="CK82" s="41" t="str">
        <f ca="1">IFERROR(SUMIFS('TRA balance'!AL$5:AL$40,'TRA balance'!$C$5:$C$40,Assumptions!$C82,'TRA balance'!$D$5:$D$40,Assumptions!$B82)*EF82*AO82,"")</f>
        <v/>
      </c>
      <c r="CL82" s="41" t="str">
        <f ca="1">IFERROR(SUMIFS('TRA balance'!AM$5:AM$40,'TRA balance'!$C$5:$C$40,Assumptions!$C82,'TRA balance'!$D$5:$D$40,Assumptions!$B82)*EG82*AP82,"")</f>
        <v/>
      </c>
      <c r="CM82" s="41" t="str">
        <f ca="1">IFERROR(SUMIFS('TRA balance'!AN$5:AN$40,'TRA balance'!$C$5:$C$40,Assumptions!$C82,'TRA balance'!$D$5:$D$40,Assumptions!$B82)*EH82*AQ82,"")</f>
        <v/>
      </c>
      <c r="CN82" s="41" t="str">
        <f ca="1">IFERROR(SUMIFS('TRA balance'!AO$5:AO$40,'TRA balance'!$C$5:$C$40,Assumptions!$C82,'TRA balance'!$D$5:$D$40,Assumptions!$B82)*EI82*AR82,"")</f>
        <v/>
      </c>
      <c r="CO82" s="41" t="str">
        <f ca="1">IFERROR(SUMIFS('TRA balance'!AP$5:AP$40,'TRA balance'!$C$5:$C$40,Assumptions!$C82,'TRA balance'!$D$5:$D$40,Assumptions!$B82)*EJ82*AS82,"")</f>
        <v/>
      </c>
      <c r="CP82" s="41" t="str">
        <f ca="1">IFERROR(SUMIFS('TRA balance'!AQ$5:AQ$40,'TRA balance'!$C$5:$C$40,Assumptions!$C82,'TRA balance'!$D$5:$D$40,Assumptions!$B82)*EK82*AT82,"")</f>
        <v/>
      </c>
      <c r="CQ82" s="41" t="str">
        <f ca="1">IFERROR(SUMIFS('TRA balance'!AR$5:AR$40,'TRA balance'!$C$5:$C$40,Assumptions!$C82,'TRA balance'!$D$5:$D$40,Assumptions!$B82)*EL82*AU82,"")</f>
        <v/>
      </c>
      <c r="CR82" s="41" t="str">
        <f ca="1">IFERROR(SUMIFS('TRA balance'!AS$5:AS$40,'TRA balance'!$C$5:$C$40,Assumptions!$C82,'TRA balance'!$D$5:$D$40,Assumptions!$B82)*EM82*AV82,"")</f>
        <v/>
      </c>
      <c r="CS82" s="41" t="str">
        <f ca="1">IFERROR(SUMIFS('TRA balance'!AT$5:AT$40,'TRA balance'!$C$5:$C$40,Assumptions!$C82,'TRA balance'!$D$5:$D$40,Assumptions!$B82)*EN82*AW82,"")</f>
        <v/>
      </c>
      <c r="CT82" s="41" t="str">
        <f ca="1">IFERROR(SUMIFS('TRA balance'!AU$5:AU$40,'TRA balance'!$C$5:$C$40,Assumptions!$C82,'TRA balance'!$D$5:$D$40,Assumptions!$B82)*EO82*AX82,"")</f>
        <v/>
      </c>
      <c r="CU82" s="41" t="str">
        <f ca="1">IFERROR(SUMIFS('TRA balance'!AV$5:AV$40,'TRA balance'!$C$5:$C$40,Assumptions!$C82,'TRA balance'!$D$5:$D$40,Assumptions!$B82)*EP82*AY82,"")</f>
        <v/>
      </c>
      <c r="CV82" s="41" t="str">
        <f ca="1">IFERROR(SUMIFS('TRA balance'!AW$5:AW$40,'TRA balance'!$C$5:$C$40,Assumptions!$C82,'TRA balance'!$D$5:$D$40,Assumptions!$B82)*EQ82*AZ82,"")</f>
        <v/>
      </c>
      <c r="CW82" s="41" t="str">
        <f ca="1">IFERROR(SUMIFS('TRA balance'!AX$5:AX$40,'TRA balance'!$C$5:$C$40,Assumptions!$C82,'TRA balance'!$D$5:$D$40,Assumptions!$B82)*ER82*BA82,"")</f>
        <v/>
      </c>
      <c r="CY82" s="40">
        <f ca="1" t="shared" si="86"/>
        <v>1</v>
      </c>
      <c r="CZ82" s="40">
        <f ca="1" t="shared" si="87"/>
        <v>1</v>
      </c>
      <c r="DA82" s="40">
        <f ca="1" t="shared" si="88"/>
        <v>1</v>
      </c>
      <c r="DB82" s="40">
        <f ca="1" t="shared" si="89"/>
        <v>1</v>
      </c>
      <c r="DC82" s="40">
        <f ca="1" t="shared" si="90"/>
        <v>1</v>
      </c>
      <c r="DD82" s="40">
        <f ca="1" t="shared" si="91"/>
        <v>1</v>
      </c>
      <c r="DE82" s="40">
        <f ca="1" t="shared" si="92"/>
        <v>1</v>
      </c>
      <c r="DF82" s="40">
        <f ca="1" t="shared" si="93"/>
        <v>1</v>
      </c>
      <c r="DG82" s="40">
        <f ca="1" t="shared" si="94"/>
        <v>1</v>
      </c>
      <c r="DH82" s="40">
        <f ca="1" t="shared" si="95"/>
        <v>1</v>
      </c>
      <c r="DI82" s="40">
        <f ca="1" t="shared" si="96"/>
        <v>1</v>
      </c>
      <c r="DJ82" s="40">
        <f ca="1" t="shared" si="97"/>
        <v>1</v>
      </c>
      <c r="DK82" s="40">
        <f ca="1" t="shared" si="98"/>
        <v>1</v>
      </c>
      <c r="DL82" s="40">
        <f ca="1" t="shared" si="99"/>
        <v>1</v>
      </c>
      <c r="DM82" s="40">
        <f ca="1" t="shared" si="100"/>
        <v>1</v>
      </c>
      <c r="DN82" s="40">
        <f ca="1" t="shared" si="101"/>
        <v>1</v>
      </c>
      <c r="DO82" s="40">
        <f ca="1" t="shared" si="102"/>
        <v>1</v>
      </c>
      <c r="DP82" s="40">
        <f ca="1" t="shared" si="103"/>
        <v>1</v>
      </c>
      <c r="DQ82" s="40">
        <f ca="1" t="shared" si="104"/>
        <v>1</v>
      </c>
      <c r="DR82" s="40">
        <f ca="1" t="shared" si="105"/>
        <v>1</v>
      </c>
      <c r="DS82" s="40">
        <f ca="1" t="shared" si="106"/>
        <v>1</v>
      </c>
      <c r="DT82" s="40">
        <f ca="1" t="shared" si="107"/>
        <v>1</v>
      </c>
      <c r="DU82" s="40">
        <f ca="1" t="shared" si="108"/>
        <v>1</v>
      </c>
      <c r="DV82" s="40">
        <f ca="1" t="shared" si="109"/>
        <v>1</v>
      </c>
      <c r="DW82" s="40">
        <f ca="1" t="shared" si="110"/>
        <v>1</v>
      </c>
      <c r="DX82" s="40">
        <f ca="1" t="shared" si="111"/>
        <v>1</v>
      </c>
      <c r="DY82" s="40">
        <f ca="1" t="shared" si="112"/>
        <v>1</v>
      </c>
      <c r="DZ82" s="40">
        <f ca="1" t="shared" si="113"/>
        <v>1</v>
      </c>
      <c r="EA82" s="40">
        <f ca="1" t="shared" si="114"/>
        <v>1</v>
      </c>
      <c r="EB82" s="40">
        <f ca="1" t="shared" si="115"/>
        <v>1</v>
      </c>
      <c r="EC82" s="40">
        <f ca="1" t="shared" si="116"/>
        <v>1</v>
      </c>
      <c r="ED82" s="40">
        <f ca="1" t="shared" si="117"/>
        <v>1</v>
      </c>
      <c r="EE82" s="40">
        <f ca="1" t="shared" si="118"/>
        <v>1</v>
      </c>
      <c r="EF82" s="40">
        <f ca="1" t="shared" si="119"/>
        <v>1</v>
      </c>
      <c r="EG82" s="40">
        <f ca="1" t="shared" si="120"/>
        <v>1</v>
      </c>
      <c r="EH82" s="40">
        <f ca="1" t="shared" si="121"/>
        <v>1</v>
      </c>
      <c r="EI82" s="40">
        <f ca="1" t="shared" si="122"/>
        <v>1</v>
      </c>
      <c r="EJ82" s="40">
        <f ca="1" t="shared" si="123"/>
        <v>1</v>
      </c>
      <c r="EK82" s="40">
        <f ca="1" t="shared" si="124"/>
        <v>1</v>
      </c>
      <c r="EL82" s="40">
        <f ca="1" t="shared" si="125"/>
        <v>1</v>
      </c>
      <c r="EM82" s="40">
        <f ca="1" t="shared" si="126"/>
        <v>1</v>
      </c>
      <c r="EN82" s="40">
        <f ca="1" t="shared" si="127"/>
        <v>1</v>
      </c>
      <c r="EO82" s="40">
        <f ca="1" t="shared" si="128"/>
        <v>1</v>
      </c>
      <c r="EP82" s="40">
        <f ca="1" t="shared" si="129"/>
        <v>1</v>
      </c>
      <c r="EQ82" s="40">
        <f ca="1" t="shared" si="130"/>
        <v>1</v>
      </c>
      <c r="ER82" s="40">
        <f ca="1" t="shared" si="131"/>
        <v>1</v>
      </c>
    </row>
    <row r="83" spans="1:148">
      <c r="A83">
        <v>1</v>
      </c>
      <c r="B83" t="str">
        <f>VLOOKUP(F83,'TRA balance'!$BA$5:$BB$14,2,FALSE)</f>
        <v>TRABGS</v>
      </c>
      <c r="C83" s="64">
        <v>2</v>
      </c>
      <c r="D83" s="65" t="s">
        <v>200</v>
      </c>
      <c r="E83" s="65" t="s">
        <v>211</v>
      </c>
      <c r="F83" s="66" t="str">
        <f t="shared" si="138"/>
        <v>Bio Gasoline</v>
      </c>
      <c r="G83" s="64"/>
      <c r="H83" s="70">
        <f ca="1">1-H77</f>
        <v>1</v>
      </c>
      <c r="I83" s="70">
        <f ca="1" t="shared" ref="I83:BA83" si="140">1-I77</f>
        <v>1</v>
      </c>
      <c r="J83" s="70">
        <f ca="1" t="shared" si="140"/>
        <v>1</v>
      </c>
      <c r="K83" s="70">
        <f ca="1" t="shared" si="140"/>
        <v>1</v>
      </c>
      <c r="L83" s="70">
        <f ca="1" t="shared" si="140"/>
        <v>1</v>
      </c>
      <c r="M83" s="70">
        <f ca="1" t="shared" si="140"/>
        <v>1</v>
      </c>
      <c r="N83" s="70">
        <f ca="1" t="shared" si="140"/>
        <v>1</v>
      </c>
      <c r="O83" s="70">
        <f ca="1" t="shared" si="140"/>
        <v>1</v>
      </c>
      <c r="P83" s="70">
        <f ca="1" t="shared" si="140"/>
        <v>1</v>
      </c>
      <c r="Q83" s="70">
        <f ca="1" t="shared" si="140"/>
        <v>1</v>
      </c>
      <c r="R83" s="70">
        <f ca="1" t="shared" si="140"/>
        <v>1</v>
      </c>
      <c r="S83" s="70">
        <f ca="1" t="shared" si="140"/>
        <v>1</v>
      </c>
      <c r="T83" s="70">
        <f ca="1" t="shared" si="140"/>
        <v>1</v>
      </c>
      <c r="U83" s="70">
        <f ca="1" t="shared" si="140"/>
        <v>1</v>
      </c>
      <c r="V83" s="70">
        <f ca="1" t="shared" si="140"/>
        <v>1</v>
      </c>
      <c r="W83" s="70">
        <f ca="1" t="shared" si="140"/>
        <v>1</v>
      </c>
      <c r="X83" s="70">
        <f ca="1" t="shared" si="140"/>
        <v>1</v>
      </c>
      <c r="Y83" s="70">
        <f ca="1" t="shared" si="140"/>
        <v>1</v>
      </c>
      <c r="Z83" s="70">
        <f ca="1" t="shared" si="140"/>
        <v>1</v>
      </c>
      <c r="AA83" s="70">
        <f ca="1" t="shared" si="140"/>
        <v>1</v>
      </c>
      <c r="AB83" s="70">
        <f ca="1" t="shared" si="140"/>
        <v>1</v>
      </c>
      <c r="AC83" s="70">
        <f ca="1" t="shared" si="140"/>
        <v>1</v>
      </c>
      <c r="AD83" s="70">
        <f ca="1" t="shared" si="140"/>
        <v>1</v>
      </c>
      <c r="AE83" s="70">
        <f ca="1" t="shared" si="140"/>
        <v>1</v>
      </c>
      <c r="AF83" s="70">
        <f ca="1" t="shared" si="140"/>
        <v>1</v>
      </c>
      <c r="AG83" s="70">
        <f ca="1" t="shared" si="140"/>
        <v>1</v>
      </c>
      <c r="AH83" s="70">
        <f ca="1" t="shared" si="140"/>
        <v>1</v>
      </c>
      <c r="AI83" s="70">
        <f ca="1" t="shared" si="140"/>
        <v>1</v>
      </c>
      <c r="AJ83" s="70">
        <f ca="1" t="shared" si="140"/>
        <v>1</v>
      </c>
      <c r="AK83" s="70">
        <f ca="1" t="shared" si="140"/>
        <v>1</v>
      </c>
      <c r="AL83" s="70">
        <f ca="1" t="shared" si="140"/>
        <v>1</v>
      </c>
      <c r="AM83" s="70">
        <f ca="1" t="shared" si="140"/>
        <v>1</v>
      </c>
      <c r="AN83" s="70">
        <f ca="1" t="shared" si="140"/>
        <v>1</v>
      </c>
      <c r="AO83" s="70">
        <f ca="1" t="shared" si="140"/>
        <v>1</v>
      </c>
      <c r="AP83" s="70">
        <f ca="1" t="shared" si="140"/>
        <v>1</v>
      </c>
      <c r="AQ83" s="70">
        <f ca="1" t="shared" si="140"/>
        <v>1</v>
      </c>
      <c r="AR83" s="70">
        <f ca="1" t="shared" si="140"/>
        <v>1</v>
      </c>
      <c r="AS83" s="70">
        <f ca="1" t="shared" si="140"/>
        <v>1</v>
      </c>
      <c r="AT83" s="70">
        <f ca="1" t="shared" si="140"/>
        <v>1</v>
      </c>
      <c r="AU83" s="70">
        <f ca="1" t="shared" si="140"/>
        <v>1</v>
      </c>
      <c r="AV83" s="70">
        <f ca="1" t="shared" si="140"/>
        <v>1</v>
      </c>
      <c r="AW83" s="70">
        <f ca="1" t="shared" si="140"/>
        <v>1</v>
      </c>
      <c r="AX83" s="70">
        <f ca="1" t="shared" si="140"/>
        <v>1</v>
      </c>
      <c r="AY83" s="70">
        <f ca="1" t="shared" si="140"/>
        <v>1</v>
      </c>
      <c r="AZ83" s="70">
        <f ca="1" t="shared" si="140"/>
        <v>1</v>
      </c>
      <c r="BA83" s="70">
        <f ca="1" t="shared" si="140"/>
        <v>1</v>
      </c>
      <c r="BD83" s="41">
        <f ca="1">IFERROR(SUMIFS('TRA balance'!E$5:E$40,'TRA balance'!$C$5:$C$40,Assumptions!$C83,'TRA balance'!$D$5:$D$40,Assumptions!$B83)*CY83*H83,"")</f>
        <v>0</v>
      </c>
      <c r="BE83" s="41">
        <f ca="1">IFERROR(SUMIFS('TRA balance'!F$5:F$40,'TRA balance'!$C$5:$C$40,Assumptions!$C83,'TRA balance'!$D$5:$D$40,Assumptions!$B83)*CZ83*I83,"")</f>
        <v>0</v>
      </c>
      <c r="BF83" s="41">
        <f ca="1">IFERROR(SUMIFS('TRA balance'!G$5:G$40,'TRA balance'!$C$5:$C$40,Assumptions!$C83,'TRA balance'!$D$5:$D$40,Assumptions!$B83)*DA83*J83,"")</f>
        <v>0</v>
      </c>
      <c r="BG83" s="41">
        <f ca="1">IFERROR(SUMIFS('TRA balance'!H$5:H$40,'TRA balance'!$C$5:$C$40,Assumptions!$C83,'TRA balance'!$D$5:$D$40,Assumptions!$B83)*DB83*K83,"")</f>
        <v>0</v>
      </c>
      <c r="BH83" s="41">
        <f ca="1">IFERROR(SUMIFS('TRA balance'!I$5:I$40,'TRA balance'!$C$5:$C$40,Assumptions!$C83,'TRA balance'!$D$5:$D$40,Assumptions!$B83)*DC83*L83,"")</f>
        <v>0</v>
      </c>
      <c r="BI83" s="41">
        <f ca="1">IFERROR(SUMIFS('TRA balance'!J$5:J$40,'TRA balance'!$C$5:$C$40,Assumptions!$C83,'TRA balance'!$D$5:$D$40,Assumptions!$B83)*DD83*M83,"")</f>
        <v>0</v>
      </c>
      <c r="BJ83" s="41">
        <f ca="1">IFERROR(SUMIFS('TRA balance'!K$5:K$40,'TRA balance'!$C$5:$C$40,Assumptions!$C83,'TRA balance'!$D$5:$D$40,Assumptions!$B83)*DE83*N83,"")</f>
        <v>0</v>
      </c>
      <c r="BK83" s="41">
        <f ca="1">IFERROR(SUMIFS('TRA balance'!L$5:L$40,'TRA balance'!$C$5:$C$40,Assumptions!$C83,'TRA balance'!$D$5:$D$40,Assumptions!$B83)*DF83*O83,"")</f>
        <v>0</v>
      </c>
      <c r="BL83" s="41">
        <f ca="1">IFERROR(SUMIFS('TRA balance'!M$5:M$40,'TRA balance'!$C$5:$C$40,Assumptions!$C83,'TRA balance'!$D$5:$D$40,Assumptions!$B83)*DG83*P83,"")</f>
        <v>0</v>
      </c>
      <c r="BM83" s="41">
        <f ca="1">IFERROR(SUMIFS('TRA balance'!N$5:N$40,'TRA balance'!$C$5:$C$40,Assumptions!$C83,'TRA balance'!$D$5:$D$40,Assumptions!$B83)*DH83*Q83,"")</f>
        <v>0</v>
      </c>
      <c r="BN83" s="41">
        <f ca="1">IFERROR(SUMIFS('TRA balance'!O$5:O$40,'TRA balance'!$C$5:$C$40,Assumptions!$C83,'TRA balance'!$D$5:$D$40,Assumptions!$B83)*DI83*R83,"")</f>
        <v>0</v>
      </c>
      <c r="BO83" s="41">
        <f ca="1">IFERROR(SUMIFS('TRA balance'!P$5:P$40,'TRA balance'!$C$5:$C$40,Assumptions!$C83,'TRA balance'!$D$5:$D$40,Assumptions!$B83)*DJ83*S83,"")</f>
        <v>0</v>
      </c>
      <c r="BP83" s="41">
        <f ca="1">IFERROR(SUMIFS('TRA balance'!Q$5:Q$40,'TRA balance'!$C$5:$C$40,Assumptions!$C83,'TRA balance'!$D$5:$D$40,Assumptions!$B83)*DK83*T83,"")</f>
        <v>0</v>
      </c>
      <c r="BQ83" s="41">
        <f ca="1">IFERROR(SUMIFS('TRA balance'!R$5:R$40,'TRA balance'!$C$5:$C$40,Assumptions!$C83,'TRA balance'!$D$5:$D$40,Assumptions!$B83)*DL83*U83,"")</f>
        <v>0</v>
      </c>
      <c r="BR83" s="41">
        <f ca="1">IFERROR(SUMIFS('TRA balance'!S$5:S$40,'TRA balance'!$C$5:$C$40,Assumptions!$C83,'TRA balance'!$D$5:$D$40,Assumptions!$B83)*DM83*V83,"")</f>
        <v>0</v>
      </c>
      <c r="BS83" s="41">
        <f ca="1">IFERROR(SUMIFS('TRA balance'!T$5:T$40,'TRA balance'!$C$5:$C$40,Assumptions!$C83,'TRA balance'!$D$5:$D$40,Assumptions!$B83)*DN83*W83,"")</f>
        <v>0</v>
      </c>
      <c r="BT83" s="41">
        <f ca="1">IFERROR(SUMIFS('TRA balance'!U$5:U$40,'TRA balance'!$C$5:$C$40,Assumptions!$C83,'TRA balance'!$D$5:$D$40,Assumptions!$B83)*DO83*X83,"")</f>
        <v>0</v>
      </c>
      <c r="BU83" s="41">
        <f ca="1">IFERROR(SUMIFS('TRA balance'!V$5:V$40,'TRA balance'!$C$5:$C$40,Assumptions!$C83,'TRA balance'!$D$5:$D$40,Assumptions!$B83)*DP83*Y83,"")</f>
        <v>0</v>
      </c>
      <c r="BV83" s="41">
        <f ca="1">IFERROR(SUMIFS('TRA balance'!W$5:W$40,'TRA balance'!$C$5:$C$40,Assumptions!$C83,'TRA balance'!$D$5:$D$40,Assumptions!$B83)*DQ83*Z83,"")</f>
        <v>0</v>
      </c>
      <c r="BW83" s="41">
        <f ca="1">IFERROR(SUMIFS('TRA balance'!X$5:X$40,'TRA balance'!$C$5:$C$40,Assumptions!$C83,'TRA balance'!$D$5:$D$40,Assumptions!$B83)*DR83*AA83,"")</f>
        <v>0</v>
      </c>
      <c r="BX83" s="41">
        <f ca="1">IFERROR(SUMIFS('TRA balance'!Y$5:Y$40,'TRA balance'!$C$5:$C$40,Assumptions!$C83,'TRA balance'!$D$5:$D$40,Assumptions!$B83)*DS83*AB83,"")</f>
        <v>0</v>
      </c>
      <c r="BY83" s="41">
        <f ca="1">IFERROR(SUMIFS('TRA balance'!Z$5:Z$40,'TRA balance'!$C$5:$C$40,Assumptions!$C83,'TRA balance'!$D$5:$D$40,Assumptions!$B83)*DT83*AC83,"")</f>
        <v>0</v>
      </c>
      <c r="BZ83" s="41">
        <f ca="1">IFERROR(SUMIFS('TRA balance'!AA$5:AA$40,'TRA balance'!$C$5:$C$40,Assumptions!$C83,'TRA balance'!$D$5:$D$40,Assumptions!$B83)*DU83*AD83,"")</f>
        <v>0</v>
      </c>
      <c r="CA83" s="41">
        <f ca="1">IFERROR(SUMIFS('TRA balance'!AB$5:AB$40,'TRA balance'!$C$5:$C$40,Assumptions!$C83,'TRA balance'!$D$5:$D$40,Assumptions!$B83)*DV83*AE83,"")</f>
        <v>0</v>
      </c>
      <c r="CB83" s="41">
        <f ca="1">IFERROR(SUMIFS('TRA balance'!AC$5:AC$40,'TRA balance'!$C$5:$C$40,Assumptions!$C83,'TRA balance'!$D$5:$D$40,Assumptions!$B83)*DW83*AF83,"")</f>
        <v>0</v>
      </c>
      <c r="CC83" s="41">
        <f ca="1">IFERROR(SUMIFS('TRA balance'!AD$5:AD$40,'TRA balance'!$C$5:$C$40,Assumptions!$C83,'TRA balance'!$D$5:$D$40,Assumptions!$B83)*DX83*AG83,"")</f>
        <v>0</v>
      </c>
      <c r="CD83" s="41">
        <f ca="1">IFERROR(SUMIFS('TRA balance'!AE$5:AE$40,'TRA balance'!$C$5:$C$40,Assumptions!$C83,'TRA balance'!$D$5:$D$40,Assumptions!$B83)*DY83*AH83,"")</f>
        <v>0</v>
      </c>
      <c r="CE83" s="41">
        <f ca="1">IFERROR(SUMIFS('TRA balance'!AF$5:AF$40,'TRA balance'!$C$5:$C$40,Assumptions!$C83,'TRA balance'!$D$5:$D$40,Assumptions!$B83)*DZ83*AI83,"")</f>
        <v>0</v>
      </c>
      <c r="CF83" s="41">
        <f ca="1">IFERROR(SUMIFS('TRA balance'!AG$5:AG$40,'TRA balance'!$C$5:$C$40,Assumptions!$C83,'TRA balance'!$D$5:$D$40,Assumptions!$B83)*EA83*AJ83,"")</f>
        <v>0</v>
      </c>
      <c r="CG83" s="41">
        <f ca="1">IFERROR(SUMIFS('TRA balance'!AH$5:AH$40,'TRA balance'!$C$5:$C$40,Assumptions!$C83,'TRA balance'!$D$5:$D$40,Assumptions!$B83)*EB83*AK83,"")</f>
        <v>0</v>
      </c>
      <c r="CH83" s="41">
        <f ca="1">IFERROR(SUMIFS('TRA balance'!AI$5:AI$40,'TRA balance'!$C$5:$C$40,Assumptions!$C83,'TRA balance'!$D$5:$D$40,Assumptions!$B83)*EC83*AL83,"")</f>
        <v>0</v>
      </c>
      <c r="CI83" s="41">
        <f ca="1">IFERROR(SUMIFS('TRA balance'!AJ$5:AJ$40,'TRA balance'!$C$5:$C$40,Assumptions!$C83,'TRA balance'!$D$5:$D$40,Assumptions!$B83)*ED83*AM83,"")</f>
        <v>0</v>
      </c>
      <c r="CJ83" s="41">
        <f ca="1">IFERROR(SUMIFS('TRA balance'!AK$5:AK$40,'TRA balance'!$C$5:$C$40,Assumptions!$C83,'TRA balance'!$D$5:$D$40,Assumptions!$B83)*EE83*AN83,"")</f>
        <v>0</v>
      </c>
      <c r="CK83" s="41">
        <f ca="1">IFERROR(SUMIFS('TRA balance'!AL$5:AL$40,'TRA balance'!$C$5:$C$40,Assumptions!$C83,'TRA balance'!$D$5:$D$40,Assumptions!$B83)*EF83*AO83,"")</f>
        <v>0</v>
      </c>
      <c r="CL83" s="41">
        <f ca="1">IFERROR(SUMIFS('TRA balance'!AM$5:AM$40,'TRA balance'!$C$5:$C$40,Assumptions!$C83,'TRA balance'!$D$5:$D$40,Assumptions!$B83)*EG83*AP83,"")</f>
        <v>0</v>
      </c>
      <c r="CM83" s="41">
        <f ca="1">IFERROR(SUMIFS('TRA balance'!AN$5:AN$40,'TRA balance'!$C$5:$C$40,Assumptions!$C83,'TRA balance'!$D$5:$D$40,Assumptions!$B83)*EH83*AQ83,"")</f>
        <v>0</v>
      </c>
      <c r="CN83" s="41">
        <f ca="1">IFERROR(SUMIFS('TRA balance'!AO$5:AO$40,'TRA balance'!$C$5:$C$40,Assumptions!$C83,'TRA balance'!$D$5:$D$40,Assumptions!$B83)*EI83*AR83,"")</f>
        <v>0</v>
      </c>
      <c r="CO83" s="41">
        <f ca="1">IFERROR(SUMIFS('TRA balance'!AP$5:AP$40,'TRA balance'!$C$5:$C$40,Assumptions!$C83,'TRA balance'!$D$5:$D$40,Assumptions!$B83)*EJ83*AS83,"")</f>
        <v>0</v>
      </c>
      <c r="CP83" s="41">
        <f ca="1">IFERROR(SUMIFS('TRA balance'!AQ$5:AQ$40,'TRA balance'!$C$5:$C$40,Assumptions!$C83,'TRA balance'!$D$5:$D$40,Assumptions!$B83)*EK83*AT83,"")</f>
        <v>0</v>
      </c>
      <c r="CQ83" s="41">
        <f ca="1">IFERROR(SUMIFS('TRA balance'!AR$5:AR$40,'TRA balance'!$C$5:$C$40,Assumptions!$C83,'TRA balance'!$D$5:$D$40,Assumptions!$B83)*EL83*AU83,"")</f>
        <v>0</v>
      </c>
      <c r="CR83" s="41">
        <f ca="1">IFERROR(SUMIFS('TRA balance'!AS$5:AS$40,'TRA balance'!$C$5:$C$40,Assumptions!$C83,'TRA balance'!$D$5:$D$40,Assumptions!$B83)*EM83*AV83,"")</f>
        <v>0</v>
      </c>
      <c r="CS83" s="41">
        <f ca="1">IFERROR(SUMIFS('TRA balance'!AT$5:AT$40,'TRA balance'!$C$5:$C$40,Assumptions!$C83,'TRA balance'!$D$5:$D$40,Assumptions!$B83)*EN83*AW83,"")</f>
        <v>0</v>
      </c>
      <c r="CT83" s="41">
        <f ca="1">IFERROR(SUMIFS('TRA balance'!AU$5:AU$40,'TRA balance'!$C$5:$C$40,Assumptions!$C83,'TRA balance'!$D$5:$D$40,Assumptions!$B83)*EO83*AX83,"")</f>
        <v>0</v>
      </c>
      <c r="CU83" s="41">
        <f ca="1">IFERROR(SUMIFS('TRA balance'!AV$5:AV$40,'TRA balance'!$C$5:$C$40,Assumptions!$C83,'TRA balance'!$D$5:$D$40,Assumptions!$B83)*EP83*AY83,"")</f>
        <v>0</v>
      </c>
      <c r="CV83" s="41">
        <f ca="1">IFERROR(SUMIFS('TRA balance'!AW$5:AW$40,'TRA balance'!$C$5:$C$40,Assumptions!$C83,'TRA balance'!$D$5:$D$40,Assumptions!$B83)*EQ83*AZ83,"")</f>
        <v>0</v>
      </c>
      <c r="CW83" s="41">
        <f ca="1">IFERROR(SUMIFS('TRA balance'!AX$5:AX$40,'TRA balance'!$C$5:$C$40,Assumptions!$C83,'TRA balance'!$D$5:$D$40,Assumptions!$B83)*ER83*BA83,"")</f>
        <v>0</v>
      </c>
      <c r="CY83" s="40">
        <f ca="1" t="shared" si="86"/>
        <v>1</v>
      </c>
      <c r="CZ83" s="40">
        <f ca="1" t="shared" si="87"/>
        <v>1</v>
      </c>
      <c r="DA83" s="40">
        <f ca="1" t="shared" si="88"/>
        <v>1</v>
      </c>
      <c r="DB83" s="40">
        <f ca="1" t="shared" si="89"/>
        <v>1</v>
      </c>
      <c r="DC83" s="40">
        <f ca="1" t="shared" si="90"/>
        <v>1</v>
      </c>
      <c r="DD83" s="40">
        <f ca="1" t="shared" si="91"/>
        <v>1</v>
      </c>
      <c r="DE83" s="40">
        <f ca="1" t="shared" si="92"/>
        <v>1</v>
      </c>
      <c r="DF83" s="40">
        <f ca="1" t="shared" si="93"/>
        <v>1</v>
      </c>
      <c r="DG83" s="40">
        <f ca="1" t="shared" si="94"/>
        <v>1</v>
      </c>
      <c r="DH83" s="40">
        <f ca="1" t="shared" si="95"/>
        <v>1</v>
      </c>
      <c r="DI83" s="40">
        <f ca="1" t="shared" si="96"/>
        <v>1</v>
      </c>
      <c r="DJ83" s="40">
        <f ca="1" t="shared" si="97"/>
        <v>1</v>
      </c>
      <c r="DK83" s="40">
        <f ca="1" t="shared" si="98"/>
        <v>1</v>
      </c>
      <c r="DL83" s="40">
        <f ca="1" t="shared" si="99"/>
        <v>1</v>
      </c>
      <c r="DM83" s="40">
        <f ca="1" t="shared" si="100"/>
        <v>1</v>
      </c>
      <c r="DN83" s="40">
        <f ca="1" t="shared" si="101"/>
        <v>1</v>
      </c>
      <c r="DO83" s="40">
        <f ca="1" t="shared" si="102"/>
        <v>1</v>
      </c>
      <c r="DP83" s="40">
        <f ca="1" t="shared" si="103"/>
        <v>1</v>
      </c>
      <c r="DQ83" s="40">
        <f ca="1" t="shared" si="104"/>
        <v>1</v>
      </c>
      <c r="DR83" s="40">
        <f ca="1" t="shared" si="105"/>
        <v>1</v>
      </c>
      <c r="DS83" s="40">
        <f ca="1" t="shared" si="106"/>
        <v>1</v>
      </c>
      <c r="DT83" s="40">
        <f ca="1" t="shared" si="107"/>
        <v>1</v>
      </c>
      <c r="DU83" s="40">
        <f ca="1" t="shared" si="108"/>
        <v>1</v>
      </c>
      <c r="DV83" s="40">
        <f ca="1" t="shared" si="109"/>
        <v>1</v>
      </c>
      <c r="DW83" s="40">
        <f ca="1" t="shared" si="110"/>
        <v>1</v>
      </c>
      <c r="DX83" s="40">
        <f ca="1" t="shared" si="111"/>
        <v>1</v>
      </c>
      <c r="DY83" s="40">
        <f ca="1" t="shared" si="112"/>
        <v>1</v>
      </c>
      <c r="DZ83" s="40">
        <f ca="1" t="shared" si="113"/>
        <v>1</v>
      </c>
      <c r="EA83" s="40">
        <f ca="1" t="shared" si="114"/>
        <v>1</v>
      </c>
      <c r="EB83" s="40">
        <f ca="1" t="shared" si="115"/>
        <v>1</v>
      </c>
      <c r="EC83" s="40">
        <f ca="1" t="shared" si="116"/>
        <v>1</v>
      </c>
      <c r="ED83" s="40">
        <f ca="1" t="shared" si="117"/>
        <v>1</v>
      </c>
      <c r="EE83" s="40">
        <f ca="1" t="shared" si="118"/>
        <v>1</v>
      </c>
      <c r="EF83" s="40">
        <f ca="1" t="shared" si="119"/>
        <v>1</v>
      </c>
      <c r="EG83" s="40">
        <f ca="1" t="shared" si="120"/>
        <v>1</v>
      </c>
      <c r="EH83" s="40">
        <f ca="1" t="shared" si="121"/>
        <v>1</v>
      </c>
      <c r="EI83" s="40">
        <f ca="1" t="shared" si="122"/>
        <v>1</v>
      </c>
      <c r="EJ83" s="40">
        <f ca="1" t="shared" si="123"/>
        <v>1</v>
      </c>
      <c r="EK83" s="40">
        <f ca="1" t="shared" si="124"/>
        <v>1</v>
      </c>
      <c r="EL83" s="40">
        <f ca="1" t="shared" si="125"/>
        <v>1</v>
      </c>
      <c r="EM83" s="40">
        <f ca="1" t="shared" si="126"/>
        <v>1</v>
      </c>
      <c r="EN83" s="40">
        <f ca="1" t="shared" si="127"/>
        <v>1</v>
      </c>
      <c r="EO83" s="40">
        <f ca="1" t="shared" si="128"/>
        <v>1</v>
      </c>
      <c r="EP83" s="40">
        <f ca="1" t="shared" si="129"/>
        <v>1</v>
      </c>
      <c r="EQ83" s="40">
        <f ca="1" t="shared" si="130"/>
        <v>1</v>
      </c>
      <c r="ER83" s="40">
        <f ca="1" t="shared" si="131"/>
        <v>1</v>
      </c>
    </row>
    <row r="84" spans="1:148">
      <c r="A84">
        <v>2</v>
      </c>
      <c r="B84" t="str">
        <f>VLOOKUP(F84,'TRA balance'!$BA$5:$BB$14,2,FALSE)</f>
        <v>TRABGS</v>
      </c>
      <c r="C84" s="56" t="str">
        <f t="shared" si="133"/>
        <v>TR</v>
      </c>
      <c r="D84" s="57" t="s">
        <v>200</v>
      </c>
      <c r="E84" s="68" t="s">
        <v>212</v>
      </c>
      <c r="F84" s="58" t="str">
        <f t="shared" si="138"/>
        <v>Bio Gasoline</v>
      </c>
      <c r="G84" s="56" t="s">
        <v>213</v>
      </c>
      <c r="H84" s="59">
        <f ca="1">OFFSET(TIAM15_assumptions!$G84,0,MATCH(VLOOKUP(Assumptions!H$2,TIAM15_assumptions!$Y$3:$Z$87,2,FALSE),TIAM15_assumptions!$H$2:$V$2,0))</f>
        <v>0</v>
      </c>
      <c r="I84" s="59">
        <f ca="1">OFFSET(TIAM15_assumptions!$G84,0,MATCH(VLOOKUP(Assumptions!I$2,TIAM15_assumptions!$Y$3:$Z$87,2,FALSE),TIAM15_assumptions!$H$2:$V$2,0))</f>
        <v>0</v>
      </c>
      <c r="J84" s="59">
        <f ca="1">OFFSET(TIAM15_assumptions!$G84,0,MATCH(VLOOKUP(Assumptions!J$2,TIAM15_assumptions!$Y$3:$Z$87,2,FALSE),TIAM15_assumptions!$H$2:$V$2,0))</f>
        <v>0</v>
      </c>
      <c r="K84" s="59">
        <f ca="1">OFFSET(TIAM15_assumptions!$G84,0,MATCH(VLOOKUP(Assumptions!K$2,TIAM15_assumptions!$Y$3:$Z$87,2,FALSE),TIAM15_assumptions!$H$2:$V$2,0))</f>
        <v>0</v>
      </c>
      <c r="L84" s="59">
        <f ca="1">OFFSET(TIAM15_assumptions!$G84,0,MATCH(VLOOKUP(Assumptions!L$2,TIAM15_assumptions!$Y$3:$Z$87,2,FALSE),TIAM15_assumptions!$H$2:$V$2,0))</f>
        <v>0</v>
      </c>
      <c r="M84" s="59">
        <f ca="1">OFFSET(TIAM15_assumptions!$G84,0,MATCH(VLOOKUP(Assumptions!M$2,TIAM15_assumptions!$Y$3:$Z$87,2,FALSE),TIAM15_assumptions!$H$2:$V$2,0))</f>
        <v>0</v>
      </c>
      <c r="N84" s="59">
        <f ca="1">OFFSET(TIAM15_assumptions!$G84,0,MATCH(VLOOKUP(Assumptions!N$2,TIAM15_assumptions!$Y$3:$Z$87,2,FALSE),TIAM15_assumptions!$H$2:$V$2,0))</f>
        <v>0</v>
      </c>
      <c r="O84" s="59">
        <f ca="1">OFFSET(TIAM15_assumptions!$G84,0,MATCH(VLOOKUP(Assumptions!O$2,TIAM15_assumptions!$Y$3:$Z$87,2,FALSE),TIAM15_assumptions!$H$2:$V$2,0))</f>
        <v>0</v>
      </c>
      <c r="P84" s="59">
        <f ca="1">OFFSET(TIAM15_assumptions!$G84,0,MATCH(VLOOKUP(Assumptions!P$2,TIAM15_assumptions!$Y$3:$Z$87,2,FALSE),TIAM15_assumptions!$H$2:$V$2,0))</f>
        <v>0</v>
      </c>
      <c r="Q84" s="59">
        <f ca="1">OFFSET(TIAM15_assumptions!$G84,0,MATCH(VLOOKUP(Assumptions!Q$2,TIAM15_assumptions!$Y$3:$Z$87,2,FALSE),TIAM15_assumptions!$H$2:$V$2,0))</f>
        <v>0</v>
      </c>
      <c r="R84" s="59">
        <f ca="1">OFFSET(TIAM15_assumptions!$G84,0,MATCH(VLOOKUP(Assumptions!R$2,TIAM15_assumptions!$Y$3:$Z$87,2,FALSE),TIAM15_assumptions!$H$2:$V$2,0))</f>
        <v>0</v>
      </c>
      <c r="S84" s="59">
        <f ca="1">OFFSET(TIAM15_assumptions!$G84,0,MATCH(VLOOKUP(Assumptions!S$2,TIAM15_assumptions!$Y$3:$Z$87,2,FALSE),TIAM15_assumptions!$H$2:$V$2,0))</f>
        <v>0</v>
      </c>
      <c r="T84" s="59">
        <f ca="1">OFFSET(TIAM15_assumptions!$G84,0,MATCH(VLOOKUP(Assumptions!T$2,TIAM15_assumptions!$Y$3:$Z$87,2,FALSE),TIAM15_assumptions!$H$2:$V$2,0))</f>
        <v>0</v>
      </c>
      <c r="U84" s="59">
        <f ca="1">OFFSET(TIAM15_assumptions!$G84,0,MATCH(VLOOKUP(Assumptions!U$2,TIAM15_assumptions!$Y$3:$Z$87,2,FALSE),TIAM15_assumptions!$H$2:$V$2,0))</f>
        <v>0</v>
      </c>
      <c r="V84" s="59">
        <f ca="1">OFFSET(TIAM15_assumptions!$G84,0,MATCH(VLOOKUP(Assumptions!V$2,TIAM15_assumptions!$Y$3:$Z$87,2,FALSE),TIAM15_assumptions!$H$2:$V$2,0))</f>
        <v>0</v>
      </c>
      <c r="W84" s="59">
        <f ca="1">OFFSET(TIAM15_assumptions!$G84,0,MATCH(VLOOKUP(Assumptions!W$2,TIAM15_assumptions!$Y$3:$Z$87,2,FALSE),TIAM15_assumptions!$H$2:$V$2,0))</f>
        <v>0</v>
      </c>
      <c r="X84" s="59">
        <f ca="1">OFFSET(TIAM15_assumptions!$G84,0,MATCH(VLOOKUP(Assumptions!X$2,TIAM15_assumptions!$Y$3:$Z$87,2,FALSE),TIAM15_assumptions!$H$2:$V$2,0))</f>
        <v>0</v>
      </c>
      <c r="Y84" s="59">
        <f ca="1">OFFSET(TIAM15_assumptions!$G84,0,MATCH(VLOOKUP(Assumptions!Y$2,TIAM15_assumptions!$Y$3:$Z$87,2,FALSE),TIAM15_assumptions!$H$2:$V$2,0))</f>
        <v>0</v>
      </c>
      <c r="Z84" s="59">
        <f ca="1">OFFSET(TIAM15_assumptions!$G84,0,MATCH(VLOOKUP(Assumptions!Z$2,TIAM15_assumptions!$Y$3:$Z$87,2,FALSE),TIAM15_assumptions!$H$2:$V$2,0))</f>
        <v>0</v>
      </c>
      <c r="AA84" s="59">
        <f ca="1">OFFSET(TIAM15_assumptions!$G84,0,MATCH(VLOOKUP(Assumptions!AA$2,TIAM15_assumptions!$Y$3:$Z$87,2,FALSE),TIAM15_assumptions!$H$2:$V$2,0))</f>
        <v>0</v>
      </c>
      <c r="AB84" s="59">
        <f ca="1">OFFSET(TIAM15_assumptions!$G84,0,MATCH(VLOOKUP(Assumptions!AB$2,TIAM15_assumptions!$Y$3:$Z$87,2,FALSE),TIAM15_assumptions!$H$2:$V$2,0))</f>
        <v>0</v>
      </c>
      <c r="AC84" s="59">
        <f ca="1">OFFSET(TIAM15_assumptions!$G84,0,MATCH(VLOOKUP(Assumptions!AC$2,TIAM15_assumptions!$Y$3:$Z$87,2,FALSE),TIAM15_assumptions!$H$2:$V$2,0))</f>
        <v>0</v>
      </c>
      <c r="AD84" s="59">
        <f ca="1">OFFSET(TIAM15_assumptions!$G84,0,MATCH(VLOOKUP(Assumptions!AD$2,TIAM15_assumptions!$Y$3:$Z$87,2,FALSE),TIAM15_assumptions!$H$2:$V$2,0))</f>
        <v>0</v>
      </c>
      <c r="AE84" s="59">
        <f ca="1">OFFSET(TIAM15_assumptions!$G84,0,MATCH(VLOOKUP(Assumptions!AE$2,TIAM15_assumptions!$Y$3:$Z$87,2,FALSE),TIAM15_assumptions!$H$2:$V$2,0))</f>
        <v>0</v>
      </c>
      <c r="AF84" s="59">
        <f ca="1">OFFSET(TIAM15_assumptions!$G84,0,MATCH(VLOOKUP(Assumptions!AF$2,TIAM15_assumptions!$Y$3:$Z$87,2,FALSE),TIAM15_assumptions!$H$2:$V$2,0))</f>
        <v>0</v>
      </c>
      <c r="AG84" s="59">
        <f ca="1">OFFSET(TIAM15_assumptions!$G84,0,MATCH(VLOOKUP(Assumptions!AG$2,TIAM15_assumptions!$Y$3:$Z$87,2,FALSE),TIAM15_assumptions!$H$2:$V$2,0))</f>
        <v>0</v>
      </c>
      <c r="AH84" s="59">
        <f ca="1">OFFSET(TIAM15_assumptions!$G84,0,MATCH(VLOOKUP(Assumptions!AH$2,TIAM15_assumptions!$Y$3:$Z$87,2,FALSE),TIAM15_assumptions!$H$2:$V$2,0))</f>
        <v>0</v>
      </c>
      <c r="AI84" s="59">
        <f ca="1">OFFSET(TIAM15_assumptions!$G84,0,MATCH(VLOOKUP(Assumptions!AI$2,TIAM15_assumptions!$Y$3:$Z$87,2,FALSE),TIAM15_assumptions!$H$2:$V$2,0))</f>
        <v>0</v>
      </c>
      <c r="AJ84" s="59">
        <f ca="1">OFFSET(TIAM15_assumptions!$G84,0,MATCH(VLOOKUP(Assumptions!AJ$2,TIAM15_assumptions!$Y$3:$Z$87,2,FALSE),TIAM15_assumptions!$H$2:$V$2,0))</f>
        <v>0</v>
      </c>
      <c r="AK84" s="59">
        <f ca="1">OFFSET(TIAM15_assumptions!$G84,0,MATCH(VLOOKUP(Assumptions!AK$2,TIAM15_assumptions!$Y$3:$Z$87,2,FALSE),TIAM15_assumptions!$H$2:$V$2,0))</f>
        <v>0</v>
      </c>
      <c r="AL84" s="59">
        <f ca="1">OFFSET(TIAM15_assumptions!$G84,0,MATCH(VLOOKUP(Assumptions!AL$2,TIAM15_assumptions!$Y$3:$Z$87,2,FALSE),TIAM15_assumptions!$H$2:$V$2,0))</f>
        <v>0</v>
      </c>
      <c r="AM84" s="59">
        <f ca="1">OFFSET(TIAM15_assumptions!$G84,0,MATCH(VLOOKUP(Assumptions!AM$2,TIAM15_assumptions!$Y$3:$Z$87,2,FALSE),TIAM15_assumptions!$H$2:$V$2,0))</f>
        <v>0</v>
      </c>
      <c r="AN84" s="59">
        <f ca="1">OFFSET(TIAM15_assumptions!$G84,0,MATCH(VLOOKUP(Assumptions!AN$2,TIAM15_assumptions!$Y$3:$Z$87,2,FALSE),TIAM15_assumptions!$H$2:$V$2,0))</f>
        <v>0</v>
      </c>
      <c r="AO84" s="59">
        <f ca="1">OFFSET(TIAM15_assumptions!$G84,0,MATCH(VLOOKUP(Assumptions!AO$2,TIAM15_assumptions!$Y$3:$Z$87,2,FALSE),TIAM15_assumptions!$H$2:$V$2,0))</f>
        <v>0</v>
      </c>
      <c r="AP84" s="59">
        <f ca="1">OFFSET(TIAM15_assumptions!$G84,0,MATCH(VLOOKUP(Assumptions!AP$2,TIAM15_assumptions!$Y$3:$Z$87,2,FALSE),TIAM15_assumptions!$H$2:$V$2,0))</f>
        <v>0</v>
      </c>
      <c r="AQ84" s="59">
        <f ca="1">OFFSET(TIAM15_assumptions!$G84,0,MATCH(VLOOKUP(Assumptions!AQ$2,TIAM15_assumptions!$Y$3:$Z$87,2,FALSE),TIAM15_assumptions!$H$2:$V$2,0))</f>
        <v>0</v>
      </c>
      <c r="AR84" s="59">
        <f ca="1">OFFSET(TIAM15_assumptions!$G84,0,MATCH(VLOOKUP(Assumptions!AR$2,TIAM15_assumptions!$Y$3:$Z$87,2,FALSE),TIAM15_assumptions!$H$2:$V$2,0))</f>
        <v>0</v>
      </c>
      <c r="AS84" s="59">
        <f ca="1">OFFSET(TIAM15_assumptions!$G84,0,MATCH(VLOOKUP(Assumptions!AS$2,TIAM15_assumptions!$Y$3:$Z$87,2,FALSE),TIAM15_assumptions!$H$2:$V$2,0))</f>
        <v>0</v>
      </c>
      <c r="AT84" s="59">
        <f ca="1">OFFSET(TIAM15_assumptions!$G84,0,MATCH(VLOOKUP(Assumptions!AT$2,TIAM15_assumptions!$Y$3:$Z$87,2,FALSE),TIAM15_assumptions!$H$2:$V$2,0))</f>
        <v>0</v>
      </c>
      <c r="AU84" s="59">
        <f ca="1">OFFSET(TIAM15_assumptions!$G84,0,MATCH(VLOOKUP(Assumptions!AU$2,TIAM15_assumptions!$Y$3:$Z$87,2,FALSE),TIAM15_assumptions!$H$2:$V$2,0))</f>
        <v>0</v>
      </c>
      <c r="AV84" s="59">
        <f ca="1">OFFSET(TIAM15_assumptions!$G84,0,MATCH(VLOOKUP(Assumptions!AV$2,TIAM15_assumptions!$Y$3:$Z$87,2,FALSE),TIAM15_assumptions!$H$2:$V$2,0))</f>
        <v>0</v>
      </c>
      <c r="AW84" s="59">
        <f ca="1">OFFSET(TIAM15_assumptions!$G84,0,MATCH(VLOOKUP(Assumptions!AW$2,TIAM15_assumptions!$Y$3:$Z$87,2,FALSE),TIAM15_assumptions!$H$2:$V$2,0))</f>
        <v>0</v>
      </c>
      <c r="AX84" s="59">
        <f ca="1">OFFSET(TIAM15_assumptions!$G84,0,MATCH(VLOOKUP(Assumptions!AX$2,TIAM15_assumptions!$Y$3:$Z$87,2,FALSE),TIAM15_assumptions!$H$2:$V$2,0))</f>
        <v>0</v>
      </c>
      <c r="AY84" s="59">
        <f ca="1">OFFSET(TIAM15_assumptions!$G84,0,MATCH(VLOOKUP(Assumptions!AY$2,TIAM15_assumptions!$Y$3:$Z$87,2,FALSE),TIAM15_assumptions!$H$2:$V$2,0))</f>
        <v>0</v>
      </c>
      <c r="AZ84" s="59">
        <f ca="1">OFFSET(TIAM15_assumptions!$G84,0,MATCH(VLOOKUP(Assumptions!AZ$2,TIAM15_assumptions!$Y$3:$Z$87,2,FALSE),TIAM15_assumptions!$H$2:$V$2,0))</f>
        <v>0</v>
      </c>
      <c r="BA84" s="59">
        <f ca="1">OFFSET(TIAM15_assumptions!$G84,0,MATCH(VLOOKUP(Assumptions!BA$2,TIAM15_assumptions!$Y$3:$Z$87,2,FALSE),TIAM15_assumptions!$H$2:$V$2,0))</f>
        <v>0</v>
      </c>
      <c r="BD84" s="41">
        <f ca="1">IFERROR(SUMIFS('TRA balance'!E$5:E$40,'TRA balance'!$C$5:$C$40,Assumptions!$C84,'TRA balance'!$D$5:$D$40,Assumptions!$B84)*CY84*H84,"")</f>
        <v>0</v>
      </c>
      <c r="BE84" s="41">
        <f ca="1">IFERROR(SUMIFS('TRA balance'!F$5:F$40,'TRA balance'!$C$5:$C$40,Assumptions!$C84,'TRA balance'!$D$5:$D$40,Assumptions!$B84)*CZ84*I84,"")</f>
        <v>0</v>
      </c>
      <c r="BF84" s="41">
        <f ca="1">IFERROR(SUMIFS('TRA balance'!G$5:G$40,'TRA balance'!$C$5:$C$40,Assumptions!$C84,'TRA balance'!$D$5:$D$40,Assumptions!$B84)*DA84*J84,"")</f>
        <v>0</v>
      </c>
      <c r="BG84" s="41">
        <f ca="1">IFERROR(SUMIFS('TRA balance'!H$5:H$40,'TRA balance'!$C$5:$C$40,Assumptions!$C84,'TRA balance'!$D$5:$D$40,Assumptions!$B84)*DB84*K84,"")</f>
        <v>0</v>
      </c>
      <c r="BH84" s="41">
        <f ca="1">IFERROR(SUMIFS('TRA balance'!I$5:I$40,'TRA balance'!$C$5:$C$40,Assumptions!$C84,'TRA balance'!$D$5:$D$40,Assumptions!$B84)*DC84*L84,"")</f>
        <v>0</v>
      </c>
      <c r="BI84" s="41">
        <f ca="1">IFERROR(SUMIFS('TRA balance'!J$5:J$40,'TRA balance'!$C$5:$C$40,Assumptions!$C84,'TRA balance'!$D$5:$D$40,Assumptions!$B84)*DD84*M84,"")</f>
        <v>0</v>
      </c>
      <c r="BJ84" s="41">
        <f ca="1">IFERROR(SUMIFS('TRA balance'!K$5:K$40,'TRA balance'!$C$5:$C$40,Assumptions!$C84,'TRA balance'!$D$5:$D$40,Assumptions!$B84)*DE84*N84,"")</f>
        <v>0</v>
      </c>
      <c r="BK84" s="41">
        <f ca="1">IFERROR(SUMIFS('TRA balance'!L$5:L$40,'TRA balance'!$C$5:$C$40,Assumptions!$C84,'TRA balance'!$D$5:$D$40,Assumptions!$B84)*DF84*O84,"")</f>
        <v>0</v>
      </c>
      <c r="BL84" s="41">
        <f ca="1">IFERROR(SUMIFS('TRA balance'!M$5:M$40,'TRA balance'!$C$5:$C$40,Assumptions!$C84,'TRA balance'!$D$5:$D$40,Assumptions!$B84)*DG84*P84,"")</f>
        <v>0</v>
      </c>
      <c r="BM84" s="41">
        <f ca="1">IFERROR(SUMIFS('TRA balance'!N$5:N$40,'TRA balance'!$C$5:$C$40,Assumptions!$C84,'TRA balance'!$D$5:$D$40,Assumptions!$B84)*DH84*Q84,"")</f>
        <v>0</v>
      </c>
      <c r="BN84" s="41">
        <f ca="1">IFERROR(SUMIFS('TRA balance'!O$5:O$40,'TRA balance'!$C$5:$C$40,Assumptions!$C84,'TRA balance'!$D$5:$D$40,Assumptions!$B84)*DI84*R84,"")</f>
        <v>0</v>
      </c>
      <c r="BO84" s="41">
        <f ca="1">IFERROR(SUMIFS('TRA balance'!P$5:P$40,'TRA balance'!$C$5:$C$40,Assumptions!$C84,'TRA balance'!$D$5:$D$40,Assumptions!$B84)*DJ84*S84,"")</f>
        <v>0</v>
      </c>
      <c r="BP84" s="41">
        <f ca="1">IFERROR(SUMIFS('TRA balance'!Q$5:Q$40,'TRA balance'!$C$5:$C$40,Assumptions!$C84,'TRA balance'!$D$5:$D$40,Assumptions!$B84)*DK84*T84,"")</f>
        <v>0</v>
      </c>
      <c r="BQ84" s="41">
        <f ca="1">IFERROR(SUMIFS('TRA balance'!R$5:R$40,'TRA balance'!$C$5:$C$40,Assumptions!$C84,'TRA balance'!$D$5:$D$40,Assumptions!$B84)*DL84*U84,"")</f>
        <v>0</v>
      </c>
      <c r="BR84" s="41">
        <f ca="1">IFERROR(SUMIFS('TRA balance'!S$5:S$40,'TRA balance'!$C$5:$C$40,Assumptions!$C84,'TRA balance'!$D$5:$D$40,Assumptions!$B84)*DM84*V84,"")</f>
        <v>0</v>
      </c>
      <c r="BS84" s="41">
        <f ca="1">IFERROR(SUMIFS('TRA balance'!T$5:T$40,'TRA balance'!$C$5:$C$40,Assumptions!$C84,'TRA balance'!$D$5:$D$40,Assumptions!$B84)*DN84*W84,"")</f>
        <v>0</v>
      </c>
      <c r="BT84" s="41">
        <f ca="1">IFERROR(SUMIFS('TRA balance'!U$5:U$40,'TRA balance'!$C$5:$C$40,Assumptions!$C84,'TRA balance'!$D$5:$D$40,Assumptions!$B84)*DO84*X84,"")</f>
        <v>0</v>
      </c>
      <c r="BU84" s="41">
        <f ca="1">IFERROR(SUMIFS('TRA balance'!V$5:V$40,'TRA balance'!$C$5:$C$40,Assumptions!$C84,'TRA balance'!$D$5:$D$40,Assumptions!$B84)*DP84*Y84,"")</f>
        <v>0</v>
      </c>
      <c r="BV84" s="41">
        <f ca="1">IFERROR(SUMIFS('TRA balance'!W$5:W$40,'TRA balance'!$C$5:$C$40,Assumptions!$C84,'TRA balance'!$D$5:$D$40,Assumptions!$B84)*DQ84*Z84,"")</f>
        <v>0</v>
      </c>
      <c r="BW84" s="41">
        <f ca="1">IFERROR(SUMIFS('TRA balance'!X$5:X$40,'TRA balance'!$C$5:$C$40,Assumptions!$C84,'TRA balance'!$D$5:$D$40,Assumptions!$B84)*DR84*AA84,"")</f>
        <v>0</v>
      </c>
      <c r="BX84" s="41">
        <f ca="1">IFERROR(SUMIFS('TRA balance'!Y$5:Y$40,'TRA balance'!$C$5:$C$40,Assumptions!$C84,'TRA balance'!$D$5:$D$40,Assumptions!$B84)*DS84*AB84,"")</f>
        <v>0</v>
      </c>
      <c r="BY84" s="41">
        <f ca="1">IFERROR(SUMIFS('TRA balance'!Z$5:Z$40,'TRA balance'!$C$5:$C$40,Assumptions!$C84,'TRA balance'!$D$5:$D$40,Assumptions!$B84)*DT84*AC84,"")</f>
        <v>0</v>
      </c>
      <c r="BZ84" s="41">
        <f ca="1">IFERROR(SUMIFS('TRA balance'!AA$5:AA$40,'TRA balance'!$C$5:$C$40,Assumptions!$C84,'TRA balance'!$D$5:$D$40,Assumptions!$B84)*DU84*AD84,"")</f>
        <v>0</v>
      </c>
      <c r="CA84" s="41">
        <f ca="1">IFERROR(SUMIFS('TRA balance'!AB$5:AB$40,'TRA balance'!$C$5:$C$40,Assumptions!$C84,'TRA balance'!$D$5:$D$40,Assumptions!$B84)*DV84*AE84,"")</f>
        <v>0</v>
      </c>
      <c r="CB84" s="41">
        <f ca="1">IFERROR(SUMIFS('TRA balance'!AC$5:AC$40,'TRA balance'!$C$5:$C$40,Assumptions!$C84,'TRA balance'!$D$5:$D$40,Assumptions!$B84)*DW84*AF84,"")</f>
        <v>0</v>
      </c>
      <c r="CC84" s="41">
        <f ca="1">IFERROR(SUMIFS('TRA balance'!AD$5:AD$40,'TRA balance'!$C$5:$C$40,Assumptions!$C84,'TRA balance'!$D$5:$D$40,Assumptions!$B84)*DX84*AG84,"")</f>
        <v>0</v>
      </c>
      <c r="CD84" s="41">
        <f ca="1">IFERROR(SUMIFS('TRA balance'!AE$5:AE$40,'TRA balance'!$C$5:$C$40,Assumptions!$C84,'TRA balance'!$D$5:$D$40,Assumptions!$B84)*DY84*AH84,"")</f>
        <v>0</v>
      </c>
      <c r="CE84" s="41">
        <f ca="1">IFERROR(SUMIFS('TRA balance'!AF$5:AF$40,'TRA balance'!$C$5:$C$40,Assumptions!$C84,'TRA balance'!$D$5:$D$40,Assumptions!$B84)*DZ84*AI84,"")</f>
        <v>0</v>
      </c>
      <c r="CF84" s="41">
        <f ca="1">IFERROR(SUMIFS('TRA balance'!AG$5:AG$40,'TRA balance'!$C$5:$C$40,Assumptions!$C84,'TRA balance'!$D$5:$D$40,Assumptions!$B84)*EA84*AJ84,"")</f>
        <v>0</v>
      </c>
      <c r="CG84" s="41">
        <f ca="1">IFERROR(SUMIFS('TRA balance'!AH$5:AH$40,'TRA balance'!$C$5:$C$40,Assumptions!$C84,'TRA balance'!$D$5:$D$40,Assumptions!$B84)*EB84*AK84,"")</f>
        <v>0</v>
      </c>
      <c r="CH84" s="41">
        <f ca="1">IFERROR(SUMIFS('TRA balance'!AI$5:AI$40,'TRA balance'!$C$5:$C$40,Assumptions!$C84,'TRA balance'!$D$5:$D$40,Assumptions!$B84)*EC84*AL84,"")</f>
        <v>0</v>
      </c>
      <c r="CI84" s="41">
        <f ca="1">IFERROR(SUMIFS('TRA balance'!AJ$5:AJ$40,'TRA balance'!$C$5:$C$40,Assumptions!$C84,'TRA balance'!$D$5:$D$40,Assumptions!$B84)*ED84*AM84,"")</f>
        <v>0</v>
      </c>
      <c r="CJ84" s="41">
        <f ca="1">IFERROR(SUMIFS('TRA balance'!AK$5:AK$40,'TRA balance'!$C$5:$C$40,Assumptions!$C84,'TRA balance'!$D$5:$D$40,Assumptions!$B84)*EE84*AN84,"")</f>
        <v>0</v>
      </c>
      <c r="CK84" s="41">
        <f ca="1">IFERROR(SUMIFS('TRA balance'!AL$5:AL$40,'TRA balance'!$C$5:$C$40,Assumptions!$C84,'TRA balance'!$D$5:$D$40,Assumptions!$B84)*EF84*AO84,"")</f>
        <v>0</v>
      </c>
      <c r="CL84" s="41">
        <f ca="1">IFERROR(SUMIFS('TRA balance'!AM$5:AM$40,'TRA balance'!$C$5:$C$40,Assumptions!$C84,'TRA balance'!$D$5:$D$40,Assumptions!$B84)*EG84*AP84,"")</f>
        <v>0</v>
      </c>
      <c r="CM84" s="41">
        <f ca="1">IFERROR(SUMIFS('TRA balance'!AN$5:AN$40,'TRA balance'!$C$5:$C$40,Assumptions!$C84,'TRA balance'!$D$5:$D$40,Assumptions!$B84)*EH84*AQ84,"")</f>
        <v>0</v>
      </c>
      <c r="CN84" s="41">
        <f ca="1">IFERROR(SUMIFS('TRA balance'!AO$5:AO$40,'TRA balance'!$C$5:$C$40,Assumptions!$C84,'TRA balance'!$D$5:$D$40,Assumptions!$B84)*EI84*AR84,"")</f>
        <v>0</v>
      </c>
      <c r="CO84" s="41">
        <f ca="1">IFERROR(SUMIFS('TRA balance'!AP$5:AP$40,'TRA balance'!$C$5:$C$40,Assumptions!$C84,'TRA balance'!$D$5:$D$40,Assumptions!$B84)*EJ84*AS84,"")</f>
        <v>0</v>
      </c>
      <c r="CP84" s="41">
        <f ca="1">IFERROR(SUMIFS('TRA balance'!AQ$5:AQ$40,'TRA balance'!$C$5:$C$40,Assumptions!$C84,'TRA balance'!$D$5:$D$40,Assumptions!$B84)*EK84*AT84,"")</f>
        <v>0</v>
      </c>
      <c r="CQ84" s="41">
        <f ca="1">IFERROR(SUMIFS('TRA balance'!AR$5:AR$40,'TRA balance'!$C$5:$C$40,Assumptions!$C84,'TRA balance'!$D$5:$D$40,Assumptions!$B84)*EL84*AU84,"")</f>
        <v>0</v>
      </c>
      <c r="CR84" s="41">
        <f ca="1">IFERROR(SUMIFS('TRA balance'!AS$5:AS$40,'TRA balance'!$C$5:$C$40,Assumptions!$C84,'TRA balance'!$D$5:$D$40,Assumptions!$B84)*EM84*AV84,"")</f>
        <v>0</v>
      </c>
      <c r="CS84" s="41">
        <f ca="1">IFERROR(SUMIFS('TRA balance'!AT$5:AT$40,'TRA balance'!$C$5:$C$40,Assumptions!$C84,'TRA balance'!$D$5:$D$40,Assumptions!$B84)*EN84*AW84,"")</f>
        <v>0</v>
      </c>
      <c r="CT84" s="41">
        <f ca="1">IFERROR(SUMIFS('TRA balance'!AU$5:AU$40,'TRA balance'!$C$5:$C$40,Assumptions!$C84,'TRA balance'!$D$5:$D$40,Assumptions!$B84)*EO84*AX84,"")</f>
        <v>0</v>
      </c>
      <c r="CU84" s="41">
        <f ca="1">IFERROR(SUMIFS('TRA balance'!AV$5:AV$40,'TRA balance'!$C$5:$C$40,Assumptions!$C84,'TRA balance'!$D$5:$D$40,Assumptions!$B84)*EP84*AY84,"")</f>
        <v>0</v>
      </c>
      <c r="CV84" s="41">
        <f ca="1">IFERROR(SUMIFS('TRA balance'!AW$5:AW$40,'TRA balance'!$C$5:$C$40,Assumptions!$C84,'TRA balance'!$D$5:$D$40,Assumptions!$B84)*EQ84*AZ84,"")</f>
        <v>0</v>
      </c>
      <c r="CW84" s="41">
        <f ca="1">IFERROR(SUMIFS('TRA balance'!AX$5:AX$40,'TRA balance'!$C$5:$C$40,Assumptions!$C84,'TRA balance'!$D$5:$D$40,Assumptions!$B84)*ER84*BA84,"")</f>
        <v>0</v>
      </c>
      <c r="CY84" s="40">
        <f ca="1" t="shared" si="86"/>
        <v>1</v>
      </c>
      <c r="CZ84" s="40">
        <f ca="1" t="shared" si="87"/>
        <v>1</v>
      </c>
      <c r="DA84" s="40">
        <f ca="1" t="shared" si="88"/>
        <v>1</v>
      </c>
      <c r="DB84" s="40">
        <f ca="1" t="shared" si="89"/>
        <v>1</v>
      </c>
      <c r="DC84" s="40">
        <f ca="1" t="shared" si="90"/>
        <v>1</v>
      </c>
      <c r="DD84" s="40">
        <f ca="1" t="shared" si="91"/>
        <v>1</v>
      </c>
      <c r="DE84" s="40">
        <f ca="1" t="shared" si="92"/>
        <v>1</v>
      </c>
      <c r="DF84" s="40">
        <f ca="1" t="shared" si="93"/>
        <v>1</v>
      </c>
      <c r="DG84" s="40">
        <f ca="1" t="shared" si="94"/>
        <v>1</v>
      </c>
      <c r="DH84" s="40">
        <f ca="1" t="shared" si="95"/>
        <v>1</v>
      </c>
      <c r="DI84" s="40">
        <f ca="1" t="shared" si="96"/>
        <v>1</v>
      </c>
      <c r="DJ84" s="40">
        <f ca="1" t="shared" si="97"/>
        <v>1</v>
      </c>
      <c r="DK84" s="40">
        <f ca="1" t="shared" si="98"/>
        <v>1</v>
      </c>
      <c r="DL84" s="40">
        <f ca="1" t="shared" si="99"/>
        <v>1</v>
      </c>
      <c r="DM84" s="40">
        <f ca="1" t="shared" si="100"/>
        <v>1</v>
      </c>
      <c r="DN84" s="40">
        <f ca="1" t="shared" si="101"/>
        <v>1</v>
      </c>
      <c r="DO84" s="40">
        <f ca="1" t="shared" si="102"/>
        <v>1</v>
      </c>
      <c r="DP84" s="40">
        <f ca="1" t="shared" si="103"/>
        <v>1</v>
      </c>
      <c r="DQ84" s="40">
        <f ca="1" t="shared" si="104"/>
        <v>1</v>
      </c>
      <c r="DR84" s="40">
        <f ca="1" t="shared" si="105"/>
        <v>1</v>
      </c>
      <c r="DS84" s="40">
        <f ca="1" t="shared" si="106"/>
        <v>1</v>
      </c>
      <c r="DT84" s="40">
        <f ca="1" t="shared" si="107"/>
        <v>1</v>
      </c>
      <c r="DU84" s="40">
        <f ca="1" t="shared" si="108"/>
        <v>1</v>
      </c>
      <c r="DV84" s="40">
        <f ca="1" t="shared" si="109"/>
        <v>1</v>
      </c>
      <c r="DW84" s="40">
        <f ca="1" t="shared" si="110"/>
        <v>1</v>
      </c>
      <c r="DX84" s="40">
        <f ca="1" t="shared" si="111"/>
        <v>1</v>
      </c>
      <c r="DY84" s="40">
        <f ca="1" t="shared" si="112"/>
        <v>1</v>
      </c>
      <c r="DZ84" s="40">
        <f ca="1" t="shared" si="113"/>
        <v>1</v>
      </c>
      <c r="EA84" s="40">
        <f ca="1" t="shared" si="114"/>
        <v>1</v>
      </c>
      <c r="EB84" s="40">
        <f ca="1" t="shared" si="115"/>
        <v>1</v>
      </c>
      <c r="EC84" s="40">
        <f ca="1" t="shared" si="116"/>
        <v>1</v>
      </c>
      <c r="ED84" s="40">
        <f ca="1" t="shared" si="117"/>
        <v>1</v>
      </c>
      <c r="EE84" s="40">
        <f ca="1" t="shared" si="118"/>
        <v>1</v>
      </c>
      <c r="EF84" s="40">
        <f ca="1" t="shared" si="119"/>
        <v>1</v>
      </c>
      <c r="EG84" s="40">
        <f ca="1" t="shared" si="120"/>
        <v>1</v>
      </c>
      <c r="EH84" s="40">
        <f ca="1" t="shared" si="121"/>
        <v>1</v>
      </c>
      <c r="EI84" s="40">
        <f ca="1" t="shared" si="122"/>
        <v>1</v>
      </c>
      <c r="EJ84" s="40">
        <f ca="1" t="shared" si="123"/>
        <v>1</v>
      </c>
      <c r="EK84" s="40">
        <f ca="1" t="shared" si="124"/>
        <v>1</v>
      </c>
      <c r="EL84" s="40">
        <f ca="1" t="shared" si="125"/>
        <v>1</v>
      </c>
      <c r="EM84" s="40">
        <f ca="1" t="shared" si="126"/>
        <v>1</v>
      </c>
      <c r="EN84" s="40">
        <f ca="1" t="shared" si="127"/>
        <v>1</v>
      </c>
      <c r="EO84" s="40">
        <f ca="1" t="shared" si="128"/>
        <v>1</v>
      </c>
      <c r="EP84" s="40">
        <f ca="1" t="shared" si="129"/>
        <v>1</v>
      </c>
      <c r="EQ84" s="40">
        <f ca="1" t="shared" si="130"/>
        <v>1</v>
      </c>
      <c r="ER84" s="40">
        <f ca="1" t="shared" si="131"/>
        <v>1</v>
      </c>
    </row>
    <row r="85" spans="1:148">
      <c r="A85">
        <v>2</v>
      </c>
      <c r="B85" t="str">
        <f>VLOOKUP(F85,'TRA balance'!$BA$5:$BB$14,2,FALSE)</f>
        <v>TRABGS</v>
      </c>
      <c r="C85" s="56" t="str">
        <f t="shared" si="133"/>
        <v>TR</v>
      </c>
      <c r="D85" s="57" t="s">
        <v>200</v>
      </c>
      <c r="E85" s="68" t="s">
        <v>214</v>
      </c>
      <c r="F85" s="58" t="str">
        <f t="shared" ref="F85:F88" si="141">F84</f>
        <v>Bio Gasoline</v>
      </c>
      <c r="G85" s="56" t="s">
        <v>215</v>
      </c>
      <c r="H85" s="59">
        <f ca="1">OFFSET(TIAM15_assumptions!$G85,0,MATCH(VLOOKUP(Assumptions!H$2,TIAM15_assumptions!$Y$3:$Z$87,2,FALSE),TIAM15_assumptions!$H$2:$V$2,0))</f>
        <v>0</v>
      </c>
      <c r="I85" s="59">
        <f ca="1">OFFSET(TIAM15_assumptions!$G85,0,MATCH(VLOOKUP(Assumptions!I$2,TIAM15_assumptions!$Y$3:$Z$87,2,FALSE),TIAM15_assumptions!$H$2:$V$2,0))</f>
        <v>0</v>
      </c>
      <c r="J85" s="59">
        <f ca="1">OFFSET(TIAM15_assumptions!$G85,0,MATCH(VLOOKUP(Assumptions!J$2,TIAM15_assumptions!$Y$3:$Z$87,2,FALSE),TIAM15_assumptions!$H$2:$V$2,0))</f>
        <v>0</v>
      </c>
      <c r="K85" s="59">
        <f ca="1">OFFSET(TIAM15_assumptions!$G85,0,MATCH(VLOOKUP(Assumptions!K$2,TIAM15_assumptions!$Y$3:$Z$87,2,FALSE),TIAM15_assumptions!$H$2:$V$2,0))</f>
        <v>0</v>
      </c>
      <c r="L85" s="59">
        <f ca="1">OFFSET(TIAM15_assumptions!$G85,0,MATCH(VLOOKUP(Assumptions!L$2,TIAM15_assumptions!$Y$3:$Z$87,2,FALSE),TIAM15_assumptions!$H$2:$V$2,0))</f>
        <v>0</v>
      </c>
      <c r="M85" s="59">
        <f ca="1">OFFSET(TIAM15_assumptions!$G85,0,MATCH(VLOOKUP(Assumptions!M$2,TIAM15_assumptions!$Y$3:$Z$87,2,FALSE),TIAM15_assumptions!$H$2:$V$2,0))</f>
        <v>0</v>
      </c>
      <c r="N85" s="59">
        <f ca="1">OFFSET(TIAM15_assumptions!$G85,0,MATCH(VLOOKUP(Assumptions!N$2,TIAM15_assumptions!$Y$3:$Z$87,2,FALSE),TIAM15_assumptions!$H$2:$V$2,0))</f>
        <v>0</v>
      </c>
      <c r="O85" s="59">
        <f ca="1">OFFSET(TIAM15_assumptions!$G85,0,MATCH(VLOOKUP(Assumptions!O$2,TIAM15_assumptions!$Y$3:$Z$87,2,FALSE),TIAM15_assumptions!$H$2:$V$2,0))</f>
        <v>0</v>
      </c>
      <c r="P85" s="59">
        <f ca="1">OFFSET(TIAM15_assumptions!$G85,0,MATCH(VLOOKUP(Assumptions!P$2,TIAM15_assumptions!$Y$3:$Z$87,2,FALSE),TIAM15_assumptions!$H$2:$V$2,0))</f>
        <v>0</v>
      </c>
      <c r="Q85" s="59">
        <f ca="1">OFFSET(TIAM15_assumptions!$G85,0,MATCH(VLOOKUP(Assumptions!Q$2,TIAM15_assumptions!$Y$3:$Z$87,2,FALSE),TIAM15_assumptions!$H$2:$V$2,0))</f>
        <v>0</v>
      </c>
      <c r="R85" s="59">
        <f ca="1">OFFSET(TIAM15_assumptions!$G85,0,MATCH(VLOOKUP(Assumptions!R$2,TIAM15_assumptions!$Y$3:$Z$87,2,FALSE),TIAM15_assumptions!$H$2:$V$2,0))</f>
        <v>0</v>
      </c>
      <c r="S85" s="59">
        <f ca="1">OFFSET(TIAM15_assumptions!$G85,0,MATCH(VLOOKUP(Assumptions!S$2,TIAM15_assumptions!$Y$3:$Z$87,2,FALSE),TIAM15_assumptions!$H$2:$V$2,0))</f>
        <v>0</v>
      </c>
      <c r="T85" s="59">
        <f ca="1">OFFSET(TIAM15_assumptions!$G85,0,MATCH(VLOOKUP(Assumptions!T$2,TIAM15_assumptions!$Y$3:$Z$87,2,FALSE),TIAM15_assumptions!$H$2:$V$2,0))</f>
        <v>0</v>
      </c>
      <c r="U85" s="59">
        <f ca="1">OFFSET(TIAM15_assumptions!$G85,0,MATCH(VLOOKUP(Assumptions!U$2,TIAM15_assumptions!$Y$3:$Z$87,2,FALSE),TIAM15_assumptions!$H$2:$V$2,0))</f>
        <v>0</v>
      </c>
      <c r="V85" s="59">
        <f ca="1">OFFSET(TIAM15_assumptions!$G85,0,MATCH(VLOOKUP(Assumptions!V$2,TIAM15_assumptions!$Y$3:$Z$87,2,FALSE),TIAM15_assumptions!$H$2:$V$2,0))</f>
        <v>0</v>
      </c>
      <c r="W85" s="59">
        <f ca="1">OFFSET(TIAM15_assumptions!$G85,0,MATCH(VLOOKUP(Assumptions!W$2,TIAM15_assumptions!$Y$3:$Z$87,2,FALSE),TIAM15_assumptions!$H$2:$V$2,0))</f>
        <v>0</v>
      </c>
      <c r="X85" s="59">
        <f ca="1">OFFSET(TIAM15_assumptions!$G85,0,MATCH(VLOOKUP(Assumptions!X$2,TIAM15_assumptions!$Y$3:$Z$87,2,FALSE),TIAM15_assumptions!$H$2:$V$2,0))</f>
        <v>0</v>
      </c>
      <c r="Y85" s="59">
        <f ca="1">OFFSET(TIAM15_assumptions!$G85,0,MATCH(VLOOKUP(Assumptions!Y$2,TIAM15_assumptions!$Y$3:$Z$87,2,FALSE),TIAM15_assumptions!$H$2:$V$2,0))</f>
        <v>0</v>
      </c>
      <c r="Z85" s="59">
        <f ca="1">OFFSET(TIAM15_assumptions!$G85,0,MATCH(VLOOKUP(Assumptions!Z$2,TIAM15_assumptions!$Y$3:$Z$87,2,FALSE),TIAM15_assumptions!$H$2:$V$2,0))</f>
        <v>0</v>
      </c>
      <c r="AA85" s="59">
        <f ca="1">OFFSET(TIAM15_assumptions!$G85,0,MATCH(VLOOKUP(Assumptions!AA$2,TIAM15_assumptions!$Y$3:$Z$87,2,FALSE),TIAM15_assumptions!$H$2:$V$2,0))</f>
        <v>0</v>
      </c>
      <c r="AB85" s="59">
        <f ca="1">OFFSET(TIAM15_assumptions!$G85,0,MATCH(VLOOKUP(Assumptions!AB$2,TIAM15_assumptions!$Y$3:$Z$87,2,FALSE),TIAM15_assumptions!$H$2:$V$2,0))</f>
        <v>0</v>
      </c>
      <c r="AC85" s="59">
        <f ca="1">OFFSET(TIAM15_assumptions!$G85,0,MATCH(VLOOKUP(Assumptions!AC$2,TIAM15_assumptions!$Y$3:$Z$87,2,FALSE),TIAM15_assumptions!$H$2:$V$2,0))</f>
        <v>0</v>
      </c>
      <c r="AD85" s="59">
        <f ca="1">OFFSET(TIAM15_assumptions!$G85,0,MATCH(VLOOKUP(Assumptions!AD$2,TIAM15_assumptions!$Y$3:$Z$87,2,FALSE),TIAM15_assumptions!$H$2:$V$2,0))</f>
        <v>0</v>
      </c>
      <c r="AE85" s="59">
        <f ca="1">OFFSET(TIAM15_assumptions!$G85,0,MATCH(VLOOKUP(Assumptions!AE$2,TIAM15_assumptions!$Y$3:$Z$87,2,FALSE),TIAM15_assumptions!$H$2:$V$2,0))</f>
        <v>0</v>
      </c>
      <c r="AF85" s="59">
        <f ca="1">OFFSET(TIAM15_assumptions!$G85,0,MATCH(VLOOKUP(Assumptions!AF$2,TIAM15_assumptions!$Y$3:$Z$87,2,FALSE),TIAM15_assumptions!$H$2:$V$2,0))</f>
        <v>0</v>
      </c>
      <c r="AG85" s="59">
        <f ca="1">OFFSET(TIAM15_assumptions!$G85,0,MATCH(VLOOKUP(Assumptions!AG$2,TIAM15_assumptions!$Y$3:$Z$87,2,FALSE),TIAM15_assumptions!$H$2:$V$2,0))</f>
        <v>0</v>
      </c>
      <c r="AH85" s="59">
        <f ca="1">OFFSET(TIAM15_assumptions!$G85,0,MATCH(VLOOKUP(Assumptions!AH$2,TIAM15_assumptions!$Y$3:$Z$87,2,FALSE),TIAM15_assumptions!$H$2:$V$2,0))</f>
        <v>0</v>
      </c>
      <c r="AI85" s="59">
        <f ca="1">OFFSET(TIAM15_assumptions!$G85,0,MATCH(VLOOKUP(Assumptions!AI$2,TIAM15_assumptions!$Y$3:$Z$87,2,FALSE),TIAM15_assumptions!$H$2:$V$2,0))</f>
        <v>0</v>
      </c>
      <c r="AJ85" s="59">
        <f ca="1">OFFSET(TIAM15_assumptions!$G85,0,MATCH(VLOOKUP(Assumptions!AJ$2,TIAM15_assumptions!$Y$3:$Z$87,2,FALSE),TIAM15_assumptions!$H$2:$V$2,0))</f>
        <v>0</v>
      </c>
      <c r="AK85" s="59">
        <f ca="1">OFFSET(TIAM15_assumptions!$G85,0,MATCH(VLOOKUP(Assumptions!AK$2,TIAM15_assumptions!$Y$3:$Z$87,2,FALSE),TIAM15_assumptions!$H$2:$V$2,0))</f>
        <v>0</v>
      </c>
      <c r="AL85" s="59">
        <f ca="1">OFFSET(TIAM15_assumptions!$G85,0,MATCH(VLOOKUP(Assumptions!AL$2,TIAM15_assumptions!$Y$3:$Z$87,2,FALSE),TIAM15_assumptions!$H$2:$V$2,0))</f>
        <v>0</v>
      </c>
      <c r="AM85" s="59">
        <f ca="1">OFFSET(TIAM15_assumptions!$G85,0,MATCH(VLOOKUP(Assumptions!AM$2,TIAM15_assumptions!$Y$3:$Z$87,2,FALSE),TIAM15_assumptions!$H$2:$V$2,0))</f>
        <v>0</v>
      </c>
      <c r="AN85" s="59">
        <f ca="1">OFFSET(TIAM15_assumptions!$G85,0,MATCH(VLOOKUP(Assumptions!AN$2,TIAM15_assumptions!$Y$3:$Z$87,2,FALSE),TIAM15_assumptions!$H$2:$V$2,0))</f>
        <v>0</v>
      </c>
      <c r="AO85" s="59">
        <f ca="1">OFFSET(TIAM15_assumptions!$G85,0,MATCH(VLOOKUP(Assumptions!AO$2,TIAM15_assumptions!$Y$3:$Z$87,2,FALSE),TIAM15_assumptions!$H$2:$V$2,0))</f>
        <v>0</v>
      </c>
      <c r="AP85" s="59">
        <f ca="1">OFFSET(TIAM15_assumptions!$G85,0,MATCH(VLOOKUP(Assumptions!AP$2,TIAM15_assumptions!$Y$3:$Z$87,2,FALSE),TIAM15_assumptions!$H$2:$V$2,0))</f>
        <v>0</v>
      </c>
      <c r="AQ85" s="59">
        <f ca="1">OFFSET(TIAM15_assumptions!$G85,0,MATCH(VLOOKUP(Assumptions!AQ$2,TIAM15_assumptions!$Y$3:$Z$87,2,FALSE),TIAM15_assumptions!$H$2:$V$2,0))</f>
        <v>0</v>
      </c>
      <c r="AR85" s="59">
        <f ca="1">OFFSET(TIAM15_assumptions!$G85,0,MATCH(VLOOKUP(Assumptions!AR$2,TIAM15_assumptions!$Y$3:$Z$87,2,FALSE),TIAM15_assumptions!$H$2:$V$2,0))</f>
        <v>0</v>
      </c>
      <c r="AS85" s="59">
        <f ca="1">OFFSET(TIAM15_assumptions!$G85,0,MATCH(VLOOKUP(Assumptions!AS$2,TIAM15_assumptions!$Y$3:$Z$87,2,FALSE),TIAM15_assumptions!$H$2:$V$2,0))</f>
        <v>0</v>
      </c>
      <c r="AT85" s="59">
        <f ca="1">OFFSET(TIAM15_assumptions!$G85,0,MATCH(VLOOKUP(Assumptions!AT$2,TIAM15_assumptions!$Y$3:$Z$87,2,FALSE),TIAM15_assumptions!$H$2:$V$2,0))</f>
        <v>0</v>
      </c>
      <c r="AU85" s="59">
        <f ca="1">OFFSET(TIAM15_assumptions!$G85,0,MATCH(VLOOKUP(Assumptions!AU$2,TIAM15_assumptions!$Y$3:$Z$87,2,FALSE),TIAM15_assumptions!$H$2:$V$2,0))</f>
        <v>0</v>
      </c>
      <c r="AV85" s="59">
        <f ca="1">OFFSET(TIAM15_assumptions!$G85,0,MATCH(VLOOKUP(Assumptions!AV$2,TIAM15_assumptions!$Y$3:$Z$87,2,FALSE),TIAM15_assumptions!$H$2:$V$2,0))</f>
        <v>0</v>
      </c>
      <c r="AW85" s="59">
        <f ca="1">OFFSET(TIAM15_assumptions!$G85,0,MATCH(VLOOKUP(Assumptions!AW$2,TIAM15_assumptions!$Y$3:$Z$87,2,FALSE),TIAM15_assumptions!$H$2:$V$2,0))</f>
        <v>0</v>
      </c>
      <c r="AX85" s="59">
        <f ca="1">OFFSET(TIAM15_assumptions!$G85,0,MATCH(VLOOKUP(Assumptions!AX$2,TIAM15_assumptions!$Y$3:$Z$87,2,FALSE),TIAM15_assumptions!$H$2:$V$2,0))</f>
        <v>0</v>
      </c>
      <c r="AY85" s="59">
        <f ca="1">OFFSET(TIAM15_assumptions!$G85,0,MATCH(VLOOKUP(Assumptions!AY$2,TIAM15_assumptions!$Y$3:$Z$87,2,FALSE),TIAM15_assumptions!$H$2:$V$2,0))</f>
        <v>0</v>
      </c>
      <c r="AZ85" s="59">
        <f ca="1">OFFSET(TIAM15_assumptions!$G85,0,MATCH(VLOOKUP(Assumptions!AZ$2,TIAM15_assumptions!$Y$3:$Z$87,2,FALSE),TIAM15_assumptions!$H$2:$V$2,0))</f>
        <v>0</v>
      </c>
      <c r="BA85" s="59">
        <f ca="1">OFFSET(TIAM15_assumptions!$G85,0,MATCH(VLOOKUP(Assumptions!BA$2,TIAM15_assumptions!$Y$3:$Z$87,2,FALSE),TIAM15_assumptions!$H$2:$V$2,0))</f>
        <v>0</v>
      </c>
      <c r="BD85" s="41">
        <f ca="1">IFERROR(SUMIFS('TRA balance'!E$5:E$40,'TRA balance'!$C$5:$C$40,Assumptions!$C85,'TRA balance'!$D$5:$D$40,Assumptions!$B85)*CY85*H85,"")</f>
        <v>0</v>
      </c>
      <c r="BE85" s="41">
        <f ca="1">IFERROR(SUMIFS('TRA balance'!F$5:F$40,'TRA balance'!$C$5:$C$40,Assumptions!$C85,'TRA balance'!$D$5:$D$40,Assumptions!$B85)*CZ85*I85,"")</f>
        <v>0</v>
      </c>
      <c r="BF85" s="41">
        <f ca="1">IFERROR(SUMIFS('TRA balance'!G$5:G$40,'TRA balance'!$C$5:$C$40,Assumptions!$C85,'TRA balance'!$D$5:$D$40,Assumptions!$B85)*DA85*J85,"")</f>
        <v>0</v>
      </c>
      <c r="BG85" s="41">
        <f ca="1">IFERROR(SUMIFS('TRA balance'!H$5:H$40,'TRA balance'!$C$5:$C$40,Assumptions!$C85,'TRA balance'!$D$5:$D$40,Assumptions!$B85)*DB85*K85,"")</f>
        <v>0</v>
      </c>
      <c r="BH85" s="41">
        <f ca="1">IFERROR(SUMIFS('TRA balance'!I$5:I$40,'TRA balance'!$C$5:$C$40,Assumptions!$C85,'TRA balance'!$D$5:$D$40,Assumptions!$B85)*DC85*L85,"")</f>
        <v>0</v>
      </c>
      <c r="BI85" s="41">
        <f ca="1">IFERROR(SUMIFS('TRA balance'!J$5:J$40,'TRA balance'!$C$5:$C$40,Assumptions!$C85,'TRA balance'!$D$5:$D$40,Assumptions!$B85)*DD85*M85,"")</f>
        <v>0</v>
      </c>
      <c r="BJ85" s="41">
        <f ca="1">IFERROR(SUMIFS('TRA balance'!K$5:K$40,'TRA balance'!$C$5:$C$40,Assumptions!$C85,'TRA balance'!$D$5:$D$40,Assumptions!$B85)*DE85*N85,"")</f>
        <v>0</v>
      </c>
      <c r="BK85" s="41">
        <f ca="1">IFERROR(SUMIFS('TRA balance'!L$5:L$40,'TRA balance'!$C$5:$C$40,Assumptions!$C85,'TRA balance'!$D$5:$D$40,Assumptions!$B85)*DF85*O85,"")</f>
        <v>0</v>
      </c>
      <c r="BL85" s="41">
        <f ca="1">IFERROR(SUMIFS('TRA balance'!M$5:M$40,'TRA balance'!$C$5:$C$40,Assumptions!$C85,'TRA balance'!$D$5:$D$40,Assumptions!$B85)*DG85*P85,"")</f>
        <v>0</v>
      </c>
      <c r="BM85" s="41">
        <f ca="1">IFERROR(SUMIFS('TRA balance'!N$5:N$40,'TRA balance'!$C$5:$C$40,Assumptions!$C85,'TRA balance'!$D$5:$D$40,Assumptions!$B85)*DH85*Q85,"")</f>
        <v>0</v>
      </c>
      <c r="BN85" s="41">
        <f ca="1">IFERROR(SUMIFS('TRA balance'!O$5:O$40,'TRA balance'!$C$5:$C$40,Assumptions!$C85,'TRA balance'!$D$5:$D$40,Assumptions!$B85)*DI85*R85,"")</f>
        <v>0</v>
      </c>
      <c r="BO85" s="41">
        <f ca="1">IFERROR(SUMIFS('TRA balance'!P$5:P$40,'TRA balance'!$C$5:$C$40,Assumptions!$C85,'TRA balance'!$D$5:$D$40,Assumptions!$B85)*DJ85*S85,"")</f>
        <v>0</v>
      </c>
      <c r="BP85" s="41">
        <f ca="1">IFERROR(SUMIFS('TRA balance'!Q$5:Q$40,'TRA balance'!$C$5:$C$40,Assumptions!$C85,'TRA balance'!$D$5:$D$40,Assumptions!$B85)*DK85*T85,"")</f>
        <v>0</v>
      </c>
      <c r="BQ85" s="41">
        <f ca="1">IFERROR(SUMIFS('TRA balance'!R$5:R$40,'TRA balance'!$C$5:$C$40,Assumptions!$C85,'TRA balance'!$D$5:$D$40,Assumptions!$B85)*DL85*U85,"")</f>
        <v>0</v>
      </c>
      <c r="BR85" s="41">
        <f ca="1">IFERROR(SUMIFS('TRA balance'!S$5:S$40,'TRA balance'!$C$5:$C$40,Assumptions!$C85,'TRA balance'!$D$5:$D$40,Assumptions!$B85)*DM85*V85,"")</f>
        <v>0</v>
      </c>
      <c r="BS85" s="41">
        <f ca="1">IFERROR(SUMIFS('TRA balance'!T$5:T$40,'TRA balance'!$C$5:$C$40,Assumptions!$C85,'TRA balance'!$D$5:$D$40,Assumptions!$B85)*DN85*W85,"")</f>
        <v>0</v>
      </c>
      <c r="BT85" s="41">
        <f ca="1">IFERROR(SUMIFS('TRA balance'!U$5:U$40,'TRA balance'!$C$5:$C$40,Assumptions!$C85,'TRA balance'!$D$5:$D$40,Assumptions!$B85)*DO85*X85,"")</f>
        <v>0</v>
      </c>
      <c r="BU85" s="41">
        <f ca="1">IFERROR(SUMIFS('TRA balance'!V$5:V$40,'TRA balance'!$C$5:$C$40,Assumptions!$C85,'TRA balance'!$D$5:$D$40,Assumptions!$B85)*DP85*Y85,"")</f>
        <v>0</v>
      </c>
      <c r="BV85" s="41">
        <f ca="1">IFERROR(SUMIFS('TRA balance'!W$5:W$40,'TRA balance'!$C$5:$C$40,Assumptions!$C85,'TRA balance'!$D$5:$D$40,Assumptions!$B85)*DQ85*Z85,"")</f>
        <v>0</v>
      </c>
      <c r="BW85" s="41">
        <f ca="1">IFERROR(SUMIFS('TRA balance'!X$5:X$40,'TRA balance'!$C$5:$C$40,Assumptions!$C85,'TRA balance'!$D$5:$D$40,Assumptions!$B85)*DR85*AA85,"")</f>
        <v>0</v>
      </c>
      <c r="BX85" s="41">
        <f ca="1">IFERROR(SUMIFS('TRA balance'!Y$5:Y$40,'TRA balance'!$C$5:$C$40,Assumptions!$C85,'TRA balance'!$D$5:$D$40,Assumptions!$B85)*DS85*AB85,"")</f>
        <v>0</v>
      </c>
      <c r="BY85" s="41">
        <f ca="1">IFERROR(SUMIFS('TRA balance'!Z$5:Z$40,'TRA balance'!$C$5:$C$40,Assumptions!$C85,'TRA balance'!$D$5:$D$40,Assumptions!$B85)*DT85*AC85,"")</f>
        <v>0</v>
      </c>
      <c r="BZ85" s="41">
        <f ca="1">IFERROR(SUMIFS('TRA balance'!AA$5:AA$40,'TRA balance'!$C$5:$C$40,Assumptions!$C85,'TRA balance'!$D$5:$D$40,Assumptions!$B85)*DU85*AD85,"")</f>
        <v>0</v>
      </c>
      <c r="CA85" s="41">
        <f ca="1">IFERROR(SUMIFS('TRA balance'!AB$5:AB$40,'TRA balance'!$C$5:$C$40,Assumptions!$C85,'TRA balance'!$D$5:$D$40,Assumptions!$B85)*DV85*AE85,"")</f>
        <v>0</v>
      </c>
      <c r="CB85" s="41">
        <f ca="1">IFERROR(SUMIFS('TRA balance'!AC$5:AC$40,'TRA balance'!$C$5:$C$40,Assumptions!$C85,'TRA balance'!$D$5:$D$40,Assumptions!$B85)*DW85*AF85,"")</f>
        <v>0</v>
      </c>
      <c r="CC85" s="41">
        <f ca="1">IFERROR(SUMIFS('TRA balance'!AD$5:AD$40,'TRA balance'!$C$5:$C$40,Assumptions!$C85,'TRA balance'!$D$5:$D$40,Assumptions!$B85)*DX85*AG85,"")</f>
        <v>0</v>
      </c>
      <c r="CD85" s="41">
        <f ca="1">IFERROR(SUMIFS('TRA balance'!AE$5:AE$40,'TRA balance'!$C$5:$C$40,Assumptions!$C85,'TRA balance'!$D$5:$D$40,Assumptions!$B85)*DY85*AH85,"")</f>
        <v>0</v>
      </c>
      <c r="CE85" s="41">
        <f ca="1">IFERROR(SUMIFS('TRA balance'!AF$5:AF$40,'TRA balance'!$C$5:$C$40,Assumptions!$C85,'TRA balance'!$D$5:$D$40,Assumptions!$B85)*DZ85*AI85,"")</f>
        <v>0</v>
      </c>
      <c r="CF85" s="41">
        <f ca="1">IFERROR(SUMIFS('TRA balance'!AG$5:AG$40,'TRA balance'!$C$5:$C$40,Assumptions!$C85,'TRA balance'!$D$5:$D$40,Assumptions!$B85)*EA85*AJ85,"")</f>
        <v>0</v>
      </c>
      <c r="CG85" s="41">
        <f ca="1">IFERROR(SUMIFS('TRA balance'!AH$5:AH$40,'TRA balance'!$C$5:$C$40,Assumptions!$C85,'TRA balance'!$D$5:$D$40,Assumptions!$B85)*EB85*AK85,"")</f>
        <v>0</v>
      </c>
      <c r="CH85" s="41">
        <f ca="1">IFERROR(SUMIFS('TRA balance'!AI$5:AI$40,'TRA balance'!$C$5:$C$40,Assumptions!$C85,'TRA balance'!$D$5:$D$40,Assumptions!$B85)*EC85*AL85,"")</f>
        <v>0</v>
      </c>
      <c r="CI85" s="41">
        <f ca="1">IFERROR(SUMIFS('TRA balance'!AJ$5:AJ$40,'TRA balance'!$C$5:$C$40,Assumptions!$C85,'TRA balance'!$D$5:$D$40,Assumptions!$B85)*ED85*AM85,"")</f>
        <v>0</v>
      </c>
      <c r="CJ85" s="41">
        <f ca="1">IFERROR(SUMIFS('TRA balance'!AK$5:AK$40,'TRA balance'!$C$5:$C$40,Assumptions!$C85,'TRA balance'!$D$5:$D$40,Assumptions!$B85)*EE85*AN85,"")</f>
        <v>0</v>
      </c>
      <c r="CK85" s="41">
        <f ca="1">IFERROR(SUMIFS('TRA balance'!AL$5:AL$40,'TRA balance'!$C$5:$C$40,Assumptions!$C85,'TRA balance'!$D$5:$D$40,Assumptions!$B85)*EF85*AO85,"")</f>
        <v>0</v>
      </c>
      <c r="CL85" s="41">
        <f ca="1">IFERROR(SUMIFS('TRA balance'!AM$5:AM$40,'TRA balance'!$C$5:$C$40,Assumptions!$C85,'TRA balance'!$D$5:$D$40,Assumptions!$B85)*EG85*AP85,"")</f>
        <v>0</v>
      </c>
      <c r="CM85" s="41">
        <f ca="1">IFERROR(SUMIFS('TRA balance'!AN$5:AN$40,'TRA balance'!$C$5:$C$40,Assumptions!$C85,'TRA balance'!$D$5:$D$40,Assumptions!$B85)*EH85*AQ85,"")</f>
        <v>0</v>
      </c>
      <c r="CN85" s="41">
        <f ca="1">IFERROR(SUMIFS('TRA balance'!AO$5:AO$40,'TRA balance'!$C$5:$C$40,Assumptions!$C85,'TRA balance'!$D$5:$D$40,Assumptions!$B85)*EI85*AR85,"")</f>
        <v>0</v>
      </c>
      <c r="CO85" s="41">
        <f ca="1">IFERROR(SUMIFS('TRA balance'!AP$5:AP$40,'TRA balance'!$C$5:$C$40,Assumptions!$C85,'TRA balance'!$D$5:$D$40,Assumptions!$B85)*EJ85*AS85,"")</f>
        <v>0</v>
      </c>
      <c r="CP85" s="41">
        <f ca="1">IFERROR(SUMIFS('TRA balance'!AQ$5:AQ$40,'TRA balance'!$C$5:$C$40,Assumptions!$C85,'TRA balance'!$D$5:$D$40,Assumptions!$B85)*EK85*AT85,"")</f>
        <v>0</v>
      </c>
      <c r="CQ85" s="41">
        <f ca="1">IFERROR(SUMIFS('TRA balance'!AR$5:AR$40,'TRA balance'!$C$5:$C$40,Assumptions!$C85,'TRA balance'!$D$5:$D$40,Assumptions!$B85)*EL85*AU85,"")</f>
        <v>0</v>
      </c>
      <c r="CR85" s="41">
        <f ca="1">IFERROR(SUMIFS('TRA balance'!AS$5:AS$40,'TRA balance'!$C$5:$C$40,Assumptions!$C85,'TRA balance'!$D$5:$D$40,Assumptions!$B85)*EM85*AV85,"")</f>
        <v>0</v>
      </c>
      <c r="CS85" s="41">
        <f ca="1">IFERROR(SUMIFS('TRA balance'!AT$5:AT$40,'TRA balance'!$C$5:$C$40,Assumptions!$C85,'TRA balance'!$D$5:$D$40,Assumptions!$B85)*EN85*AW85,"")</f>
        <v>0</v>
      </c>
      <c r="CT85" s="41">
        <f ca="1">IFERROR(SUMIFS('TRA balance'!AU$5:AU$40,'TRA balance'!$C$5:$C$40,Assumptions!$C85,'TRA balance'!$D$5:$D$40,Assumptions!$B85)*EO85*AX85,"")</f>
        <v>0</v>
      </c>
      <c r="CU85" s="41">
        <f ca="1">IFERROR(SUMIFS('TRA balance'!AV$5:AV$40,'TRA balance'!$C$5:$C$40,Assumptions!$C85,'TRA balance'!$D$5:$D$40,Assumptions!$B85)*EP85*AY85,"")</f>
        <v>0</v>
      </c>
      <c r="CV85" s="41">
        <f ca="1">IFERROR(SUMIFS('TRA balance'!AW$5:AW$40,'TRA balance'!$C$5:$C$40,Assumptions!$C85,'TRA balance'!$D$5:$D$40,Assumptions!$B85)*EQ85*AZ85,"")</f>
        <v>0</v>
      </c>
      <c r="CW85" s="41">
        <f ca="1">IFERROR(SUMIFS('TRA balance'!AX$5:AX$40,'TRA balance'!$C$5:$C$40,Assumptions!$C85,'TRA balance'!$D$5:$D$40,Assumptions!$B85)*ER85*BA85,"")</f>
        <v>0</v>
      </c>
      <c r="CY85" s="40">
        <f ca="1" t="shared" si="86"/>
        <v>1</v>
      </c>
      <c r="CZ85" s="40">
        <f ca="1" t="shared" si="87"/>
        <v>1</v>
      </c>
      <c r="DA85" s="40">
        <f ca="1" t="shared" si="88"/>
        <v>1</v>
      </c>
      <c r="DB85" s="40">
        <f ca="1" t="shared" si="89"/>
        <v>1</v>
      </c>
      <c r="DC85" s="40">
        <f ca="1" t="shared" si="90"/>
        <v>1</v>
      </c>
      <c r="DD85" s="40">
        <f ca="1" t="shared" si="91"/>
        <v>1</v>
      </c>
      <c r="DE85" s="40">
        <f ca="1" t="shared" si="92"/>
        <v>1</v>
      </c>
      <c r="DF85" s="40">
        <f ca="1" t="shared" si="93"/>
        <v>1</v>
      </c>
      <c r="DG85" s="40">
        <f ca="1" t="shared" si="94"/>
        <v>1</v>
      </c>
      <c r="DH85" s="40">
        <f ca="1" t="shared" si="95"/>
        <v>1</v>
      </c>
      <c r="DI85" s="40">
        <f ca="1" t="shared" si="96"/>
        <v>1</v>
      </c>
      <c r="DJ85" s="40">
        <f ca="1" t="shared" si="97"/>
        <v>1</v>
      </c>
      <c r="DK85" s="40">
        <f ca="1" t="shared" si="98"/>
        <v>1</v>
      </c>
      <c r="DL85" s="40">
        <f ca="1" t="shared" si="99"/>
        <v>1</v>
      </c>
      <c r="DM85" s="40">
        <f ca="1" t="shared" si="100"/>
        <v>1</v>
      </c>
      <c r="DN85" s="40">
        <f ca="1" t="shared" si="101"/>
        <v>1</v>
      </c>
      <c r="DO85" s="40">
        <f ca="1" t="shared" si="102"/>
        <v>1</v>
      </c>
      <c r="DP85" s="40">
        <f ca="1" t="shared" si="103"/>
        <v>1</v>
      </c>
      <c r="DQ85" s="40">
        <f ca="1" t="shared" si="104"/>
        <v>1</v>
      </c>
      <c r="DR85" s="40">
        <f ca="1" t="shared" si="105"/>
        <v>1</v>
      </c>
      <c r="DS85" s="40">
        <f ca="1" t="shared" si="106"/>
        <v>1</v>
      </c>
      <c r="DT85" s="40">
        <f ca="1" t="shared" si="107"/>
        <v>1</v>
      </c>
      <c r="DU85" s="40">
        <f ca="1" t="shared" si="108"/>
        <v>1</v>
      </c>
      <c r="DV85" s="40">
        <f ca="1" t="shared" si="109"/>
        <v>1</v>
      </c>
      <c r="DW85" s="40">
        <f ca="1" t="shared" si="110"/>
        <v>1</v>
      </c>
      <c r="DX85" s="40">
        <f ca="1" t="shared" si="111"/>
        <v>1</v>
      </c>
      <c r="DY85" s="40">
        <f ca="1" t="shared" si="112"/>
        <v>1</v>
      </c>
      <c r="DZ85" s="40">
        <f ca="1" t="shared" si="113"/>
        <v>1</v>
      </c>
      <c r="EA85" s="40">
        <f ca="1" t="shared" si="114"/>
        <v>1</v>
      </c>
      <c r="EB85" s="40">
        <f ca="1" t="shared" si="115"/>
        <v>1</v>
      </c>
      <c r="EC85" s="40">
        <f ca="1" t="shared" si="116"/>
        <v>1</v>
      </c>
      <c r="ED85" s="40">
        <f ca="1" t="shared" si="117"/>
        <v>1</v>
      </c>
      <c r="EE85" s="40">
        <f ca="1" t="shared" si="118"/>
        <v>1</v>
      </c>
      <c r="EF85" s="40">
        <f ca="1" t="shared" si="119"/>
        <v>1</v>
      </c>
      <c r="EG85" s="40">
        <f ca="1" t="shared" si="120"/>
        <v>1</v>
      </c>
      <c r="EH85" s="40">
        <f ca="1" t="shared" si="121"/>
        <v>1</v>
      </c>
      <c r="EI85" s="40">
        <f ca="1" t="shared" si="122"/>
        <v>1</v>
      </c>
      <c r="EJ85" s="40">
        <f ca="1" t="shared" si="123"/>
        <v>1</v>
      </c>
      <c r="EK85" s="40">
        <f ca="1" t="shared" si="124"/>
        <v>1</v>
      </c>
      <c r="EL85" s="40">
        <f ca="1" t="shared" si="125"/>
        <v>1</v>
      </c>
      <c r="EM85" s="40">
        <f ca="1" t="shared" si="126"/>
        <v>1</v>
      </c>
      <c r="EN85" s="40">
        <f ca="1" t="shared" si="127"/>
        <v>1</v>
      </c>
      <c r="EO85" s="40">
        <f ca="1" t="shared" si="128"/>
        <v>1</v>
      </c>
      <c r="EP85" s="40">
        <f ca="1" t="shared" si="129"/>
        <v>1</v>
      </c>
      <c r="EQ85" s="40">
        <f ca="1" t="shared" si="130"/>
        <v>1</v>
      </c>
      <c r="ER85" s="40">
        <f ca="1" t="shared" si="131"/>
        <v>1</v>
      </c>
    </row>
    <row r="86" spans="1:148">
      <c r="A86">
        <v>2</v>
      </c>
      <c r="B86" t="str">
        <f>VLOOKUP(F86,'TRA balance'!$BA$5:$BB$14,2,FALSE)</f>
        <v>TRABGS</v>
      </c>
      <c r="C86" s="56" t="str">
        <f t="shared" si="133"/>
        <v>TR</v>
      </c>
      <c r="D86" s="57" t="s">
        <v>200</v>
      </c>
      <c r="E86" s="68" t="s">
        <v>216</v>
      </c>
      <c r="F86" s="58" t="str">
        <f t="shared" si="141"/>
        <v>Bio Gasoline</v>
      </c>
      <c r="G86" s="56" t="s">
        <v>217</v>
      </c>
      <c r="H86" s="59">
        <f ca="1">OFFSET(TIAM15_assumptions!$G86,0,MATCH(VLOOKUP(Assumptions!H$2,TIAM15_assumptions!$Y$3:$Z$87,2,FALSE),TIAM15_assumptions!$H$2:$V$2,0))</f>
        <v>0</v>
      </c>
      <c r="I86" s="59">
        <f ca="1">OFFSET(TIAM15_assumptions!$G86,0,MATCH(VLOOKUP(Assumptions!I$2,TIAM15_assumptions!$Y$3:$Z$87,2,FALSE),TIAM15_assumptions!$H$2:$V$2,0))</f>
        <v>0</v>
      </c>
      <c r="J86" s="59">
        <f ca="1">OFFSET(TIAM15_assumptions!$G86,0,MATCH(VLOOKUP(Assumptions!J$2,TIAM15_assumptions!$Y$3:$Z$87,2,FALSE),TIAM15_assumptions!$H$2:$V$2,0))</f>
        <v>0</v>
      </c>
      <c r="K86" s="59">
        <f ca="1">OFFSET(TIAM15_assumptions!$G86,0,MATCH(VLOOKUP(Assumptions!K$2,TIAM15_assumptions!$Y$3:$Z$87,2,FALSE),TIAM15_assumptions!$H$2:$V$2,0))</f>
        <v>0</v>
      </c>
      <c r="L86" s="59">
        <f ca="1">OFFSET(TIAM15_assumptions!$G86,0,MATCH(VLOOKUP(Assumptions!L$2,TIAM15_assumptions!$Y$3:$Z$87,2,FALSE),TIAM15_assumptions!$H$2:$V$2,0))</f>
        <v>0</v>
      </c>
      <c r="M86" s="59">
        <f ca="1">OFFSET(TIAM15_assumptions!$G86,0,MATCH(VLOOKUP(Assumptions!M$2,TIAM15_assumptions!$Y$3:$Z$87,2,FALSE),TIAM15_assumptions!$H$2:$V$2,0))</f>
        <v>0</v>
      </c>
      <c r="N86" s="59">
        <f ca="1">OFFSET(TIAM15_assumptions!$G86,0,MATCH(VLOOKUP(Assumptions!N$2,TIAM15_assumptions!$Y$3:$Z$87,2,FALSE),TIAM15_assumptions!$H$2:$V$2,0))</f>
        <v>0</v>
      </c>
      <c r="O86" s="59">
        <f ca="1">OFFSET(TIAM15_assumptions!$G86,0,MATCH(VLOOKUP(Assumptions!O$2,TIAM15_assumptions!$Y$3:$Z$87,2,FALSE),TIAM15_assumptions!$H$2:$V$2,0))</f>
        <v>0</v>
      </c>
      <c r="P86" s="59">
        <f ca="1">OFFSET(TIAM15_assumptions!$G86,0,MATCH(VLOOKUP(Assumptions!P$2,TIAM15_assumptions!$Y$3:$Z$87,2,FALSE),TIAM15_assumptions!$H$2:$V$2,0))</f>
        <v>0</v>
      </c>
      <c r="Q86" s="59">
        <f ca="1">OFFSET(TIAM15_assumptions!$G86,0,MATCH(VLOOKUP(Assumptions!Q$2,TIAM15_assumptions!$Y$3:$Z$87,2,FALSE),TIAM15_assumptions!$H$2:$V$2,0))</f>
        <v>0</v>
      </c>
      <c r="R86" s="59">
        <f ca="1">OFFSET(TIAM15_assumptions!$G86,0,MATCH(VLOOKUP(Assumptions!R$2,TIAM15_assumptions!$Y$3:$Z$87,2,FALSE),TIAM15_assumptions!$H$2:$V$2,0))</f>
        <v>0</v>
      </c>
      <c r="S86" s="59">
        <f ca="1">OFFSET(TIAM15_assumptions!$G86,0,MATCH(VLOOKUP(Assumptions!S$2,TIAM15_assumptions!$Y$3:$Z$87,2,FALSE),TIAM15_assumptions!$H$2:$V$2,0))</f>
        <v>0</v>
      </c>
      <c r="T86" s="59">
        <f ca="1">OFFSET(TIAM15_assumptions!$G86,0,MATCH(VLOOKUP(Assumptions!T$2,TIAM15_assumptions!$Y$3:$Z$87,2,FALSE),TIAM15_assumptions!$H$2:$V$2,0))</f>
        <v>0</v>
      </c>
      <c r="U86" s="59">
        <f ca="1">OFFSET(TIAM15_assumptions!$G86,0,MATCH(VLOOKUP(Assumptions!U$2,TIAM15_assumptions!$Y$3:$Z$87,2,FALSE),TIAM15_assumptions!$H$2:$V$2,0))</f>
        <v>0</v>
      </c>
      <c r="V86" s="59">
        <f ca="1">OFFSET(TIAM15_assumptions!$G86,0,MATCH(VLOOKUP(Assumptions!V$2,TIAM15_assumptions!$Y$3:$Z$87,2,FALSE),TIAM15_assumptions!$H$2:$V$2,0))</f>
        <v>0</v>
      </c>
      <c r="W86" s="59">
        <f ca="1">OFFSET(TIAM15_assumptions!$G86,0,MATCH(VLOOKUP(Assumptions!W$2,TIAM15_assumptions!$Y$3:$Z$87,2,FALSE),TIAM15_assumptions!$H$2:$V$2,0))</f>
        <v>0</v>
      </c>
      <c r="X86" s="59">
        <f ca="1">OFFSET(TIAM15_assumptions!$G86,0,MATCH(VLOOKUP(Assumptions!X$2,TIAM15_assumptions!$Y$3:$Z$87,2,FALSE),TIAM15_assumptions!$H$2:$V$2,0))</f>
        <v>0</v>
      </c>
      <c r="Y86" s="59">
        <f ca="1">OFFSET(TIAM15_assumptions!$G86,0,MATCH(VLOOKUP(Assumptions!Y$2,TIAM15_assumptions!$Y$3:$Z$87,2,FALSE),TIAM15_assumptions!$H$2:$V$2,0))</f>
        <v>0</v>
      </c>
      <c r="Z86" s="59">
        <f ca="1">OFFSET(TIAM15_assumptions!$G86,0,MATCH(VLOOKUP(Assumptions!Z$2,TIAM15_assumptions!$Y$3:$Z$87,2,FALSE),TIAM15_assumptions!$H$2:$V$2,0))</f>
        <v>0</v>
      </c>
      <c r="AA86" s="59">
        <f ca="1">OFFSET(TIAM15_assumptions!$G86,0,MATCH(VLOOKUP(Assumptions!AA$2,TIAM15_assumptions!$Y$3:$Z$87,2,FALSE),TIAM15_assumptions!$H$2:$V$2,0))</f>
        <v>0</v>
      </c>
      <c r="AB86" s="59">
        <f ca="1">OFFSET(TIAM15_assumptions!$G86,0,MATCH(VLOOKUP(Assumptions!AB$2,TIAM15_assumptions!$Y$3:$Z$87,2,FALSE),TIAM15_assumptions!$H$2:$V$2,0))</f>
        <v>0</v>
      </c>
      <c r="AC86" s="59">
        <f ca="1">OFFSET(TIAM15_assumptions!$G86,0,MATCH(VLOOKUP(Assumptions!AC$2,TIAM15_assumptions!$Y$3:$Z$87,2,FALSE),TIAM15_assumptions!$H$2:$V$2,0))</f>
        <v>0</v>
      </c>
      <c r="AD86" s="59">
        <f ca="1">OFFSET(TIAM15_assumptions!$G86,0,MATCH(VLOOKUP(Assumptions!AD$2,TIAM15_assumptions!$Y$3:$Z$87,2,FALSE),TIAM15_assumptions!$H$2:$V$2,0))</f>
        <v>0</v>
      </c>
      <c r="AE86" s="59">
        <f ca="1">OFFSET(TIAM15_assumptions!$G86,0,MATCH(VLOOKUP(Assumptions!AE$2,TIAM15_assumptions!$Y$3:$Z$87,2,FALSE),TIAM15_assumptions!$H$2:$V$2,0))</f>
        <v>0</v>
      </c>
      <c r="AF86" s="59">
        <f ca="1">OFFSET(TIAM15_assumptions!$G86,0,MATCH(VLOOKUP(Assumptions!AF$2,TIAM15_assumptions!$Y$3:$Z$87,2,FALSE),TIAM15_assumptions!$H$2:$V$2,0))</f>
        <v>0</v>
      </c>
      <c r="AG86" s="59">
        <f ca="1">OFFSET(TIAM15_assumptions!$G86,0,MATCH(VLOOKUP(Assumptions!AG$2,TIAM15_assumptions!$Y$3:$Z$87,2,FALSE),TIAM15_assumptions!$H$2:$V$2,0))</f>
        <v>0</v>
      </c>
      <c r="AH86" s="59">
        <f ca="1">OFFSET(TIAM15_assumptions!$G86,0,MATCH(VLOOKUP(Assumptions!AH$2,TIAM15_assumptions!$Y$3:$Z$87,2,FALSE),TIAM15_assumptions!$H$2:$V$2,0))</f>
        <v>0</v>
      </c>
      <c r="AI86" s="59">
        <f ca="1">OFFSET(TIAM15_assumptions!$G86,0,MATCH(VLOOKUP(Assumptions!AI$2,TIAM15_assumptions!$Y$3:$Z$87,2,FALSE),TIAM15_assumptions!$H$2:$V$2,0))</f>
        <v>0</v>
      </c>
      <c r="AJ86" s="59">
        <f ca="1">OFFSET(TIAM15_assumptions!$G86,0,MATCH(VLOOKUP(Assumptions!AJ$2,TIAM15_assumptions!$Y$3:$Z$87,2,FALSE),TIAM15_assumptions!$H$2:$V$2,0))</f>
        <v>0</v>
      </c>
      <c r="AK86" s="59">
        <f ca="1">OFFSET(TIAM15_assumptions!$G86,0,MATCH(VLOOKUP(Assumptions!AK$2,TIAM15_assumptions!$Y$3:$Z$87,2,FALSE),TIAM15_assumptions!$H$2:$V$2,0))</f>
        <v>0</v>
      </c>
      <c r="AL86" s="59">
        <f ca="1">OFFSET(TIAM15_assumptions!$G86,0,MATCH(VLOOKUP(Assumptions!AL$2,TIAM15_assumptions!$Y$3:$Z$87,2,FALSE),TIAM15_assumptions!$H$2:$V$2,0))</f>
        <v>0</v>
      </c>
      <c r="AM86" s="59">
        <f ca="1">OFFSET(TIAM15_assumptions!$G86,0,MATCH(VLOOKUP(Assumptions!AM$2,TIAM15_assumptions!$Y$3:$Z$87,2,FALSE),TIAM15_assumptions!$H$2:$V$2,0))</f>
        <v>0</v>
      </c>
      <c r="AN86" s="59">
        <f ca="1">OFFSET(TIAM15_assumptions!$G86,0,MATCH(VLOOKUP(Assumptions!AN$2,TIAM15_assumptions!$Y$3:$Z$87,2,FALSE),TIAM15_assumptions!$H$2:$V$2,0))</f>
        <v>0</v>
      </c>
      <c r="AO86" s="59">
        <f ca="1">OFFSET(TIAM15_assumptions!$G86,0,MATCH(VLOOKUP(Assumptions!AO$2,TIAM15_assumptions!$Y$3:$Z$87,2,FALSE),TIAM15_assumptions!$H$2:$V$2,0))</f>
        <v>0</v>
      </c>
      <c r="AP86" s="59">
        <f ca="1">OFFSET(TIAM15_assumptions!$G86,0,MATCH(VLOOKUP(Assumptions!AP$2,TIAM15_assumptions!$Y$3:$Z$87,2,FALSE),TIAM15_assumptions!$H$2:$V$2,0))</f>
        <v>0</v>
      </c>
      <c r="AQ86" s="59">
        <f ca="1">OFFSET(TIAM15_assumptions!$G86,0,MATCH(VLOOKUP(Assumptions!AQ$2,TIAM15_assumptions!$Y$3:$Z$87,2,FALSE),TIAM15_assumptions!$H$2:$V$2,0))</f>
        <v>0</v>
      </c>
      <c r="AR86" s="59">
        <f ca="1">OFFSET(TIAM15_assumptions!$G86,0,MATCH(VLOOKUP(Assumptions!AR$2,TIAM15_assumptions!$Y$3:$Z$87,2,FALSE),TIAM15_assumptions!$H$2:$V$2,0))</f>
        <v>0</v>
      </c>
      <c r="AS86" s="59">
        <f ca="1">OFFSET(TIAM15_assumptions!$G86,0,MATCH(VLOOKUP(Assumptions!AS$2,TIAM15_assumptions!$Y$3:$Z$87,2,FALSE),TIAM15_assumptions!$H$2:$V$2,0))</f>
        <v>0</v>
      </c>
      <c r="AT86" s="59">
        <f ca="1">OFFSET(TIAM15_assumptions!$G86,0,MATCH(VLOOKUP(Assumptions!AT$2,TIAM15_assumptions!$Y$3:$Z$87,2,FALSE),TIAM15_assumptions!$H$2:$V$2,0))</f>
        <v>0</v>
      </c>
      <c r="AU86" s="59">
        <f ca="1">OFFSET(TIAM15_assumptions!$G86,0,MATCH(VLOOKUP(Assumptions!AU$2,TIAM15_assumptions!$Y$3:$Z$87,2,FALSE),TIAM15_assumptions!$H$2:$V$2,0))</f>
        <v>0</v>
      </c>
      <c r="AV86" s="59">
        <f ca="1">OFFSET(TIAM15_assumptions!$G86,0,MATCH(VLOOKUP(Assumptions!AV$2,TIAM15_assumptions!$Y$3:$Z$87,2,FALSE),TIAM15_assumptions!$H$2:$V$2,0))</f>
        <v>0</v>
      </c>
      <c r="AW86" s="59">
        <f ca="1">OFFSET(TIAM15_assumptions!$G86,0,MATCH(VLOOKUP(Assumptions!AW$2,TIAM15_assumptions!$Y$3:$Z$87,2,FALSE),TIAM15_assumptions!$H$2:$V$2,0))</f>
        <v>0</v>
      </c>
      <c r="AX86" s="59">
        <f ca="1">OFFSET(TIAM15_assumptions!$G86,0,MATCH(VLOOKUP(Assumptions!AX$2,TIAM15_assumptions!$Y$3:$Z$87,2,FALSE),TIAM15_assumptions!$H$2:$V$2,0))</f>
        <v>0</v>
      </c>
      <c r="AY86" s="59">
        <f ca="1">OFFSET(TIAM15_assumptions!$G86,0,MATCH(VLOOKUP(Assumptions!AY$2,TIAM15_assumptions!$Y$3:$Z$87,2,FALSE),TIAM15_assumptions!$H$2:$V$2,0))</f>
        <v>0</v>
      </c>
      <c r="AZ86" s="59">
        <f ca="1">OFFSET(TIAM15_assumptions!$G86,0,MATCH(VLOOKUP(Assumptions!AZ$2,TIAM15_assumptions!$Y$3:$Z$87,2,FALSE),TIAM15_assumptions!$H$2:$V$2,0))</f>
        <v>0</v>
      </c>
      <c r="BA86" s="59">
        <f ca="1">OFFSET(TIAM15_assumptions!$G86,0,MATCH(VLOOKUP(Assumptions!BA$2,TIAM15_assumptions!$Y$3:$Z$87,2,FALSE),TIAM15_assumptions!$H$2:$V$2,0))</f>
        <v>0</v>
      </c>
      <c r="BD86" s="41">
        <f ca="1">IFERROR(SUMIFS('TRA balance'!E$5:E$40,'TRA balance'!$C$5:$C$40,Assumptions!$C86,'TRA balance'!$D$5:$D$40,Assumptions!$B86)*CY86*H86,"")</f>
        <v>0</v>
      </c>
      <c r="BE86" s="41">
        <f ca="1">IFERROR(SUMIFS('TRA balance'!F$5:F$40,'TRA balance'!$C$5:$C$40,Assumptions!$C86,'TRA balance'!$D$5:$D$40,Assumptions!$B86)*CZ86*I86,"")</f>
        <v>0</v>
      </c>
      <c r="BF86" s="41">
        <f ca="1">IFERROR(SUMIFS('TRA balance'!G$5:G$40,'TRA balance'!$C$5:$C$40,Assumptions!$C86,'TRA balance'!$D$5:$D$40,Assumptions!$B86)*DA86*J86,"")</f>
        <v>0</v>
      </c>
      <c r="BG86" s="41">
        <f ca="1">IFERROR(SUMIFS('TRA balance'!H$5:H$40,'TRA balance'!$C$5:$C$40,Assumptions!$C86,'TRA balance'!$D$5:$D$40,Assumptions!$B86)*DB86*K86,"")</f>
        <v>0</v>
      </c>
      <c r="BH86" s="41">
        <f ca="1">IFERROR(SUMIFS('TRA balance'!I$5:I$40,'TRA balance'!$C$5:$C$40,Assumptions!$C86,'TRA balance'!$D$5:$D$40,Assumptions!$B86)*DC86*L86,"")</f>
        <v>0</v>
      </c>
      <c r="BI86" s="41">
        <f ca="1">IFERROR(SUMIFS('TRA balance'!J$5:J$40,'TRA balance'!$C$5:$C$40,Assumptions!$C86,'TRA balance'!$D$5:$D$40,Assumptions!$B86)*DD86*M86,"")</f>
        <v>0</v>
      </c>
      <c r="BJ86" s="41">
        <f ca="1">IFERROR(SUMIFS('TRA balance'!K$5:K$40,'TRA balance'!$C$5:$C$40,Assumptions!$C86,'TRA balance'!$D$5:$D$40,Assumptions!$B86)*DE86*N86,"")</f>
        <v>0</v>
      </c>
      <c r="BK86" s="41">
        <f ca="1">IFERROR(SUMIFS('TRA balance'!L$5:L$40,'TRA balance'!$C$5:$C$40,Assumptions!$C86,'TRA balance'!$D$5:$D$40,Assumptions!$B86)*DF86*O86,"")</f>
        <v>0</v>
      </c>
      <c r="BL86" s="41">
        <f ca="1">IFERROR(SUMIFS('TRA balance'!M$5:M$40,'TRA balance'!$C$5:$C$40,Assumptions!$C86,'TRA balance'!$D$5:$D$40,Assumptions!$B86)*DG86*P86,"")</f>
        <v>0</v>
      </c>
      <c r="BM86" s="41">
        <f ca="1">IFERROR(SUMIFS('TRA balance'!N$5:N$40,'TRA balance'!$C$5:$C$40,Assumptions!$C86,'TRA balance'!$D$5:$D$40,Assumptions!$B86)*DH86*Q86,"")</f>
        <v>0</v>
      </c>
      <c r="BN86" s="41">
        <f ca="1">IFERROR(SUMIFS('TRA balance'!O$5:O$40,'TRA balance'!$C$5:$C$40,Assumptions!$C86,'TRA balance'!$D$5:$D$40,Assumptions!$B86)*DI86*R86,"")</f>
        <v>0</v>
      </c>
      <c r="BO86" s="41">
        <f ca="1">IFERROR(SUMIFS('TRA balance'!P$5:P$40,'TRA balance'!$C$5:$C$40,Assumptions!$C86,'TRA balance'!$D$5:$D$40,Assumptions!$B86)*DJ86*S86,"")</f>
        <v>0</v>
      </c>
      <c r="BP86" s="41">
        <f ca="1">IFERROR(SUMIFS('TRA balance'!Q$5:Q$40,'TRA balance'!$C$5:$C$40,Assumptions!$C86,'TRA balance'!$D$5:$D$40,Assumptions!$B86)*DK86*T86,"")</f>
        <v>0</v>
      </c>
      <c r="BQ86" s="41">
        <f ca="1">IFERROR(SUMIFS('TRA balance'!R$5:R$40,'TRA balance'!$C$5:$C$40,Assumptions!$C86,'TRA balance'!$D$5:$D$40,Assumptions!$B86)*DL86*U86,"")</f>
        <v>0</v>
      </c>
      <c r="BR86" s="41">
        <f ca="1">IFERROR(SUMIFS('TRA balance'!S$5:S$40,'TRA balance'!$C$5:$C$40,Assumptions!$C86,'TRA balance'!$D$5:$D$40,Assumptions!$B86)*DM86*V86,"")</f>
        <v>0</v>
      </c>
      <c r="BS86" s="41">
        <f ca="1">IFERROR(SUMIFS('TRA balance'!T$5:T$40,'TRA balance'!$C$5:$C$40,Assumptions!$C86,'TRA balance'!$D$5:$D$40,Assumptions!$B86)*DN86*W86,"")</f>
        <v>0</v>
      </c>
      <c r="BT86" s="41">
        <f ca="1">IFERROR(SUMIFS('TRA balance'!U$5:U$40,'TRA balance'!$C$5:$C$40,Assumptions!$C86,'TRA balance'!$D$5:$D$40,Assumptions!$B86)*DO86*X86,"")</f>
        <v>0</v>
      </c>
      <c r="BU86" s="41">
        <f ca="1">IFERROR(SUMIFS('TRA balance'!V$5:V$40,'TRA balance'!$C$5:$C$40,Assumptions!$C86,'TRA balance'!$D$5:$D$40,Assumptions!$B86)*DP86*Y86,"")</f>
        <v>0</v>
      </c>
      <c r="BV86" s="41">
        <f ca="1">IFERROR(SUMIFS('TRA balance'!W$5:W$40,'TRA balance'!$C$5:$C$40,Assumptions!$C86,'TRA balance'!$D$5:$D$40,Assumptions!$B86)*DQ86*Z86,"")</f>
        <v>0</v>
      </c>
      <c r="BW86" s="41">
        <f ca="1">IFERROR(SUMIFS('TRA balance'!X$5:X$40,'TRA balance'!$C$5:$C$40,Assumptions!$C86,'TRA balance'!$D$5:$D$40,Assumptions!$B86)*DR86*AA86,"")</f>
        <v>0</v>
      </c>
      <c r="BX86" s="41">
        <f ca="1">IFERROR(SUMIFS('TRA balance'!Y$5:Y$40,'TRA balance'!$C$5:$C$40,Assumptions!$C86,'TRA balance'!$D$5:$D$40,Assumptions!$B86)*DS86*AB86,"")</f>
        <v>0</v>
      </c>
      <c r="BY86" s="41">
        <f ca="1">IFERROR(SUMIFS('TRA balance'!Z$5:Z$40,'TRA balance'!$C$5:$C$40,Assumptions!$C86,'TRA balance'!$D$5:$D$40,Assumptions!$B86)*DT86*AC86,"")</f>
        <v>0</v>
      </c>
      <c r="BZ86" s="41">
        <f ca="1">IFERROR(SUMIFS('TRA balance'!AA$5:AA$40,'TRA balance'!$C$5:$C$40,Assumptions!$C86,'TRA balance'!$D$5:$D$40,Assumptions!$B86)*DU86*AD86,"")</f>
        <v>0</v>
      </c>
      <c r="CA86" s="41">
        <f ca="1">IFERROR(SUMIFS('TRA balance'!AB$5:AB$40,'TRA balance'!$C$5:$C$40,Assumptions!$C86,'TRA balance'!$D$5:$D$40,Assumptions!$B86)*DV86*AE86,"")</f>
        <v>0</v>
      </c>
      <c r="CB86" s="41">
        <f ca="1">IFERROR(SUMIFS('TRA balance'!AC$5:AC$40,'TRA balance'!$C$5:$C$40,Assumptions!$C86,'TRA balance'!$D$5:$D$40,Assumptions!$B86)*DW86*AF86,"")</f>
        <v>0</v>
      </c>
      <c r="CC86" s="41">
        <f ca="1">IFERROR(SUMIFS('TRA balance'!AD$5:AD$40,'TRA balance'!$C$5:$C$40,Assumptions!$C86,'TRA balance'!$D$5:$D$40,Assumptions!$B86)*DX86*AG86,"")</f>
        <v>0</v>
      </c>
      <c r="CD86" s="41">
        <f ca="1">IFERROR(SUMIFS('TRA balance'!AE$5:AE$40,'TRA balance'!$C$5:$C$40,Assumptions!$C86,'TRA balance'!$D$5:$D$40,Assumptions!$B86)*DY86*AH86,"")</f>
        <v>0</v>
      </c>
      <c r="CE86" s="41">
        <f ca="1">IFERROR(SUMIFS('TRA balance'!AF$5:AF$40,'TRA balance'!$C$5:$C$40,Assumptions!$C86,'TRA balance'!$D$5:$D$40,Assumptions!$B86)*DZ86*AI86,"")</f>
        <v>0</v>
      </c>
      <c r="CF86" s="41">
        <f ca="1">IFERROR(SUMIFS('TRA balance'!AG$5:AG$40,'TRA balance'!$C$5:$C$40,Assumptions!$C86,'TRA balance'!$D$5:$D$40,Assumptions!$B86)*EA86*AJ86,"")</f>
        <v>0</v>
      </c>
      <c r="CG86" s="41">
        <f ca="1">IFERROR(SUMIFS('TRA balance'!AH$5:AH$40,'TRA balance'!$C$5:$C$40,Assumptions!$C86,'TRA balance'!$D$5:$D$40,Assumptions!$B86)*EB86*AK86,"")</f>
        <v>0</v>
      </c>
      <c r="CH86" s="41">
        <f ca="1">IFERROR(SUMIFS('TRA balance'!AI$5:AI$40,'TRA balance'!$C$5:$C$40,Assumptions!$C86,'TRA balance'!$D$5:$D$40,Assumptions!$B86)*EC86*AL86,"")</f>
        <v>0</v>
      </c>
      <c r="CI86" s="41">
        <f ca="1">IFERROR(SUMIFS('TRA balance'!AJ$5:AJ$40,'TRA balance'!$C$5:$C$40,Assumptions!$C86,'TRA balance'!$D$5:$D$40,Assumptions!$B86)*ED86*AM86,"")</f>
        <v>0</v>
      </c>
      <c r="CJ86" s="41">
        <f ca="1">IFERROR(SUMIFS('TRA balance'!AK$5:AK$40,'TRA balance'!$C$5:$C$40,Assumptions!$C86,'TRA balance'!$D$5:$D$40,Assumptions!$B86)*EE86*AN86,"")</f>
        <v>0</v>
      </c>
      <c r="CK86" s="41">
        <f ca="1">IFERROR(SUMIFS('TRA balance'!AL$5:AL$40,'TRA balance'!$C$5:$C$40,Assumptions!$C86,'TRA balance'!$D$5:$D$40,Assumptions!$B86)*EF86*AO86,"")</f>
        <v>0</v>
      </c>
      <c r="CL86" s="41">
        <f ca="1">IFERROR(SUMIFS('TRA balance'!AM$5:AM$40,'TRA balance'!$C$5:$C$40,Assumptions!$C86,'TRA balance'!$D$5:$D$40,Assumptions!$B86)*EG86*AP86,"")</f>
        <v>0</v>
      </c>
      <c r="CM86" s="41">
        <f ca="1">IFERROR(SUMIFS('TRA balance'!AN$5:AN$40,'TRA balance'!$C$5:$C$40,Assumptions!$C86,'TRA balance'!$D$5:$D$40,Assumptions!$B86)*EH86*AQ86,"")</f>
        <v>0</v>
      </c>
      <c r="CN86" s="41">
        <f ca="1">IFERROR(SUMIFS('TRA balance'!AO$5:AO$40,'TRA balance'!$C$5:$C$40,Assumptions!$C86,'TRA balance'!$D$5:$D$40,Assumptions!$B86)*EI86*AR86,"")</f>
        <v>0</v>
      </c>
      <c r="CO86" s="41">
        <f ca="1">IFERROR(SUMIFS('TRA balance'!AP$5:AP$40,'TRA balance'!$C$5:$C$40,Assumptions!$C86,'TRA balance'!$D$5:$D$40,Assumptions!$B86)*EJ86*AS86,"")</f>
        <v>0</v>
      </c>
      <c r="CP86" s="41">
        <f ca="1">IFERROR(SUMIFS('TRA balance'!AQ$5:AQ$40,'TRA balance'!$C$5:$C$40,Assumptions!$C86,'TRA balance'!$D$5:$D$40,Assumptions!$B86)*EK86*AT86,"")</f>
        <v>0</v>
      </c>
      <c r="CQ86" s="41">
        <f ca="1">IFERROR(SUMIFS('TRA balance'!AR$5:AR$40,'TRA balance'!$C$5:$C$40,Assumptions!$C86,'TRA balance'!$D$5:$D$40,Assumptions!$B86)*EL86*AU86,"")</f>
        <v>0</v>
      </c>
      <c r="CR86" s="41">
        <f ca="1">IFERROR(SUMIFS('TRA balance'!AS$5:AS$40,'TRA balance'!$C$5:$C$40,Assumptions!$C86,'TRA balance'!$D$5:$D$40,Assumptions!$B86)*EM86*AV86,"")</f>
        <v>0</v>
      </c>
      <c r="CS86" s="41">
        <f ca="1">IFERROR(SUMIFS('TRA balance'!AT$5:AT$40,'TRA balance'!$C$5:$C$40,Assumptions!$C86,'TRA balance'!$D$5:$D$40,Assumptions!$B86)*EN86*AW86,"")</f>
        <v>0</v>
      </c>
      <c r="CT86" s="41">
        <f ca="1">IFERROR(SUMIFS('TRA balance'!AU$5:AU$40,'TRA balance'!$C$5:$C$40,Assumptions!$C86,'TRA balance'!$D$5:$D$40,Assumptions!$B86)*EO86*AX86,"")</f>
        <v>0</v>
      </c>
      <c r="CU86" s="41">
        <f ca="1">IFERROR(SUMIFS('TRA balance'!AV$5:AV$40,'TRA balance'!$C$5:$C$40,Assumptions!$C86,'TRA balance'!$D$5:$D$40,Assumptions!$B86)*EP86*AY86,"")</f>
        <v>0</v>
      </c>
      <c r="CV86" s="41">
        <f ca="1">IFERROR(SUMIFS('TRA balance'!AW$5:AW$40,'TRA balance'!$C$5:$C$40,Assumptions!$C86,'TRA balance'!$D$5:$D$40,Assumptions!$B86)*EQ86*AZ86,"")</f>
        <v>0</v>
      </c>
      <c r="CW86" s="41">
        <f ca="1">IFERROR(SUMIFS('TRA balance'!AX$5:AX$40,'TRA balance'!$C$5:$C$40,Assumptions!$C86,'TRA balance'!$D$5:$D$40,Assumptions!$B86)*ER86*BA86,"")</f>
        <v>0</v>
      </c>
      <c r="CY86" s="40">
        <f ca="1" t="shared" si="86"/>
        <v>1</v>
      </c>
      <c r="CZ86" s="40">
        <f ca="1" t="shared" si="87"/>
        <v>1</v>
      </c>
      <c r="DA86" s="40">
        <f ca="1" t="shared" si="88"/>
        <v>1</v>
      </c>
      <c r="DB86" s="40">
        <f ca="1" t="shared" si="89"/>
        <v>1</v>
      </c>
      <c r="DC86" s="40">
        <f ca="1" t="shared" si="90"/>
        <v>1</v>
      </c>
      <c r="DD86" s="40">
        <f ca="1" t="shared" si="91"/>
        <v>1</v>
      </c>
      <c r="DE86" s="40">
        <f ca="1" t="shared" si="92"/>
        <v>1</v>
      </c>
      <c r="DF86" s="40">
        <f ca="1" t="shared" si="93"/>
        <v>1</v>
      </c>
      <c r="DG86" s="40">
        <f ca="1" t="shared" si="94"/>
        <v>1</v>
      </c>
      <c r="DH86" s="40">
        <f ca="1" t="shared" si="95"/>
        <v>1</v>
      </c>
      <c r="DI86" s="40">
        <f ca="1" t="shared" si="96"/>
        <v>1</v>
      </c>
      <c r="DJ86" s="40">
        <f ca="1" t="shared" si="97"/>
        <v>1</v>
      </c>
      <c r="DK86" s="40">
        <f ca="1" t="shared" si="98"/>
        <v>1</v>
      </c>
      <c r="DL86" s="40">
        <f ca="1" t="shared" si="99"/>
        <v>1</v>
      </c>
      <c r="DM86" s="40">
        <f ca="1" t="shared" si="100"/>
        <v>1</v>
      </c>
      <c r="DN86" s="40">
        <f ca="1" t="shared" si="101"/>
        <v>1</v>
      </c>
      <c r="DO86" s="40">
        <f ca="1" t="shared" si="102"/>
        <v>1</v>
      </c>
      <c r="DP86" s="40">
        <f ca="1" t="shared" si="103"/>
        <v>1</v>
      </c>
      <c r="DQ86" s="40">
        <f ca="1" t="shared" si="104"/>
        <v>1</v>
      </c>
      <c r="DR86" s="40">
        <f ca="1" t="shared" si="105"/>
        <v>1</v>
      </c>
      <c r="DS86" s="40">
        <f ca="1" t="shared" si="106"/>
        <v>1</v>
      </c>
      <c r="DT86" s="40">
        <f ca="1" t="shared" si="107"/>
        <v>1</v>
      </c>
      <c r="DU86" s="40">
        <f ca="1" t="shared" si="108"/>
        <v>1</v>
      </c>
      <c r="DV86" s="40">
        <f ca="1" t="shared" si="109"/>
        <v>1</v>
      </c>
      <c r="DW86" s="40">
        <f ca="1" t="shared" si="110"/>
        <v>1</v>
      </c>
      <c r="DX86" s="40">
        <f ca="1" t="shared" si="111"/>
        <v>1</v>
      </c>
      <c r="DY86" s="40">
        <f ca="1" t="shared" si="112"/>
        <v>1</v>
      </c>
      <c r="DZ86" s="40">
        <f ca="1" t="shared" si="113"/>
        <v>1</v>
      </c>
      <c r="EA86" s="40">
        <f ca="1" t="shared" si="114"/>
        <v>1</v>
      </c>
      <c r="EB86" s="40">
        <f ca="1" t="shared" si="115"/>
        <v>1</v>
      </c>
      <c r="EC86" s="40">
        <f ca="1" t="shared" si="116"/>
        <v>1</v>
      </c>
      <c r="ED86" s="40">
        <f ca="1" t="shared" si="117"/>
        <v>1</v>
      </c>
      <c r="EE86" s="40">
        <f ca="1" t="shared" si="118"/>
        <v>1</v>
      </c>
      <c r="EF86" s="40">
        <f ca="1" t="shared" si="119"/>
        <v>1</v>
      </c>
      <c r="EG86" s="40">
        <f ca="1" t="shared" si="120"/>
        <v>1</v>
      </c>
      <c r="EH86" s="40">
        <f ca="1" t="shared" si="121"/>
        <v>1</v>
      </c>
      <c r="EI86" s="40">
        <f ca="1" t="shared" si="122"/>
        <v>1</v>
      </c>
      <c r="EJ86" s="40">
        <f ca="1" t="shared" si="123"/>
        <v>1</v>
      </c>
      <c r="EK86" s="40">
        <f ca="1" t="shared" si="124"/>
        <v>1</v>
      </c>
      <c r="EL86" s="40">
        <f ca="1" t="shared" si="125"/>
        <v>1</v>
      </c>
      <c r="EM86" s="40">
        <f ca="1" t="shared" si="126"/>
        <v>1</v>
      </c>
      <c r="EN86" s="40">
        <f ca="1" t="shared" si="127"/>
        <v>1</v>
      </c>
      <c r="EO86" s="40">
        <f ca="1" t="shared" si="128"/>
        <v>1</v>
      </c>
      <c r="EP86" s="40">
        <f ca="1" t="shared" si="129"/>
        <v>1</v>
      </c>
      <c r="EQ86" s="40">
        <f ca="1" t="shared" si="130"/>
        <v>1</v>
      </c>
      <c r="ER86" s="40">
        <f ca="1" t="shared" si="131"/>
        <v>1</v>
      </c>
    </row>
    <row r="87" spans="1:148">
      <c r="A87">
        <v>2</v>
      </c>
      <c r="B87" t="str">
        <f>VLOOKUP(F87,'TRA balance'!$BA$5:$BB$14,2,FALSE)</f>
        <v>TRABGS</v>
      </c>
      <c r="C87" s="56" t="str">
        <f t="shared" si="133"/>
        <v>TR</v>
      </c>
      <c r="D87" s="57" t="s">
        <v>200</v>
      </c>
      <c r="E87" s="68" t="s">
        <v>218</v>
      </c>
      <c r="F87" s="58" t="str">
        <f t="shared" si="141"/>
        <v>Bio Gasoline</v>
      </c>
      <c r="G87" s="56" t="s">
        <v>219</v>
      </c>
      <c r="H87" s="59">
        <f ca="1">OFFSET(TIAM15_assumptions!$G87,0,MATCH(VLOOKUP(Assumptions!H$2,TIAM15_assumptions!$Y$3:$Z$87,2,FALSE),TIAM15_assumptions!$H$2:$V$2,0))</f>
        <v>0</v>
      </c>
      <c r="I87" s="59">
        <f ca="1">OFFSET(TIAM15_assumptions!$G87,0,MATCH(VLOOKUP(Assumptions!I$2,TIAM15_assumptions!$Y$3:$Z$87,2,FALSE),TIAM15_assumptions!$H$2:$V$2,0))</f>
        <v>0</v>
      </c>
      <c r="J87" s="59">
        <f ca="1">OFFSET(TIAM15_assumptions!$G87,0,MATCH(VLOOKUP(Assumptions!J$2,TIAM15_assumptions!$Y$3:$Z$87,2,FALSE),TIAM15_assumptions!$H$2:$V$2,0))</f>
        <v>0</v>
      </c>
      <c r="K87" s="59">
        <f ca="1">OFFSET(TIAM15_assumptions!$G87,0,MATCH(VLOOKUP(Assumptions!K$2,TIAM15_assumptions!$Y$3:$Z$87,2,FALSE),TIAM15_assumptions!$H$2:$V$2,0))</f>
        <v>0</v>
      </c>
      <c r="L87" s="59">
        <f ca="1">OFFSET(TIAM15_assumptions!$G87,0,MATCH(VLOOKUP(Assumptions!L$2,TIAM15_assumptions!$Y$3:$Z$87,2,FALSE),TIAM15_assumptions!$H$2:$V$2,0))</f>
        <v>0</v>
      </c>
      <c r="M87" s="59">
        <f ca="1">OFFSET(TIAM15_assumptions!$G87,0,MATCH(VLOOKUP(Assumptions!M$2,TIAM15_assumptions!$Y$3:$Z$87,2,FALSE),TIAM15_assumptions!$H$2:$V$2,0))</f>
        <v>0</v>
      </c>
      <c r="N87" s="59">
        <f ca="1">OFFSET(TIAM15_assumptions!$G87,0,MATCH(VLOOKUP(Assumptions!N$2,TIAM15_assumptions!$Y$3:$Z$87,2,FALSE),TIAM15_assumptions!$H$2:$V$2,0))</f>
        <v>0</v>
      </c>
      <c r="O87" s="59">
        <f ca="1">OFFSET(TIAM15_assumptions!$G87,0,MATCH(VLOOKUP(Assumptions!O$2,TIAM15_assumptions!$Y$3:$Z$87,2,FALSE),TIAM15_assumptions!$H$2:$V$2,0))</f>
        <v>0</v>
      </c>
      <c r="P87" s="59">
        <f ca="1">OFFSET(TIAM15_assumptions!$G87,0,MATCH(VLOOKUP(Assumptions!P$2,TIAM15_assumptions!$Y$3:$Z$87,2,FALSE),TIAM15_assumptions!$H$2:$V$2,0))</f>
        <v>0</v>
      </c>
      <c r="Q87" s="59">
        <f ca="1">OFFSET(TIAM15_assumptions!$G87,0,MATCH(VLOOKUP(Assumptions!Q$2,TIAM15_assumptions!$Y$3:$Z$87,2,FALSE),TIAM15_assumptions!$H$2:$V$2,0))</f>
        <v>0</v>
      </c>
      <c r="R87" s="59">
        <f ca="1">OFFSET(TIAM15_assumptions!$G87,0,MATCH(VLOOKUP(Assumptions!R$2,TIAM15_assumptions!$Y$3:$Z$87,2,FALSE),TIAM15_assumptions!$H$2:$V$2,0))</f>
        <v>0</v>
      </c>
      <c r="S87" s="59">
        <f ca="1">OFFSET(TIAM15_assumptions!$G87,0,MATCH(VLOOKUP(Assumptions!S$2,TIAM15_assumptions!$Y$3:$Z$87,2,FALSE),TIAM15_assumptions!$H$2:$V$2,0))</f>
        <v>0</v>
      </c>
      <c r="T87" s="59">
        <f ca="1">OFFSET(TIAM15_assumptions!$G87,0,MATCH(VLOOKUP(Assumptions!T$2,TIAM15_assumptions!$Y$3:$Z$87,2,FALSE),TIAM15_assumptions!$H$2:$V$2,0))</f>
        <v>0</v>
      </c>
      <c r="U87" s="59">
        <f ca="1">OFFSET(TIAM15_assumptions!$G87,0,MATCH(VLOOKUP(Assumptions!U$2,TIAM15_assumptions!$Y$3:$Z$87,2,FALSE),TIAM15_assumptions!$H$2:$V$2,0))</f>
        <v>0</v>
      </c>
      <c r="V87" s="59">
        <f ca="1">OFFSET(TIAM15_assumptions!$G87,0,MATCH(VLOOKUP(Assumptions!V$2,TIAM15_assumptions!$Y$3:$Z$87,2,FALSE),TIAM15_assumptions!$H$2:$V$2,0))</f>
        <v>0</v>
      </c>
      <c r="W87" s="59">
        <f ca="1">OFFSET(TIAM15_assumptions!$G87,0,MATCH(VLOOKUP(Assumptions!W$2,TIAM15_assumptions!$Y$3:$Z$87,2,FALSE),TIAM15_assumptions!$H$2:$V$2,0))</f>
        <v>0</v>
      </c>
      <c r="X87" s="59">
        <f ca="1">OFFSET(TIAM15_assumptions!$G87,0,MATCH(VLOOKUP(Assumptions!X$2,TIAM15_assumptions!$Y$3:$Z$87,2,FALSE),TIAM15_assumptions!$H$2:$V$2,0))</f>
        <v>0</v>
      </c>
      <c r="Y87" s="59">
        <f ca="1">OFFSET(TIAM15_assumptions!$G87,0,MATCH(VLOOKUP(Assumptions!Y$2,TIAM15_assumptions!$Y$3:$Z$87,2,FALSE),TIAM15_assumptions!$H$2:$V$2,0))</f>
        <v>0</v>
      </c>
      <c r="Z87" s="59">
        <f ca="1">OFFSET(TIAM15_assumptions!$G87,0,MATCH(VLOOKUP(Assumptions!Z$2,TIAM15_assumptions!$Y$3:$Z$87,2,FALSE),TIAM15_assumptions!$H$2:$V$2,0))</f>
        <v>0</v>
      </c>
      <c r="AA87" s="59">
        <f ca="1">OFFSET(TIAM15_assumptions!$G87,0,MATCH(VLOOKUP(Assumptions!AA$2,TIAM15_assumptions!$Y$3:$Z$87,2,FALSE),TIAM15_assumptions!$H$2:$V$2,0))</f>
        <v>0</v>
      </c>
      <c r="AB87" s="59">
        <f ca="1">OFFSET(TIAM15_assumptions!$G87,0,MATCH(VLOOKUP(Assumptions!AB$2,TIAM15_assumptions!$Y$3:$Z$87,2,FALSE),TIAM15_assumptions!$H$2:$V$2,0))</f>
        <v>0</v>
      </c>
      <c r="AC87" s="59">
        <f ca="1">OFFSET(TIAM15_assumptions!$G87,0,MATCH(VLOOKUP(Assumptions!AC$2,TIAM15_assumptions!$Y$3:$Z$87,2,FALSE),TIAM15_assumptions!$H$2:$V$2,0))</f>
        <v>0</v>
      </c>
      <c r="AD87" s="59">
        <f ca="1">OFFSET(TIAM15_assumptions!$G87,0,MATCH(VLOOKUP(Assumptions!AD$2,TIAM15_assumptions!$Y$3:$Z$87,2,FALSE),TIAM15_assumptions!$H$2:$V$2,0))</f>
        <v>0</v>
      </c>
      <c r="AE87" s="59">
        <f ca="1">OFFSET(TIAM15_assumptions!$G87,0,MATCH(VLOOKUP(Assumptions!AE$2,TIAM15_assumptions!$Y$3:$Z$87,2,FALSE),TIAM15_assumptions!$H$2:$V$2,0))</f>
        <v>0</v>
      </c>
      <c r="AF87" s="59">
        <f ca="1">OFFSET(TIAM15_assumptions!$G87,0,MATCH(VLOOKUP(Assumptions!AF$2,TIAM15_assumptions!$Y$3:$Z$87,2,FALSE),TIAM15_assumptions!$H$2:$V$2,0))</f>
        <v>0</v>
      </c>
      <c r="AG87" s="59">
        <f ca="1">OFFSET(TIAM15_assumptions!$G87,0,MATCH(VLOOKUP(Assumptions!AG$2,TIAM15_assumptions!$Y$3:$Z$87,2,FALSE),TIAM15_assumptions!$H$2:$V$2,0))</f>
        <v>0</v>
      </c>
      <c r="AH87" s="59">
        <f ca="1">OFFSET(TIAM15_assumptions!$G87,0,MATCH(VLOOKUP(Assumptions!AH$2,TIAM15_assumptions!$Y$3:$Z$87,2,FALSE),TIAM15_assumptions!$H$2:$V$2,0))</f>
        <v>0</v>
      </c>
      <c r="AI87" s="59">
        <f ca="1">OFFSET(TIAM15_assumptions!$G87,0,MATCH(VLOOKUP(Assumptions!AI$2,TIAM15_assumptions!$Y$3:$Z$87,2,FALSE),TIAM15_assumptions!$H$2:$V$2,0))</f>
        <v>0</v>
      </c>
      <c r="AJ87" s="59">
        <f ca="1">OFFSET(TIAM15_assumptions!$G87,0,MATCH(VLOOKUP(Assumptions!AJ$2,TIAM15_assumptions!$Y$3:$Z$87,2,FALSE),TIAM15_assumptions!$H$2:$V$2,0))</f>
        <v>0</v>
      </c>
      <c r="AK87" s="59">
        <f ca="1">OFFSET(TIAM15_assumptions!$G87,0,MATCH(VLOOKUP(Assumptions!AK$2,TIAM15_assumptions!$Y$3:$Z$87,2,FALSE),TIAM15_assumptions!$H$2:$V$2,0))</f>
        <v>0</v>
      </c>
      <c r="AL87" s="59">
        <f ca="1">OFFSET(TIAM15_assumptions!$G87,0,MATCH(VLOOKUP(Assumptions!AL$2,TIAM15_assumptions!$Y$3:$Z$87,2,FALSE),TIAM15_assumptions!$H$2:$V$2,0))</f>
        <v>0</v>
      </c>
      <c r="AM87" s="59">
        <f ca="1">OFFSET(TIAM15_assumptions!$G87,0,MATCH(VLOOKUP(Assumptions!AM$2,TIAM15_assumptions!$Y$3:$Z$87,2,FALSE),TIAM15_assumptions!$H$2:$V$2,0))</f>
        <v>0</v>
      </c>
      <c r="AN87" s="59">
        <f ca="1">OFFSET(TIAM15_assumptions!$G87,0,MATCH(VLOOKUP(Assumptions!AN$2,TIAM15_assumptions!$Y$3:$Z$87,2,FALSE),TIAM15_assumptions!$H$2:$V$2,0))</f>
        <v>0</v>
      </c>
      <c r="AO87" s="59">
        <f ca="1">OFFSET(TIAM15_assumptions!$G87,0,MATCH(VLOOKUP(Assumptions!AO$2,TIAM15_assumptions!$Y$3:$Z$87,2,FALSE),TIAM15_assumptions!$H$2:$V$2,0))</f>
        <v>0</v>
      </c>
      <c r="AP87" s="59">
        <f ca="1">OFFSET(TIAM15_assumptions!$G87,0,MATCH(VLOOKUP(Assumptions!AP$2,TIAM15_assumptions!$Y$3:$Z$87,2,FALSE),TIAM15_assumptions!$H$2:$V$2,0))</f>
        <v>0</v>
      </c>
      <c r="AQ87" s="59">
        <f ca="1">OFFSET(TIAM15_assumptions!$G87,0,MATCH(VLOOKUP(Assumptions!AQ$2,TIAM15_assumptions!$Y$3:$Z$87,2,FALSE),TIAM15_assumptions!$H$2:$V$2,0))</f>
        <v>0</v>
      </c>
      <c r="AR87" s="59">
        <f ca="1">OFFSET(TIAM15_assumptions!$G87,0,MATCH(VLOOKUP(Assumptions!AR$2,TIAM15_assumptions!$Y$3:$Z$87,2,FALSE),TIAM15_assumptions!$H$2:$V$2,0))</f>
        <v>0</v>
      </c>
      <c r="AS87" s="59">
        <f ca="1">OFFSET(TIAM15_assumptions!$G87,0,MATCH(VLOOKUP(Assumptions!AS$2,TIAM15_assumptions!$Y$3:$Z$87,2,FALSE),TIAM15_assumptions!$H$2:$V$2,0))</f>
        <v>0</v>
      </c>
      <c r="AT87" s="59">
        <f ca="1">OFFSET(TIAM15_assumptions!$G87,0,MATCH(VLOOKUP(Assumptions!AT$2,TIAM15_assumptions!$Y$3:$Z$87,2,FALSE),TIAM15_assumptions!$H$2:$V$2,0))</f>
        <v>0</v>
      </c>
      <c r="AU87" s="59">
        <f ca="1">OFFSET(TIAM15_assumptions!$G87,0,MATCH(VLOOKUP(Assumptions!AU$2,TIAM15_assumptions!$Y$3:$Z$87,2,FALSE),TIAM15_assumptions!$H$2:$V$2,0))</f>
        <v>0</v>
      </c>
      <c r="AV87" s="59">
        <f ca="1">OFFSET(TIAM15_assumptions!$G87,0,MATCH(VLOOKUP(Assumptions!AV$2,TIAM15_assumptions!$Y$3:$Z$87,2,FALSE),TIAM15_assumptions!$H$2:$V$2,0))</f>
        <v>0</v>
      </c>
      <c r="AW87" s="59">
        <f ca="1">OFFSET(TIAM15_assumptions!$G87,0,MATCH(VLOOKUP(Assumptions!AW$2,TIAM15_assumptions!$Y$3:$Z$87,2,FALSE),TIAM15_assumptions!$H$2:$V$2,0))</f>
        <v>0</v>
      </c>
      <c r="AX87" s="59">
        <f ca="1">OFFSET(TIAM15_assumptions!$G87,0,MATCH(VLOOKUP(Assumptions!AX$2,TIAM15_assumptions!$Y$3:$Z$87,2,FALSE),TIAM15_assumptions!$H$2:$V$2,0))</f>
        <v>0</v>
      </c>
      <c r="AY87" s="59">
        <f ca="1">OFFSET(TIAM15_assumptions!$G87,0,MATCH(VLOOKUP(Assumptions!AY$2,TIAM15_assumptions!$Y$3:$Z$87,2,FALSE),TIAM15_assumptions!$H$2:$V$2,0))</f>
        <v>0</v>
      </c>
      <c r="AZ87" s="59">
        <f ca="1">OFFSET(TIAM15_assumptions!$G87,0,MATCH(VLOOKUP(Assumptions!AZ$2,TIAM15_assumptions!$Y$3:$Z$87,2,FALSE),TIAM15_assumptions!$H$2:$V$2,0))</f>
        <v>0</v>
      </c>
      <c r="BA87" s="59">
        <f ca="1">OFFSET(TIAM15_assumptions!$G87,0,MATCH(VLOOKUP(Assumptions!BA$2,TIAM15_assumptions!$Y$3:$Z$87,2,FALSE),TIAM15_assumptions!$H$2:$V$2,0))</f>
        <v>0</v>
      </c>
      <c r="BD87" s="41">
        <f ca="1">IFERROR(SUMIFS('TRA balance'!E$5:E$40,'TRA balance'!$C$5:$C$40,Assumptions!$C87,'TRA balance'!$D$5:$D$40,Assumptions!$B87)*CY87*H87,"")</f>
        <v>0</v>
      </c>
      <c r="BE87" s="41">
        <f ca="1">IFERROR(SUMIFS('TRA balance'!F$5:F$40,'TRA balance'!$C$5:$C$40,Assumptions!$C87,'TRA balance'!$D$5:$D$40,Assumptions!$B87)*CZ87*I87,"")</f>
        <v>0</v>
      </c>
      <c r="BF87" s="41">
        <f ca="1">IFERROR(SUMIFS('TRA balance'!G$5:G$40,'TRA balance'!$C$5:$C$40,Assumptions!$C87,'TRA balance'!$D$5:$D$40,Assumptions!$B87)*DA87*J87,"")</f>
        <v>0</v>
      </c>
      <c r="BG87" s="41">
        <f ca="1">IFERROR(SUMIFS('TRA balance'!H$5:H$40,'TRA balance'!$C$5:$C$40,Assumptions!$C87,'TRA balance'!$D$5:$D$40,Assumptions!$B87)*DB87*K87,"")</f>
        <v>0</v>
      </c>
      <c r="BH87" s="41">
        <f ca="1">IFERROR(SUMIFS('TRA balance'!I$5:I$40,'TRA balance'!$C$5:$C$40,Assumptions!$C87,'TRA balance'!$D$5:$D$40,Assumptions!$B87)*DC87*L87,"")</f>
        <v>0</v>
      </c>
      <c r="BI87" s="41">
        <f ca="1">IFERROR(SUMIFS('TRA balance'!J$5:J$40,'TRA balance'!$C$5:$C$40,Assumptions!$C87,'TRA balance'!$D$5:$D$40,Assumptions!$B87)*DD87*M87,"")</f>
        <v>0</v>
      </c>
      <c r="BJ87" s="41">
        <f ca="1">IFERROR(SUMIFS('TRA balance'!K$5:K$40,'TRA balance'!$C$5:$C$40,Assumptions!$C87,'TRA balance'!$D$5:$D$40,Assumptions!$B87)*DE87*N87,"")</f>
        <v>0</v>
      </c>
      <c r="BK87" s="41">
        <f ca="1">IFERROR(SUMIFS('TRA balance'!L$5:L$40,'TRA balance'!$C$5:$C$40,Assumptions!$C87,'TRA balance'!$D$5:$D$40,Assumptions!$B87)*DF87*O87,"")</f>
        <v>0</v>
      </c>
      <c r="BL87" s="41">
        <f ca="1">IFERROR(SUMIFS('TRA balance'!M$5:M$40,'TRA balance'!$C$5:$C$40,Assumptions!$C87,'TRA balance'!$D$5:$D$40,Assumptions!$B87)*DG87*P87,"")</f>
        <v>0</v>
      </c>
      <c r="BM87" s="41">
        <f ca="1">IFERROR(SUMIFS('TRA balance'!N$5:N$40,'TRA balance'!$C$5:$C$40,Assumptions!$C87,'TRA balance'!$D$5:$D$40,Assumptions!$B87)*DH87*Q87,"")</f>
        <v>0</v>
      </c>
      <c r="BN87" s="41">
        <f ca="1">IFERROR(SUMIFS('TRA balance'!O$5:O$40,'TRA balance'!$C$5:$C$40,Assumptions!$C87,'TRA balance'!$D$5:$D$40,Assumptions!$B87)*DI87*R87,"")</f>
        <v>0</v>
      </c>
      <c r="BO87" s="41">
        <f ca="1">IFERROR(SUMIFS('TRA balance'!P$5:P$40,'TRA balance'!$C$5:$C$40,Assumptions!$C87,'TRA balance'!$D$5:$D$40,Assumptions!$B87)*DJ87*S87,"")</f>
        <v>0</v>
      </c>
      <c r="BP87" s="41">
        <f ca="1">IFERROR(SUMIFS('TRA balance'!Q$5:Q$40,'TRA balance'!$C$5:$C$40,Assumptions!$C87,'TRA balance'!$D$5:$D$40,Assumptions!$B87)*DK87*T87,"")</f>
        <v>0</v>
      </c>
      <c r="BQ87" s="41">
        <f ca="1">IFERROR(SUMIFS('TRA balance'!R$5:R$40,'TRA balance'!$C$5:$C$40,Assumptions!$C87,'TRA balance'!$D$5:$D$40,Assumptions!$B87)*DL87*U87,"")</f>
        <v>0</v>
      </c>
      <c r="BR87" s="41">
        <f ca="1">IFERROR(SUMIFS('TRA balance'!S$5:S$40,'TRA balance'!$C$5:$C$40,Assumptions!$C87,'TRA balance'!$D$5:$D$40,Assumptions!$B87)*DM87*V87,"")</f>
        <v>0</v>
      </c>
      <c r="BS87" s="41">
        <f ca="1">IFERROR(SUMIFS('TRA balance'!T$5:T$40,'TRA balance'!$C$5:$C$40,Assumptions!$C87,'TRA balance'!$D$5:$D$40,Assumptions!$B87)*DN87*W87,"")</f>
        <v>0</v>
      </c>
      <c r="BT87" s="41">
        <f ca="1">IFERROR(SUMIFS('TRA balance'!U$5:U$40,'TRA balance'!$C$5:$C$40,Assumptions!$C87,'TRA balance'!$D$5:$D$40,Assumptions!$B87)*DO87*X87,"")</f>
        <v>0</v>
      </c>
      <c r="BU87" s="41">
        <f ca="1">IFERROR(SUMIFS('TRA balance'!V$5:V$40,'TRA balance'!$C$5:$C$40,Assumptions!$C87,'TRA balance'!$D$5:$D$40,Assumptions!$B87)*DP87*Y87,"")</f>
        <v>0</v>
      </c>
      <c r="BV87" s="41">
        <f ca="1">IFERROR(SUMIFS('TRA balance'!W$5:W$40,'TRA balance'!$C$5:$C$40,Assumptions!$C87,'TRA balance'!$D$5:$D$40,Assumptions!$B87)*DQ87*Z87,"")</f>
        <v>0</v>
      </c>
      <c r="BW87" s="41">
        <f ca="1">IFERROR(SUMIFS('TRA balance'!X$5:X$40,'TRA balance'!$C$5:$C$40,Assumptions!$C87,'TRA balance'!$D$5:$D$40,Assumptions!$B87)*DR87*AA87,"")</f>
        <v>0</v>
      </c>
      <c r="BX87" s="41">
        <f ca="1">IFERROR(SUMIFS('TRA balance'!Y$5:Y$40,'TRA balance'!$C$5:$C$40,Assumptions!$C87,'TRA balance'!$D$5:$D$40,Assumptions!$B87)*DS87*AB87,"")</f>
        <v>0</v>
      </c>
      <c r="BY87" s="41">
        <f ca="1">IFERROR(SUMIFS('TRA balance'!Z$5:Z$40,'TRA balance'!$C$5:$C$40,Assumptions!$C87,'TRA balance'!$D$5:$D$40,Assumptions!$B87)*DT87*AC87,"")</f>
        <v>0</v>
      </c>
      <c r="BZ87" s="41">
        <f ca="1">IFERROR(SUMIFS('TRA balance'!AA$5:AA$40,'TRA balance'!$C$5:$C$40,Assumptions!$C87,'TRA balance'!$D$5:$D$40,Assumptions!$B87)*DU87*AD87,"")</f>
        <v>0</v>
      </c>
      <c r="CA87" s="41">
        <f ca="1">IFERROR(SUMIFS('TRA balance'!AB$5:AB$40,'TRA balance'!$C$5:$C$40,Assumptions!$C87,'TRA balance'!$D$5:$D$40,Assumptions!$B87)*DV87*AE87,"")</f>
        <v>0</v>
      </c>
      <c r="CB87" s="41">
        <f ca="1">IFERROR(SUMIFS('TRA balance'!AC$5:AC$40,'TRA balance'!$C$5:$C$40,Assumptions!$C87,'TRA balance'!$D$5:$D$40,Assumptions!$B87)*DW87*AF87,"")</f>
        <v>0</v>
      </c>
      <c r="CC87" s="41">
        <f ca="1">IFERROR(SUMIFS('TRA balance'!AD$5:AD$40,'TRA balance'!$C$5:$C$40,Assumptions!$C87,'TRA balance'!$D$5:$D$40,Assumptions!$B87)*DX87*AG87,"")</f>
        <v>0</v>
      </c>
      <c r="CD87" s="41">
        <f ca="1">IFERROR(SUMIFS('TRA balance'!AE$5:AE$40,'TRA balance'!$C$5:$C$40,Assumptions!$C87,'TRA balance'!$D$5:$D$40,Assumptions!$B87)*DY87*AH87,"")</f>
        <v>0</v>
      </c>
      <c r="CE87" s="41">
        <f ca="1">IFERROR(SUMIFS('TRA balance'!AF$5:AF$40,'TRA balance'!$C$5:$C$40,Assumptions!$C87,'TRA balance'!$D$5:$D$40,Assumptions!$B87)*DZ87*AI87,"")</f>
        <v>0</v>
      </c>
      <c r="CF87" s="41">
        <f ca="1">IFERROR(SUMIFS('TRA balance'!AG$5:AG$40,'TRA balance'!$C$5:$C$40,Assumptions!$C87,'TRA balance'!$D$5:$D$40,Assumptions!$B87)*EA87*AJ87,"")</f>
        <v>0</v>
      </c>
      <c r="CG87" s="41">
        <f ca="1">IFERROR(SUMIFS('TRA balance'!AH$5:AH$40,'TRA balance'!$C$5:$C$40,Assumptions!$C87,'TRA balance'!$D$5:$D$40,Assumptions!$B87)*EB87*AK87,"")</f>
        <v>0</v>
      </c>
      <c r="CH87" s="41">
        <f ca="1">IFERROR(SUMIFS('TRA balance'!AI$5:AI$40,'TRA balance'!$C$5:$C$40,Assumptions!$C87,'TRA balance'!$D$5:$D$40,Assumptions!$B87)*EC87*AL87,"")</f>
        <v>0</v>
      </c>
      <c r="CI87" s="41">
        <f ca="1">IFERROR(SUMIFS('TRA balance'!AJ$5:AJ$40,'TRA balance'!$C$5:$C$40,Assumptions!$C87,'TRA balance'!$D$5:$D$40,Assumptions!$B87)*ED87*AM87,"")</f>
        <v>0</v>
      </c>
      <c r="CJ87" s="41">
        <f ca="1">IFERROR(SUMIFS('TRA balance'!AK$5:AK$40,'TRA balance'!$C$5:$C$40,Assumptions!$C87,'TRA balance'!$D$5:$D$40,Assumptions!$B87)*EE87*AN87,"")</f>
        <v>0</v>
      </c>
      <c r="CK87" s="41">
        <f ca="1">IFERROR(SUMIFS('TRA balance'!AL$5:AL$40,'TRA balance'!$C$5:$C$40,Assumptions!$C87,'TRA balance'!$D$5:$D$40,Assumptions!$B87)*EF87*AO87,"")</f>
        <v>0</v>
      </c>
      <c r="CL87" s="41">
        <f ca="1">IFERROR(SUMIFS('TRA balance'!AM$5:AM$40,'TRA balance'!$C$5:$C$40,Assumptions!$C87,'TRA balance'!$D$5:$D$40,Assumptions!$B87)*EG87*AP87,"")</f>
        <v>0</v>
      </c>
      <c r="CM87" s="41">
        <f ca="1">IFERROR(SUMIFS('TRA balance'!AN$5:AN$40,'TRA balance'!$C$5:$C$40,Assumptions!$C87,'TRA balance'!$D$5:$D$40,Assumptions!$B87)*EH87*AQ87,"")</f>
        <v>0</v>
      </c>
      <c r="CN87" s="41">
        <f ca="1">IFERROR(SUMIFS('TRA balance'!AO$5:AO$40,'TRA balance'!$C$5:$C$40,Assumptions!$C87,'TRA balance'!$D$5:$D$40,Assumptions!$B87)*EI87*AR87,"")</f>
        <v>0</v>
      </c>
      <c r="CO87" s="41">
        <f ca="1">IFERROR(SUMIFS('TRA balance'!AP$5:AP$40,'TRA balance'!$C$5:$C$40,Assumptions!$C87,'TRA balance'!$D$5:$D$40,Assumptions!$B87)*EJ87*AS87,"")</f>
        <v>0</v>
      </c>
      <c r="CP87" s="41">
        <f ca="1">IFERROR(SUMIFS('TRA balance'!AQ$5:AQ$40,'TRA balance'!$C$5:$C$40,Assumptions!$C87,'TRA balance'!$D$5:$D$40,Assumptions!$B87)*EK87*AT87,"")</f>
        <v>0</v>
      </c>
      <c r="CQ87" s="41">
        <f ca="1">IFERROR(SUMIFS('TRA balance'!AR$5:AR$40,'TRA balance'!$C$5:$C$40,Assumptions!$C87,'TRA balance'!$D$5:$D$40,Assumptions!$B87)*EL87*AU87,"")</f>
        <v>0</v>
      </c>
      <c r="CR87" s="41">
        <f ca="1">IFERROR(SUMIFS('TRA balance'!AS$5:AS$40,'TRA balance'!$C$5:$C$40,Assumptions!$C87,'TRA balance'!$D$5:$D$40,Assumptions!$B87)*EM87*AV87,"")</f>
        <v>0</v>
      </c>
      <c r="CS87" s="41">
        <f ca="1">IFERROR(SUMIFS('TRA balance'!AT$5:AT$40,'TRA balance'!$C$5:$C$40,Assumptions!$C87,'TRA balance'!$D$5:$D$40,Assumptions!$B87)*EN87*AW87,"")</f>
        <v>0</v>
      </c>
      <c r="CT87" s="41">
        <f ca="1">IFERROR(SUMIFS('TRA balance'!AU$5:AU$40,'TRA balance'!$C$5:$C$40,Assumptions!$C87,'TRA balance'!$D$5:$D$40,Assumptions!$B87)*EO87*AX87,"")</f>
        <v>0</v>
      </c>
      <c r="CU87" s="41">
        <f ca="1">IFERROR(SUMIFS('TRA balance'!AV$5:AV$40,'TRA balance'!$C$5:$C$40,Assumptions!$C87,'TRA balance'!$D$5:$D$40,Assumptions!$B87)*EP87*AY87,"")</f>
        <v>0</v>
      </c>
      <c r="CV87" s="41">
        <f ca="1">IFERROR(SUMIFS('TRA balance'!AW$5:AW$40,'TRA balance'!$C$5:$C$40,Assumptions!$C87,'TRA balance'!$D$5:$D$40,Assumptions!$B87)*EQ87*AZ87,"")</f>
        <v>0</v>
      </c>
      <c r="CW87" s="41">
        <f ca="1">IFERROR(SUMIFS('TRA balance'!AX$5:AX$40,'TRA balance'!$C$5:$C$40,Assumptions!$C87,'TRA balance'!$D$5:$D$40,Assumptions!$B87)*ER87*BA87,"")</f>
        <v>0</v>
      </c>
      <c r="CY87" s="40">
        <f ca="1" t="shared" si="86"/>
        <v>1</v>
      </c>
      <c r="CZ87" s="40">
        <f ca="1" t="shared" si="87"/>
        <v>1</v>
      </c>
      <c r="DA87" s="40">
        <f ca="1" t="shared" si="88"/>
        <v>1</v>
      </c>
      <c r="DB87" s="40">
        <f ca="1" t="shared" si="89"/>
        <v>1</v>
      </c>
      <c r="DC87" s="40">
        <f ca="1" t="shared" si="90"/>
        <v>1</v>
      </c>
      <c r="DD87" s="40">
        <f ca="1" t="shared" si="91"/>
        <v>1</v>
      </c>
      <c r="DE87" s="40">
        <f ca="1" t="shared" si="92"/>
        <v>1</v>
      </c>
      <c r="DF87" s="40">
        <f ca="1" t="shared" si="93"/>
        <v>1</v>
      </c>
      <c r="DG87" s="40">
        <f ca="1" t="shared" si="94"/>
        <v>1</v>
      </c>
      <c r="DH87" s="40">
        <f ca="1" t="shared" si="95"/>
        <v>1</v>
      </c>
      <c r="DI87" s="40">
        <f ca="1" t="shared" si="96"/>
        <v>1</v>
      </c>
      <c r="DJ87" s="40">
        <f ca="1" t="shared" si="97"/>
        <v>1</v>
      </c>
      <c r="DK87" s="40">
        <f ca="1" t="shared" si="98"/>
        <v>1</v>
      </c>
      <c r="DL87" s="40">
        <f ca="1" t="shared" si="99"/>
        <v>1</v>
      </c>
      <c r="DM87" s="40">
        <f ca="1" t="shared" si="100"/>
        <v>1</v>
      </c>
      <c r="DN87" s="40">
        <f ca="1" t="shared" si="101"/>
        <v>1</v>
      </c>
      <c r="DO87" s="40">
        <f ca="1" t="shared" si="102"/>
        <v>1</v>
      </c>
      <c r="DP87" s="40">
        <f ca="1" t="shared" si="103"/>
        <v>1</v>
      </c>
      <c r="DQ87" s="40">
        <f ca="1" t="shared" si="104"/>
        <v>1</v>
      </c>
      <c r="DR87" s="40">
        <f ca="1" t="shared" si="105"/>
        <v>1</v>
      </c>
      <c r="DS87" s="40">
        <f ca="1" t="shared" si="106"/>
        <v>1</v>
      </c>
      <c r="DT87" s="40">
        <f ca="1" t="shared" si="107"/>
        <v>1</v>
      </c>
      <c r="DU87" s="40">
        <f ca="1" t="shared" si="108"/>
        <v>1</v>
      </c>
      <c r="DV87" s="40">
        <f ca="1" t="shared" si="109"/>
        <v>1</v>
      </c>
      <c r="DW87" s="40">
        <f ca="1" t="shared" si="110"/>
        <v>1</v>
      </c>
      <c r="DX87" s="40">
        <f ca="1" t="shared" si="111"/>
        <v>1</v>
      </c>
      <c r="DY87" s="40">
        <f ca="1" t="shared" si="112"/>
        <v>1</v>
      </c>
      <c r="DZ87" s="40">
        <f ca="1" t="shared" si="113"/>
        <v>1</v>
      </c>
      <c r="EA87" s="40">
        <f ca="1" t="shared" si="114"/>
        <v>1</v>
      </c>
      <c r="EB87" s="40">
        <f ca="1" t="shared" si="115"/>
        <v>1</v>
      </c>
      <c r="EC87" s="40">
        <f ca="1" t="shared" si="116"/>
        <v>1</v>
      </c>
      <c r="ED87" s="40">
        <f ca="1" t="shared" si="117"/>
        <v>1</v>
      </c>
      <c r="EE87" s="40">
        <f ca="1" t="shared" si="118"/>
        <v>1</v>
      </c>
      <c r="EF87" s="40">
        <f ca="1" t="shared" si="119"/>
        <v>1</v>
      </c>
      <c r="EG87" s="40">
        <f ca="1" t="shared" si="120"/>
        <v>1</v>
      </c>
      <c r="EH87" s="40">
        <f ca="1" t="shared" si="121"/>
        <v>1</v>
      </c>
      <c r="EI87" s="40">
        <f ca="1" t="shared" si="122"/>
        <v>1</v>
      </c>
      <c r="EJ87" s="40">
        <f ca="1" t="shared" si="123"/>
        <v>1</v>
      </c>
      <c r="EK87" s="40">
        <f ca="1" t="shared" si="124"/>
        <v>1</v>
      </c>
      <c r="EL87" s="40">
        <f ca="1" t="shared" si="125"/>
        <v>1</v>
      </c>
      <c r="EM87" s="40">
        <f ca="1" t="shared" si="126"/>
        <v>1</v>
      </c>
      <c r="EN87" s="40">
        <f ca="1" t="shared" si="127"/>
        <v>1</v>
      </c>
      <c r="EO87" s="40">
        <f ca="1" t="shared" si="128"/>
        <v>1</v>
      </c>
      <c r="EP87" s="40">
        <f ca="1" t="shared" si="129"/>
        <v>1</v>
      </c>
      <c r="EQ87" s="40">
        <f ca="1" t="shared" si="130"/>
        <v>1</v>
      </c>
      <c r="ER87" s="40">
        <f ca="1" t="shared" si="131"/>
        <v>1</v>
      </c>
    </row>
    <row r="88" spans="1:148">
      <c r="A88">
        <v>1</v>
      </c>
      <c r="B88" t="str">
        <f>VLOOKUP(F88,'TRA balance'!$BA$5:$BB$14,2,FALSE)</f>
        <v>TRABGS</v>
      </c>
      <c r="C88" s="60" t="str">
        <f t="shared" si="133"/>
        <v/>
      </c>
      <c r="D88" s="72"/>
      <c r="E88" s="61" t="s">
        <v>220</v>
      </c>
      <c r="F88" s="62" t="str">
        <f t="shared" si="141"/>
        <v>Bio Gasoline</v>
      </c>
      <c r="G88" s="60"/>
      <c r="H88" s="73" t="str">
        <f ca="1">IF(SUM(H84:H87)=1,"-","&lt;&gt;1!!")</f>
        <v>&lt;&gt;1!!</v>
      </c>
      <c r="I88" s="73" t="str">
        <f ca="1" t="shared" ref="I88:BA88" si="142">IF(SUM(I84:I87)=1,"-","&lt;&gt;1!!")</f>
        <v>&lt;&gt;1!!</v>
      </c>
      <c r="J88" s="73" t="str">
        <f ca="1" t="shared" si="142"/>
        <v>&lt;&gt;1!!</v>
      </c>
      <c r="K88" s="73" t="str">
        <f ca="1" t="shared" si="142"/>
        <v>&lt;&gt;1!!</v>
      </c>
      <c r="L88" s="73" t="str">
        <f ca="1" t="shared" si="142"/>
        <v>&lt;&gt;1!!</v>
      </c>
      <c r="M88" s="73" t="str">
        <f ca="1" t="shared" si="142"/>
        <v>&lt;&gt;1!!</v>
      </c>
      <c r="N88" s="73" t="str">
        <f ca="1" t="shared" si="142"/>
        <v>&lt;&gt;1!!</v>
      </c>
      <c r="O88" s="73" t="str">
        <f ca="1" t="shared" si="142"/>
        <v>&lt;&gt;1!!</v>
      </c>
      <c r="P88" s="73" t="str">
        <f ca="1" t="shared" si="142"/>
        <v>&lt;&gt;1!!</v>
      </c>
      <c r="Q88" s="73" t="str">
        <f ca="1" t="shared" si="142"/>
        <v>&lt;&gt;1!!</v>
      </c>
      <c r="R88" s="73" t="str">
        <f ca="1" t="shared" si="142"/>
        <v>&lt;&gt;1!!</v>
      </c>
      <c r="S88" s="73" t="str">
        <f ca="1" t="shared" si="142"/>
        <v>&lt;&gt;1!!</v>
      </c>
      <c r="T88" s="73" t="str">
        <f ca="1" t="shared" si="142"/>
        <v>&lt;&gt;1!!</v>
      </c>
      <c r="U88" s="73" t="str">
        <f ca="1" t="shared" si="142"/>
        <v>&lt;&gt;1!!</v>
      </c>
      <c r="V88" s="73" t="str">
        <f ca="1" t="shared" si="142"/>
        <v>&lt;&gt;1!!</v>
      </c>
      <c r="W88" s="73" t="str">
        <f ca="1" t="shared" si="142"/>
        <v>&lt;&gt;1!!</v>
      </c>
      <c r="X88" s="73" t="str">
        <f ca="1" t="shared" si="142"/>
        <v>&lt;&gt;1!!</v>
      </c>
      <c r="Y88" s="73" t="str">
        <f ca="1" t="shared" si="142"/>
        <v>&lt;&gt;1!!</v>
      </c>
      <c r="Z88" s="73" t="str">
        <f ca="1" t="shared" si="142"/>
        <v>&lt;&gt;1!!</v>
      </c>
      <c r="AA88" s="73" t="str">
        <f ca="1" t="shared" si="142"/>
        <v>&lt;&gt;1!!</v>
      </c>
      <c r="AB88" s="73" t="str">
        <f ca="1" t="shared" si="142"/>
        <v>&lt;&gt;1!!</v>
      </c>
      <c r="AC88" s="73" t="str">
        <f ca="1" t="shared" si="142"/>
        <v>&lt;&gt;1!!</v>
      </c>
      <c r="AD88" s="73" t="str">
        <f ca="1" t="shared" si="142"/>
        <v>&lt;&gt;1!!</v>
      </c>
      <c r="AE88" s="73" t="str">
        <f ca="1" t="shared" si="142"/>
        <v>&lt;&gt;1!!</v>
      </c>
      <c r="AF88" s="73" t="str">
        <f ca="1" t="shared" si="142"/>
        <v>&lt;&gt;1!!</v>
      </c>
      <c r="AG88" s="73" t="str">
        <f ca="1" t="shared" si="142"/>
        <v>&lt;&gt;1!!</v>
      </c>
      <c r="AH88" s="73" t="str">
        <f ca="1" t="shared" si="142"/>
        <v>&lt;&gt;1!!</v>
      </c>
      <c r="AI88" s="73" t="str">
        <f ca="1" t="shared" si="142"/>
        <v>&lt;&gt;1!!</v>
      </c>
      <c r="AJ88" s="73" t="str">
        <f ca="1" t="shared" si="142"/>
        <v>&lt;&gt;1!!</v>
      </c>
      <c r="AK88" s="73" t="str">
        <f ca="1" t="shared" si="142"/>
        <v>&lt;&gt;1!!</v>
      </c>
      <c r="AL88" s="73" t="str">
        <f ca="1" t="shared" si="142"/>
        <v>&lt;&gt;1!!</v>
      </c>
      <c r="AM88" s="73" t="str">
        <f ca="1" t="shared" si="142"/>
        <v>&lt;&gt;1!!</v>
      </c>
      <c r="AN88" s="73" t="str">
        <f ca="1" t="shared" si="142"/>
        <v>&lt;&gt;1!!</v>
      </c>
      <c r="AO88" s="73" t="str">
        <f ca="1" t="shared" si="142"/>
        <v>&lt;&gt;1!!</v>
      </c>
      <c r="AP88" s="73" t="str">
        <f ca="1" t="shared" si="142"/>
        <v>&lt;&gt;1!!</v>
      </c>
      <c r="AQ88" s="73" t="str">
        <f ca="1" t="shared" si="142"/>
        <v>&lt;&gt;1!!</v>
      </c>
      <c r="AR88" s="73" t="str">
        <f ca="1" t="shared" si="142"/>
        <v>&lt;&gt;1!!</v>
      </c>
      <c r="AS88" s="73" t="str">
        <f ca="1" t="shared" si="142"/>
        <v>&lt;&gt;1!!</v>
      </c>
      <c r="AT88" s="73" t="str">
        <f ca="1" t="shared" si="142"/>
        <v>&lt;&gt;1!!</v>
      </c>
      <c r="AU88" s="73" t="str">
        <f ca="1" t="shared" si="142"/>
        <v>&lt;&gt;1!!</v>
      </c>
      <c r="AV88" s="73" t="str">
        <f ca="1" t="shared" si="142"/>
        <v>&lt;&gt;1!!</v>
      </c>
      <c r="AW88" s="73" t="str">
        <f ca="1" t="shared" si="142"/>
        <v>&lt;&gt;1!!</v>
      </c>
      <c r="AX88" s="73" t="str">
        <f ca="1" t="shared" si="142"/>
        <v>&lt;&gt;1!!</v>
      </c>
      <c r="AY88" s="73" t="str">
        <f ca="1" t="shared" si="142"/>
        <v>&lt;&gt;1!!</v>
      </c>
      <c r="AZ88" s="73" t="str">
        <f ca="1" t="shared" si="142"/>
        <v>&lt;&gt;1!!</v>
      </c>
      <c r="BA88" s="73" t="str">
        <f ca="1" t="shared" si="142"/>
        <v>&lt;&gt;1!!</v>
      </c>
      <c r="BD88" s="41" t="str">
        <f ca="1">IFERROR(SUMIFS('TRA balance'!E$5:E$40,'TRA balance'!$C$5:$C$40,Assumptions!$C88,'TRA balance'!$D$5:$D$40,Assumptions!$B88)*CY88*H88,"")</f>
        <v/>
      </c>
      <c r="BE88" s="41" t="str">
        <f ca="1">IFERROR(SUMIFS('TRA balance'!F$5:F$40,'TRA balance'!$C$5:$C$40,Assumptions!$C88,'TRA balance'!$D$5:$D$40,Assumptions!$B88)*CZ88*I88,"")</f>
        <v/>
      </c>
      <c r="BF88" s="41" t="str">
        <f ca="1">IFERROR(SUMIFS('TRA balance'!G$5:G$40,'TRA balance'!$C$5:$C$40,Assumptions!$C88,'TRA balance'!$D$5:$D$40,Assumptions!$B88)*DA88*J88,"")</f>
        <v/>
      </c>
      <c r="BG88" s="41" t="str">
        <f ca="1">IFERROR(SUMIFS('TRA balance'!H$5:H$40,'TRA balance'!$C$5:$C$40,Assumptions!$C88,'TRA balance'!$D$5:$D$40,Assumptions!$B88)*DB88*K88,"")</f>
        <v/>
      </c>
      <c r="BH88" s="41" t="str">
        <f ca="1">IFERROR(SUMIFS('TRA balance'!I$5:I$40,'TRA balance'!$C$5:$C$40,Assumptions!$C88,'TRA balance'!$D$5:$D$40,Assumptions!$B88)*DC88*L88,"")</f>
        <v/>
      </c>
      <c r="BI88" s="41" t="str">
        <f ca="1">IFERROR(SUMIFS('TRA balance'!J$5:J$40,'TRA balance'!$C$5:$C$40,Assumptions!$C88,'TRA balance'!$D$5:$D$40,Assumptions!$B88)*DD88*M88,"")</f>
        <v/>
      </c>
      <c r="BJ88" s="41" t="str">
        <f ca="1">IFERROR(SUMIFS('TRA balance'!K$5:K$40,'TRA balance'!$C$5:$C$40,Assumptions!$C88,'TRA balance'!$D$5:$D$40,Assumptions!$B88)*DE88*N88,"")</f>
        <v/>
      </c>
      <c r="BK88" s="41" t="str">
        <f ca="1">IFERROR(SUMIFS('TRA balance'!L$5:L$40,'TRA balance'!$C$5:$C$40,Assumptions!$C88,'TRA balance'!$D$5:$D$40,Assumptions!$B88)*DF88*O88,"")</f>
        <v/>
      </c>
      <c r="BL88" s="41" t="str">
        <f ca="1">IFERROR(SUMIFS('TRA balance'!M$5:M$40,'TRA balance'!$C$5:$C$40,Assumptions!$C88,'TRA balance'!$D$5:$D$40,Assumptions!$B88)*DG88*P88,"")</f>
        <v/>
      </c>
      <c r="BM88" s="41" t="str">
        <f ca="1">IFERROR(SUMIFS('TRA balance'!N$5:N$40,'TRA balance'!$C$5:$C$40,Assumptions!$C88,'TRA balance'!$D$5:$D$40,Assumptions!$B88)*DH88*Q88,"")</f>
        <v/>
      </c>
      <c r="BN88" s="41" t="str">
        <f ca="1">IFERROR(SUMIFS('TRA balance'!O$5:O$40,'TRA balance'!$C$5:$C$40,Assumptions!$C88,'TRA balance'!$D$5:$D$40,Assumptions!$B88)*DI88*R88,"")</f>
        <v/>
      </c>
      <c r="BO88" s="41" t="str">
        <f ca="1">IFERROR(SUMIFS('TRA balance'!P$5:P$40,'TRA balance'!$C$5:$C$40,Assumptions!$C88,'TRA balance'!$D$5:$D$40,Assumptions!$B88)*DJ88*S88,"")</f>
        <v/>
      </c>
      <c r="BP88" s="41" t="str">
        <f ca="1">IFERROR(SUMIFS('TRA balance'!Q$5:Q$40,'TRA balance'!$C$5:$C$40,Assumptions!$C88,'TRA balance'!$D$5:$D$40,Assumptions!$B88)*DK88*T88,"")</f>
        <v/>
      </c>
      <c r="BQ88" s="41" t="str">
        <f ca="1">IFERROR(SUMIFS('TRA balance'!R$5:R$40,'TRA balance'!$C$5:$C$40,Assumptions!$C88,'TRA balance'!$D$5:$D$40,Assumptions!$B88)*DL88*U88,"")</f>
        <v/>
      </c>
      <c r="BR88" s="41" t="str">
        <f ca="1">IFERROR(SUMIFS('TRA balance'!S$5:S$40,'TRA balance'!$C$5:$C$40,Assumptions!$C88,'TRA balance'!$D$5:$D$40,Assumptions!$B88)*DM88*V88,"")</f>
        <v/>
      </c>
      <c r="BS88" s="41" t="str">
        <f ca="1">IFERROR(SUMIFS('TRA balance'!T$5:T$40,'TRA balance'!$C$5:$C$40,Assumptions!$C88,'TRA balance'!$D$5:$D$40,Assumptions!$B88)*DN88*W88,"")</f>
        <v/>
      </c>
      <c r="BT88" s="41" t="str">
        <f ca="1">IFERROR(SUMIFS('TRA balance'!U$5:U$40,'TRA balance'!$C$5:$C$40,Assumptions!$C88,'TRA balance'!$D$5:$D$40,Assumptions!$B88)*DO88*X88,"")</f>
        <v/>
      </c>
      <c r="BU88" s="41" t="str">
        <f ca="1">IFERROR(SUMIFS('TRA balance'!V$5:V$40,'TRA balance'!$C$5:$C$40,Assumptions!$C88,'TRA balance'!$D$5:$D$40,Assumptions!$B88)*DP88*Y88,"")</f>
        <v/>
      </c>
      <c r="BV88" s="41" t="str">
        <f ca="1">IFERROR(SUMIFS('TRA balance'!W$5:W$40,'TRA balance'!$C$5:$C$40,Assumptions!$C88,'TRA balance'!$D$5:$D$40,Assumptions!$B88)*DQ88*Z88,"")</f>
        <v/>
      </c>
      <c r="BW88" s="41" t="str">
        <f ca="1">IFERROR(SUMIFS('TRA balance'!X$5:X$40,'TRA balance'!$C$5:$C$40,Assumptions!$C88,'TRA balance'!$D$5:$D$40,Assumptions!$B88)*DR88*AA88,"")</f>
        <v/>
      </c>
      <c r="BX88" s="41" t="str">
        <f ca="1">IFERROR(SUMIFS('TRA balance'!Y$5:Y$40,'TRA balance'!$C$5:$C$40,Assumptions!$C88,'TRA balance'!$D$5:$D$40,Assumptions!$B88)*DS88*AB88,"")</f>
        <v/>
      </c>
      <c r="BY88" s="41" t="str">
        <f ca="1">IFERROR(SUMIFS('TRA balance'!Z$5:Z$40,'TRA balance'!$C$5:$C$40,Assumptions!$C88,'TRA balance'!$D$5:$D$40,Assumptions!$B88)*DT88*AC88,"")</f>
        <v/>
      </c>
      <c r="BZ88" s="41" t="str">
        <f ca="1">IFERROR(SUMIFS('TRA balance'!AA$5:AA$40,'TRA balance'!$C$5:$C$40,Assumptions!$C88,'TRA balance'!$D$5:$D$40,Assumptions!$B88)*DU88*AD88,"")</f>
        <v/>
      </c>
      <c r="CA88" s="41" t="str">
        <f ca="1">IFERROR(SUMIFS('TRA balance'!AB$5:AB$40,'TRA balance'!$C$5:$C$40,Assumptions!$C88,'TRA balance'!$D$5:$D$40,Assumptions!$B88)*DV88*AE88,"")</f>
        <v/>
      </c>
      <c r="CB88" s="41" t="str">
        <f ca="1">IFERROR(SUMIFS('TRA balance'!AC$5:AC$40,'TRA balance'!$C$5:$C$40,Assumptions!$C88,'TRA balance'!$D$5:$D$40,Assumptions!$B88)*DW88*AF88,"")</f>
        <v/>
      </c>
      <c r="CC88" s="41" t="str">
        <f ca="1">IFERROR(SUMIFS('TRA balance'!AD$5:AD$40,'TRA balance'!$C$5:$C$40,Assumptions!$C88,'TRA balance'!$D$5:$D$40,Assumptions!$B88)*DX88*AG88,"")</f>
        <v/>
      </c>
      <c r="CD88" s="41" t="str">
        <f ca="1">IFERROR(SUMIFS('TRA balance'!AE$5:AE$40,'TRA balance'!$C$5:$C$40,Assumptions!$C88,'TRA balance'!$D$5:$D$40,Assumptions!$B88)*DY88*AH88,"")</f>
        <v/>
      </c>
      <c r="CE88" s="41" t="str">
        <f ca="1">IFERROR(SUMIFS('TRA balance'!AF$5:AF$40,'TRA balance'!$C$5:$C$40,Assumptions!$C88,'TRA balance'!$D$5:$D$40,Assumptions!$B88)*DZ88*AI88,"")</f>
        <v/>
      </c>
      <c r="CF88" s="41" t="str">
        <f ca="1">IFERROR(SUMIFS('TRA balance'!AG$5:AG$40,'TRA balance'!$C$5:$C$40,Assumptions!$C88,'TRA balance'!$D$5:$D$40,Assumptions!$B88)*EA88*AJ88,"")</f>
        <v/>
      </c>
      <c r="CG88" s="41" t="str">
        <f ca="1">IFERROR(SUMIFS('TRA balance'!AH$5:AH$40,'TRA balance'!$C$5:$C$40,Assumptions!$C88,'TRA balance'!$D$5:$D$40,Assumptions!$B88)*EB88*AK88,"")</f>
        <v/>
      </c>
      <c r="CH88" s="41" t="str">
        <f ca="1">IFERROR(SUMIFS('TRA balance'!AI$5:AI$40,'TRA balance'!$C$5:$C$40,Assumptions!$C88,'TRA balance'!$D$5:$D$40,Assumptions!$B88)*EC88*AL88,"")</f>
        <v/>
      </c>
      <c r="CI88" s="41" t="str">
        <f ca="1">IFERROR(SUMIFS('TRA balance'!AJ$5:AJ$40,'TRA balance'!$C$5:$C$40,Assumptions!$C88,'TRA balance'!$D$5:$D$40,Assumptions!$B88)*ED88*AM88,"")</f>
        <v/>
      </c>
      <c r="CJ88" s="41" t="str">
        <f ca="1">IFERROR(SUMIFS('TRA balance'!AK$5:AK$40,'TRA balance'!$C$5:$C$40,Assumptions!$C88,'TRA balance'!$D$5:$D$40,Assumptions!$B88)*EE88*AN88,"")</f>
        <v/>
      </c>
      <c r="CK88" s="41" t="str">
        <f ca="1">IFERROR(SUMIFS('TRA balance'!AL$5:AL$40,'TRA balance'!$C$5:$C$40,Assumptions!$C88,'TRA balance'!$D$5:$D$40,Assumptions!$B88)*EF88*AO88,"")</f>
        <v/>
      </c>
      <c r="CL88" s="41" t="str">
        <f ca="1">IFERROR(SUMIFS('TRA balance'!AM$5:AM$40,'TRA balance'!$C$5:$C$40,Assumptions!$C88,'TRA balance'!$D$5:$D$40,Assumptions!$B88)*EG88*AP88,"")</f>
        <v/>
      </c>
      <c r="CM88" s="41" t="str">
        <f ca="1">IFERROR(SUMIFS('TRA balance'!AN$5:AN$40,'TRA balance'!$C$5:$C$40,Assumptions!$C88,'TRA balance'!$D$5:$D$40,Assumptions!$B88)*EH88*AQ88,"")</f>
        <v/>
      </c>
      <c r="CN88" s="41" t="str">
        <f ca="1">IFERROR(SUMIFS('TRA balance'!AO$5:AO$40,'TRA balance'!$C$5:$C$40,Assumptions!$C88,'TRA balance'!$D$5:$D$40,Assumptions!$B88)*EI88*AR88,"")</f>
        <v/>
      </c>
      <c r="CO88" s="41" t="str">
        <f ca="1">IFERROR(SUMIFS('TRA balance'!AP$5:AP$40,'TRA balance'!$C$5:$C$40,Assumptions!$C88,'TRA balance'!$D$5:$D$40,Assumptions!$B88)*EJ88*AS88,"")</f>
        <v/>
      </c>
      <c r="CP88" s="41" t="str">
        <f ca="1">IFERROR(SUMIFS('TRA balance'!AQ$5:AQ$40,'TRA balance'!$C$5:$C$40,Assumptions!$C88,'TRA balance'!$D$5:$D$40,Assumptions!$B88)*EK88*AT88,"")</f>
        <v/>
      </c>
      <c r="CQ88" s="41" t="str">
        <f ca="1">IFERROR(SUMIFS('TRA balance'!AR$5:AR$40,'TRA balance'!$C$5:$C$40,Assumptions!$C88,'TRA balance'!$D$5:$D$40,Assumptions!$B88)*EL88*AU88,"")</f>
        <v/>
      </c>
      <c r="CR88" s="41" t="str">
        <f ca="1">IFERROR(SUMIFS('TRA balance'!AS$5:AS$40,'TRA balance'!$C$5:$C$40,Assumptions!$C88,'TRA balance'!$D$5:$D$40,Assumptions!$B88)*EM88*AV88,"")</f>
        <v/>
      </c>
      <c r="CS88" s="41" t="str">
        <f ca="1">IFERROR(SUMIFS('TRA balance'!AT$5:AT$40,'TRA balance'!$C$5:$C$40,Assumptions!$C88,'TRA balance'!$D$5:$D$40,Assumptions!$B88)*EN88*AW88,"")</f>
        <v/>
      </c>
      <c r="CT88" s="41" t="str">
        <f ca="1">IFERROR(SUMIFS('TRA balance'!AU$5:AU$40,'TRA balance'!$C$5:$C$40,Assumptions!$C88,'TRA balance'!$D$5:$D$40,Assumptions!$B88)*EO88*AX88,"")</f>
        <v/>
      </c>
      <c r="CU88" s="41" t="str">
        <f ca="1">IFERROR(SUMIFS('TRA balance'!AV$5:AV$40,'TRA balance'!$C$5:$C$40,Assumptions!$C88,'TRA balance'!$D$5:$D$40,Assumptions!$B88)*EP88*AY88,"")</f>
        <v/>
      </c>
      <c r="CV88" s="41" t="str">
        <f ca="1">IFERROR(SUMIFS('TRA balance'!AW$5:AW$40,'TRA balance'!$C$5:$C$40,Assumptions!$C88,'TRA balance'!$D$5:$D$40,Assumptions!$B88)*EQ88*AZ88,"")</f>
        <v/>
      </c>
      <c r="CW88" s="41" t="str">
        <f ca="1">IFERROR(SUMIFS('TRA balance'!AX$5:AX$40,'TRA balance'!$C$5:$C$40,Assumptions!$C88,'TRA balance'!$D$5:$D$40,Assumptions!$B88)*ER88*BA88,"")</f>
        <v/>
      </c>
      <c r="CY88" s="40">
        <f ca="1" t="shared" si="86"/>
        <v>1</v>
      </c>
      <c r="CZ88" s="40">
        <f ca="1" t="shared" si="87"/>
        <v>1</v>
      </c>
      <c r="DA88" s="40">
        <f ca="1" t="shared" si="88"/>
        <v>1</v>
      </c>
      <c r="DB88" s="40">
        <f ca="1" t="shared" si="89"/>
        <v>1</v>
      </c>
      <c r="DC88" s="40">
        <f ca="1" t="shared" si="90"/>
        <v>1</v>
      </c>
      <c r="DD88" s="40">
        <f ca="1" t="shared" si="91"/>
        <v>1</v>
      </c>
      <c r="DE88" s="40">
        <f ca="1" t="shared" si="92"/>
        <v>1</v>
      </c>
      <c r="DF88" s="40">
        <f ca="1" t="shared" si="93"/>
        <v>1</v>
      </c>
      <c r="DG88" s="40">
        <f ca="1" t="shared" si="94"/>
        <v>1</v>
      </c>
      <c r="DH88" s="40">
        <f ca="1" t="shared" si="95"/>
        <v>1</v>
      </c>
      <c r="DI88" s="40">
        <f ca="1" t="shared" si="96"/>
        <v>1</v>
      </c>
      <c r="DJ88" s="40">
        <f ca="1" t="shared" si="97"/>
        <v>1</v>
      </c>
      <c r="DK88" s="40">
        <f ca="1" t="shared" si="98"/>
        <v>1</v>
      </c>
      <c r="DL88" s="40">
        <f ca="1" t="shared" si="99"/>
        <v>1</v>
      </c>
      <c r="DM88" s="40">
        <f ca="1" t="shared" si="100"/>
        <v>1</v>
      </c>
      <c r="DN88" s="40">
        <f ca="1" t="shared" si="101"/>
        <v>1</v>
      </c>
      <c r="DO88" s="40">
        <f ca="1" t="shared" si="102"/>
        <v>1</v>
      </c>
      <c r="DP88" s="40">
        <f ca="1" t="shared" si="103"/>
        <v>1</v>
      </c>
      <c r="DQ88" s="40">
        <f ca="1" t="shared" si="104"/>
        <v>1</v>
      </c>
      <c r="DR88" s="40">
        <f ca="1" t="shared" si="105"/>
        <v>1</v>
      </c>
      <c r="DS88" s="40">
        <f ca="1" t="shared" si="106"/>
        <v>1</v>
      </c>
      <c r="DT88" s="40">
        <f ca="1" t="shared" si="107"/>
        <v>1</v>
      </c>
      <c r="DU88" s="40">
        <f ca="1" t="shared" si="108"/>
        <v>1</v>
      </c>
      <c r="DV88" s="40">
        <f ca="1" t="shared" si="109"/>
        <v>1</v>
      </c>
      <c r="DW88" s="40">
        <f ca="1" t="shared" si="110"/>
        <v>1</v>
      </c>
      <c r="DX88" s="40">
        <f ca="1" t="shared" si="111"/>
        <v>1</v>
      </c>
      <c r="DY88" s="40">
        <f ca="1" t="shared" si="112"/>
        <v>1</v>
      </c>
      <c r="DZ88" s="40">
        <f ca="1" t="shared" si="113"/>
        <v>1</v>
      </c>
      <c r="EA88" s="40">
        <f ca="1" t="shared" si="114"/>
        <v>1</v>
      </c>
      <c r="EB88" s="40">
        <f ca="1" t="shared" si="115"/>
        <v>1</v>
      </c>
      <c r="EC88" s="40">
        <f ca="1" t="shared" si="116"/>
        <v>1</v>
      </c>
      <c r="ED88" s="40">
        <f ca="1" t="shared" si="117"/>
        <v>1</v>
      </c>
      <c r="EE88" s="40">
        <f ca="1" t="shared" si="118"/>
        <v>1</v>
      </c>
      <c r="EF88" s="40">
        <f ca="1" t="shared" si="119"/>
        <v>1</v>
      </c>
      <c r="EG88" s="40">
        <f ca="1" t="shared" si="120"/>
        <v>1</v>
      </c>
      <c r="EH88" s="40">
        <f ca="1" t="shared" si="121"/>
        <v>1</v>
      </c>
      <c r="EI88" s="40">
        <f ca="1" t="shared" si="122"/>
        <v>1</v>
      </c>
      <c r="EJ88" s="40">
        <f ca="1" t="shared" si="123"/>
        <v>1</v>
      </c>
      <c r="EK88" s="40">
        <f ca="1" t="shared" si="124"/>
        <v>1</v>
      </c>
      <c r="EL88" s="40">
        <f ca="1" t="shared" si="125"/>
        <v>1</v>
      </c>
      <c r="EM88" s="40">
        <f ca="1" t="shared" si="126"/>
        <v>1</v>
      </c>
      <c r="EN88" s="40">
        <f ca="1" t="shared" si="127"/>
        <v>1</v>
      </c>
      <c r="EO88" s="40">
        <f ca="1" t="shared" si="128"/>
        <v>1</v>
      </c>
      <c r="EP88" s="40">
        <f ca="1" t="shared" si="129"/>
        <v>1</v>
      </c>
      <c r="EQ88" s="40">
        <f ca="1" t="shared" si="130"/>
        <v>1</v>
      </c>
      <c r="ER88" s="40">
        <f ca="1" t="shared" si="131"/>
        <v>1</v>
      </c>
    </row>
    <row r="89" spans="1:148">
      <c r="A89">
        <v>1</v>
      </c>
      <c r="B89" t="str">
        <f>VLOOKUP(F89,'TRA balance'!$BA$5:$BB$14,2,FALSE)</f>
        <v>TRAELC</v>
      </c>
      <c r="C89" s="64">
        <v>1</v>
      </c>
      <c r="D89" s="65" t="s">
        <v>200</v>
      </c>
      <c r="E89" s="65" t="s">
        <v>201</v>
      </c>
      <c r="F89" s="66" t="s">
        <v>63</v>
      </c>
      <c r="G89" s="64"/>
      <c r="H89" s="59">
        <f ca="1">OFFSET(TIAM15_assumptions!$G89,0,MATCH(VLOOKUP(Assumptions!H$2,TIAM15_assumptions!$Y$3:$Z$87,2,FALSE),TIAM15_assumptions!$H$2:$V$2,0))</f>
        <v>0</v>
      </c>
      <c r="I89" s="59">
        <f ca="1">OFFSET(TIAM15_assumptions!$G89,0,MATCH(VLOOKUP(Assumptions!I$2,TIAM15_assumptions!$Y$3:$Z$87,2,FALSE),TIAM15_assumptions!$H$2:$V$2,0))</f>
        <v>0</v>
      </c>
      <c r="J89" s="59">
        <f ca="1">OFFSET(TIAM15_assumptions!$G89,0,MATCH(VLOOKUP(Assumptions!J$2,TIAM15_assumptions!$Y$3:$Z$87,2,FALSE),TIAM15_assumptions!$H$2:$V$2,0))</f>
        <v>1</v>
      </c>
      <c r="K89" s="59">
        <f ca="1">OFFSET(TIAM15_assumptions!$G89,0,MATCH(VLOOKUP(Assumptions!K$2,TIAM15_assumptions!$Y$3:$Z$87,2,FALSE),TIAM15_assumptions!$H$2:$V$2,0))</f>
        <v>1</v>
      </c>
      <c r="L89" s="59">
        <f ca="1">OFFSET(TIAM15_assumptions!$G89,0,MATCH(VLOOKUP(Assumptions!L$2,TIAM15_assumptions!$Y$3:$Z$87,2,FALSE),TIAM15_assumptions!$H$2:$V$2,0))</f>
        <v>0</v>
      </c>
      <c r="M89" s="59">
        <f ca="1">OFFSET(TIAM15_assumptions!$G89,0,MATCH(VLOOKUP(Assumptions!M$2,TIAM15_assumptions!$Y$3:$Z$87,2,FALSE),TIAM15_assumptions!$H$2:$V$2,0))</f>
        <v>1</v>
      </c>
      <c r="N89" s="59">
        <f ca="1">OFFSET(TIAM15_assumptions!$G89,0,MATCH(VLOOKUP(Assumptions!N$2,TIAM15_assumptions!$Y$3:$Z$87,2,FALSE),TIAM15_assumptions!$H$2:$V$2,0))</f>
        <v>0.5</v>
      </c>
      <c r="O89" s="59">
        <f ca="1">OFFSET(TIAM15_assumptions!$G89,0,MATCH(VLOOKUP(Assumptions!O$2,TIAM15_assumptions!$Y$3:$Z$87,2,FALSE),TIAM15_assumptions!$H$2:$V$2,0))</f>
        <v>0.8</v>
      </c>
      <c r="P89" s="59">
        <f ca="1">OFFSET(TIAM15_assumptions!$G89,0,MATCH(VLOOKUP(Assumptions!P$2,TIAM15_assumptions!$Y$3:$Z$87,2,FALSE),TIAM15_assumptions!$H$2:$V$2,0))</f>
        <v>0</v>
      </c>
      <c r="Q89" s="59">
        <f ca="1">OFFSET(TIAM15_assumptions!$G89,0,MATCH(VLOOKUP(Assumptions!Q$2,TIAM15_assumptions!$Y$3:$Z$87,2,FALSE),TIAM15_assumptions!$H$2:$V$2,0))</f>
        <v>0</v>
      </c>
      <c r="R89" s="59">
        <f ca="1">OFFSET(TIAM15_assumptions!$G89,0,MATCH(VLOOKUP(Assumptions!R$2,TIAM15_assumptions!$Y$3:$Z$87,2,FALSE),TIAM15_assumptions!$H$2:$V$2,0))</f>
        <v>1</v>
      </c>
      <c r="S89" s="59">
        <f ca="1">OFFSET(TIAM15_assumptions!$G89,0,MATCH(VLOOKUP(Assumptions!S$2,TIAM15_assumptions!$Y$3:$Z$87,2,FALSE),TIAM15_assumptions!$H$2:$V$2,0))</f>
        <v>1</v>
      </c>
      <c r="T89" s="59">
        <f ca="1">OFFSET(TIAM15_assumptions!$G89,0,MATCH(VLOOKUP(Assumptions!T$2,TIAM15_assumptions!$Y$3:$Z$87,2,FALSE),TIAM15_assumptions!$H$2:$V$2,0))</f>
        <v>1</v>
      </c>
      <c r="U89" s="59">
        <f ca="1">OFFSET(TIAM15_assumptions!$G89,0,MATCH(VLOOKUP(Assumptions!U$2,TIAM15_assumptions!$Y$3:$Z$87,2,FALSE),TIAM15_assumptions!$H$2:$V$2,0))</f>
        <v>0</v>
      </c>
      <c r="V89" s="59">
        <f ca="1">OFFSET(TIAM15_assumptions!$G89,0,MATCH(VLOOKUP(Assumptions!V$2,TIAM15_assumptions!$Y$3:$Z$87,2,FALSE),TIAM15_assumptions!$H$2:$V$2,0))</f>
        <v>1</v>
      </c>
      <c r="W89" s="59">
        <f ca="1">OFFSET(TIAM15_assumptions!$G89,0,MATCH(VLOOKUP(Assumptions!W$2,TIAM15_assumptions!$Y$3:$Z$87,2,FALSE),TIAM15_assumptions!$H$2:$V$2,0))</f>
        <v>0</v>
      </c>
      <c r="X89" s="59">
        <f ca="1">OFFSET(TIAM15_assumptions!$G89,0,MATCH(VLOOKUP(Assumptions!X$2,TIAM15_assumptions!$Y$3:$Z$87,2,FALSE),TIAM15_assumptions!$H$2:$V$2,0))</f>
        <v>1</v>
      </c>
      <c r="Y89" s="59">
        <f ca="1">OFFSET(TIAM15_assumptions!$G89,0,MATCH(VLOOKUP(Assumptions!Y$2,TIAM15_assumptions!$Y$3:$Z$87,2,FALSE),TIAM15_assumptions!$H$2:$V$2,0))</f>
        <v>1</v>
      </c>
      <c r="Z89" s="59">
        <f ca="1">OFFSET(TIAM15_assumptions!$G89,0,MATCH(VLOOKUP(Assumptions!Z$2,TIAM15_assumptions!$Y$3:$Z$87,2,FALSE),TIAM15_assumptions!$H$2:$V$2,0))</f>
        <v>1</v>
      </c>
      <c r="AA89" s="59">
        <f ca="1">OFFSET(TIAM15_assumptions!$G89,0,MATCH(VLOOKUP(Assumptions!AA$2,TIAM15_assumptions!$Y$3:$Z$87,2,FALSE),TIAM15_assumptions!$H$2:$V$2,0))</f>
        <v>0.5</v>
      </c>
      <c r="AB89" s="59">
        <f ca="1">OFFSET(TIAM15_assumptions!$G89,0,MATCH(VLOOKUP(Assumptions!AB$2,TIAM15_assumptions!$Y$3:$Z$87,2,FALSE),TIAM15_assumptions!$H$2:$V$2,0))</f>
        <v>0</v>
      </c>
      <c r="AC89" s="59">
        <f ca="1">OFFSET(TIAM15_assumptions!$G89,0,MATCH(VLOOKUP(Assumptions!AC$2,TIAM15_assumptions!$Y$3:$Z$87,2,FALSE),TIAM15_assumptions!$H$2:$V$2,0))</f>
        <v>1</v>
      </c>
      <c r="AD89" s="59">
        <f ca="1">OFFSET(TIAM15_assumptions!$G89,0,MATCH(VLOOKUP(Assumptions!AD$2,TIAM15_assumptions!$Y$3:$Z$87,2,FALSE),TIAM15_assumptions!$H$2:$V$2,0))</f>
        <v>1</v>
      </c>
      <c r="AE89" s="59">
        <f ca="1">OFFSET(TIAM15_assumptions!$G89,0,MATCH(VLOOKUP(Assumptions!AE$2,TIAM15_assumptions!$Y$3:$Z$87,2,FALSE),TIAM15_assumptions!$H$2:$V$2,0))</f>
        <v>0</v>
      </c>
      <c r="AF89" s="59">
        <f ca="1">OFFSET(TIAM15_assumptions!$G89,0,MATCH(VLOOKUP(Assumptions!AF$2,TIAM15_assumptions!$Y$3:$Z$87,2,FALSE),TIAM15_assumptions!$H$2:$V$2,0))</f>
        <v>1</v>
      </c>
      <c r="AG89" s="59">
        <f ca="1">OFFSET(TIAM15_assumptions!$G89,0,MATCH(VLOOKUP(Assumptions!AG$2,TIAM15_assumptions!$Y$3:$Z$87,2,FALSE),TIAM15_assumptions!$H$2:$V$2,0))</f>
        <v>0</v>
      </c>
      <c r="AH89" s="59">
        <f ca="1">OFFSET(TIAM15_assumptions!$G89,0,MATCH(VLOOKUP(Assumptions!AH$2,TIAM15_assumptions!$Y$3:$Z$87,2,FALSE),TIAM15_assumptions!$H$2:$V$2,0))</f>
        <v>0</v>
      </c>
      <c r="AI89" s="59">
        <f ca="1">OFFSET(TIAM15_assumptions!$G89,0,MATCH(VLOOKUP(Assumptions!AI$2,TIAM15_assumptions!$Y$3:$Z$87,2,FALSE),TIAM15_assumptions!$H$2:$V$2,0))</f>
        <v>0</v>
      </c>
      <c r="AJ89" s="59">
        <f ca="1">OFFSET(TIAM15_assumptions!$G89,0,MATCH(VLOOKUP(Assumptions!AJ$2,TIAM15_assumptions!$Y$3:$Z$87,2,FALSE),TIAM15_assumptions!$H$2:$V$2,0))</f>
        <v>1</v>
      </c>
      <c r="AK89" s="59">
        <f ca="1">OFFSET(TIAM15_assumptions!$G89,0,MATCH(VLOOKUP(Assumptions!AK$2,TIAM15_assumptions!$Y$3:$Z$87,2,FALSE),TIAM15_assumptions!$H$2:$V$2,0))</f>
        <v>1</v>
      </c>
      <c r="AL89" s="59">
        <f ca="1">OFFSET(TIAM15_assumptions!$G89,0,MATCH(VLOOKUP(Assumptions!AL$2,TIAM15_assumptions!$Y$3:$Z$87,2,FALSE),TIAM15_assumptions!$H$2:$V$2,0))</f>
        <v>1</v>
      </c>
      <c r="AM89" s="59">
        <f ca="1">OFFSET(TIAM15_assumptions!$G89,0,MATCH(VLOOKUP(Assumptions!AM$2,TIAM15_assumptions!$Y$3:$Z$87,2,FALSE),TIAM15_assumptions!$H$2:$V$2,0))</f>
        <v>0</v>
      </c>
      <c r="AN89" s="59">
        <f ca="1">OFFSET(TIAM15_assumptions!$G89,0,MATCH(VLOOKUP(Assumptions!AN$2,TIAM15_assumptions!$Y$3:$Z$87,2,FALSE),TIAM15_assumptions!$H$2:$V$2,0))</f>
        <v>1</v>
      </c>
      <c r="AO89" s="59">
        <f ca="1">OFFSET(TIAM15_assumptions!$G89,0,MATCH(VLOOKUP(Assumptions!AO$2,TIAM15_assumptions!$Y$3:$Z$87,2,FALSE),TIAM15_assumptions!$H$2:$V$2,0))</f>
        <v>0</v>
      </c>
      <c r="AP89" s="59">
        <f ca="1">OFFSET(TIAM15_assumptions!$G89,0,MATCH(VLOOKUP(Assumptions!AP$2,TIAM15_assumptions!$Y$3:$Z$87,2,FALSE),TIAM15_assumptions!$H$2:$V$2,0))</f>
        <v>0</v>
      </c>
      <c r="AQ89" s="59">
        <f ca="1">OFFSET(TIAM15_assumptions!$G89,0,MATCH(VLOOKUP(Assumptions!AQ$2,TIAM15_assumptions!$Y$3:$Z$87,2,FALSE),TIAM15_assumptions!$H$2:$V$2,0))</f>
        <v>1</v>
      </c>
      <c r="AR89" s="59">
        <f ca="1">OFFSET(TIAM15_assumptions!$G89,0,MATCH(VLOOKUP(Assumptions!AR$2,TIAM15_assumptions!$Y$3:$Z$87,2,FALSE),TIAM15_assumptions!$H$2:$V$2,0))</f>
        <v>1</v>
      </c>
      <c r="AS89" s="59">
        <f ca="1">OFFSET(TIAM15_assumptions!$G89,0,MATCH(VLOOKUP(Assumptions!AS$2,TIAM15_assumptions!$Y$3:$Z$87,2,FALSE),TIAM15_assumptions!$H$2:$V$2,0))</f>
        <v>1</v>
      </c>
      <c r="AT89" s="59">
        <f ca="1">OFFSET(TIAM15_assumptions!$G89,0,MATCH(VLOOKUP(Assumptions!AT$2,TIAM15_assumptions!$Y$3:$Z$87,2,FALSE),TIAM15_assumptions!$H$2:$V$2,0))</f>
        <v>1</v>
      </c>
      <c r="AU89" s="59">
        <f ca="1">OFFSET(TIAM15_assumptions!$G89,0,MATCH(VLOOKUP(Assumptions!AU$2,TIAM15_assumptions!$Y$3:$Z$87,2,FALSE),TIAM15_assumptions!$H$2:$V$2,0))</f>
        <v>1</v>
      </c>
      <c r="AV89" s="59">
        <f ca="1">OFFSET(TIAM15_assumptions!$G89,0,MATCH(VLOOKUP(Assumptions!AV$2,TIAM15_assumptions!$Y$3:$Z$87,2,FALSE),TIAM15_assumptions!$H$2:$V$2,0))</f>
        <v>1</v>
      </c>
      <c r="AW89" s="59">
        <f ca="1">OFFSET(TIAM15_assumptions!$G89,0,MATCH(VLOOKUP(Assumptions!AW$2,TIAM15_assumptions!$Y$3:$Z$87,2,FALSE),TIAM15_assumptions!$H$2:$V$2,0))</f>
        <v>1</v>
      </c>
      <c r="AX89" s="59">
        <f ca="1">OFFSET(TIAM15_assumptions!$G89,0,MATCH(VLOOKUP(Assumptions!AX$2,TIAM15_assumptions!$Y$3:$Z$87,2,FALSE),TIAM15_assumptions!$H$2:$V$2,0))</f>
        <v>1</v>
      </c>
      <c r="AY89" s="59">
        <f ca="1">OFFSET(TIAM15_assumptions!$G89,0,MATCH(VLOOKUP(Assumptions!AY$2,TIAM15_assumptions!$Y$3:$Z$87,2,FALSE),TIAM15_assumptions!$H$2:$V$2,0))</f>
        <v>1</v>
      </c>
      <c r="AZ89" s="59">
        <f ca="1">OFFSET(TIAM15_assumptions!$G89,0,MATCH(VLOOKUP(Assumptions!AZ$2,TIAM15_assumptions!$Y$3:$Z$87,2,FALSE),TIAM15_assumptions!$H$2:$V$2,0))</f>
        <v>1</v>
      </c>
      <c r="BA89" s="59">
        <f ca="1">OFFSET(TIAM15_assumptions!$G89,0,MATCH(VLOOKUP(Assumptions!BA$2,TIAM15_assumptions!$Y$3:$Z$87,2,FALSE),TIAM15_assumptions!$H$2:$V$2,0))</f>
        <v>1</v>
      </c>
      <c r="BD89" s="41">
        <f ca="1">IFERROR(SUMIFS('TRA balance'!E$5:E$40,'TRA balance'!$C$5:$C$40,Assumptions!$C89,'TRA balance'!$D$5:$D$40,Assumptions!$B89)*CY89*H89,"")</f>
        <v>0</v>
      </c>
      <c r="BE89" s="41">
        <f ca="1">IFERROR(SUMIFS('TRA balance'!F$5:F$40,'TRA balance'!$C$5:$C$40,Assumptions!$C89,'TRA balance'!$D$5:$D$40,Assumptions!$B89)*CZ89*I89,"")</f>
        <v>0</v>
      </c>
      <c r="BF89" s="41">
        <f ca="1">IFERROR(SUMIFS('TRA balance'!G$5:G$40,'TRA balance'!$C$5:$C$40,Assumptions!$C89,'TRA balance'!$D$5:$D$40,Assumptions!$B89)*DA89*J89,"")</f>
        <v>0</v>
      </c>
      <c r="BG89" s="41">
        <f ca="1">IFERROR(SUMIFS('TRA balance'!H$5:H$40,'TRA balance'!$C$5:$C$40,Assumptions!$C89,'TRA balance'!$D$5:$D$40,Assumptions!$B89)*DB89*K89,"")</f>
        <v>0</v>
      </c>
      <c r="BH89" s="41">
        <f ca="1">IFERROR(SUMIFS('TRA balance'!I$5:I$40,'TRA balance'!$C$5:$C$40,Assumptions!$C89,'TRA balance'!$D$5:$D$40,Assumptions!$B89)*DC89*L89,"")</f>
        <v>0</v>
      </c>
      <c r="BI89" s="41">
        <f ca="1">IFERROR(SUMIFS('TRA balance'!J$5:J$40,'TRA balance'!$C$5:$C$40,Assumptions!$C89,'TRA balance'!$D$5:$D$40,Assumptions!$B89)*DD89*M89,"")</f>
        <v>0</v>
      </c>
      <c r="BJ89" s="41">
        <f ca="1">IFERROR(SUMIFS('TRA balance'!K$5:K$40,'TRA balance'!$C$5:$C$40,Assumptions!$C89,'TRA balance'!$D$5:$D$40,Assumptions!$B89)*DE89*N89,"")</f>
        <v>0</v>
      </c>
      <c r="BK89" s="41">
        <f ca="1">IFERROR(SUMIFS('TRA balance'!L$5:L$40,'TRA balance'!$C$5:$C$40,Assumptions!$C89,'TRA balance'!$D$5:$D$40,Assumptions!$B89)*DF89*O89,"")</f>
        <v>0</v>
      </c>
      <c r="BL89" s="41">
        <f ca="1">IFERROR(SUMIFS('TRA balance'!M$5:M$40,'TRA balance'!$C$5:$C$40,Assumptions!$C89,'TRA balance'!$D$5:$D$40,Assumptions!$B89)*DG89*P89,"")</f>
        <v>0</v>
      </c>
      <c r="BM89" s="41">
        <f ca="1">IFERROR(SUMIFS('TRA balance'!N$5:N$40,'TRA balance'!$C$5:$C$40,Assumptions!$C89,'TRA balance'!$D$5:$D$40,Assumptions!$B89)*DH89*Q89,"")</f>
        <v>0</v>
      </c>
      <c r="BN89" s="41">
        <f ca="1">IFERROR(SUMIFS('TRA balance'!O$5:O$40,'TRA balance'!$C$5:$C$40,Assumptions!$C89,'TRA balance'!$D$5:$D$40,Assumptions!$B89)*DI89*R89,"")</f>
        <v>0</v>
      </c>
      <c r="BO89" s="41">
        <f ca="1">IFERROR(SUMIFS('TRA balance'!P$5:P$40,'TRA balance'!$C$5:$C$40,Assumptions!$C89,'TRA balance'!$D$5:$D$40,Assumptions!$B89)*DJ89*S89,"")</f>
        <v>0</v>
      </c>
      <c r="BP89" s="41">
        <f ca="1">IFERROR(SUMIFS('TRA balance'!Q$5:Q$40,'TRA balance'!$C$5:$C$40,Assumptions!$C89,'TRA balance'!$D$5:$D$40,Assumptions!$B89)*DK89*T89,"")</f>
        <v>0</v>
      </c>
      <c r="BQ89" s="41">
        <f ca="1">IFERROR(SUMIFS('TRA balance'!R$5:R$40,'TRA balance'!$C$5:$C$40,Assumptions!$C89,'TRA balance'!$D$5:$D$40,Assumptions!$B89)*DL89*U89,"")</f>
        <v>0</v>
      </c>
      <c r="BR89" s="41">
        <f ca="1">IFERROR(SUMIFS('TRA balance'!S$5:S$40,'TRA balance'!$C$5:$C$40,Assumptions!$C89,'TRA balance'!$D$5:$D$40,Assumptions!$B89)*DM89*V89,"")</f>
        <v>0</v>
      </c>
      <c r="BS89" s="41">
        <f ca="1">IFERROR(SUMIFS('TRA balance'!T$5:T$40,'TRA balance'!$C$5:$C$40,Assumptions!$C89,'TRA balance'!$D$5:$D$40,Assumptions!$B89)*DN89*W89,"")</f>
        <v>0</v>
      </c>
      <c r="BT89" s="41">
        <f ca="1">IFERROR(SUMIFS('TRA balance'!U$5:U$40,'TRA balance'!$C$5:$C$40,Assumptions!$C89,'TRA balance'!$D$5:$D$40,Assumptions!$B89)*DO89*X89,"")</f>
        <v>0</v>
      </c>
      <c r="BU89" s="41">
        <f ca="1">IFERROR(SUMIFS('TRA balance'!V$5:V$40,'TRA balance'!$C$5:$C$40,Assumptions!$C89,'TRA balance'!$D$5:$D$40,Assumptions!$B89)*DP89*Y89,"")</f>
        <v>0</v>
      </c>
      <c r="BV89" s="41">
        <f ca="1">IFERROR(SUMIFS('TRA balance'!W$5:W$40,'TRA balance'!$C$5:$C$40,Assumptions!$C89,'TRA balance'!$D$5:$D$40,Assumptions!$B89)*DQ89*Z89,"")</f>
        <v>0</v>
      </c>
      <c r="BW89" s="41">
        <f ca="1">IFERROR(SUMIFS('TRA balance'!X$5:X$40,'TRA balance'!$C$5:$C$40,Assumptions!$C89,'TRA balance'!$D$5:$D$40,Assumptions!$B89)*DR89*AA89,"")</f>
        <v>0</v>
      </c>
      <c r="BX89" s="41">
        <f ca="1">IFERROR(SUMIFS('TRA balance'!Y$5:Y$40,'TRA balance'!$C$5:$C$40,Assumptions!$C89,'TRA balance'!$D$5:$D$40,Assumptions!$B89)*DS89*AB89,"")</f>
        <v>0</v>
      </c>
      <c r="BY89" s="41">
        <f ca="1">IFERROR(SUMIFS('TRA balance'!Z$5:Z$40,'TRA balance'!$C$5:$C$40,Assumptions!$C89,'TRA balance'!$D$5:$D$40,Assumptions!$B89)*DT89*AC89,"")</f>
        <v>0</v>
      </c>
      <c r="BZ89" s="41">
        <f ca="1">IFERROR(SUMIFS('TRA balance'!AA$5:AA$40,'TRA balance'!$C$5:$C$40,Assumptions!$C89,'TRA balance'!$D$5:$D$40,Assumptions!$B89)*DU89*AD89,"")</f>
        <v>0</v>
      </c>
      <c r="CA89" s="41">
        <f ca="1">IFERROR(SUMIFS('TRA balance'!AB$5:AB$40,'TRA balance'!$C$5:$C$40,Assumptions!$C89,'TRA balance'!$D$5:$D$40,Assumptions!$B89)*DV89*AE89,"")</f>
        <v>0</v>
      </c>
      <c r="CB89" s="41">
        <f ca="1">IFERROR(SUMIFS('TRA balance'!AC$5:AC$40,'TRA balance'!$C$5:$C$40,Assumptions!$C89,'TRA balance'!$D$5:$D$40,Assumptions!$B89)*DW89*AF89,"")</f>
        <v>0</v>
      </c>
      <c r="CC89" s="41">
        <f ca="1">IFERROR(SUMIFS('TRA balance'!AD$5:AD$40,'TRA balance'!$C$5:$C$40,Assumptions!$C89,'TRA balance'!$D$5:$D$40,Assumptions!$B89)*DX89*AG89,"")</f>
        <v>0</v>
      </c>
      <c r="CD89" s="41">
        <f ca="1">IFERROR(SUMIFS('TRA balance'!AE$5:AE$40,'TRA balance'!$C$5:$C$40,Assumptions!$C89,'TRA balance'!$D$5:$D$40,Assumptions!$B89)*DY89*AH89,"")</f>
        <v>0</v>
      </c>
      <c r="CE89" s="41">
        <f ca="1">IFERROR(SUMIFS('TRA balance'!AF$5:AF$40,'TRA balance'!$C$5:$C$40,Assumptions!$C89,'TRA balance'!$D$5:$D$40,Assumptions!$B89)*DZ89*AI89,"")</f>
        <v>0</v>
      </c>
      <c r="CF89" s="41">
        <f ca="1">IFERROR(SUMIFS('TRA balance'!AG$5:AG$40,'TRA balance'!$C$5:$C$40,Assumptions!$C89,'TRA balance'!$D$5:$D$40,Assumptions!$B89)*EA89*AJ89,"")</f>
        <v>0</v>
      </c>
      <c r="CG89" s="41">
        <f ca="1">IFERROR(SUMIFS('TRA balance'!AH$5:AH$40,'TRA balance'!$C$5:$C$40,Assumptions!$C89,'TRA balance'!$D$5:$D$40,Assumptions!$B89)*EB89*AK89,"")</f>
        <v>0</v>
      </c>
      <c r="CH89" s="41">
        <f ca="1">IFERROR(SUMIFS('TRA balance'!AI$5:AI$40,'TRA balance'!$C$5:$C$40,Assumptions!$C89,'TRA balance'!$D$5:$D$40,Assumptions!$B89)*EC89*AL89,"")</f>
        <v>0</v>
      </c>
      <c r="CI89" s="41">
        <f ca="1">IFERROR(SUMIFS('TRA balance'!AJ$5:AJ$40,'TRA balance'!$C$5:$C$40,Assumptions!$C89,'TRA balance'!$D$5:$D$40,Assumptions!$B89)*ED89*AM89,"")</f>
        <v>0</v>
      </c>
      <c r="CJ89" s="41">
        <f ca="1">IFERROR(SUMIFS('TRA balance'!AK$5:AK$40,'TRA balance'!$C$5:$C$40,Assumptions!$C89,'TRA balance'!$D$5:$D$40,Assumptions!$B89)*EE89*AN89,"")</f>
        <v>0</v>
      </c>
      <c r="CK89" s="41">
        <f ca="1">IFERROR(SUMIFS('TRA balance'!AL$5:AL$40,'TRA balance'!$C$5:$C$40,Assumptions!$C89,'TRA balance'!$D$5:$D$40,Assumptions!$B89)*EF89*AO89,"")</f>
        <v>0</v>
      </c>
      <c r="CL89" s="41">
        <f ca="1">IFERROR(SUMIFS('TRA balance'!AM$5:AM$40,'TRA balance'!$C$5:$C$40,Assumptions!$C89,'TRA balance'!$D$5:$D$40,Assumptions!$B89)*EG89*AP89,"")</f>
        <v>0</v>
      </c>
      <c r="CM89" s="41">
        <f ca="1">IFERROR(SUMIFS('TRA balance'!AN$5:AN$40,'TRA balance'!$C$5:$C$40,Assumptions!$C89,'TRA balance'!$D$5:$D$40,Assumptions!$B89)*EH89*AQ89,"")</f>
        <v>0</v>
      </c>
      <c r="CN89" s="41">
        <f ca="1">IFERROR(SUMIFS('TRA balance'!AO$5:AO$40,'TRA balance'!$C$5:$C$40,Assumptions!$C89,'TRA balance'!$D$5:$D$40,Assumptions!$B89)*EI89*AR89,"")</f>
        <v>0</v>
      </c>
      <c r="CO89" s="41">
        <f ca="1">IFERROR(SUMIFS('TRA balance'!AP$5:AP$40,'TRA balance'!$C$5:$C$40,Assumptions!$C89,'TRA balance'!$D$5:$D$40,Assumptions!$B89)*EJ89*AS89,"")</f>
        <v>0</v>
      </c>
      <c r="CP89" s="41">
        <f ca="1">IFERROR(SUMIFS('TRA balance'!AQ$5:AQ$40,'TRA balance'!$C$5:$C$40,Assumptions!$C89,'TRA balance'!$D$5:$D$40,Assumptions!$B89)*EK89*AT89,"")</f>
        <v>0</v>
      </c>
      <c r="CQ89" s="41">
        <f ca="1">IFERROR(SUMIFS('TRA balance'!AR$5:AR$40,'TRA balance'!$C$5:$C$40,Assumptions!$C89,'TRA balance'!$D$5:$D$40,Assumptions!$B89)*EL89*AU89,"")</f>
        <v>0</v>
      </c>
      <c r="CR89" s="41">
        <f ca="1">IFERROR(SUMIFS('TRA balance'!AS$5:AS$40,'TRA balance'!$C$5:$C$40,Assumptions!$C89,'TRA balance'!$D$5:$D$40,Assumptions!$B89)*EM89*AV89,"")</f>
        <v>0</v>
      </c>
      <c r="CS89" s="41">
        <f ca="1">IFERROR(SUMIFS('TRA balance'!AT$5:AT$40,'TRA balance'!$C$5:$C$40,Assumptions!$C89,'TRA balance'!$D$5:$D$40,Assumptions!$B89)*EN89*AW89,"")</f>
        <v>0</v>
      </c>
      <c r="CT89" s="41">
        <f ca="1">IFERROR(SUMIFS('TRA balance'!AU$5:AU$40,'TRA balance'!$C$5:$C$40,Assumptions!$C89,'TRA balance'!$D$5:$D$40,Assumptions!$B89)*EO89*AX89,"")</f>
        <v>0</v>
      </c>
      <c r="CU89" s="41">
        <f ca="1">IFERROR(SUMIFS('TRA balance'!AV$5:AV$40,'TRA balance'!$C$5:$C$40,Assumptions!$C89,'TRA balance'!$D$5:$D$40,Assumptions!$B89)*EP89*AY89,"")</f>
        <v>0</v>
      </c>
      <c r="CV89" s="41">
        <f ca="1">IFERROR(SUMIFS('TRA balance'!AW$5:AW$40,'TRA balance'!$C$5:$C$40,Assumptions!$C89,'TRA balance'!$D$5:$D$40,Assumptions!$B89)*EQ89*AZ89,"")</f>
        <v>0</v>
      </c>
      <c r="CW89" s="41">
        <f ca="1">IFERROR(SUMIFS('TRA balance'!AX$5:AX$40,'TRA balance'!$C$5:$C$40,Assumptions!$C89,'TRA balance'!$D$5:$D$40,Assumptions!$B89)*ER89*BA89,"")</f>
        <v>0</v>
      </c>
      <c r="CY89" s="40">
        <f ca="1" t="shared" si="86"/>
        <v>1</v>
      </c>
      <c r="CZ89" s="40">
        <f ca="1" t="shared" si="87"/>
        <v>1</v>
      </c>
      <c r="DA89" s="40">
        <f ca="1" t="shared" si="88"/>
        <v>1</v>
      </c>
      <c r="DB89" s="40">
        <f ca="1" t="shared" si="89"/>
        <v>1</v>
      </c>
      <c r="DC89" s="40">
        <f ca="1" t="shared" si="90"/>
        <v>1</v>
      </c>
      <c r="DD89" s="40">
        <f ca="1" t="shared" si="91"/>
        <v>1</v>
      </c>
      <c r="DE89" s="40">
        <f ca="1" t="shared" si="92"/>
        <v>1</v>
      </c>
      <c r="DF89" s="40">
        <f ca="1" t="shared" si="93"/>
        <v>1</v>
      </c>
      <c r="DG89" s="40">
        <f ca="1" t="shared" si="94"/>
        <v>1</v>
      </c>
      <c r="DH89" s="40">
        <f ca="1" t="shared" si="95"/>
        <v>1</v>
      </c>
      <c r="DI89" s="40">
        <f ca="1" t="shared" si="96"/>
        <v>1</v>
      </c>
      <c r="DJ89" s="40">
        <f ca="1" t="shared" si="97"/>
        <v>1</v>
      </c>
      <c r="DK89" s="40">
        <f ca="1" t="shared" si="98"/>
        <v>1</v>
      </c>
      <c r="DL89" s="40">
        <f ca="1" t="shared" si="99"/>
        <v>1</v>
      </c>
      <c r="DM89" s="40">
        <f ca="1" t="shared" si="100"/>
        <v>1</v>
      </c>
      <c r="DN89" s="40">
        <f ca="1" t="shared" si="101"/>
        <v>1</v>
      </c>
      <c r="DO89" s="40">
        <f ca="1" t="shared" si="102"/>
        <v>1</v>
      </c>
      <c r="DP89" s="40">
        <f ca="1" t="shared" si="103"/>
        <v>1</v>
      </c>
      <c r="DQ89" s="40">
        <f ca="1" t="shared" si="104"/>
        <v>1</v>
      </c>
      <c r="DR89" s="40">
        <f ca="1" t="shared" si="105"/>
        <v>1</v>
      </c>
      <c r="DS89" s="40">
        <f ca="1" t="shared" si="106"/>
        <v>1</v>
      </c>
      <c r="DT89" s="40">
        <f ca="1" t="shared" si="107"/>
        <v>1</v>
      </c>
      <c r="DU89" s="40">
        <f ca="1" t="shared" si="108"/>
        <v>1</v>
      </c>
      <c r="DV89" s="40">
        <f ca="1" t="shared" si="109"/>
        <v>1</v>
      </c>
      <c r="DW89" s="40">
        <f ca="1" t="shared" si="110"/>
        <v>1</v>
      </c>
      <c r="DX89" s="40">
        <f ca="1" t="shared" si="111"/>
        <v>1</v>
      </c>
      <c r="DY89" s="40">
        <f ca="1" t="shared" si="112"/>
        <v>1</v>
      </c>
      <c r="DZ89" s="40">
        <f ca="1" t="shared" si="113"/>
        <v>1</v>
      </c>
      <c r="EA89" s="40">
        <f ca="1" t="shared" si="114"/>
        <v>1</v>
      </c>
      <c r="EB89" s="40">
        <f ca="1" t="shared" si="115"/>
        <v>1</v>
      </c>
      <c r="EC89" s="40">
        <f ca="1" t="shared" si="116"/>
        <v>1</v>
      </c>
      <c r="ED89" s="40">
        <f ca="1" t="shared" si="117"/>
        <v>1</v>
      </c>
      <c r="EE89" s="40">
        <f ca="1" t="shared" si="118"/>
        <v>1</v>
      </c>
      <c r="EF89" s="40">
        <f ca="1" t="shared" si="119"/>
        <v>1</v>
      </c>
      <c r="EG89" s="40">
        <f ca="1" t="shared" si="120"/>
        <v>1</v>
      </c>
      <c r="EH89" s="40">
        <f ca="1" t="shared" si="121"/>
        <v>1</v>
      </c>
      <c r="EI89" s="40">
        <f ca="1" t="shared" si="122"/>
        <v>1</v>
      </c>
      <c r="EJ89" s="40">
        <f ca="1" t="shared" si="123"/>
        <v>1</v>
      </c>
      <c r="EK89" s="40">
        <f ca="1" t="shared" si="124"/>
        <v>1</v>
      </c>
      <c r="EL89" s="40">
        <f ca="1" t="shared" si="125"/>
        <v>1</v>
      </c>
      <c r="EM89" s="40">
        <f ca="1" t="shared" si="126"/>
        <v>1</v>
      </c>
      <c r="EN89" s="40">
        <f ca="1" t="shared" si="127"/>
        <v>1</v>
      </c>
      <c r="EO89" s="40">
        <f ca="1" t="shared" si="128"/>
        <v>1</v>
      </c>
      <c r="EP89" s="40">
        <f ca="1" t="shared" si="129"/>
        <v>1</v>
      </c>
      <c r="EQ89" s="40">
        <f ca="1" t="shared" si="130"/>
        <v>1</v>
      </c>
      <c r="ER89" s="40">
        <f ca="1" t="shared" si="131"/>
        <v>1</v>
      </c>
    </row>
    <row r="90" spans="1:148">
      <c r="A90">
        <v>1</v>
      </c>
      <c r="B90" t="str">
        <f>VLOOKUP(F90,'TRA balance'!$BA$5:$BB$14,2,FALSE)</f>
        <v>TRAELC</v>
      </c>
      <c r="C90" s="56" t="str">
        <f t="shared" si="133"/>
        <v>TR</v>
      </c>
      <c r="D90" s="57" t="s">
        <v>200</v>
      </c>
      <c r="E90" s="68" t="s">
        <v>202</v>
      </c>
      <c r="F90" s="58" t="str">
        <f>F89</f>
        <v>Electricity</v>
      </c>
      <c r="G90" s="56" t="s">
        <v>203</v>
      </c>
      <c r="H90" s="59">
        <f ca="1">OFFSET(TIAM15_assumptions!$G90,0,MATCH(VLOOKUP(Assumptions!H$2,TIAM15_assumptions!$Y$3:$Z$87,2,FALSE),TIAM15_assumptions!$H$2:$V$2,0))</f>
        <v>0.2</v>
      </c>
      <c r="I90" s="59">
        <f ca="1">OFFSET(TIAM15_assumptions!$G90,0,MATCH(VLOOKUP(Assumptions!I$2,TIAM15_assumptions!$Y$3:$Z$87,2,FALSE),TIAM15_assumptions!$H$2:$V$2,0))</f>
        <v>0.2</v>
      </c>
      <c r="J90" s="59">
        <f ca="1">OFFSET(TIAM15_assumptions!$G90,0,MATCH(VLOOKUP(Assumptions!J$2,TIAM15_assumptions!$Y$3:$Z$87,2,FALSE),TIAM15_assumptions!$H$2:$V$2,0))</f>
        <v>0.2</v>
      </c>
      <c r="K90" s="59">
        <f ca="1">OFFSET(TIAM15_assumptions!$G90,0,MATCH(VLOOKUP(Assumptions!K$2,TIAM15_assumptions!$Y$3:$Z$87,2,FALSE),TIAM15_assumptions!$H$2:$V$2,0))</f>
        <v>0.2</v>
      </c>
      <c r="L90" s="59">
        <f ca="1">OFFSET(TIAM15_assumptions!$G90,0,MATCH(VLOOKUP(Assumptions!L$2,TIAM15_assumptions!$Y$3:$Z$87,2,FALSE),TIAM15_assumptions!$H$2:$V$2,0))</f>
        <v>0.2</v>
      </c>
      <c r="M90" s="59">
        <f ca="1">OFFSET(TIAM15_assumptions!$G90,0,MATCH(VLOOKUP(Assumptions!M$2,TIAM15_assumptions!$Y$3:$Z$87,2,FALSE),TIAM15_assumptions!$H$2:$V$2,0))</f>
        <v>0.2</v>
      </c>
      <c r="N90" s="59">
        <f ca="1">OFFSET(TIAM15_assumptions!$G90,0,MATCH(VLOOKUP(Assumptions!N$2,TIAM15_assumptions!$Y$3:$Z$87,2,FALSE),TIAM15_assumptions!$H$2:$V$2,0))</f>
        <v>0.2</v>
      </c>
      <c r="O90" s="59">
        <f ca="1">OFFSET(TIAM15_assumptions!$G90,0,MATCH(VLOOKUP(Assumptions!O$2,TIAM15_assumptions!$Y$3:$Z$87,2,FALSE),TIAM15_assumptions!$H$2:$V$2,0))</f>
        <v>0.2</v>
      </c>
      <c r="P90" s="59">
        <f ca="1">OFFSET(TIAM15_assumptions!$G90,0,MATCH(VLOOKUP(Assumptions!P$2,TIAM15_assumptions!$Y$3:$Z$87,2,FALSE),TIAM15_assumptions!$H$2:$V$2,0))</f>
        <v>0.2</v>
      </c>
      <c r="Q90" s="59">
        <f ca="1">OFFSET(TIAM15_assumptions!$G90,0,MATCH(VLOOKUP(Assumptions!Q$2,TIAM15_assumptions!$Y$3:$Z$87,2,FALSE),TIAM15_assumptions!$H$2:$V$2,0))</f>
        <v>0.2</v>
      </c>
      <c r="R90" s="59">
        <f ca="1">OFFSET(TIAM15_assumptions!$G90,0,MATCH(VLOOKUP(Assumptions!R$2,TIAM15_assumptions!$Y$3:$Z$87,2,FALSE),TIAM15_assumptions!$H$2:$V$2,0))</f>
        <v>0.2</v>
      </c>
      <c r="S90" s="59">
        <f ca="1">OFFSET(TIAM15_assumptions!$G90,0,MATCH(VLOOKUP(Assumptions!S$2,TIAM15_assumptions!$Y$3:$Z$87,2,FALSE),TIAM15_assumptions!$H$2:$V$2,0))</f>
        <v>0.2</v>
      </c>
      <c r="T90" s="59">
        <f ca="1">OFFSET(TIAM15_assumptions!$G90,0,MATCH(VLOOKUP(Assumptions!T$2,TIAM15_assumptions!$Y$3:$Z$87,2,FALSE),TIAM15_assumptions!$H$2:$V$2,0))</f>
        <v>0.2</v>
      </c>
      <c r="U90" s="59">
        <f ca="1">OFFSET(TIAM15_assumptions!$G90,0,MATCH(VLOOKUP(Assumptions!U$2,TIAM15_assumptions!$Y$3:$Z$87,2,FALSE),TIAM15_assumptions!$H$2:$V$2,0))</f>
        <v>0.2</v>
      </c>
      <c r="V90" s="59">
        <f ca="1">OFFSET(TIAM15_assumptions!$G90,0,MATCH(VLOOKUP(Assumptions!V$2,TIAM15_assumptions!$Y$3:$Z$87,2,FALSE),TIAM15_assumptions!$H$2:$V$2,0))</f>
        <v>0.2</v>
      </c>
      <c r="W90" s="59">
        <f ca="1">OFFSET(TIAM15_assumptions!$G90,0,MATCH(VLOOKUP(Assumptions!W$2,TIAM15_assumptions!$Y$3:$Z$87,2,FALSE),TIAM15_assumptions!$H$2:$V$2,0))</f>
        <v>0.2</v>
      </c>
      <c r="X90" s="59">
        <f ca="1">OFFSET(TIAM15_assumptions!$G90,0,MATCH(VLOOKUP(Assumptions!X$2,TIAM15_assumptions!$Y$3:$Z$87,2,FALSE),TIAM15_assumptions!$H$2:$V$2,0))</f>
        <v>0.2</v>
      </c>
      <c r="Y90" s="59">
        <f ca="1">OFFSET(TIAM15_assumptions!$G90,0,MATCH(VLOOKUP(Assumptions!Y$2,TIAM15_assumptions!$Y$3:$Z$87,2,FALSE),TIAM15_assumptions!$H$2:$V$2,0))</f>
        <v>0.2</v>
      </c>
      <c r="Z90" s="59">
        <f ca="1">OFFSET(TIAM15_assumptions!$G90,0,MATCH(VLOOKUP(Assumptions!Z$2,TIAM15_assumptions!$Y$3:$Z$87,2,FALSE),TIAM15_assumptions!$H$2:$V$2,0))</f>
        <v>0.2</v>
      </c>
      <c r="AA90" s="59">
        <f ca="1">OFFSET(TIAM15_assumptions!$G90,0,MATCH(VLOOKUP(Assumptions!AA$2,TIAM15_assumptions!$Y$3:$Z$87,2,FALSE),TIAM15_assumptions!$H$2:$V$2,0))</f>
        <v>0.2</v>
      </c>
      <c r="AB90" s="59">
        <f ca="1">OFFSET(TIAM15_assumptions!$G90,0,MATCH(VLOOKUP(Assumptions!AB$2,TIAM15_assumptions!$Y$3:$Z$87,2,FALSE),TIAM15_assumptions!$H$2:$V$2,0))</f>
        <v>0.2</v>
      </c>
      <c r="AC90" s="59">
        <f ca="1">OFFSET(TIAM15_assumptions!$G90,0,MATCH(VLOOKUP(Assumptions!AC$2,TIAM15_assumptions!$Y$3:$Z$87,2,FALSE),TIAM15_assumptions!$H$2:$V$2,0))</f>
        <v>0.2</v>
      </c>
      <c r="AD90" s="59">
        <f ca="1">OFFSET(TIAM15_assumptions!$G90,0,MATCH(VLOOKUP(Assumptions!AD$2,TIAM15_assumptions!$Y$3:$Z$87,2,FALSE),TIAM15_assumptions!$H$2:$V$2,0))</f>
        <v>0.2</v>
      </c>
      <c r="AE90" s="59">
        <f ca="1">OFFSET(TIAM15_assumptions!$G90,0,MATCH(VLOOKUP(Assumptions!AE$2,TIAM15_assumptions!$Y$3:$Z$87,2,FALSE),TIAM15_assumptions!$H$2:$V$2,0))</f>
        <v>0.2</v>
      </c>
      <c r="AF90" s="59">
        <f ca="1">OFFSET(TIAM15_assumptions!$G90,0,MATCH(VLOOKUP(Assumptions!AF$2,TIAM15_assumptions!$Y$3:$Z$87,2,FALSE),TIAM15_assumptions!$H$2:$V$2,0))</f>
        <v>0.2</v>
      </c>
      <c r="AG90" s="59">
        <f ca="1">OFFSET(TIAM15_assumptions!$G90,0,MATCH(VLOOKUP(Assumptions!AG$2,TIAM15_assumptions!$Y$3:$Z$87,2,FALSE),TIAM15_assumptions!$H$2:$V$2,0))</f>
        <v>0.2</v>
      </c>
      <c r="AH90" s="59">
        <f ca="1">OFFSET(TIAM15_assumptions!$G90,0,MATCH(VLOOKUP(Assumptions!AH$2,TIAM15_assumptions!$Y$3:$Z$87,2,FALSE),TIAM15_assumptions!$H$2:$V$2,0))</f>
        <v>0.2</v>
      </c>
      <c r="AI90" s="59">
        <f ca="1">OFFSET(TIAM15_assumptions!$G90,0,MATCH(VLOOKUP(Assumptions!AI$2,TIAM15_assumptions!$Y$3:$Z$87,2,FALSE),TIAM15_assumptions!$H$2:$V$2,0))</f>
        <v>0.2</v>
      </c>
      <c r="AJ90" s="59">
        <f ca="1">OFFSET(TIAM15_assumptions!$G90,0,MATCH(VLOOKUP(Assumptions!AJ$2,TIAM15_assumptions!$Y$3:$Z$87,2,FALSE),TIAM15_assumptions!$H$2:$V$2,0))</f>
        <v>0.2</v>
      </c>
      <c r="AK90" s="59">
        <f ca="1">OFFSET(TIAM15_assumptions!$G90,0,MATCH(VLOOKUP(Assumptions!AK$2,TIAM15_assumptions!$Y$3:$Z$87,2,FALSE),TIAM15_assumptions!$H$2:$V$2,0))</f>
        <v>0.2</v>
      </c>
      <c r="AL90" s="59">
        <f ca="1">OFFSET(TIAM15_assumptions!$G90,0,MATCH(VLOOKUP(Assumptions!AL$2,TIAM15_assumptions!$Y$3:$Z$87,2,FALSE),TIAM15_assumptions!$H$2:$V$2,0))</f>
        <v>0.2</v>
      </c>
      <c r="AM90" s="59">
        <f ca="1">OFFSET(TIAM15_assumptions!$G90,0,MATCH(VLOOKUP(Assumptions!AM$2,TIAM15_assumptions!$Y$3:$Z$87,2,FALSE),TIAM15_assumptions!$H$2:$V$2,0))</f>
        <v>0.2</v>
      </c>
      <c r="AN90" s="59">
        <f ca="1">OFFSET(TIAM15_assumptions!$G90,0,MATCH(VLOOKUP(Assumptions!AN$2,TIAM15_assumptions!$Y$3:$Z$87,2,FALSE),TIAM15_assumptions!$H$2:$V$2,0))</f>
        <v>0.2</v>
      </c>
      <c r="AO90" s="59">
        <f ca="1">OFFSET(TIAM15_assumptions!$G90,0,MATCH(VLOOKUP(Assumptions!AO$2,TIAM15_assumptions!$Y$3:$Z$87,2,FALSE),TIAM15_assumptions!$H$2:$V$2,0))</f>
        <v>0.2</v>
      </c>
      <c r="AP90" s="59">
        <f ca="1">OFFSET(TIAM15_assumptions!$G90,0,MATCH(VLOOKUP(Assumptions!AP$2,TIAM15_assumptions!$Y$3:$Z$87,2,FALSE),TIAM15_assumptions!$H$2:$V$2,0))</f>
        <v>0.2</v>
      </c>
      <c r="AQ90" s="59">
        <f ca="1">OFFSET(TIAM15_assumptions!$G90,0,MATCH(VLOOKUP(Assumptions!AQ$2,TIAM15_assumptions!$Y$3:$Z$87,2,FALSE),TIAM15_assumptions!$H$2:$V$2,0))</f>
        <v>0.2</v>
      </c>
      <c r="AR90" s="59">
        <f ca="1">OFFSET(TIAM15_assumptions!$G90,0,MATCH(VLOOKUP(Assumptions!AR$2,TIAM15_assumptions!$Y$3:$Z$87,2,FALSE),TIAM15_assumptions!$H$2:$V$2,0))</f>
        <v>0.2</v>
      </c>
      <c r="AS90" s="59">
        <f ca="1">OFFSET(TIAM15_assumptions!$G90,0,MATCH(VLOOKUP(Assumptions!AS$2,TIAM15_assumptions!$Y$3:$Z$87,2,FALSE),TIAM15_assumptions!$H$2:$V$2,0))</f>
        <v>0.2</v>
      </c>
      <c r="AT90" s="59">
        <f ca="1">OFFSET(TIAM15_assumptions!$G90,0,MATCH(VLOOKUP(Assumptions!AT$2,TIAM15_assumptions!$Y$3:$Z$87,2,FALSE),TIAM15_assumptions!$H$2:$V$2,0))</f>
        <v>0.2</v>
      </c>
      <c r="AU90" s="59">
        <f ca="1">OFFSET(TIAM15_assumptions!$G90,0,MATCH(VLOOKUP(Assumptions!AU$2,TIAM15_assumptions!$Y$3:$Z$87,2,FALSE),TIAM15_assumptions!$H$2:$V$2,0))</f>
        <v>0.2</v>
      </c>
      <c r="AV90" s="59">
        <f ca="1">OFFSET(TIAM15_assumptions!$G90,0,MATCH(VLOOKUP(Assumptions!AV$2,TIAM15_assumptions!$Y$3:$Z$87,2,FALSE),TIAM15_assumptions!$H$2:$V$2,0))</f>
        <v>0.2</v>
      </c>
      <c r="AW90" s="59">
        <f ca="1">OFFSET(TIAM15_assumptions!$G90,0,MATCH(VLOOKUP(Assumptions!AW$2,TIAM15_assumptions!$Y$3:$Z$87,2,FALSE),TIAM15_assumptions!$H$2:$V$2,0))</f>
        <v>0.2</v>
      </c>
      <c r="AX90" s="59">
        <f ca="1">OFFSET(TIAM15_assumptions!$G90,0,MATCH(VLOOKUP(Assumptions!AX$2,TIAM15_assumptions!$Y$3:$Z$87,2,FALSE),TIAM15_assumptions!$H$2:$V$2,0))</f>
        <v>0.2</v>
      </c>
      <c r="AY90" s="59">
        <f ca="1">OFFSET(TIAM15_assumptions!$G90,0,MATCH(VLOOKUP(Assumptions!AY$2,TIAM15_assumptions!$Y$3:$Z$87,2,FALSE),TIAM15_assumptions!$H$2:$V$2,0))</f>
        <v>0.2</v>
      </c>
      <c r="AZ90" s="59">
        <f ca="1">OFFSET(TIAM15_assumptions!$G90,0,MATCH(VLOOKUP(Assumptions!AZ$2,TIAM15_assumptions!$Y$3:$Z$87,2,FALSE),TIAM15_assumptions!$H$2:$V$2,0))</f>
        <v>0.2</v>
      </c>
      <c r="BA90" s="59">
        <f ca="1">OFFSET(TIAM15_assumptions!$G90,0,MATCH(VLOOKUP(Assumptions!BA$2,TIAM15_assumptions!$Y$3:$Z$87,2,FALSE),TIAM15_assumptions!$H$2:$V$2,0))</f>
        <v>0.2</v>
      </c>
      <c r="BD90" s="41">
        <f ca="1">IFERROR(SUMIFS('TRA balance'!E$5:E$40,'TRA balance'!$C$5:$C$40,Assumptions!$C90,'TRA balance'!$D$5:$D$40,Assumptions!$B90)*CY90*H90,"")</f>
        <v>0</v>
      </c>
      <c r="BE90" s="41">
        <f ca="1">IFERROR(SUMIFS('TRA balance'!F$5:F$40,'TRA balance'!$C$5:$C$40,Assumptions!$C90,'TRA balance'!$D$5:$D$40,Assumptions!$B90)*CZ90*I90,"")</f>
        <v>0</v>
      </c>
      <c r="BF90" s="41">
        <f ca="1">IFERROR(SUMIFS('TRA balance'!G$5:G$40,'TRA balance'!$C$5:$C$40,Assumptions!$C90,'TRA balance'!$D$5:$D$40,Assumptions!$B90)*DA90*J90,"")</f>
        <v>0.01727976096</v>
      </c>
      <c r="BG90" s="41">
        <f ca="1">IFERROR(SUMIFS('TRA balance'!H$5:H$40,'TRA balance'!$C$5:$C$40,Assumptions!$C90,'TRA balance'!$D$5:$D$40,Assumptions!$B90)*DB90*K90,"")</f>
        <v>0.01027105776</v>
      </c>
      <c r="BH90" s="41">
        <f ca="1">IFERROR(SUMIFS('TRA balance'!I$5:I$40,'TRA balance'!$C$5:$C$40,Assumptions!$C90,'TRA balance'!$D$5:$D$40,Assumptions!$B90)*DC90*L90,"")</f>
        <v>0</v>
      </c>
      <c r="BI90" s="41">
        <f ca="1">IFERROR(SUMIFS('TRA balance'!J$5:J$40,'TRA balance'!$C$5:$C$40,Assumptions!$C90,'TRA balance'!$D$5:$D$40,Assumptions!$B90)*DD90*M90,"")</f>
        <v>0.4638053304</v>
      </c>
      <c r="BJ90" s="41">
        <f ca="1">IFERROR(SUMIFS('TRA balance'!K$5:K$40,'TRA balance'!$C$5:$C$40,Assumptions!$C90,'TRA balance'!$D$5:$D$40,Assumptions!$B90)*DE90*N90,"")</f>
        <v>0</v>
      </c>
      <c r="BK90" s="41">
        <f ca="1">IFERROR(SUMIFS('TRA balance'!L$5:L$40,'TRA balance'!$C$5:$C$40,Assumptions!$C90,'TRA balance'!$D$5:$D$40,Assumptions!$B90)*DF90*O90,"")</f>
        <v>39.258082187712</v>
      </c>
      <c r="BL90" s="41">
        <f ca="1">IFERROR(SUMIFS('TRA balance'!M$5:M$40,'TRA balance'!$C$5:$C$40,Assumptions!$C90,'TRA balance'!$D$5:$D$40,Assumptions!$B90)*DG90*P90,"")</f>
        <v>0</v>
      </c>
      <c r="BM90" s="41">
        <f ca="1">IFERROR(SUMIFS('TRA balance'!N$5:N$40,'TRA balance'!$C$5:$C$40,Assumptions!$C90,'TRA balance'!$D$5:$D$40,Assumptions!$B90)*DH90*Q90,"")</f>
        <v>0</v>
      </c>
      <c r="BN90" s="41">
        <f ca="1">IFERROR(SUMIFS('TRA balance'!O$5:O$40,'TRA balance'!$C$5:$C$40,Assumptions!$C90,'TRA balance'!$D$5:$D$40,Assumptions!$B90)*DI90*R90,"")</f>
        <v>0.23581146168</v>
      </c>
      <c r="BO90" s="41">
        <f ca="1">IFERROR(SUMIFS('TRA balance'!P$5:P$40,'TRA balance'!$C$5:$C$40,Assumptions!$C90,'TRA balance'!$D$5:$D$40,Assumptions!$B90)*DJ90*S90,"")</f>
        <v>0.24192000288</v>
      </c>
      <c r="BP90" s="41">
        <f ca="1">IFERROR(SUMIFS('TRA balance'!Q$5:Q$40,'TRA balance'!$C$5:$C$40,Assumptions!$C90,'TRA balance'!$D$5:$D$40,Assumptions!$B90)*DK90*T90,"")</f>
        <v>0.01477186776</v>
      </c>
      <c r="BQ90" s="41">
        <f ca="1">IFERROR(SUMIFS('TRA balance'!R$5:R$40,'TRA balance'!$C$5:$C$40,Assumptions!$C90,'TRA balance'!$D$5:$D$40,Assumptions!$B90)*DL90*U90,"")</f>
        <v>0</v>
      </c>
      <c r="BR90" s="41">
        <f ca="1">IFERROR(SUMIFS('TRA balance'!S$5:S$40,'TRA balance'!$C$5:$C$40,Assumptions!$C90,'TRA balance'!$D$5:$D$40,Assumptions!$B90)*DM90*V90,"")</f>
        <v>0.01623975984</v>
      </c>
      <c r="BS90" s="41">
        <f ca="1">IFERROR(SUMIFS('TRA balance'!T$5:T$40,'TRA balance'!$C$5:$C$40,Assumptions!$C90,'TRA balance'!$D$5:$D$40,Assumptions!$B90)*DN90*W90,"")</f>
        <v>0</v>
      </c>
      <c r="BT90" s="41">
        <f ca="1">IFERROR(SUMIFS('TRA balance'!U$5:U$40,'TRA balance'!$C$5:$C$40,Assumptions!$C90,'TRA balance'!$D$5:$D$40,Assumptions!$B90)*DO90*X90,"")</f>
        <v>0.01951802424</v>
      </c>
      <c r="BU90" s="41">
        <f ca="1">IFERROR(SUMIFS('TRA balance'!V$5:V$40,'TRA balance'!$C$5:$C$40,Assumptions!$C90,'TRA balance'!$D$5:$D$40,Assumptions!$B90)*DP90*Y90,"")</f>
        <v>0.09948925368</v>
      </c>
      <c r="BV90" s="41">
        <f ca="1">IFERROR(SUMIFS('TRA balance'!W$5:W$40,'TRA balance'!$C$5:$C$40,Assumptions!$C90,'TRA balance'!$D$5:$D$40,Assumptions!$B90)*DQ90*Z90,"")</f>
        <v>0</v>
      </c>
      <c r="BW90" s="41">
        <f ca="1">IFERROR(SUMIFS('TRA balance'!X$5:X$40,'TRA balance'!$C$5:$C$40,Assumptions!$C90,'TRA balance'!$D$5:$D$40,Assumptions!$B90)*DR90*AA90,"")</f>
        <v>0.29411097696</v>
      </c>
      <c r="BX90" s="41">
        <f ca="1">IFERROR(SUMIFS('TRA balance'!Y$5:Y$40,'TRA balance'!$C$5:$C$40,Assumptions!$C90,'TRA balance'!$D$5:$D$40,Assumptions!$B90)*DS90*AB90,"")</f>
        <v>0</v>
      </c>
      <c r="BY90" s="41">
        <f ca="1">IFERROR(SUMIFS('TRA balance'!Z$5:Z$40,'TRA balance'!$C$5:$C$40,Assumptions!$C90,'TRA balance'!$D$5:$D$40,Assumptions!$B90)*DT90*AC90,"")</f>
        <v>5.60890272312</v>
      </c>
      <c r="BZ90" s="41">
        <f ca="1">IFERROR(SUMIFS('TRA balance'!AA$5:AA$40,'TRA balance'!$C$5:$C$40,Assumptions!$C90,'TRA balance'!$D$5:$D$40,Assumptions!$B90)*DU90*AD90,"")</f>
        <v>0.61847995752</v>
      </c>
      <c r="CA90" s="41">
        <f ca="1">IFERROR(SUMIFS('TRA balance'!AB$5:AB$40,'TRA balance'!$C$5:$C$40,Assumptions!$C90,'TRA balance'!$D$5:$D$40,Assumptions!$B90)*DV90*AE90,"")</f>
        <v>0</v>
      </c>
      <c r="CB90" s="41">
        <f ca="1">IFERROR(SUMIFS('TRA balance'!AC$5:AC$40,'TRA balance'!$C$5:$C$40,Assumptions!$C90,'TRA balance'!$D$5:$D$40,Assumptions!$B90)*DW90*AF90,"")</f>
        <v>0.35345300544</v>
      </c>
      <c r="CC90" s="41">
        <f ca="1">IFERROR(SUMIFS('TRA balance'!AD$5:AD$40,'TRA balance'!$C$5:$C$40,Assumptions!$C90,'TRA balance'!$D$5:$D$40,Assumptions!$B90)*DX90*AG90,"")</f>
        <v>0</v>
      </c>
      <c r="CD90" s="41">
        <f ca="1">IFERROR(SUMIFS('TRA balance'!AE$5:AE$40,'TRA balance'!$C$5:$C$40,Assumptions!$C90,'TRA balance'!$D$5:$D$40,Assumptions!$B90)*DY90*AH90,"")</f>
        <v>0</v>
      </c>
      <c r="CE90" s="41">
        <f ca="1">IFERROR(SUMIFS('TRA balance'!AF$5:AF$40,'TRA balance'!$C$5:$C$40,Assumptions!$C90,'TRA balance'!$D$5:$D$40,Assumptions!$B90)*DZ90*AI90,"")</f>
        <v>0</v>
      </c>
      <c r="CF90" s="41">
        <f ca="1">IFERROR(SUMIFS('TRA balance'!AG$5:AG$40,'TRA balance'!$C$5:$C$40,Assumptions!$C90,'TRA balance'!$D$5:$D$40,Assumptions!$B90)*EA90*AJ90,"")</f>
        <v>0.12008412288</v>
      </c>
      <c r="CG90" s="41">
        <f ca="1">IFERROR(SUMIFS('TRA balance'!AH$5:AH$40,'TRA balance'!$C$5:$C$40,Assumptions!$C90,'TRA balance'!$D$5:$D$40,Assumptions!$B90)*EB90*AK90,"")</f>
        <v>0.27168731352</v>
      </c>
      <c r="CH90" s="41">
        <f ca="1">IFERROR(SUMIFS('TRA balance'!AI$5:AI$40,'TRA balance'!$C$5:$C$40,Assumptions!$C90,'TRA balance'!$D$5:$D$40,Assumptions!$B90)*EC90*AL90,"")</f>
        <v>0</v>
      </c>
      <c r="CI90" s="41">
        <f ca="1">IFERROR(SUMIFS('TRA balance'!AJ$5:AJ$40,'TRA balance'!$C$5:$C$40,Assumptions!$C90,'TRA balance'!$D$5:$D$40,Assumptions!$B90)*ED90*AM90,"")</f>
        <v>0</v>
      </c>
      <c r="CJ90" s="41">
        <f ca="1">IFERROR(SUMIFS('TRA balance'!AK$5:AK$40,'TRA balance'!$C$5:$C$40,Assumptions!$C90,'TRA balance'!$D$5:$D$40,Assumptions!$B90)*EE90*AN90,"")</f>
        <v>0.26387307</v>
      </c>
      <c r="CK90" s="41">
        <f ca="1">IFERROR(SUMIFS('TRA balance'!AL$5:AL$40,'TRA balance'!$C$5:$C$40,Assumptions!$C90,'TRA balance'!$D$5:$D$40,Assumptions!$B90)*EF90*AO90,"")</f>
        <v>0</v>
      </c>
      <c r="CL90" s="41">
        <f ca="1">IFERROR(SUMIFS('TRA balance'!AM$5:AM$40,'TRA balance'!$C$5:$C$40,Assumptions!$C90,'TRA balance'!$D$5:$D$40,Assumptions!$B90)*EG90*AP90,"")</f>
        <v>0</v>
      </c>
      <c r="CM90" s="41">
        <f ca="1">IFERROR(SUMIFS('TRA balance'!AN$5:AN$40,'TRA balance'!$C$5:$C$40,Assumptions!$C90,'TRA balance'!$D$5:$D$40,Assumptions!$B90)*EH90*AQ90,"")</f>
        <v>0</v>
      </c>
      <c r="CN90" s="41">
        <f ca="1">IFERROR(SUMIFS('TRA balance'!AO$5:AO$40,'TRA balance'!$C$5:$C$40,Assumptions!$C90,'TRA balance'!$D$5:$D$40,Assumptions!$B90)*EI90*AR90,"")</f>
        <v>0</v>
      </c>
      <c r="CO90" s="41">
        <f ca="1">IFERROR(SUMIFS('TRA balance'!AP$5:AP$40,'TRA balance'!$C$5:$C$40,Assumptions!$C90,'TRA balance'!$D$5:$D$40,Assumptions!$B90)*EJ90*AS90,"")</f>
        <v>0</v>
      </c>
      <c r="CP90" s="41">
        <f ca="1">IFERROR(SUMIFS('TRA balance'!AQ$5:AQ$40,'TRA balance'!$C$5:$C$40,Assumptions!$C90,'TRA balance'!$D$5:$D$40,Assumptions!$B90)*EK90*AT90,"")</f>
        <v>0</v>
      </c>
      <c r="CQ90" s="41">
        <f ca="1">IFERROR(SUMIFS('TRA balance'!AR$5:AR$40,'TRA balance'!$C$5:$C$40,Assumptions!$C90,'TRA balance'!$D$5:$D$40,Assumptions!$B90)*EL90*AU90,"")</f>
        <v>0</v>
      </c>
      <c r="CR90" s="41">
        <f ca="1">IFERROR(SUMIFS('TRA balance'!AS$5:AS$40,'TRA balance'!$C$5:$C$40,Assumptions!$C90,'TRA balance'!$D$5:$D$40,Assumptions!$B90)*EM90*AV90,"")</f>
        <v>0</v>
      </c>
      <c r="CS90" s="41">
        <f ca="1">IFERROR(SUMIFS('TRA balance'!AT$5:AT$40,'TRA balance'!$C$5:$C$40,Assumptions!$C90,'TRA balance'!$D$5:$D$40,Assumptions!$B90)*EN90*AW90,"")</f>
        <v>0</v>
      </c>
      <c r="CT90" s="41">
        <f ca="1">IFERROR(SUMIFS('TRA balance'!AU$5:AU$40,'TRA balance'!$C$5:$C$40,Assumptions!$C90,'TRA balance'!$D$5:$D$40,Assumptions!$B90)*EO90*AX90,"")</f>
        <v>0</v>
      </c>
      <c r="CU90" s="41">
        <f ca="1">IFERROR(SUMIFS('TRA balance'!AV$5:AV$40,'TRA balance'!$C$5:$C$40,Assumptions!$C90,'TRA balance'!$D$5:$D$40,Assumptions!$B90)*EP90*AY90,"")</f>
        <v>0</v>
      </c>
      <c r="CV90" s="41">
        <f ca="1">IFERROR(SUMIFS('TRA balance'!AW$5:AW$40,'TRA balance'!$C$5:$C$40,Assumptions!$C90,'TRA balance'!$D$5:$D$40,Assumptions!$B90)*EQ90*AZ90,"")</f>
        <v>0</v>
      </c>
      <c r="CW90" s="41">
        <f ca="1">IFERROR(SUMIFS('TRA balance'!AX$5:AX$40,'TRA balance'!$C$5:$C$40,Assumptions!$C90,'TRA balance'!$D$5:$D$40,Assumptions!$B90)*ER90*BA90,"")</f>
        <v>0</v>
      </c>
      <c r="CY90" s="40">
        <f ca="1" t="shared" si="86"/>
        <v>0</v>
      </c>
      <c r="CZ90" s="40">
        <f ca="1" t="shared" si="87"/>
        <v>0</v>
      </c>
      <c r="DA90" s="40">
        <f ca="1" t="shared" si="88"/>
        <v>1</v>
      </c>
      <c r="DB90" s="40">
        <f ca="1" t="shared" si="89"/>
        <v>1</v>
      </c>
      <c r="DC90" s="40">
        <f ca="1" t="shared" si="90"/>
        <v>0</v>
      </c>
      <c r="DD90" s="40">
        <f ca="1" t="shared" si="91"/>
        <v>1</v>
      </c>
      <c r="DE90" s="40">
        <f ca="1" t="shared" si="92"/>
        <v>0.5</v>
      </c>
      <c r="DF90" s="40">
        <f ca="1" t="shared" si="93"/>
        <v>0.8</v>
      </c>
      <c r="DG90" s="40">
        <f ca="1" t="shared" si="94"/>
        <v>0</v>
      </c>
      <c r="DH90" s="40">
        <f ca="1" t="shared" si="95"/>
        <v>0</v>
      </c>
      <c r="DI90" s="40">
        <f ca="1" t="shared" si="96"/>
        <v>1</v>
      </c>
      <c r="DJ90" s="40">
        <f ca="1" t="shared" si="97"/>
        <v>1</v>
      </c>
      <c r="DK90" s="40">
        <f ca="1" t="shared" si="98"/>
        <v>1</v>
      </c>
      <c r="DL90" s="40">
        <f ca="1" t="shared" si="99"/>
        <v>0</v>
      </c>
      <c r="DM90" s="40">
        <f ca="1" t="shared" si="100"/>
        <v>1</v>
      </c>
      <c r="DN90" s="40">
        <f ca="1" t="shared" si="101"/>
        <v>0</v>
      </c>
      <c r="DO90" s="40">
        <f ca="1" t="shared" si="102"/>
        <v>1</v>
      </c>
      <c r="DP90" s="40">
        <f ca="1" t="shared" si="103"/>
        <v>1</v>
      </c>
      <c r="DQ90" s="40">
        <f ca="1" t="shared" si="104"/>
        <v>1</v>
      </c>
      <c r="DR90" s="40">
        <f ca="1" t="shared" si="105"/>
        <v>0.5</v>
      </c>
      <c r="DS90" s="40">
        <f ca="1" t="shared" si="106"/>
        <v>0</v>
      </c>
      <c r="DT90" s="40">
        <f ca="1" t="shared" si="107"/>
        <v>1</v>
      </c>
      <c r="DU90" s="40">
        <f ca="1" t="shared" si="108"/>
        <v>1</v>
      </c>
      <c r="DV90" s="40">
        <f ca="1" t="shared" si="109"/>
        <v>0</v>
      </c>
      <c r="DW90" s="40">
        <f ca="1" t="shared" si="110"/>
        <v>1</v>
      </c>
      <c r="DX90" s="40">
        <f ca="1" t="shared" si="111"/>
        <v>0</v>
      </c>
      <c r="DY90" s="40">
        <f ca="1" t="shared" si="112"/>
        <v>0</v>
      </c>
      <c r="DZ90" s="40">
        <f ca="1" t="shared" si="113"/>
        <v>0</v>
      </c>
      <c r="EA90" s="40">
        <f ca="1" t="shared" si="114"/>
        <v>1</v>
      </c>
      <c r="EB90" s="40">
        <f ca="1" t="shared" si="115"/>
        <v>1</v>
      </c>
      <c r="EC90" s="40">
        <f ca="1" t="shared" si="116"/>
        <v>1</v>
      </c>
      <c r="ED90" s="40">
        <f ca="1" t="shared" si="117"/>
        <v>0</v>
      </c>
      <c r="EE90" s="40">
        <f ca="1" t="shared" si="118"/>
        <v>1</v>
      </c>
      <c r="EF90" s="40">
        <f ca="1" t="shared" si="119"/>
        <v>0</v>
      </c>
      <c r="EG90" s="40">
        <f ca="1" t="shared" si="120"/>
        <v>0</v>
      </c>
      <c r="EH90" s="40">
        <f ca="1" t="shared" si="121"/>
        <v>1</v>
      </c>
      <c r="EI90" s="40">
        <f ca="1" t="shared" si="122"/>
        <v>1</v>
      </c>
      <c r="EJ90" s="40">
        <f ca="1" t="shared" si="123"/>
        <v>1</v>
      </c>
      <c r="EK90" s="40">
        <f ca="1" t="shared" si="124"/>
        <v>1</v>
      </c>
      <c r="EL90" s="40">
        <f ca="1" t="shared" si="125"/>
        <v>1</v>
      </c>
      <c r="EM90" s="40">
        <f ca="1" t="shared" si="126"/>
        <v>1</v>
      </c>
      <c r="EN90" s="40">
        <f ca="1" t="shared" si="127"/>
        <v>1</v>
      </c>
      <c r="EO90" s="40">
        <f ca="1" t="shared" si="128"/>
        <v>1</v>
      </c>
      <c r="EP90" s="40">
        <f ca="1" t="shared" si="129"/>
        <v>1</v>
      </c>
      <c r="EQ90" s="40">
        <f ca="1" t="shared" si="130"/>
        <v>1</v>
      </c>
      <c r="ER90" s="40">
        <f ca="1" t="shared" si="131"/>
        <v>1</v>
      </c>
    </row>
    <row r="91" spans="1:148">
      <c r="A91">
        <v>1</v>
      </c>
      <c r="B91" t="str">
        <f>VLOOKUP(F91,'TRA balance'!$BA$5:$BB$14,2,FALSE)</f>
        <v>TRAELC</v>
      </c>
      <c r="C91" s="56" t="str">
        <f t="shared" si="133"/>
        <v>TR</v>
      </c>
      <c r="D91" s="57" t="s">
        <v>200</v>
      </c>
      <c r="E91" s="68" t="s">
        <v>204</v>
      </c>
      <c r="F91" s="58" t="str">
        <f t="shared" ref="F91:F96" si="143">F90</f>
        <v>Electricity</v>
      </c>
      <c r="G91" s="56" t="s">
        <v>205</v>
      </c>
      <c r="H91" s="59">
        <f ca="1">OFFSET(TIAM15_assumptions!$G91,0,MATCH(VLOOKUP(Assumptions!H$2,TIAM15_assumptions!$Y$3:$Z$87,2,FALSE),TIAM15_assumptions!$H$2:$V$2,0))</f>
        <v>0.05</v>
      </c>
      <c r="I91" s="59">
        <f ca="1">OFFSET(TIAM15_assumptions!$G91,0,MATCH(VLOOKUP(Assumptions!I$2,TIAM15_assumptions!$Y$3:$Z$87,2,FALSE),TIAM15_assumptions!$H$2:$V$2,0))</f>
        <v>0.05</v>
      </c>
      <c r="J91" s="59">
        <f ca="1">OFFSET(TIAM15_assumptions!$G91,0,MATCH(VLOOKUP(Assumptions!J$2,TIAM15_assumptions!$Y$3:$Z$87,2,FALSE),TIAM15_assumptions!$H$2:$V$2,0))</f>
        <v>0.05</v>
      </c>
      <c r="K91" s="59">
        <f ca="1">OFFSET(TIAM15_assumptions!$G91,0,MATCH(VLOOKUP(Assumptions!K$2,TIAM15_assumptions!$Y$3:$Z$87,2,FALSE),TIAM15_assumptions!$H$2:$V$2,0))</f>
        <v>0.05</v>
      </c>
      <c r="L91" s="59">
        <f ca="1">OFFSET(TIAM15_assumptions!$G91,0,MATCH(VLOOKUP(Assumptions!L$2,TIAM15_assumptions!$Y$3:$Z$87,2,FALSE),TIAM15_assumptions!$H$2:$V$2,0))</f>
        <v>0.05</v>
      </c>
      <c r="M91" s="59">
        <f ca="1">OFFSET(TIAM15_assumptions!$G91,0,MATCH(VLOOKUP(Assumptions!M$2,TIAM15_assumptions!$Y$3:$Z$87,2,FALSE),TIAM15_assumptions!$H$2:$V$2,0))</f>
        <v>0.05</v>
      </c>
      <c r="N91" s="59">
        <f ca="1">OFFSET(TIAM15_assumptions!$G91,0,MATCH(VLOOKUP(Assumptions!N$2,TIAM15_assumptions!$Y$3:$Z$87,2,FALSE),TIAM15_assumptions!$H$2:$V$2,0))</f>
        <v>0.05</v>
      </c>
      <c r="O91" s="59">
        <f ca="1">OFFSET(TIAM15_assumptions!$G91,0,MATCH(VLOOKUP(Assumptions!O$2,TIAM15_assumptions!$Y$3:$Z$87,2,FALSE),TIAM15_assumptions!$H$2:$V$2,0))</f>
        <v>0.05</v>
      </c>
      <c r="P91" s="59">
        <f ca="1">OFFSET(TIAM15_assumptions!$G91,0,MATCH(VLOOKUP(Assumptions!P$2,TIAM15_assumptions!$Y$3:$Z$87,2,FALSE),TIAM15_assumptions!$H$2:$V$2,0))</f>
        <v>0.05</v>
      </c>
      <c r="Q91" s="59">
        <f ca="1">OFFSET(TIAM15_assumptions!$G91,0,MATCH(VLOOKUP(Assumptions!Q$2,TIAM15_assumptions!$Y$3:$Z$87,2,FALSE),TIAM15_assumptions!$H$2:$V$2,0))</f>
        <v>0.05</v>
      </c>
      <c r="R91" s="59">
        <f ca="1">OFFSET(TIAM15_assumptions!$G91,0,MATCH(VLOOKUP(Assumptions!R$2,TIAM15_assumptions!$Y$3:$Z$87,2,FALSE),TIAM15_assumptions!$H$2:$V$2,0))</f>
        <v>0.05</v>
      </c>
      <c r="S91" s="59">
        <f ca="1">OFFSET(TIAM15_assumptions!$G91,0,MATCH(VLOOKUP(Assumptions!S$2,TIAM15_assumptions!$Y$3:$Z$87,2,FALSE),TIAM15_assumptions!$H$2:$V$2,0))</f>
        <v>0.05</v>
      </c>
      <c r="T91" s="59">
        <f ca="1">OFFSET(TIAM15_assumptions!$G91,0,MATCH(VLOOKUP(Assumptions!T$2,TIAM15_assumptions!$Y$3:$Z$87,2,FALSE),TIAM15_assumptions!$H$2:$V$2,0))</f>
        <v>0.05</v>
      </c>
      <c r="U91" s="59">
        <f ca="1">OFFSET(TIAM15_assumptions!$G91,0,MATCH(VLOOKUP(Assumptions!U$2,TIAM15_assumptions!$Y$3:$Z$87,2,FALSE),TIAM15_assumptions!$H$2:$V$2,0))</f>
        <v>0.05</v>
      </c>
      <c r="V91" s="59">
        <f ca="1">OFFSET(TIAM15_assumptions!$G91,0,MATCH(VLOOKUP(Assumptions!V$2,TIAM15_assumptions!$Y$3:$Z$87,2,FALSE),TIAM15_assumptions!$H$2:$V$2,0))</f>
        <v>0.05</v>
      </c>
      <c r="W91" s="59">
        <f ca="1">OFFSET(TIAM15_assumptions!$G91,0,MATCH(VLOOKUP(Assumptions!W$2,TIAM15_assumptions!$Y$3:$Z$87,2,FALSE),TIAM15_assumptions!$H$2:$V$2,0))</f>
        <v>0.05</v>
      </c>
      <c r="X91" s="59">
        <f ca="1">OFFSET(TIAM15_assumptions!$G91,0,MATCH(VLOOKUP(Assumptions!X$2,TIAM15_assumptions!$Y$3:$Z$87,2,FALSE),TIAM15_assumptions!$H$2:$V$2,0))</f>
        <v>0.05</v>
      </c>
      <c r="Y91" s="59">
        <f ca="1">OFFSET(TIAM15_assumptions!$G91,0,MATCH(VLOOKUP(Assumptions!Y$2,TIAM15_assumptions!$Y$3:$Z$87,2,FALSE),TIAM15_assumptions!$H$2:$V$2,0))</f>
        <v>0.05</v>
      </c>
      <c r="Z91" s="59">
        <f ca="1">OFFSET(TIAM15_assumptions!$G91,0,MATCH(VLOOKUP(Assumptions!Z$2,TIAM15_assumptions!$Y$3:$Z$87,2,FALSE),TIAM15_assumptions!$H$2:$V$2,0))</f>
        <v>0.05</v>
      </c>
      <c r="AA91" s="59">
        <f ca="1">OFFSET(TIAM15_assumptions!$G91,0,MATCH(VLOOKUP(Assumptions!AA$2,TIAM15_assumptions!$Y$3:$Z$87,2,FALSE),TIAM15_assumptions!$H$2:$V$2,0))</f>
        <v>0.05</v>
      </c>
      <c r="AB91" s="59">
        <f ca="1">OFFSET(TIAM15_assumptions!$G91,0,MATCH(VLOOKUP(Assumptions!AB$2,TIAM15_assumptions!$Y$3:$Z$87,2,FALSE),TIAM15_assumptions!$H$2:$V$2,0))</f>
        <v>0.05</v>
      </c>
      <c r="AC91" s="59">
        <f ca="1">OFFSET(TIAM15_assumptions!$G91,0,MATCH(VLOOKUP(Assumptions!AC$2,TIAM15_assumptions!$Y$3:$Z$87,2,FALSE),TIAM15_assumptions!$H$2:$V$2,0))</f>
        <v>0.05</v>
      </c>
      <c r="AD91" s="59">
        <f ca="1">OFFSET(TIAM15_assumptions!$G91,0,MATCH(VLOOKUP(Assumptions!AD$2,TIAM15_assumptions!$Y$3:$Z$87,2,FALSE),TIAM15_assumptions!$H$2:$V$2,0))</f>
        <v>0.05</v>
      </c>
      <c r="AE91" s="59">
        <f ca="1">OFFSET(TIAM15_assumptions!$G91,0,MATCH(VLOOKUP(Assumptions!AE$2,TIAM15_assumptions!$Y$3:$Z$87,2,FALSE),TIAM15_assumptions!$H$2:$V$2,0))</f>
        <v>0.05</v>
      </c>
      <c r="AF91" s="59">
        <f ca="1">OFFSET(TIAM15_assumptions!$G91,0,MATCH(VLOOKUP(Assumptions!AF$2,TIAM15_assumptions!$Y$3:$Z$87,2,FALSE),TIAM15_assumptions!$H$2:$V$2,0))</f>
        <v>0.05</v>
      </c>
      <c r="AG91" s="59">
        <f ca="1">OFFSET(TIAM15_assumptions!$G91,0,MATCH(VLOOKUP(Assumptions!AG$2,TIAM15_assumptions!$Y$3:$Z$87,2,FALSE),TIAM15_assumptions!$H$2:$V$2,0))</f>
        <v>0.05</v>
      </c>
      <c r="AH91" s="59">
        <f ca="1">OFFSET(TIAM15_assumptions!$G91,0,MATCH(VLOOKUP(Assumptions!AH$2,TIAM15_assumptions!$Y$3:$Z$87,2,FALSE),TIAM15_assumptions!$H$2:$V$2,0))</f>
        <v>0.05</v>
      </c>
      <c r="AI91" s="59">
        <f ca="1">OFFSET(TIAM15_assumptions!$G91,0,MATCH(VLOOKUP(Assumptions!AI$2,TIAM15_assumptions!$Y$3:$Z$87,2,FALSE),TIAM15_assumptions!$H$2:$V$2,0))</f>
        <v>0.05</v>
      </c>
      <c r="AJ91" s="59">
        <f ca="1">OFFSET(TIAM15_assumptions!$G91,0,MATCH(VLOOKUP(Assumptions!AJ$2,TIAM15_assumptions!$Y$3:$Z$87,2,FALSE),TIAM15_assumptions!$H$2:$V$2,0))</f>
        <v>0.05</v>
      </c>
      <c r="AK91" s="59">
        <f ca="1">OFFSET(TIAM15_assumptions!$G91,0,MATCH(VLOOKUP(Assumptions!AK$2,TIAM15_assumptions!$Y$3:$Z$87,2,FALSE),TIAM15_assumptions!$H$2:$V$2,0))</f>
        <v>0.05</v>
      </c>
      <c r="AL91" s="59">
        <f ca="1">OFFSET(TIAM15_assumptions!$G91,0,MATCH(VLOOKUP(Assumptions!AL$2,TIAM15_assumptions!$Y$3:$Z$87,2,FALSE),TIAM15_assumptions!$H$2:$V$2,0))</f>
        <v>0.05</v>
      </c>
      <c r="AM91" s="59">
        <f ca="1">OFFSET(TIAM15_assumptions!$G91,0,MATCH(VLOOKUP(Assumptions!AM$2,TIAM15_assumptions!$Y$3:$Z$87,2,FALSE),TIAM15_assumptions!$H$2:$V$2,0))</f>
        <v>0.05</v>
      </c>
      <c r="AN91" s="59">
        <f ca="1">OFFSET(TIAM15_assumptions!$G91,0,MATCH(VLOOKUP(Assumptions!AN$2,TIAM15_assumptions!$Y$3:$Z$87,2,FALSE),TIAM15_assumptions!$H$2:$V$2,0))</f>
        <v>0.05</v>
      </c>
      <c r="AO91" s="59">
        <f ca="1">OFFSET(TIAM15_assumptions!$G91,0,MATCH(VLOOKUP(Assumptions!AO$2,TIAM15_assumptions!$Y$3:$Z$87,2,FALSE),TIAM15_assumptions!$H$2:$V$2,0))</f>
        <v>0.05</v>
      </c>
      <c r="AP91" s="59">
        <f ca="1">OFFSET(TIAM15_assumptions!$G91,0,MATCH(VLOOKUP(Assumptions!AP$2,TIAM15_assumptions!$Y$3:$Z$87,2,FALSE),TIAM15_assumptions!$H$2:$V$2,0))</f>
        <v>0.05</v>
      </c>
      <c r="AQ91" s="59">
        <f ca="1">OFFSET(TIAM15_assumptions!$G91,0,MATCH(VLOOKUP(Assumptions!AQ$2,TIAM15_assumptions!$Y$3:$Z$87,2,FALSE),TIAM15_assumptions!$H$2:$V$2,0))</f>
        <v>0.05</v>
      </c>
      <c r="AR91" s="59">
        <f ca="1">OFFSET(TIAM15_assumptions!$G91,0,MATCH(VLOOKUP(Assumptions!AR$2,TIAM15_assumptions!$Y$3:$Z$87,2,FALSE),TIAM15_assumptions!$H$2:$V$2,0))</f>
        <v>0.05</v>
      </c>
      <c r="AS91" s="59">
        <f ca="1">OFFSET(TIAM15_assumptions!$G91,0,MATCH(VLOOKUP(Assumptions!AS$2,TIAM15_assumptions!$Y$3:$Z$87,2,FALSE),TIAM15_assumptions!$H$2:$V$2,0))</f>
        <v>0.05</v>
      </c>
      <c r="AT91" s="59">
        <f ca="1">OFFSET(TIAM15_assumptions!$G91,0,MATCH(VLOOKUP(Assumptions!AT$2,TIAM15_assumptions!$Y$3:$Z$87,2,FALSE),TIAM15_assumptions!$H$2:$V$2,0))</f>
        <v>0.05</v>
      </c>
      <c r="AU91" s="59">
        <f ca="1">OFFSET(TIAM15_assumptions!$G91,0,MATCH(VLOOKUP(Assumptions!AU$2,TIAM15_assumptions!$Y$3:$Z$87,2,FALSE),TIAM15_assumptions!$H$2:$V$2,0))</f>
        <v>0.05</v>
      </c>
      <c r="AV91" s="59">
        <f ca="1">OFFSET(TIAM15_assumptions!$G91,0,MATCH(VLOOKUP(Assumptions!AV$2,TIAM15_assumptions!$Y$3:$Z$87,2,FALSE),TIAM15_assumptions!$H$2:$V$2,0))</f>
        <v>0.05</v>
      </c>
      <c r="AW91" s="59">
        <f ca="1">OFFSET(TIAM15_assumptions!$G91,0,MATCH(VLOOKUP(Assumptions!AW$2,TIAM15_assumptions!$Y$3:$Z$87,2,FALSE),TIAM15_assumptions!$H$2:$V$2,0))</f>
        <v>0.05</v>
      </c>
      <c r="AX91" s="59">
        <f ca="1">OFFSET(TIAM15_assumptions!$G91,0,MATCH(VLOOKUP(Assumptions!AX$2,TIAM15_assumptions!$Y$3:$Z$87,2,FALSE),TIAM15_assumptions!$H$2:$V$2,0))</f>
        <v>0.05</v>
      </c>
      <c r="AY91" s="59">
        <f ca="1">OFFSET(TIAM15_assumptions!$G91,0,MATCH(VLOOKUP(Assumptions!AY$2,TIAM15_assumptions!$Y$3:$Z$87,2,FALSE),TIAM15_assumptions!$H$2:$V$2,0))</f>
        <v>0.05</v>
      </c>
      <c r="AZ91" s="59">
        <f ca="1">OFFSET(TIAM15_assumptions!$G91,0,MATCH(VLOOKUP(Assumptions!AZ$2,TIAM15_assumptions!$Y$3:$Z$87,2,FALSE),TIAM15_assumptions!$H$2:$V$2,0))</f>
        <v>0.05</v>
      </c>
      <c r="BA91" s="59">
        <f ca="1">OFFSET(TIAM15_assumptions!$G91,0,MATCH(VLOOKUP(Assumptions!BA$2,TIAM15_assumptions!$Y$3:$Z$87,2,FALSE),TIAM15_assumptions!$H$2:$V$2,0))</f>
        <v>0.05</v>
      </c>
      <c r="BD91" s="41">
        <f ca="1">IFERROR(SUMIFS('TRA balance'!E$5:E$40,'TRA balance'!$C$5:$C$40,Assumptions!$C91,'TRA balance'!$D$5:$D$40,Assumptions!$B91)*CY91*H91,"")</f>
        <v>0</v>
      </c>
      <c r="BE91" s="41">
        <f ca="1">IFERROR(SUMIFS('TRA balance'!F$5:F$40,'TRA balance'!$C$5:$C$40,Assumptions!$C91,'TRA balance'!$D$5:$D$40,Assumptions!$B91)*CZ91*I91,"")</f>
        <v>0</v>
      </c>
      <c r="BF91" s="41">
        <f ca="1">IFERROR(SUMIFS('TRA balance'!G$5:G$40,'TRA balance'!$C$5:$C$40,Assumptions!$C91,'TRA balance'!$D$5:$D$40,Assumptions!$B91)*DA91*J91,"")</f>
        <v>0.00431994024</v>
      </c>
      <c r="BG91" s="41">
        <f ca="1">IFERROR(SUMIFS('TRA balance'!H$5:H$40,'TRA balance'!$C$5:$C$40,Assumptions!$C91,'TRA balance'!$D$5:$D$40,Assumptions!$B91)*DB91*K91,"")</f>
        <v>0.00256776444</v>
      </c>
      <c r="BH91" s="41">
        <f ca="1">IFERROR(SUMIFS('TRA balance'!I$5:I$40,'TRA balance'!$C$5:$C$40,Assumptions!$C91,'TRA balance'!$D$5:$D$40,Assumptions!$B91)*DC91*L91,"")</f>
        <v>0</v>
      </c>
      <c r="BI91" s="41">
        <f ca="1">IFERROR(SUMIFS('TRA balance'!J$5:J$40,'TRA balance'!$C$5:$C$40,Assumptions!$C91,'TRA balance'!$D$5:$D$40,Assumptions!$B91)*DD91*M91,"")</f>
        <v>0.1159513326</v>
      </c>
      <c r="BJ91" s="41">
        <f ca="1">IFERROR(SUMIFS('TRA balance'!K$5:K$40,'TRA balance'!$C$5:$C$40,Assumptions!$C91,'TRA balance'!$D$5:$D$40,Assumptions!$B91)*DE91*N91,"")</f>
        <v>0</v>
      </c>
      <c r="BK91" s="41">
        <f ca="1">IFERROR(SUMIFS('TRA balance'!L$5:L$40,'TRA balance'!$C$5:$C$40,Assumptions!$C91,'TRA balance'!$D$5:$D$40,Assumptions!$B91)*DF91*O91,"")</f>
        <v>9.814520546928</v>
      </c>
      <c r="BL91" s="41">
        <f ca="1">IFERROR(SUMIFS('TRA balance'!M$5:M$40,'TRA balance'!$C$5:$C$40,Assumptions!$C91,'TRA balance'!$D$5:$D$40,Assumptions!$B91)*DG91*P91,"")</f>
        <v>0</v>
      </c>
      <c r="BM91" s="41">
        <f ca="1">IFERROR(SUMIFS('TRA balance'!N$5:N$40,'TRA balance'!$C$5:$C$40,Assumptions!$C91,'TRA balance'!$D$5:$D$40,Assumptions!$B91)*DH91*Q91,"")</f>
        <v>0</v>
      </c>
      <c r="BN91" s="41">
        <f ca="1">IFERROR(SUMIFS('TRA balance'!O$5:O$40,'TRA balance'!$C$5:$C$40,Assumptions!$C91,'TRA balance'!$D$5:$D$40,Assumptions!$B91)*DI91*R91,"")</f>
        <v>0.05895286542</v>
      </c>
      <c r="BO91" s="41">
        <f ca="1">IFERROR(SUMIFS('TRA balance'!P$5:P$40,'TRA balance'!$C$5:$C$40,Assumptions!$C91,'TRA balance'!$D$5:$D$40,Assumptions!$B91)*DJ91*S91,"")</f>
        <v>0.06048000072</v>
      </c>
      <c r="BP91" s="41">
        <f ca="1">IFERROR(SUMIFS('TRA balance'!Q$5:Q$40,'TRA balance'!$C$5:$C$40,Assumptions!$C91,'TRA balance'!$D$5:$D$40,Assumptions!$B91)*DK91*T91,"")</f>
        <v>0.00369296694</v>
      </c>
      <c r="BQ91" s="41">
        <f ca="1">IFERROR(SUMIFS('TRA balance'!R$5:R$40,'TRA balance'!$C$5:$C$40,Assumptions!$C91,'TRA balance'!$D$5:$D$40,Assumptions!$B91)*DL91*U91,"")</f>
        <v>0</v>
      </c>
      <c r="BR91" s="41">
        <f ca="1">IFERROR(SUMIFS('TRA balance'!S$5:S$40,'TRA balance'!$C$5:$C$40,Assumptions!$C91,'TRA balance'!$D$5:$D$40,Assumptions!$B91)*DM91*V91,"")</f>
        <v>0.00405993996</v>
      </c>
      <c r="BS91" s="41">
        <f ca="1">IFERROR(SUMIFS('TRA balance'!T$5:T$40,'TRA balance'!$C$5:$C$40,Assumptions!$C91,'TRA balance'!$D$5:$D$40,Assumptions!$B91)*DN91*W91,"")</f>
        <v>0</v>
      </c>
      <c r="BT91" s="41">
        <f ca="1">IFERROR(SUMIFS('TRA balance'!U$5:U$40,'TRA balance'!$C$5:$C$40,Assumptions!$C91,'TRA balance'!$D$5:$D$40,Assumptions!$B91)*DO91*X91,"")</f>
        <v>0.00487950606</v>
      </c>
      <c r="BU91" s="41">
        <f ca="1">IFERROR(SUMIFS('TRA balance'!V$5:V$40,'TRA balance'!$C$5:$C$40,Assumptions!$C91,'TRA balance'!$D$5:$D$40,Assumptions!$B91)*DP91*Y91,"")</f>
        <v>0.02487231342</v>
      </c>
      <c r="BV91" s="41">
        <f ca="1">IFERROR(SUMIFS('TRA balance'!W$5:W$40,'TRA balance'!$C$5:$C$40,Assumptions!$C91,'TRA balance'!$D$5:$D$40,Assumptions!$B91)*DQ91*Z91,"")</f>
        <v>0</v>
      </c>
      <c r="BW91" s="41">
        <f ca="1">IFERROR(SUMIFS('TRA balance'!X$5:X$40,'TRA balance'!$C$5:$C$40,Assumptions!$C91,'TRA balance'!$D$5:$D$40,Assumptions!$B91)*DR91*AA91,"")</f>
        <v>0.07352774424</v>
      </c>
      <c r="BX91" s="41">
        <f ca="1">IFERROR(SUMIFS('TRA balance'!Y$5:Y$40,'TRA balance'!$C$5:$C$40,Assumptions!$C91,'TRA balance'!$D$5:$D$40,Assumptions!$B91)*DS91*AB91,"")</f>
        <v>0</v>
      </c>
      <c r="BY91" s="41">
        <f ca="1">IFERROR(SUMIFS('TRA balance'!Z$5:Z$40,'TRA balance'!$C$5:$C$40,Assumptions!$C91,'TRA balance'!$D$5:$D$40,Assumptions!$B91)*DT91*AC91,"")</f>
        <v>1.40222568078</v>
      </c>
      <c r="BZ91" s="41">
        <f ca="1">IFERROR(SUMIFS('TRA balance'!AA$5:AA$40,'TRA balance'!$C$5:$C$40,Assumptions!$C91,'TRA balance'!$D$5:$D$40,Assumptions!$B91)*DU91*AD91,"")</f>
        <v>0.15461998938</v>
      </c>
      <c r="CA91" s="41">
        <f ca="1">IFERROR(SUMIFS('TRA balance'!AB$5:AB$40,'TRA balance'!$C$5:$C$40,Assumptions!$C91,'TRA balance'!$D$5:$D$40,Assumptions!$B91)*DV91*AE91,"")</f>
        <v>0</v>
      </c>
      <c r="CB91" s="41">
        <f ca="1">IFERROR(SUMIFS('TRA balance'!AC$5:AC$40,'TRA balance'!$C$5:$C$40,Assumptions!$C91,'TRA balance'!$D$5:$D$40,Assumptions!$B91)*DW91*AF91,"")</f>
        <v>0.08836325136</v>
      </c>
      <c r="CC91" s="41">
        <f ca="1">IFERROR(SUMIFS('TRA balance'!AD$5:AD$40,'TRA balance'!$C$5:$C$40,Assumptions!$C91,'TRA balance'!$D$5:$D$40,Assumptions!$B91)*DX91*AG91,"")</f>
        <v>0</v>
      </c>
      <c r="CD91" s="41">
        <f ca="1">IFERROR(SUMIFS('TRA balance'!AE$5:AE$40,'TRA balance'!$C$5:$C$40,Assumptions!$C91,'TRA balance'!$D$5:$D$40,Assumptions!$B91)*DY91*AH91,"")</f>
        <v>0</v>
      </c>
      <c r="CE91" s="41">
        <f ca="1">IFERROR(SUMIFS('TRA balance'!AF$5:AF$40,'TRA balance'!$C$5:$C$40,Assumptions!$C91,'TRA balance'!$D$5:$D$40,Assumptions!$B91)*DZ91*AI91,"")</f>
        <v>0</v>
      </c>
      <c r="CF91" s="41">
        <f ca="1">IFERROR(SUMIFS('TRA balance'!AG$5:AG$40,'TRA balance'!$C$5:$C$40,Assumptions!$C91,'TRA balance'!$D$5:$D$40,Assumptions!$B91)*EA91*AJ91,"")</f>
        <v>0.03002103072</v>
      </c>
      <c r="CG91" s="41">
        <f ca="1">IFERROR(SUMIFS('TRA balance'!AH$5:AH$40,'TRA balance'!$C$5:$C$40,Assumptions!$C91,'TRA balance'!$D$5:$D$40,Assumptions!$B91)*EB91*AK91,"")</f>
        <v>0.06792182838</v>
      </c>
      <c r="CH91" s="41">
        <f ca="1">IFERROR(SUMIFS('TRA balance'!AI$5:AI$40,'TRA balance'!$C$5:$C$40,Assumptions!$C91,'TRA balance'!$D$5:$D$40,Assumptions!$B91)*EC91*AL91,"")</f>
        <v>0</v>
      </c>
      <c r="CI91" s="41">
        <f ca="1">IFERROR(SUMIFS('TRA balance'!AJ$5:AJ$40,'TRA balance'!$C$5:$C$40,Assumptions!$C91,'TRA balance'!$D$5:$D$40,Assumptions!$B91)*ED91*AM91,"")</f>
        <v>0</v>
      </c>
      <c r="CJ91" s="41">
        <f ca="1">IFERROR(SUMIFS('TRA balance'!AK$5:AK$40,'TRA balance'!$C$5:$C$40,Assumptions!$C91,'TRA balance'!$D$5:$D$40,Assumptions!$B91)*EE91*AN91,"")</f>
        <v>0.0659682675</v>
      </c>
      <c r="CK91" s="41">
        <f ca="1">IFERROR(SUMIFS('TRA balance'!AL$5:AL$40,'TRA balance'!$C$5:$C$40,Assumptions!$C91,'TRA balance'!$D$5:$D$40,Assumptions!$B91)*EF91*AO91,"")</f>
        <v>0</v>
      </c>
      <c r="CL91" s="41">
        <f ca="1">IFERROR(SUMIFS('TRA balance'!AM$5:AM$40,'TRA balance'!$C$5:$C$40,Assumptions!$C91,'TRA balance'!$D$5:$D$40,Assumptions!$B91)*EG91*AP91,"")</f>
        <v>0</v>
      </c>
      <c r="CM91" s="41">
        <f ca="1">IFERROR(SUMIFS('TRA balance'!AN$5:AN$40,'TRA balance'!$C$5:$C$40,Assumptions!$C91,'TRA balance'!$D$5:$D$40,Assumptions!$B91)*EH91*AQ91,"")</f>
        <v>0</v>
      </c>
      <c r="CN91" s="41">
        <f ca="1">IFERROR(SUMIFS('TRA balance'!AO$5:AO$40,'TRA balance'!$C$5:$C$40,Assumptions!$C91,'TRA balance'!$D$5:$D$40,Assumptions!$B91)*EI91*AR91,"")</f>
        <v>0</v>
      </c>
      <c r="CO91" s="41">
        <f ca="1">IFERROR(SUMIFS('TRA balance'!AP$5:AP$40,'TRA balance'!$C$5:$C$40,Assumptions!$C91,'TRA balance'!$D$5:$D$40,Assumptions!$B91)*EJ91*AS91,"")</f>
        <v>0</v>
      </c>
      <c r="CP91" s="41">
        <f ca="1">IFERROR(SUMIFS('TRA balance'!AQ$5:AQ$40,'TRA balance'!$C$5:$C$40,Assumptions!$C91,'TRA balance'!$D$5:$D$40,Assumptions!$B91)*EK91*AT91,"")</f>
        <v>0</v>
      </c>
      <c r="CQ91" s="41">
        <f ca="1">IFERROR(SUMIFS('TRA balance'!AR$5:AR$40,'TRA balance'!$C$5:$C$40,Assumptions!$C91,'TRA balance'!$D$5:$D$40,Assumptions!$B91)*EL91*AU91,"")</f>
        <v>0</v>
      </c>
      <c r="CR91" s="41">
        <f ca="1">IFERROR(SUMIFS('TRA balance'!AS$5:AS$40,'TRA balance'!$C$5:$C$40,Assumptions!$C91,'TRA balance'!$D$5:$D$40,Assumptions!$B91)*EM91*AV91,"")</f>
        <v>0</v>
      </c>
      <c r="CS91" s="41">
        <f ca="1">IFERROR(SUMIFS('TRA balance'!AT$5:AT$40,'TRA balance'!$C$5:$C$40,Assumptions!$C91,'TRA balance'!$D$5:$D$40,Assumptions!$B91)*EN91*AW91,"")</f>
        <v>0</v>
      </c>
      <c r="CT91" s="41">
        <f ca="1">IFERROR(SUMIFS('TRA balance'!AU$5:AU$40,'TRA balance'!$C$5:$C$40,Assumptions!$C91,'TRA balance'!$D$5:$D$40,Assumptions!$B91)*EO91*AX91,"")</f>
        <v>0</v>
      </c>
      <c r="CU91" s="41">
        <f ca="1">IFERROR(SUMIFS('TRA balance'!AV$5:AV$40,'TRA balance'!$C$5:$C$40,Assumptions!$C91,'TRA balance'!$D$5:$D$40,Assumptions!$B91)*EP91*AY91,"")</f>
        <v>0</v>
      </c>
      <c r="CV91" s="41">
        <f ca="1">IFERROR(SUMIFS('TRA balance'!AW$5:AW$40,'TRA balance'!$C$5:$C$40,Assumptions!$C91,'TRA balance'!$D$5:$D$40,Assumptions!$B91)*EQ91*AZ91,"")</f>
        <v>0</v>
      </c>
      <c r="CW91" s="41">
        <f ca="1">IFERROR(SUMIFS('TRA balance'!AX$5:AX$40,'TRA balance'!$C$5:$C$40,Assumptions!$C91,'TRA balance'!$D$5:$D$40,Assumptions!$B91)*ER91*BA91,"")</f>
        <v>0</v>
      </c>
      <c r="CY91" s="40">
        <f ca="1" t="shared" si="86"/>
        <v>0</v>
      </c>
      <c r="CZ91" s="40">
        <f ca="1" t="shared" si="87"/>
        <v>0</v>
      </c>
      <c r="DA91" s="40">
        <f ca="1" t="shared" si="88"/>
        <v>1</v>
      </c>
      <c r="DB91" s="40">
        <f ca="1" t="shared" si="89"/>
        <v>1</v>
      </c>
      <c r="DC91" s="40">
        <f ca="1" t="shared" si="90"/>
        <v>0</v>
      </c>
      <c r="DD91" s="40">
        <f ca="1" t="shared" si="91"/>
        <v>1</v>
      </c>
      <c r="DE91" s="40">
        <f ca="1" t="shared" si="92"/>
        <v>0.5</v>
      </c>
      <c r="DF91" s="40">
        <f ca="1" t="shared" si="93"/>
        <v>0.8</v>
      </c>
      <c r="DG91" s="40">
        <f ca="1" t="shared" si="94"/>
        <v>0</v>
      </c>
      <c r="DH91" s="40">
        <f ca="1" t="shared" si="95"/>
        <v>0</v>
      </c>
      <c r="DI91" s="40">
        <f ca="1" t="shared" si="96"/>
        <v>1</v>
      </c>
      <c r="DJ91" s="40">
        <f ca="1" t="shared" si="97"/>
        <v>1</v>
      </c>
      <c r="DK91" s="40">
        <f ca="1" t="shared" si="98"/>
        <v>1</v>
      </c>
      <c r="DL91" s="40">
        <f ca="1" t="shared" si="99"/>
        <v>0</v>
      </c>
      <c r="DM91" s="40">
        <f ca="1" t="shared" si="100"/>
        <v>1</v>
      </c>
      <c r="DN91" s="40">
        <f ca="1" t="shared" si="101"/>
        <v>0</v>
      </c>
      <c r="DO91" s="40">
        <f ca="1" t="shared" si="102"/>
        <v>1</v>
      </c>
      <c r="DP91" s="40">
        <f ca="1" t="shared" si="103"/>
        <v>1</v>
      </c>
      <c r="DQ91" s="40">
        <f ca="1" t="shared" si="104"/>
        <v>1</v>
      </c>
      <c r="DR91" s="40">
        <f ca="1" t="shared" si="105"/>
        <v>0.5</v>
      </c>
      <c r="DS91" s="40">
        <f ca="1" t="shared" si="106"/>
        <v>0</v>
      </c>
      <c r="DT91" s="40">
        <f ca="1" t="shared" si="107"/>
        <v>1</v>
      </c>
      <c r="DU91" s="40">
        <f ca="1" t="shared" si="108"/>
        <v>1</v>
      </c>
      <c r="DV91" s="40">
        <f ca="1" t="shared" si="109"/>
        <v>0</v>
      </c>
      <c r="DW91" s="40">
        <f ca="1" t="shared" si="110"/>
        <v>1</v>
      </c>
      <c r="DX91" s="40">
        <f ca="1" t="shared" si="111"/>
        <v>0</v>
      </c>
      <c r="DY91" s="40">
        <f ca="1" t="shared" si="112"/>
        <v>0</v>
      </c>
      <c r="DZ91" s="40">
        <f ca="1" t="shared" si="113"/>
        <v>0</v>
      </c>
      <c r="EA91" s="40">
        <f ca="1" t="shared" si="114"/>
        <v>1</v>
      </c>
      <c r="EB91" s="40">
        <f ca="1" t="shared" si="115"/>
        <v>1</v>
      </c>
      <c r="EC91" s="40">
        <f ca="1" t="shared" si="116"/>
        <v>1</v>
      </c>
      <c r="ED91" s="40">
        <f ca="1" t="shared" si="117"/>
        <v>0</v>
      </c>
      <c r="EE91" s="40">
        <f ca="1" t="shared" si="118"/>
        <v>1</v>
      </c>
      <c r="EF91" s="40">
        <f ca="1" t="shared" si="119"/>
        <v>0</v>
      </c>
      <c r="EG91" s="40">
        <f ca="1" t="shared" si="120"/>
        <v>0</v>
      </c>
      <c r="EH91" s="40">
        <f ca="1" t="shared" si="121"/>
        <v>1</v>
      </c>
      <c r="EI91" s="40">
        <f ca="1" t="shared" si="122"/>
        <v>1</v>
      </c>
      <c r="EJ91" s="40">
        <f ca="1" t="shared" si="123"/>
        <v>1</v>
      </c>
      <c r="EK91" s="40">
        <f ca="1" t="shared" si="124"/>
        <v>1</v>
      </c>
      <c r="EL91" s="40">
        <f ca="1" t="shared" si="125"/>
        <v>1</v>
      </c>
      <c r="EM91" s="40">
        <f ca="1" t="shared" si="126"/>
        <v>1</v>
      </c>
      <c r="EN91" s="40">
        <f ca="1" t="shared" si="127"/>
        <v>1</v>
      </c>
      <c r="EO91" s="40">
        <f ca="1" t="shared" si="128"/>
        <v>1</v>
      </c>
      <c r="EP91" s="40">
        <f ca="1" t="shared" si="129"/>
        <v>1</v>
      </c>
      <c r="EQ91" s="40">
        <f ca="1" t="shared" si="130"/>
        <v>1</v>
      </c>
      <c r="ER91" s="40">
        <f ca="1" t="shared" si="131"/>
        <v>1</v>
      </c>
    </row>
    <row r="92" spans="1:148">
      <c r="A92">
        <v>1</v>
      </c>
      <c r="B92" t="str">
        <f>VLOOKUP(F92,'TRA balance'!$BA$5:$BB$14,2,FALSE)</f>
        <v>TRAELC</v>
      </c>
      <c r="C92" s="56" t="str">
        <f t="shared" si="133"/>
        <v>TR</v>
      </c>
      <c r="D92" s="57" t="s">
        <v>200</v>
      </c>
      <c r="E92" s="68" t="s">
        <v>206</v>
      </c>
      <c r="F92" s="58" t="str">
        <f t="shared" si="143"/>
        <v>Electricity</v>
      </c>
      <c r="G92" s="56" t="s">
        <v>207</v>
      </c>
      <c r="H92" s="59">
        <f ca="1">OFFSET(TIAM15_assumptions!$G92,0,MATCH(VLOOKUP(Assumptions!H$2,TIAM15_assumptions!$Y$3:$Z$87,2,FALSE),TIAM15_assumptions!$H$2:$V$2,0))</f>
        <v>0</v>
      </c>
      <c r="I92" s="59">
        <f ca="1">OFFSET(TIAM15_assumptions!$G92,0,MATCH(VLOOKUP(Assumptions!I$2,TIAM15_assumptions!$Y$3:$Z$87,2,FALSE),TIAM15_assumptions!$H$2:$V$2,0))</f>
        <v>0</v>
      </c>
      <c r="J92" s="59">
        <f ca="1">OFFSET(TIAM15_assumptions!$G92,0,MATCH(VLOOKUP(Assumptions!J$2,TIAM15_assumptions!$Y$3:$Z$87,2,FALSE),TIAM15_assumptions!$H$2:$V$2,0))</f>
        <v>0</v>
      </c>
      <c r="K92" s="59">
        <f ca="1">OFFSET(TIAM15_assumptions!$G92,0,MATCH(VLOOKUP(Assumptions!K$2,TIAM15_assumptions!$Y$3:$Z$87,2,FALSE),TIAM15_assumptions!$H$2:$V$2,0))</f>
        <v>0</v>
      </c>
      <c r="L92" s="59">
        <f ca="1">OFFSET(TIAM15_assumptions!$G92,0,MATCH(VLOOKUP(Assumptions!L$2,TIAM15_assumptions!$Y$3:$Z$87,2,FALSE),TIAM15_assumptions!$H$2:$V$2,0))</f>
        <v>0</v>
      </c>
      <c r="M92" s="59">
        <f ca="1">OFFSET(TIAM15_assumptions!$G92,0,MATCH(VLOOKUP(Assumptions!M$2,TIAM15_assumptions!$Y$3:$Z$87,2,FALSE),TIAM15_assumptions!$H$2:$V$2,0))</f>
        <v>0</v>
      </c>
      <c r="N92" s="59">
        <f ca="1">OFFSET(TIAM15_assumptions!$G92,0,MATCH(VLOOKUP(Assumptions!N$2,TIAM15_assumptions!$Y$3:$Z$87,2,FALSE),TIAM15_assumptions!$H$2:$V$2,0))</f>
        <v>0</v>
      </c>
      <c r="O92" s="59">
        <f ca="1">OFFSET(TIAM15_assumptions!$G92,0,MATCH(VLOOKUP(Assumptions!O$2,TIAM15_assumptions!$Y$3:$Z$87,2,FALSE),TIAM15_assumptions!$H$2:$V$2,0))</f>
        <v>0</v>
      </c>
      <c r="P92" s="59">
        <f ca="1">OFFSET(TIAM15_assumptions!$G92,0,MATCH(VLOOKUP(Assumptions!P$2,TIAM15_assumptions!$Y$3:$Z$87,2,FALSE),TIAM15_assumptions!$H$2:$V$2,0))</f>
        <v>0</v>
      </c>
      <c r="Q92" s="59">
        <f ca="1">OFFSET(TIAM15_assumptions!$G92,0,MATCH(VLOOKUP(Assumptions!Q$2,TIAM15_assumptions!$Y$3:$Z$87,2,FALSE),TIAM15_assumptions!$H$2:$V$2,0))</f>
        <v>0</v>
      </c>
      <c r="R92" s="59">
        <f ca="1">OFFSET(TIAM15_assumptions!$G92,0,MATCH(VLOOKUP(Assumptions!R$2,TIAM15_assumptions!$Y$3:$Z$87,2,FALSE),TIAM15_assumptions!$H$2:$V$2,0))</f>
        <v>0</v>
      </c>
      <c r="S92" s="59">
        <f ca="1">OFFSET(TIAM15_assumptions!$G92,0,MATCH(VLOOKUP(Assumptions!S$2,TIAM15_assumptions!$Y$3:$Z$87,2,FALSE),TIAM15_assumptions!$H$2:$V$2,0))</f>
        <v>0</v>
      </c>
      <c r="T92" s="59">
        <f ca="1">OFFSET(TIAM15_assumptions!$G92,0,MATCH(VLOOKUP(Assumptions!T$2,TIAM15_assumptions!$Y$3:$Z$87,2,FALSE),TIAM15_assumptions!$H$2:$V$2,0))</f>
        <v>0</v>
      </c>
      <c r="U92" s="59">
        <f ca="1">OFFSET(TIAM15_assumptions!$G92,0,MATCH(VLOOKUP(Assumptions!U$2,TIAM15_assumptions!$Y$3:$Z$87,2,FALSE),TIAM15_assumptions!$H$2:$V$2,0))</f>
        <v>0</v>
      </c>
      <c r="V92" s="59">
        <f ca="1">OFFSET(TIAM15_assumptions!$G92,0,MATCH(VLOOKUP(Assumptions!V$2,TIAM15_assumptions!$Y$3:$Z$87,2,FALSE),TIAM15_assumptions!$H$2:$V$2,0))</f>
        <v>0</v>
      </c>
      <c r="W92" s="59">
        <f ca="1">OFFSET(TIAM15_assumptions!$G92,0,MATCH(VLOOKUP(Assumptions!W$2,TIAM15_assumptions!$Y$3:$Z$87,2,FALSE),TIAM15_assumptions!$H$2:$V$2,0))</f>
        <v>0</v>
      </c>
      <c r="X92" s="59">
        <f ca="1">OFFSET(TIAM15_assumptions!$G92,0,MATCH(VLOOKUP(Assumptions!X$2,TIAM15_assumptions!$Y$3:$Z$87,2,FALSE),TIAM15_assumptions!$H$2:$V$2,0))</f>
        <v>0</v>
      </c>
      <c r="Y92" s="59">
        <f ca="1">OFFSET(TIAM15_assumptions!$G92,0,MATCH(VLOOKUP(Assumptions!Y$2,TIAM15_assumptions!$Y$3:$Z$87,2,FALSE),TIAM15_assumptions!$H$2:$V$2,0))</f>
        <v>0</v>
      </c>
      <c r="Z92" s="59">
        <f ca="1">OFFSET(TIAM15_assumptions!$G92,0,MATCH(VLOOKUP(Assumptions!Z$2,TIAM15_assumptions!$Y$3:$Z$87,2,FALSE),TIAM15_assumptions!$H$2:$V$2,0))</f>
        <v>0</v>
      </c>
      <c r="AA92" s="59">
        <f ca="1">OFFSET(TIAM15_assumptions!$G92,0,MATCH(VLOOKUP(Assumptions!AA$2,TIAM15_assumptions!$Y$3:$Z$87,2,FALSE),TIAM15_assumptions!$H$2:$V$2,0))</f>
        <v>0</v>
      </c>
      <c r="AB92" s="59">
        <f ca="1">OFFSET(TIAM15_assumptions!$G92,0,MATCH(VLOOKUP(Assumptions!AB$2,TIAM15_assumptions!$Y$3:$Z$87,2,FALSE),TIAM15_assumptions!$H$2:$V$2,0))</f>
        <v>0</v>
      </c>
      <c r="AC92" s="59">
        <f ca="1">OFFSET(TIAM15_assumptions!$G92,0,MATCH(VLOOKUP(Assumptions!AC$2,TIAM15_assumptions!$Y$3:$Z$87,2,FALSE),TIAM15_assumptions!$H$2:$V$2,0))</f>
        <v>0</v>
      </c>
      <c r="AD92" s="59">
        <f ca="1">OFFSET(TIAM15_assumptions!$G92,0,MATCH(VLOOKUP(Assumptions!AD$2,TIAM15_assumptions!$Y$3:$Z$87,2,FALSE),TIAM15_assumptions!$H$2:$V$2,0))</f>
        <v>0</v>
      </c>
      <c r="AE92" s="59">
        <f ca="1">OFFSET(TIAM15_assumptions!$G92,0,MATCH(VLOOKUP(Assumptions!AE$2,TIAM15_assumptions!$Y$3:$Z$87,2,FALSE),TIAM15_assumptions!$H$2:$V$2,0))</f>
        <v>0</v>
      </c>
      <c r="AF92" s="59">
        <f ca="1">OFFSET(TIAM15_assumptions!$G92,0,MATCH(VLOOKUP(Assumptions!AF$2,TIAM15_assumptions!$Y$3:$Z$87,2,FALSE),TIAM15_assumptions!$H$2:$V$2,0))</f>
        <v>0</v>
      </c>
      <c r="AG92" s="59">
        <f ca="1">OFFSET(TIAM15_assumptions!$G92,0,MATCH(VLOOKUP(Assumptions!AG$2,TIAM15_assumptions!$Y$3:$Z$87,2,FALSE),TIAM15_assumptions!$H$2:$V$2,0))</f>
        <v>0</v>
      </c>
      <c r="AH92" s="59">
        <f ca="1">OFFSET(TIAM15_assumptions!$G92,0,MATCH(VLOOKUP(Assumptions!AH$2,TIAM15_assumptions!$Y$3:$Z$87,2,FALSE),TIAM15_assumptions!$H$2:$V$2,0))</f>
        <v>0</v>
      </c>
      <c r="AI92" s="59">
        <f ca="1">OFFSET(TIAM15_assumptions!$G92,0,MATCH(VLOOKUP(Assumptions!AI$2,TIAM15_assumptions!$Y$3:$Z$87,2,FALSE),TIAM15_assumptions!$H$2:$V$2,0))</f>
        <v>0</v>
      </c>
      <c r="AJ92" s="59">
        <f ca="1">OFFSET(TIAM15_assumptions!$G92,0,MATCH(VLOOKUP(Assumptions!AJ$2,TIAM15_assumptions!$Y$3:$Z$87,2,FALSE),TIAM15_assumptions!$H$2:$V$2,0))</f>
        <v>0</v>
      </c>
      <c r="AK92" s="59">
        <f ca="1">OFFSET(TIAM15_assumptions!$G92,0,MATCH(VLOOKUP(Assumptions!AK$2,TIAM15_assumptions!$Y$3:$Z$87,2,FALSE),TIAM15_assumptions!$H$2:$V$2,0))</f>
        <v>0</v>
      </c>
      <c r="AL92" s="59">
        <f ca="1">OFFSET(TIAM15_assumptions!$G92,0,MATCH(VLOOKUP(Assumptions!AL$2,TIAM15_assumptions!$Y$3:$Z$87,2,FALSE),TIAM15_assumptions!$H$2:$V$2,0))</f>
        <v>0</v>
      </c>
      <c r="AM92" s="59">
        <f ca="1">OFFSET(TIAM15_assumptions!$G92,0,MATCH(VLOOKUP(Assumptions!AM$2,TIAM15_assumptions!$Y$3:$Z$87,2,FALSE),TIAM15_assumptions!$H$2:$V$2,0))</f>
        <v>0</v>
      </c>
      <c r="AN92" s="59">
        <f ca="1">OFFSET(TIAM15_assumptions!$G92,0,MATCH(VLOOKUP(Assumptions!AN$2,TIAM15_assumptions!$Y$3:$Z$87,2,FALSE),TIAM15_assumptions!$H$2:$V$2,0))</f>
        <v>0</v>
      </c>
      <c r="AO92" s="59">
        <f ca="1">OFFSET(TIAM15_assumptions!$G92,0,MATCH(VLOOKUP(Assumptions!AO$2,TIAM15_assumptions!$Y$3:$Z$87,2,FALSE),TIAM15_assumptions!$H$2:$V$2,0))</f>
        <v>0</v>
      </c>
      <c r="AP92" s="59">
        <f ca="1">OFFSET(TIAM15_assumptions!$G92,0,MATCH(VLOOKUP(Assumptions!AP$2,TIAM15_assumptions!$Y$3:$Z$87,2,FALSE),TIAM15_assumptions!$H$2:$V$2,0))</f>
        <v>0</v>
      </c>
      <c r="AQ92" s="59">
        <f ca="1">OFFSET(TIAM15_assumptions!$G92,0,MATCH(VLOOKUP(Assumptions!AQ$2,TIAM15_assumptions!$Y$3:$Z$87,2,FALSE),TIAM15_assumptions!$H$2:$V$2,0))</f>
        <v>0</v>
      </c>
      <c r="AR92" s="59">
        <f ca="1">OFFSET(TIAM15_assumptions!$G92,0,MATCH(VLOOKUP(Assumptions!AR$2,TIAM15_assumptions!$Y$3:$Z$87,2,FALSE),TIAM15_assumptions!$H$2:$V$2,0))</f>
        <v>0</v>
      </c>
      <c r="AS92" s="59">
        <f ca="1">OFFSET(TIAM15_assumptions!$G92,0,MATCH(VLOOKUP(Assumptions!AS$2,TIAM15_assumptions!$Y$3:$Z$87,2,FALSE),TIAM15_assumptions!$H$2:$V$2,0))</f>
        <v>0</v>
      </c>
      <c r="AT92" s="59">
        <f ca="1">OFFSET(TIAM15_assumptions!$G92,0,MATCH(VLOOKUP(Assumptions!AT$2,TIAM15_assumptions!$Y$3:$Z$87,2,FALSE),TIAM15_assumptions!$H$2:$V$2,0))</f>
        <v>0</v>
      </c>
      <c r="AU92" s="59">
        <f ca="1">OFFSET(TIAM15_assumptions!$G92,0,MATCH(VLOOKUP(Assumptions!AU$2,TIAM15_assumptions!$Y$3:$Z$87,2,FALSE),TIAM15_assumptions!$H$2:$V$2,0))</f>
        <v>0</v>
      </c>
      <c r="AV92" s="59">
        <f ca="1">OFFSET(TIAM15_assumptions!$G92,0,MATCH(VLOOKUP(Assumptions!AV$2,TIAM15_assumptions!$Y$3:$Z$87,2,FALSE),TIAM15_assumptions!$H$2:$V$2,0))</f>
        <v>0</v>
      </c>
      <c r="AW92" s="59">
        <f ca="1">OFFSET(TIAM15_assumptions!$G92,0,MATCH(VLOOKUP(Assumptions!AW$2,TIAM15_assumptions!$Y$3:$Z$87,2,FALSE),TIAM15_assumptions!$H$2:$V$2,0))</f>
        <v>0</v>
      </c>
      <c r="AX92" s="59">
        <f ca="1">OFFSET(TIAM15_assumptions!$G92,0,MATCH(VLOOKUP(Assumptions!AX$2,TIAM15_assumptions!$Y$3:$Z$87,2,FALSE),TIAM15_assumptions!$H$2:$V$2,0))</f>
        <v>0</v>
      </c>
      <c r="AY92" s="59">
        <f ca="1">OFFSET(TIAM15_assumptions!$G92,0,MATCH(VLOOKUP(Assumptions!AY$2,TIAM15_assumptions!$Y$3:$Z$87,2,FALSE),TIAM15_assumptions!$H$2:$V$2,0))</f>
        <v>0</v>
      </c>
      <c r="AZ92" s="59">
        <f ca="1">OFFSET(TIAM15_assumptions!$G92,0,MATCH(VLOOKUP(Assumptions!AZ$2,TIAM15_assumptions!$Y$3:$Z$87,2,FALSE),TIAM15_assumptions!$H$2:$V$2,0))</f>
        <v>0</v>
      </c>
      <c r="BA92" s="59">
        <f ca="1">OFFSET(TIAM15_assumptions!$G92,0,MATCH(VLOOKUP(Assumptions!BA$2,TIAM15_assumptions!$Y$3:$Z$87,2,FALSE),TIAM15_assumptions!$H$2:$V$2,0))</f>
        <v>0</v>
      </c>
      <c r="BD92" s="41">
        <f ca="1">IFERROR(SUMIFS('TRA balance'!E$5:E$40,'TRA balance'!$C$5:$C$40,Assumptions!$C92,'TRA balance'!$D$5:$D$40,Assumptions!$B92)*CY92*H92,"")</f>
        <v>0</v>
      </c>
      <c r="BE92" s="41">
        <f ca="1">IFERROR(SUMIFS('TRA balance'!F$5:F$40,'TRA balance'!$C$5:$C$40,Assumptions!$C92,'TRA balance'!$D$5:$D$40,Assumptions!$B92)*CZ92*I92,"")</f>
        <v>0</v>
      </c>
      <c r="BF92" s="41">
        <f ca="1">IFERROR(SUMIFS('TRA balance'!G$5:G$40,'TRA balance'!$C$5:$C$40,Assumptions!$C92,'TRA balance'!$D$5:$D$40,Assumptions!$B92)*DA92*J92,"")</f>
        <v>0</v>
      </c>
      <c r="BG92" s="41">
        <f ca="1">IFERROR(SUMIFS('TRA balance'!H$5:H$40,'TRA balance'!$C$5:$C$40,Assumptions!$C92,'TRA balance'!$D$5:$D$40,Assumptions!$B92)*DB92*K92,"")</f>
        <v>0</v>
      </c>
      <c r="BH92" s="41">
        <f ca="1">IFERROR(SUMIFS('TRA balance'!I$5:I$40,'TRA balance'!$C$5:$C$40,Assumptions!$C92,'TRA balance'!$D$5:$D$40,Assumptions!$B92)*DC92*L92,"")</f>
        <v>0</v>
      </c>
      <c r="BI92" s="41">
        <f ca="1">IFERROR(SUMIFS('TRA balance'!J$5:J$40,'TRA balance'!$C$5:$C$40,Assumptions!$C92,'TRA balance'!$D$5:$D$40,Assumptions!$B92)*DD92*M92,"")</f>
        <v>0</v>
      </c>
      <c r="BJ92" s="41">
        <f ca="1">IFERROR(SUMIFS('TRA balance'!K$5:K$40,'TRA balance'!$C$5:$C$40,Assumptions!$C92,'TRA balance'!$D$5:$D$40,Assumptions!$B92)*DE92*N92,"")</f>
        <v>0</v>
      </c>
      <c r="BK92" s="41">
        <f ca="1">IFERROR(SUMIFS('TRA balance'!L$5:L$40,'TRA balance'!$C$5:$C$40,Assumptions!$C92,'TRA balance'!$D$5:$D$40,Assumptions!$B92)*DF92*O92,"")</f>
        <v>0</v>
      </c>
      <c r="BL92" s="41">
        <f ca="1">IFERROR(SUMIFS('TRA balance'!M$5:M$40,'TRA balance'!$C$5:$C$40,Assumptions!$C92,'TRA balance'!$D$5:$D$40,Assumptions!$B92)*DG92*P92,"")</f>
        <v>0</v>
      </c>
      <c r="BM92" s="41">
        <f ca="1">IFERROR(SUMIFS('TRA balance'!N$5:N$40,'TRA balance'!$C$5:$C$40,Assumptions!$C92,'TRA balance'!$D$5:$D$40,Assumptions!$B92)*DH92*Q92,"")</f>
        <v>0</v>
      </c>
      <c r="BN92" s="41">
        <f ca="1">IFERROR(SUMIFS('TRA balance'!O$5:O$40,'TRA balance'!$C$5:$C$40,Assumptions!$C92,'TRA balance'!$D$5:$D$40,Assumptions!$B92)*DI92*R92,"")</f>
        <v>0</v>
      </c>
      <c r="BO92" s="41">
        <f ca="1">IFERROR(SUMIFS('TRA balance'!P$5:P$40,'TRA balance'!$C$5:$C$40,Assumptions!$C92,'TRA balance'!$D$5:$D$40,Assumptions!$B92)*DJ92*S92,"")</f>
        <v>0</v>
      </c>
      <c r="BP92" s="41">
        <f ca="1">IFERROR(SUMIFS('TRA balance'!Q$5:Q$40,'TRA balance'!$C$5:$C$40,Assumptions!$C92,'TRA balance'!$D$5:$D$40,Assumptions!$B92)*DK92*T92,"")</f>
        <v>0</v>
      </c>
      <c r="BQ92" s="41">
        <f ca="1">IFERROR(SUMIFS('TRA balance'!R$5:R$40,'TRA balance'!$C$5:$C$40,Assumptions!$C92,'TRA balance'!$D$5:$D$40,Assumptions!$B92)*DL92*U92,"")</f>
        <v>0</v>
      </c>
      <c r="BR92" s="41">
        <f ca="1">IFERROR(SUMIFS('TRA balance'!S$5:S$40,'TRA balance'!$C$5:$C$40,Assumptions!$C92,'TRA balance'!$D$5:$D$40,Assumptions!$B92)*DM92*V92,"")</f>
        <v>0</v>
      </c>
      <c r="BS92" s="41">
        <f ca="1">IFERROR(SUMIFS('TRA balance'!T$5:T$40,'TRA balance'!$C$5:$C$40,Assumptions!$C92,'TRA balance'!$D$5:$D$40,Assumptions!$B92)*DN92*W92,"")</f>
        <v>0</v>
      </c>
      <c r="BT92" s="41">
        <f ca="1">IFERROR(SUMIFS('TRA balance'!U$5:U$40,'TRA balance'!$C$5:$C$40,Assumptions!$C92,'TRA balance'!$D$5:$D$40,Assumptions!$B92)*DO92*X92,"")</f>
        <v>0</v>
      </c>
      <c r="BU92" s="41">
        <f ca="1">IFERROR(SUMIFS('TRA balance'!V$5:V$40,'TRA balance'!$C$5:$C$40,Assumptions!$C92,'TRA balance'!$D$5:$D$40,Assumptions!$B92)*DP92*Y92,"")</f>
        <v>0</v>
      </c>
      <c r="BV92" s="41">
        <f ca="1">IFERROR(SUMIFS('TRA balance'!W$5:W$40,'TRA balance'!$C$5:$C$40,Assumptions!$C92,'TRA balance'!$D$5:$D$40,Assumptions!$B92)*DQ92*Z92,"")</f>
        <v>0</v>
      </c>
      <c r="BW92" s="41">
        <f ca="1">IFERROR(SUMIFS('TRA balance'!X$5:X$40,'TRA balance'!$C$5:$C$40,Assumptions!$C92,'TRA balance'!$D$5:$D$40,Assumptions!$B92)*DR92*AA92,"")</f>
        <v>0</v>
      </c>
      <c r="BX92" s="41">
        <f ca="1">IFERROR(SUMIFS('TRA balance'!Y$5:Y$40,'TRA balance'!$C$5:$C$40,Assumptions!$C92,'TRA balance'!$D$5:$D$40,Assumptions!$B92)*DS92*AB92,"")</f>
        <v>0</v>
      </c>
      <c r="BY92" s="41">
        <f ca="1">IFERROR(SUMIFS('TRA balance'!Z$5:Z$40,'TRA balance'!$C$5:$C$40,Assumptions!$C92,'TRA balance'!$D$5:$D$40,Assumptions!$B92)*DT92*AC92,"")</f>
        <v>0</v>
      </c>
      <c r="BZ92" s="41">
        <f ca="1">IFERROR(SUMIFS('TRA balance'!AA$5:AA$40,'TRA balance'!$C$5:$C$40,Assumptions!$C92,'TRA balance'!$D$5:$D$40,Assumptions!$B92)*DU92*AD92,"")</f>
        <v>0</v>
      </c>
      <c r="CA92" s="41">
        <f ca="1">IFERROR(SUMIFS('TRA balance'!AB$5:AB$40,'TRA balance'!$C$5:$C$40,Assumptions!$C92,'TRA balance'!$D$5:$D$40,Assumptions!$B92)*DV92*AE92,"")</f>
        <v>0</v>
      </c>
      <c r="CB92" s="41">
        <f ca="1">IFERROR(SUMIFS('TRA balance'!AC$5:AC$40,'TRA balance'!$C$5:$C$40,Assumptions!$C92,'TRA balance'!$D$5:$D$40,Assumptions!$B92)*DW92*AF92,"")</f>
        <v>0</v>
      </c>
      <c r="CC92" s="41">
        <f ca="1">IFERROR(SUMIFS('TRA balance'!AD$5:AD$40,'TRA balance'!$C$5:$C$40,Assumptions!$C92,'TRA balance'!$D$5:$D$40,Assumptions!$B92)*DX92*AG92,"")</f>
        <v>0</v>
      </c>
      <c r="CD92" s="41">
        <f ca="1">IFERROR(SUMIFS('TRA balance'!AE$5:AE$40,'TRA balance'!$C$5:$C$40,Assumptions!$C92,'TRA balance'!$D$5:$D$40,Assumptions!$B92)*DY92*AH92,"")</f>
        <v>0</v>
      </c>
      <c r="CE92" s="41">
        <f ca="1">IFERROR(SUMIFS('TRA balance'!AF$5:AF$40,'TRA balance'!$C$5:$C$40,Assumptions!$C92,'TRA balance'!$D$5:$D$40,Assumptions!$B92)*DZ92*AI92,"")</f>
        <v>0</v>
      </c>
      <c r="CF92" s="41">
        <f ca="1">IFERROR(SUMIFS('TRA balance'!AG$5:AG$40,'TRA balance'!$C$5:$C$40,Assumptions!$C92,'TRA balance'!$D$5:$D$40,Assumptions!$B92)*EA92*AJ92,"")</f>
        <v>0</v>
      </c>
      <c r="CG92" s="41">
        <f ca="1">IFERROR(SUMIFS('TRA balance'!AH$5:AH$40,'TRA balance'!$C$5:$C$40,Assumptions!$C92,'TRA balance'!$D$5:$D$40,Assumptions!$B92)*EB92*AK92,"")</f>
        <v>0</v>
      </c>
      <c r="CH92" s="41">
        <f ca="1">IFERROR(SUMIFS('TRA balance'!AI$5:AI$40,'TRA balance'!$C$5:$C$40,Assumptions!$C92,'TRA balance'!$D$5:$D$40,Assumptions!$B92)*EC92*AL92,"")</f>
        <v>0</v>
      </c>
      <c r="CI92" s="41">
        <f ca="1">IFERROR(SUMIFS('TRA balance'!AJ$5:AJ$40,'TRA balance'!$C$5:$C$40,Assumptions!$C92,'TRA balance'!$D$5:$D$40,Assumptions!$B92)*ED92*AM92,"")</f>
        <v>0</v>
      </c>
      <c r="CJ92" s="41">
        <f ca="1">IFERROR(SUMIFS('TRA balance'!AK$5:AK$40,'TRA balance'!$C$5:$C$40,Assumptions!$C92,'TRA balance'!$D$5:$D$40,Assumptions!$B92)*EE92*AN92,"")</f>
        <v>0</v>
      </c>
      <c r="CK92" s="41">
        <f ca="1">IFERROR(SUMIFS('TRA balance'!AL$5:AL$40,'TRA balance'!$C$5:$C$40,Assumptions!$C92,'TRA balance'!$D$5:$D$40,Assumptions!$B92)*EF92*AO92,"")</f>
        <v>0</v>
      </c>
      <c r="CL92" s="41">
        <f ca="1">IFERROR(SUMIFS('TRA balance'!AM$5:AM$40,'TRA balance'!$C$5:$C$40,Assumptions!$C92,'TRA balance'!$D$5:$D$40,Assumptions!$B92)*EG92*AP92,"")</f>
        <v>0</v>
      </c>
      <c r="CM92" s="41">
        <f ca="1">IFERROR(SUMIFS('TRA balance'!AN$5:AN$40,'TRA balance'!$C$5:$C$40,Assumptions!$C92,'TRA balance'!$D$5:$D$40,Assumptions!$B92)*EH92*AQ92,"")</f>
        <v>0</v>
      </c>
      <c r="CN92" s="41">
        <f ca="1">IFERROR(SUMIFS('TRA balance'!AO$5:AO$40,'TRA balance'!$C$5:$C$40,Assumptions!$C92,'TRA balance'!$D$5:$D$40,Assumptions!$B92)*EI92*AR92,"")</f>
        <v>0</v>
      </c>
      <c r="CO92" s="41">
        <f ca="1">IFERROR(SUMIFS('TRA balance'!AP$5:AP$40,'TRA balance'!$C$5:$C$40,Assumptions!$C92,'TRA balance'!$D$5:$D$40,Assumptions!$B92)*EJ92*AS92,"")</f>
        <v>0</v>
      </c>
      <c r="CP92" s="41">
        <f ca="1">IFERROR(SUMIFS('TRA balance'!AQ$5:AQ$40,'TRA balance'!$C$5:$C$40,Assumptions!$C92,'TRA balance'!$D$5:$D$40,Assumptions!$B92)*EK92*AT92,"")</f>
        <v>0</v>
      </c>
      <c r="CQ92" s="41">
        <f ca="1">IFERROR(SUMIFS('TRA balance'!AR$5:AR$40,'TRA balance'!$C$5:$C$40,Assumptions!$C92,'TRA balance'!$D$5:$D$40,Assumptions!$B92)*EL92*AU92,"")</f>
        <v>0</v>
      </c>
      <c r="CR92" s="41">
        <f ca="1">IFERROR(SUMIFS('TRA balance'!AS$5:AS$40,'TRA balance'!$C$5:$C$40,Assumptions!$C92,'TRA balance'!$D$5:$D$40,Assumptions!$B92)*EM92*AV92,"")</f>
        <v>0</v>
      </c>
      <c r="CS92" s="41">
        <f ca="1">IFERROR(SUMIFS('TRA balance'!AT$5:AT$40,'TRA balance'!$C$5:$C$40,Assumptions!$C92,'TRA balance'!$D$5:$D$40,Assumptions!$B92)*EN92*AW92,"")</f>
        <v>0</v>
      </c>
      <c r="CT92" s="41">
        <f ca="1">IFERROR(SUMIFS('TRA balance'!AU$5:AU$40,'TRA balance'!$C$5:$C$40,Assumptions!$C92,'TRA balance'!$D$5:$D$40,Assumptions!$B92)*EO92*AX92,"")</f>
        <v>0</v>
      </c>
      <c r="CU92" s="41">
        <f ca="1">IFERROR(SUMIFS('TRA balance'!AV$5:AV$40,'TRA balance'!$C$5:$C$40,Assumptions!$C92,'TRA balance'!$D$5:$D$40,Assumptions!$B92)*EP92*AY92,"")</f>
        <v>0</v>
      </c>
      <c r="CV92" s="41">
        <f ca="1">IFERROR(SUMIFS('TRA balance'!AW$5:AW$40,'TRA balance'!$C$5:$C$40,Assumptions!$C92,'TRA balance'!$D$5:$D$40,Assumptions!$B92)*EQ92*AZ92,"")</f>
        <v>0</v>
      </c>
      <c r="CW92" s="41">
        <f ca="1">IFERROR(SUMIFS('TRA balance'!AX$5:AX$40,'TRA balance'!$C$5:$C$40,Assumptions!$C92,'TRA balance'!$D$5:$D$40,Assumptions!$B92)*ER92*BA92,"")</f>
        <v>0</v>
      </c>
      <c r="CY92" s="40">
        <f ca="1" t="shared" si="86"/>
        <v>0</v>
      </c>
      <c r="CZ92" s="40">
        <f ca="1" t="shared" si="87"/>
        <v>0</v>
      </c>
      <c r="DA92" s="40">
        <f ca="1" t="shared" si="88"/>
        <v>1</v>
      </c>
      <c r="DB92" s="40">
        <f ca="1" t="shared" si="89"/>
        <v>1</v>
      </c>
      <c r="DC92" s="40">
        <f ca="1" t="shared" si="90"/>
        <v>0</v>
      </c>
      <c r="DD92" s="40">
        <f ca="1" t="shared" si="91"/>
        <v>1</v>
      </c>
      <c r="DE92" s="40">
        <f ca="1" t="shared" si="92"/>
        <v>0.5</v>
      </c>
      <c r="DF92" s="40">
        <f ca="1" t="shared" si="93"/>
        <v>0.8</v>
      </c>
      <c r="DG92" s="40">
        <f ca="1" t="shared" si="94"/>
        <v>0</v>
      </c>
      <c r="DH92" s="40">
        <f ca="1" t="shared" si="95"/>
        <v>0</v>
      </c>
      <c r="DI92" s="40">
        <f ca="1" t="shared" si="96"/>
        <v>1</v>
      </c>
      <c r="DJ92" s="40">
        <f ca="1" t="shared" si="97"/>
        <v>1</v>
      </c>
      <c r="DK92" s="40">
        <f ca="1" t="shared" si="98"/>
        <v>1</v>
      </c>
      <c r="DL92" s="40">
        <f ca="1" t="shared" si="99"/>
        <v>0</v>
      </c>
      <c r="DM92" s="40">
        <f ca="1" t="shared" si="100"/>
        <v>1</v>
      </c>
      <c r="DN92" s="40">
        <f ca="1" t="shared" si="101"/>
        <v>0</v>
      </c>
      <c r="DO92" s="40">
        <f ca="1" t="shared" si="102"/>
        <v>1</v>
      </c>
      <c r="DP92" s="40">
        <f ca="1" t="shared" si="103"/>
        <v>1</v>
      </c>
      <c r="DQ92" s="40">
        <f ca="1" t="shared" si="104"/>
        <v>1</v>
      </c>
      <c r="DR92" s="40">
        <f ca="1" t="shared" si="105"/>
        <v>0.5</v>
      </c>
      <c r="DS92" s="40">
        <f ca="1" t="shared" si="106"/>
        <v>0</v>
      </c>
      <c r="DT92" s="40">
        <f ca="1" t="shared" si="107"/>
        <v>1</v>
      </c>
      <c r="DU92" s="40">
        <f ca="1" t="shared" si="108"/>
        <v>1</v>
      </c>
      <c r="DV92" s="40">
        <f ca="1" t="shared" si="109"/>
        <v>0</v>
      </c>
      <c r="DW92" s="40">
        <f ca="1" t="shared" si="110"/>
        <v>1</v>
      </c>
      <c r="DX92" s="40">
        <f ca="1" t="shared" si="111"/>
        <v>0</v>
      </c>
      <c r="DY92" s="40">
        <f ca="1" t="shared" si="112"/>
        <v>0</v>
      </c>
      <c r="DZ92" s="40">
        <f ca="1" t="shared" si="113"/>
        <v>0</v>
      </c>
      <c r="EA92" s="40">
        <f ca="1" t="shared" si="114"/>
        <v>1</v>
      </c>
      <c r="EB92" s="40">
        <f ca="1" t="shared" si="115"/>
        <v>1</v>
      </c>
      <c r="EC92" s="40">
        <f ca="1" t="shared" si="116"/>
        <v>1</v>
      </c>
      <c r="ED92" s="40">
        <f ca="1" t="shared" si="117"/>
        <v>0</v>
      </c>
      <c r="EE92" s="40">
        <f ca="1" t="shared" si="118"/>
        <v>1</v>
      </c>
      <c r="EF92" s="40">
        <f ca="1" t="shared" si="119"/>
        <v>0</v>
      </c>
      <c r="EG92" s="40">
        <f ca="1" t="shared" si="120"/>
        <v>0</v>
      </c>
      <c r="EH92" s="40">
        <f ca="1" t="shared" si="121"/>
        <v>1</v>
      </c>
      <c r="EI92" s="40">
        <f ca="1" t="shared" si="122"/>
        <v>1</v>
      </c>
      <c r="EJ92" s="40">
        <f ca="1" t="shared" si="123"/>
        <v>1</v>
      </c>
      <c r="EK92" s="40">
        <f ca="1" t="shared" si="124"/>
        <v>1</v>
      </c>
      <c r="EL92" s="40">
        <f ca="1" t="shared" si="125"/>
        <v>1</v>
      </c>
      <c r="EM92" s="40">
        <f ca="1" t="shared" si="126"/>
        <v>1</v>
      </c>
      <c r="EN92" s="40">
        <f ca="1" t="shared" si="127"/>
        <v>1</v>
      </c>
      <c r="EO92" s="40">
        <f ca="1" t="shared" si="128"/>
        <v>1</v>
      </c>
      <c r="EP92" s="40">
        <f ca="1" t="shared" si="129"/>
        <v>1</v>
      </c>
      <c r="EQ92" s="40">
        <f ca="1" t="shared" si="130"/>
        <v>1</v>
      </c>
      <c r="ER92" s="40">
        <f ca="1" t="shared" si="131"/>
        <v>1</v>
      </c>
    </row>
    <row r="93" spans="1:148">
      <c r="A93">
        <v>1</v>
      </c>
      <c r="B93" t="str">
        <f>VLOOKUP(F93,'TRA balance'!$BA$5:$BB$14,2,FALSE)</f>
        <v>TRAELC</v>
      </c>
      <c r="C93" s="56" t="str">
        <f t="shared" si="133"/>
        <v>TR</v>
      </c>
      <c r="D93" s="57" t="s">
        <v>200</v>
      </c>
      <c r="E93" s="68" t="s">
        <v>208</v>
      </c>
      <c r="F93" s="58" t="str">
        <f t="shared" si="143"/>
        <v>Electricity</v>
      </c>
      <c r="G93" s="56" t="s">
        <v>209</v>
      </c>
      <c r="H93" s="59">
        <f ca="1">OFFSET(TIAM15_assumptions!$G93,0,MATCH(VLOOKUP(Assumptions!H$2,TIAM15_assumptions!$Y$3:$Z$87,2,FALSE),TIAM15_assumptions!$H$2:$V$2,0))</f>
        <v>0.75</v>
      </c>
      <c r="I93" s="59">
        <f ca="1">OFFSET(TIAM15_assumptions!$G93,0,MATCH(VLOOKUP(Assumptions!I$2,TIAM15_assumptions!$Y$3:$Z$87,2,FALSE),TIAM15_assumptions!$H$2:$V$2,0))</f>
        <v>0.75</v>
      </c>
      <c r="J93" s="59">
        <f ca="1">OFFSET(TIAM15_assumptions!$G93,0,MATCH(VLOOKUP(Assumptions!J$2,TIAM15_assumptions!$Y$3:$Z$87,2,FALSE),TIAM15_assumptions!$H$2:$V$2,0))</f>
        <v>0.75</v>
      </c>
      <c r="K93" s="59">
        <f ca="1">OFFSET(TIAM15_assumptions!$G93,0,MATCH(VLOOKUP(Assumptions!K$2,TIAM15_assumptions!$Y$3:$Z$87,2,FALSE),TIAM15_assumptions!$H$2:$V$2,0))</f>
        <v>0.75</v>
      </c>
      <c r="L93" s="59">
        <f ca="1">OFFSET(TIAM15_assumptions!$G93,0,MATCH(VLOOKUP(Assumptions!L$2,TIAM15_assumptions!$Y$3:$Z$87,2,FALSE),TIAM15_assumptions!$H$2:$V$2,0))</f>
        <v>0.75</v>
      </c>
      <c r="M93" s="59">
        <f ca="1">OFFSET(TIAM15_assumptions!$G93,0,MATCH(VLOOKUP(Assumptions!M$2,TIAM15_assumptions!$Y$3:$Z$87,2,FALSE),TIAM15_assumptions!$H$2:$V$2,0))</f>
        <v>0.75</v>
      </c>
      <c r="N93" s="59">
        <f ca="1">OFFSET(TIAM15_assumptions!$G93,0,MATCH(VLOOKUP(Assumptions!N$2,TIAM15_assumptions!$Y$3:$Z$87,2,FALSE),TIAM15_assumptions!$H$2:$V$2,0))</f>
        <v>0.75</v>
      </c>
      <c r="O93" s="59">
        <f ca="1">OFFSET(TIAM15_assumptions!$G93,0,MATCH(VLOOKUP(Assumptions!O$2,TIAM15_assumptions!$Y$3:$Z$87,2,FALSE),TIAM15_assumptions!$H$2:$V$2,0))</f>
        <v>0.75</v>
      </c>
      <c r="P93" s="59">
        <f ca="1">OFFSET(TIAM15_assumptions!$G93,0,MATCH(VLOOKUP(Assumptions!P$2,TIAM15_assumptions!$Y$3:$Z$87,2,FALSE),TIAM15_assumptions!$H$2:$V$2,0))</f>
        <v>0.75</v>
      </c>
      <c r="Q93" s="59">
        <f ca="1">OFFSET(TIAM15_assumptions!$G93,0,MATCH(VLOOKUP(Assumptions!Q$2,TIAM15_assumptions!$Y$3:$Z$87,2,FALSE),TIAM15_assumptions!$H$2:$V$2,0))</f>
        <v>0.75</v>
      </c>
      <c r="R93" s="59">
        <f ca="1">OFFSET(TIAM15_assumptions!$G93,0,MATCH(VLOOKUP(Assumptions!R$2,TIAM15_assumptions!$Y$3:$Z$87,2,FALSE),TIAM15_assumptions!$H$2:$V$2,0))</f>
        <v>0.75</v>
      </c>
      <c r="S93" s="59">
        <f ca="1">OFFSET(TIAM15_assumptions!$G93,0,MATCH(VLOOKUP(Assumptions!S$2,TIAM15_assumptions!$Y$3:$Z$87,2,FALSE),TIAM15_assumptions!$H$2:$V$2,0))</f>
        <v>0.75</v>
      </c>
      <c r="T93" s="59">
        <f ca="1">OFFSET(TIAM15_assumptions!$G93,0,MATCH(VLOOKUP(Assumptions!T$2,TIAM15_assumptions!$Y$3:$Z$87,2,FALSE),TIAM15_assumptions!$H$2:$V$2,0))</f>
        <v>0.75</v>
      </c>
      <c r="U93" s="59">
        <f ca="1">OFFSET(TIAM15_assumptions!$G93,0,MATCH(VLOOKUP(Assumptions!U$2,TIAM15_assumptions!$Y$3:$Z$87,2,FALSE),TIAM15_assumptions!$H$2:$V$2,0))</f>
        <v>0.75</v>
      </c>
      <c r="V93" s="59">
        <f ca="1">OFFSET(TIAM15_assumptions!$G93,0,MATCH(VLOOKUP(Assumptions!V$2,TIAM15_assumptions!$Y$3:$Z$87,2,FALSE),TIAM15_assumptions!$H$2:$V$2,0))</f>
        <v>0.75</v>
      </c>
      <c r="W93" s="59">
        <f ca="1">OFFSET(TIAM15_assumptions!$G93,0,MATCH(VLOOKUP(Assumptions!W$2,TIAM15_assumptions!$Y$3:$Z$87,2,FALSE),TIAM15_assumptions!$H$2:$V$2,0))</f>
        <v>0.75</v>
      </c>
      <c r="X93" s="59">
        <f ca="1">OFFSET(TIAM15_assumptions!$G93,0,MATCH(VLOOKUP(Assumptions!X$2,TIAM15_assumptions!$Y$3:$Z$87,2,FALSE),TIAM15_assumptions!$H$2:$V$2,0))</f>
        <v>0.75</v>
      </c>
      <c r="Y93" s="59">
        <f ca="1">OFFSET(TIAM15_assumptions!$G93,0,MATCH(VLOOKUP(Assumptions!Y$2,TIAM15_assumptions!$Y$3:$Z$87,2,FALSE),TIAM15_assumptions!$H$2:$V$2,0))</f>
        <v>0.75</v>
      </c>
      <c r="Z93" s="59">
        <f ca="1">OFFSET(TIAM15_assumptions!$G93,0,MATCH(VLOOKUP(Assumptions!Z$2,TIAM15_assumptions!$Y$3:$Z$87,2,FALSE),TIAM15_assumptions!$H$2:$V$2,0))</f>
        <v>0.75</v>
      </c>
      <c r="AA93" s="59">
        <f ca="1">OFFSET(TIAM15_assumptions!$G93,0,MATCH(VLOOKUP(Assumptions!AA$2,TIAM15_assumptions!$Y$3:$Z$87,2,FALSE),TIAM15_assumptions!$H$2:$V$2,0))</f>
        <v>0.75</v>
      </c>
      <c r="AB93" s="59">
        <f ca="1">OFFSET(TIAM15_assumptions!$G93,0,MATCH(VLOOKUP(Assumptions!AB$2,TIAM15_assumptions!$Y$3:$Z$87,2,FALSE),TIAM15_assumptions!$H$2:$V$2,0))</f>
        <v>0.75</v>
      </c>
      <c r="AC93" s="59">
        <f ca="1">OFFSET(TIAM15_assumptions!$G93,0,MATCH(VLOOKUP(Assumptions!AC$2,TIAM15_assumptions!$Y$3:$Z$87,2,FALSE),TIAM15_assumptions!$H$2:$V$2,0))</f>
        <v>0.75</v>
      </c>
      <c r="AD93" s="59">
        <f ca="1">OFFSET(TIAM15_assumptions!$G93,0,MATCH(VLOOKUP(Assumptions!AD$2,TIAM15_assumptions!$Y$3:$Z$87,2,FALSE),TIAM15_assumptions!$H$2:$V$2,0))</f>
        <v>0.75</v>
      </c>
      <c r="AE93" s="59">
        <f ca="1">OFFSET(TIAM15_assumptions!$G93,0,MATCH(VLOOKUP(Assumptions!AE$2,TIAM15_assumptions!$Y$3:$Z$87,2,FALSE),TIAM15_assumptions!$H$2:$V$2,0))</f>
        <v>0.75</v>
      </c>
      <c r="AF93" s="59">
        <f ca="1">OFFSET(TIAM15_assumptions!$G93,0,MATCH(VLOOKUP(Assumptions!AF$2,TIAM15_assumptions!$Y$3:$Z$87,2,FALSE),TIAM15_assumptions!$H$2:$V$2,0))</f>
        <v>0.75</v>
      </c>
      <c r="AG93" s="59">
        <f ca="1">OFFSET(TIAM15_assumptions!$G93,0,MATCH(VLOOKUP(Assumptions!AG$2,TIAM15_assumptions!$Y$3:$Z$87,2,FALSE),TIAM15_assumptions!$H$2:$V$2,0))</f>
        <v>0.75</v>
      </c>
      <c r="AH93" s="59">
        <f ca="1">OFFSET(TIAM15_assumptions!$G93,0,MATCH(VLOOKUP(Assumptions!AH$2,TIAM15_assumptions!$Y$3:$Z$87,2,FALSE),TIAM15_assumptions!$H$2:$V$2,0))</f>
        <v>0.75</v>
      </c>
      <c r="AI93" s="59">
        <f ca="1">OFFSET(TIAM15_assumptions!$G93,0,MATCH(VLOOKUP(Assumptions!AI$2,TIAM15_assumptions!$Y$3:$Z$87,2,FALSE),TIAM15_assumptions!$H$2:$V$2,0))</f>
        <v>0.75</v>
      </c>
      <c r="AJ93" s="59">
        <f ca="1">OFFSET(TIAM15_assumptions!$G93,0,MATCH(VLOOKUP(Assumptions!AJ$2,TIAM15_assumptions!$Y$3:$Z$87,2,FALSE),TIAM15_assumptions!$H$2:$V$2,0))</f>
        <v>0.75</v>
      </c>
      <c r="AK93" s="59">
        <f ca="1">OFFSET(TIAM15_assumptions!$G93,0,MATCH(VLOOKUP(Assumptions!AK$2,TIAM15_assumptions!$Y$3:$Z$87,2,FALSE),TIAM15_assumptions!$H$2:$V$2,0))</f>
        <v>0.75</v>
      </c>
      <c r="AL93" s="59">
        <f ca="1">OFFSET(TIAM15_assumptions!$G93,0,MATCH(VLOOKUP(Assumptions!AL$2,TIAM15_assumptions!$Y$3:$Z$87,2,FALSE),TIAM15_assumptions!$H$2:$V$2,0))</f>
        <v>0.75</v>
      </c>
      <c r="AM93" s="59">
        <f ca="1">OFFSET(TIAM15_assumptions!$G93,0,MATCH(VLOOKUP(Assumptions!AM$2,TIAM15_assumptions!$Y$3:$Z$87,2,FALSE),TIAM15_assumptions!$H$2:$V$2,0))</f>
        <v>0.75</v>
      </c>
      <c r="AN93" s="59">
        <f ca="1">OFFSET(TIAM15_assumptions!$G93,0,MATCH(VLOOKUP(Assumptions!AN$2,TIAM15_assumptions!$Y$3:$Z$87,2,FALSE),TIAM15_assumptions!$H$2:$V$2,0))</f>
        <v>0.75</v>
      </c>
      <c r="AO93" s="59">
        <f ca="1">OFFSET(TIAM15_assumptions!$G93,0,MATCH(VLOOKUP(Assumptions!AO$2,TIAM15_assumptions!$Y$3:$Z$87,2,FALSE),TIAM15_assumptions!$H$2:$V$2,0))</f>
        <v>0.75</v>
      </c>
      <c r="AP93" s="59">
        <f ca="1">OFFSET(TIAM15_assumptions!$G93,0,MATCH(VLOOKUP(Assumptions!AP$2,TIAM15_assumptions!$Y$3:$Z$87,2,FALSE),TIAM15_assumptions!$H$2:$V$2,0))</f>
        <v>0.75</v>
      </c>
      <c r="AQ93" s="59">
        <f ca="1">OFFSET(TIAM15_assumptions!$G93,0,MATCH(VLOOKUP(Assumptions!AQ$2,TIAM15_assumptions!$Y$3:$Z$87,2,FALSE),TIAM15_assumptions!$H$2:$V$2,0))</f>
        <v>0.75</v>
      </c>
      <c r="AR93" s="59">
        <f ca="1">OFFSET(TIAM15_assumptions!$G93,0,MATCH(VLOOKUP(Assumptions!AR$2,TIAM15_assumptions!$Y$3:$Z$87,2,FALSE),TIAM15_assumptions!$H$2:$V$2,0))</f>
        <v>0.75</v>
      </c>
      <c r="AS93" s="59">
        <f ca="1">OFFSET(TIAM15_assumptions!$G93,0,MATCH(VLOOKUP(Assumptions!AS$2,TIAM15_assumptions!$Y$3:$Z$87,2,FALSE),TIAM15_assumptions!$H$2:$V$2,0))</f>
        <v>0.75</v>
      </c>
      <c r="AT93" s="59">
        <f ca="1">OFFSET(TIAM15_assumptions!$G93,0,MATCH(VLOOKUP(Assumptions!AT$2,TIAM15_assumptions!$Y$3:$Z$87,2,FALSE),TIAM15_assumptions!$H$2:$V$2,0))</f>
        <v>0.75</v>
      </c>
      <c r="AU93" s="59">
        <f ca="1">OFFSET(TIAM15_assumptions!$G93,0,MATCH(VLOOKUP(Assumptions!AU$2,TIAM15_assumptions!$Y$3:$Z$87,2,FALSE),TIAM15_assumptions!$H$2:$V$2,0))</f>
        <v>0.75</v>
      </c>
      <c r="AV93" s="59">
        <f ca="1">OFFSET(TIAM15_assumptions!$G93,0,MATCH(VLOOKUP(Assumptions!AV$2,TIAM15_assumptions!$Y$3:$Z$87,2,FALSE),TIAM15_assumptions!$H$2:$V$2,0))</f>
        <v>0.75</v>
      </c>
      <c r="AW93" s="59">
        <f ca="1">OFFSET(TIAM15_assumptions!$G93,0,MATCH(VLOOKUP(Assumptions!AW$2,TIAM15_assumptions!$Y$3:$Z$87,2,FALSE),TIAM15_assumptions!$H$2:$V$2,0))</f>
        <v>0.75</v>
      </c>
      <c r="AX93" s="59">
        <f ca="1">OFFSET(TIAM15_assumptions!$G93,0,MATCH(VLOOKUP(Assumptions!AX$2,TIAM15_assumptions!$Y$3:$Z$87,2,FALSE),TIAM15_assumptions!$H$2:$V$2,0))</f>
        <v>0.75</v>
      </c>
      <c r="AY93" s="59">
        <f ca="1">OFFSET(TIAM15_assumptions!$G93,0,MATCH(VLOOKUP(Assumptions!AY$2,TIAM15_assumptions!$Y$3:$Z$87,2,FALSE),TIAM15_assumptions!$H$2:$V$2,0))</f>
        <v>0.75</v>
      </c>
      <c r="AZ93" s="59">
        <f ca="1">OFFSET(TIAM15_assumptions!$G93,0,MATCH(VLOOKUP(Assumptions!AZ$2,TIAM15_assumptions!$Y$3:$Z$87,2,FALSE),TIAM15_assumptions!$H$2:$V$2,0))</f>
        <v>0.75</v>
      </c>
      <c r="BA93" s="59">
        <f ca="1">OFFSET(TIAM15_assumptions!$G93,0,MATCH(VLOOKUP(Assumptions!BA$2,TIAM15_assumptions!$Y$3:$Z$87,2,FALSE),TIAM15_assumptions!$H$2:$V$2,0))</f>
        <v>0.75</v>
      </c>
      <c r="BD93" s="41">
        <f ca="1">IFERROR(SUMIFS('TRA balance'!E$5:E$40,'TRA balance'!$C$5:$C$40,Assumptions!$C93,'TRA balance'!$D$5:$D$40,Assumptions!$B93)*CY93*H93,"")</f>
        <v>0</v>
      </c>
      <c r="BE93" s="41">
        <f ca="1">IFERROR(SUMIFS('TRA balance'!F$5:F$40,'TRA balance'!$C$5:$C$40,Assumptions!$C93,'TRA balance'!$D$5:$D$40,Assumptions!$B93)*CZ93*I93,"")</f>
        <v>0</v>
      </c>
      <c r="BF93" s="41">
        <f ca="1">IFERROR(SUMIFS('TRA balance'!G$5:G$40,'TRA balance'!$C$5:$C$40,Assumptions!$C93,'TRA balance'!$D$5:$D$40,Assumptions!$B93)*DA93*J93,"")</f>
        <v>0.0647991036</v>
      </c>
      <c r="BG93" s="41">
        <f ca="1">IFERROR(SUMIFS('TRA balance'!H$5:H$40,'TRA balance'!$C$5:$C$40,Assumptions!$C93,'TRA balance'!$D$5:$D$40,Assumptions!$B93)*DB93*K93,"")</f>
        <v>0.0385164666</v>
      </c>
      <c r="BH93" s="41">
        <f ca="1">IFERROR(SUMIFS('TRA balance'!I$5:I$40,'TRA balance'!$C$5:$C$40,Assumptions!$C93,'TRA balance'!$D$5:$D$40,Assumptions!$B93)*DC93*L93,"")</f>
        <v>0</v>
      </c>
      <c r="BI93" s="41">
        <f ca="1">IFERROR(SUMIFS('TRA balance'!J$5:J$40,'TRA balance'!$C$5:$C$40,Assumptions!$C93,'TRA balance'!$D$5:$D$40,Assumptions!$B93)*DD93*M93,"")</f>
        <v>1.739269989</v>
      </c>
      <c r="BJ93" s="41">
        <f ca="1">IFERROR(SUMIFS('TRA balance'!K$5:K$40,'TRA balance'!$C$5:$C$40,Assumptions!$C93,'TRA balance'!$D$5:$D$40,Assumptions!$B93)*DE93*N93,"")</f>
        <v>0</v>
      </c>
      <c r="BK93" s="41">
        <f ca="1">IFERROR(SUMIFS('TRA balance'!L$5:L$40,'TRA balance'!$C$5:$C$40,Assumptions!$C93,'TRA balance'!$D$5:$D$40,Assumptions!$B93)*DF93*O93,"")</f>
        <v>147.21780820392</v>
      </c>
      <c r="BL93" s="41">
        <f ca="1">IFERROR(SUMIFS('TRA balance'!M$5:M$40,'TRA balance'!$C$5:$C$40,Assumptions!$C93,'TRA balance'!$D$5:$D$40,Assumptions!$B93)*DG93*P93,"")</f>
        <v>0</v>
      </c>
      <c r="BM93" s="41">
        <f ca="1">IFERROR(SUMIFS('TRA balance'!N$5:N$40,'TRA balance'!$C$5:$C$40,Assumptions!$C93,'TRA balance'!$D$5:$D$40,Assumptions!$B93)*DH93*Q93,"")</f>
        <v>0</v>
      </c>
      <c r="BN93" s="41">
        <f ca="1">IFERROR(SUMIFS('TRA balance'!O$5:O$40,'TRA balance'!$C$5:$C$40,Assumptions!$C93,'TRA balance'!$D$5:$D$40,Assumptions!$B93)*DI93*R93,"")</f>
        <v>0.8842929813</v>
      </c>
      <c r="BO93" s="41">
        <f ca="1">IFERROR(SUMIFS('TRA balance'!P$5:P$40,'TRA balance'!$C$5:$C$40,Assumptions!$C93,'TRA balance'!$D$5:$D$40,Assumptions!$B93)*DJ93*S93,"")</f>
        <v>0.9072000108</v>
      </c>
      <c r="BP93" s="41">
        <f ca="1">IFERROR(SUMIFS('TRA balance'!Q$5:Q$40,'TRA balance'!$C$5:$C$40,Assumptions!$C93,'TRA balance'!$D$5:$D$40,Assumptions!$B93)*DK93*T93,"")</f>
        <v>0.0553945041</v>
      </c>
      <c r="BQ93" s="41">
        <f ca="1">IFERROR(SUMIFS('TRA balance'!R$5:R$40,'TRA balance'!$C$5:$C$40,Assumptions!$C93,'TRA balance'!$D$5:$D$40,Assumptions!$B93)*DL93*U93,"")</f>
        <v>0</v>
      </c>
      <c r="BR93" s="41">
        <f ca="1">IFERROR(SUMIFS('TRA balance'!S$5:S$40,'TRA balance'!$C$5:$C$40,Assumptions!$C93,'TRA balance'!$D$5:$D$40,Assumptions!$B93)*DM93*V93,"")</f>
        <v>0.0608990994</v>
      </c>
      <c r="BS93" s="41">
        <f ca="1">IFERROR(SUMIFS('TRA balance'!T$5:T$40,'TRA balance'!$C$5:$C$40,Assumptions!$C93,'TRA balance'!$D$5:$D$40,Assumptions!$B93)*DN93*W93,"")</f>
        <v>0</v>
      </c>
      <c r="BT93" s="41">
        <f ca="1">IFERROR(SUMIFS('TRA balance'!U$5:U$40,'TRA balance'!$C$5:$C$40,Assumptions!$C93,'TRA balance'!$D$5:$D$40,Assumptions!$B93)*DO93*X93,"")</f>
        <v>0.0731925909</v>
      </c>
      <c r="BU93" s="41">
        <f ca="1">IFERROR(SUMIFS('TRA balance'!V$5:V$40,'TRA balance'!$C$5:$C$40,Assumptions!$C93,'TRA balance'!$D$5:$D$40,Assumptions!$B93)*DP93*Y93,"")</f>
        <v>0.3730847013</v>
      </c>
      <c r="BV93" s="41">
        <f ca="1">IFERROR(SUMIFS('TRA balance'!W$5:W$40,'TRA balance'!$C$5:$C$40,Assumptions!$C93,'TRA balance'!$D$5:$D$40,Assumptions!$B93)*DQ93*Z93,"")</f>
        <v>0</v>
      </c>
      <c r="BW93" s="41">
        <f ca="1">IFERROR(SUMIFS('TRA balance'!X$5:X$40,'TRA balance'!$C$5:$C$40,Assumptions!$C93,'TRA balance'!$D$5:$D$40,Assumptions!$B93)*DR93*AA93,"")</f>
        <v>1.1029161636</v>
      </c>
      <c r="BX93" s="41">
        <f ca="1">IFERROR(SUMIFS('TRA balance'!Y$5:Y$40,'TRA balance'!$C$5:$C$40,Assumptions!$C93,'TRA balance'!$D$5:$D$40,Assumptions!$B93)*DS93*AB93,"")</f>
        <v>0</v>
      </c>
      <c r="BY93" s="41">
        <f ca="1">IFERROR(SUMIFS('TRA balance'!Z$5:Z$40,'TRA balance'!$C$5:$C$40,Assumptions!$C93,'TRA balance'!$D$5:$D$40,Assumptions!$B93)*DT93*AC93,"")</f>
        <v>21.0333852117</v>
      </c>
      <c r="BZ93" s="41">
        <f ca="1">IFERROR(SUMIFS('TRA balance'!AA$5:AA$40,'TRA balance'!$C$5:$C$40,Assumptions!$C93,'TRA balance'!$D$5:$D$40,Assumptions!$B93)*DU93*AD93,"")</f>
        <v>2.3192998407</v>
      </c>
      <c r="CA93" s="41">
        <f ca="1">IFERROR(SUMIFS('TRA balance'!AB$5:AB$40,'TRA balance'!$C$5:$C$40,Assumptions!$C93,'TRA balance'!$D$5:$D$40,Assumptions!$B93)*DV93*AE93,"")</f>
        <v>0</v>
      </c>
      <c r="CB93" s="41">
        <f ca="1">IFERROR(SUMIFS('TRA balance'!AC$5:AC$40,'TRA balance'!$C$5:$C$40,Assumptions!$C93,'TRA balance'!$D$5:$D$40,Assumptions!$B93)*DW93*AF93,"")</f>
        <v>1.3254487704</v>
      </c>
      <c r="CC93" s="41">
        <f ca="1">IFERROR(SUMIFS('TRA balance'!AD$5:AD$40,'TRA balance'!$C$5:$C$40,Assumptions!$C93,'TRA balance'!$D$5:$D$40,Assumptions!$B93)*DX93*AG93,"")</f>
        <v>0</v>
      </c>
      <c r="CD93" s="41">
        <f ca="1">IFERROR(SUMIFS('TRA balance'!AE$5:AE$40,'TRA balance'!$C$5:$C$40,Assumptions!$C93,'TRA balance'!$D$5:$D$40,Assumptions!$B93)*DY93*AH93,"")</f>
        <v>0</v>
      </c>
      <c r="CE93" s="41">
        <f ca="1">IFERROR(SUMIFS('TRA balance'!AF$5:AF$40,'TRA balance'!$C$5:$C$40,Assumptions!$C93,'TRA balance'!$D$5:$D$40,Assumptions!$B93)*DZ93*AI93,"")</f>
        <v>0</v>
      </c>
      <c r="CF93" s="41">
        <f ca="1">IFERROR(SUMIFS('TRA balance'!AG$5:AG$40,'TRA balance'!$C$5:$C$40,Assumptions!$C93,'TRA balance'!$D$5:$D$40,Assumptions!$B93)*EA93*AJ93,"")</f>
        <v>0.4503154608</v>
      </c>
      <c r="CG93" s="41">
        <f ca="1">IFERROR(SUMIFS('TRA balance'!AH$5:AH$40,'TRA balance'!$C$5:$C$40,Assumptions!$C93,'TRA balance'!$D$5:$D$40,Assumptions!$B93)*EB93*AK93,"")</f>
        <v>1.0188274257</v>
      </c>
      <c r="CH93" s="41">
        <f ca="1">IFERROR(SUMIFS('TRA balance'!AI$5:AI$40,'TRA balance'!$C$5:$C$40,Assumptions!$C93,'TRA balance'!$D$5:$D$40,Assumptions!$B93)*EC93*AL93,"")</f>
        <v>0</v>
      </c>
      <c r="CI93" s="41">
        <f ca="1">IFERROR(SUMIFS('TRA balance'!AJ$5:AJ$40,'TRA balance'!$C$5:$C$40,Assumptions!$C93,'TRA balance'!$D$5:$D$40,Assumptions!$B93)*ED93*AM93,"")</f>
        <v>0</v>
      </c>
      <c r="CJ93" s="41">
        <f ca="1">IFERROR(SUMIFS('TRA balance'!AK$5:AK$40,'TRA balance'!$C$5:$C$40,Assumptions!$C93,'TRA balance'!$D$5:$D$40,Assumptions!$B93)*EE93*AN93,"")</f>
        <v>0.9895240125</v>
      </c>
      <c r="CK93" s="41">
        <f ca="1">IFERROR(SUMIFS('TRA balance'!AL$5:AL$40,'TRA balance'!$C$5:$C$40,Assumptions!$C93,'TRA balance'!$D$5:$D$40,Assumptions!$B93)*EF93*AO93,"")</f>
        <v>0</v>
      </c>
      <c r="CL93" s="41">
        <f ca="1">IFERROR(SUMIFS('TRA balance'!AM$5:AM$40,'TRA balance'!$C$5:$C$40,Assumptions!$C93,'TRA balance'!$D$5:$D$40,Assumptions!$B93)*EG93*AP93,"")</f>
        <v>0</v>
      </c>
      <c r="CM93" s="41">
        <f ca="1">IFERROR(SUMIFS('TRA balance'!AN$5:AN$40,'TRA balance'!$C$5:$C$40,Assumptions!$C93,'TRA balance'!$D$5:$D$40,Assumptions!$B93)*EH93*AQ93,"")</f>
        <v>0</v>
      </c>
      <c r="CN93" s="41">
        <f ca="1">IFERROR(SUMIFS('TRA balance'!AO$5:AO$40,'TRA balance'!$C$5:$C$40,Assumptions!$C93,'TRA balance'!$D$5:$D$40,Assumptions!$B93)*EI93*AR93,"")</f>
        <v>0</v>
      </c>
      <c r="CO93" s="41">
        <f ca="1">IFERROR(SUMIFS('TRA balance'!AP$5:AP$40,'TRA balance'!$C$5:$C$40,Assumptions!$C93,'TRA balance'!$D$5:$D$40,Assumptions!$B93)*EJ93*AS93,"")</f>
        <v>0</v>
      </c>
      <c r="CP93" s="41">
        <f ca="1">IFERROR(SUMIFS('TRA balance'!AQ$5:AQ$40,'TRA balance'!$C$5:$C$40,Assumptions!$C93,'TRA balance'!$D$5:$D$40,Assumptions!$B93)*EK93*AT93,"")</f>
        <v>0</v>
      </c>
      <c r="CQ93" s="41">
        <f ca="1">IFERROR(SUMIFS('TRA balance'!AR$5:AR$40,'TRA balance'!$C$5:$C$40,Assumptions!$C93,'TRA balance'!$D$5:$D$40,Assumptions!$B93)*EL93*AU93,"")</f>
        <v>0</v>
      </c>
      <c r="CR93" s="41">
        <f ca="1">IFERROR(SUMIFS('TRA balance'!AS$5:AS$40,'TRA balance'!$C$5:$C$40,Assumptions!$C93,'TRA balance'!$D$5:$D$40,Assumptions!$B93)*EM93*AV93,"")</f>
        <v>0</v>
      </c>
      <c r="CS93" s="41">
        <f ca="1">IFERROR(SUMIFS('TRA balance'!AT$5:AT$40,'TRA balance'!$C$5:$C$40,Assumptions!$C93,'TRA balance'!$D$5:$D$40,Assumptions!$B93)*EN93*AW93,"")</f>
        <v>0</v>
      </c>
      <c r="CT93" s="41">
        <f ca="1">IFERROR(SUMIFS('TRA balance'!AU$5:AU$40,'TRA balance'!$C$5:$C$40,Assumptions!$C93,'TRA balance'!$D$5:$D$40,Assumptions!$B93)*EO93*AX93,"")</f>
        <v>0</v>
      </c>
      <c r="CU93" s="41">
        <f ca="1">IFERROR(SUMIFS('TRA balance'!AV$5:AV$40,'TRA balance'!$C$5:$C$40,Assumptions!$C93,'TRA balance'!$D$5:$D$40,Assumptions!$B93)*EP93*AY93,"")</f>
        <v>0</v>
      </c>
      <c r="CV93" s="41">
        <f ca="1">IFERROR(SUMIFS('TRA balance'!AW$5:AW$40,'TRA balance'!$C$5:$C$40,Assumptions!$C93,'TRA balance'!$D$5:$D$40,Assumptions!$B93)*EQ93*AZ93,"")</f>
        <v>0</v>
      </c>
      <c r="CW93" s="41">
        <f ca="1">IFERROR(SUMIFS('TRA balance'!AX$5:AX$40,'TRA balance'!$C$5:$C$40,Assumptions!$C93,'TRA balance'!$D$5:$D$40,Assumptions!$B93)*ER93*BA93,"")</f>
        <v>0</v>
      </c>
      <c r="CY93" s="40">
        <f ca="1" t="shared" si="86"/>
        <v>0</v>
      </c>
      <c r="CZ93" s="40">
        <f ca="1" t="shared" si="87"/>
        <v>0</v>
      </c>
      <c r="DA93" s="40">
        <f ca="1" t="shared" si="88"/>
        <v>1</v>
      </c>
      <c r="DB93" s="40">
        <f ca="1" t="shared" si="89"/>
        <v>1</v>
      </c>
      <c r="DC93" s="40">
        <f ca="1" t="shared" si="90"/>
        <v>0</v>
      </c>
      <c r="DD93" s="40">
        <f ca="1" t="shared" si="91"/>
        <v>1</v>
      </c>
      <c r="DE93" s="40">
        <f ca="1" t="shared" si="92"/>
        <v>0.5</v>
      </c>
      <c r="DF93" s="40">
        <f ca="1" t="shared" si="93"/>
        <v>0.8</v>
      </c>
      <c r="DG93" s="40">
        <f ca="1" t="shared" si="94"/>
        <v>0</v>
      </c>
      <c r="DH93" s="40">
        <f ca="1" t="shared" si="95"/>
        <v>0</v>
      </c>
      <c r="DI93" s="40">
        <f ca="1" t="shared" si="96"/>
        <v>1</v>
      </c>
      <c r="DJ93" s="40">
        <f ca="1" t="shared" si="97"/>
        <v>1</v>
      </c>
      <c r="DK93" s="40">
        <f ca="1" t="shared" si="98"/>
        <v>1</v>
      </c>
      <c r="DL93" s="40">
        <f ca="1" t="shared" si="99"/>
        <v>0</v>
      </c>
      <c r="DM93" s="40">
        <f ca="1" t="shared" si="100"/>
        <v>1</v>
      </c>
      <c r="DN93" s="40">
        <f ca="1" t="shared" si="101"/>
        <v>0</v>
      </c>
      <c r="DO93" s="40">
        <f ca="1" t="shared" si="102"/>
        <v>1</v>
      </c>
      <c r="DP93" s="40">
        <f ca="1" t="shared" si="103"/>
        <v>1</v>
      </c>
      <c r="DQ93" s="40">
        <f ca="1" t="shared" si="104"/>
        <v>1</v>
      </c>
      <c r="DR93" s="40">
        <f ca="1" t="shared" si="105"/>
        <v>0.5</v>
      </c>
      <c r="DS93" s="40">
        <f ca="1" t="shared" si="106"/>
        <v>0</v>
      </c>
      <c r="DT93" s="40">
        <f ca="1" t="shared" si="107"/>
        <v>1</v>
      </c>
      <c r="DU93" s="40">
        <f ca="1" t="shared" si="108"/>
        <v>1</v>
      </c>
      <c r="DV93" s="40">
        <f ca="1" t="shared" si="109"/>
        <v>0</v>
      </c>
      <c r="DW93" s="40">
        <f ca="1" t="shared" si="110"/>
        <v>1</v>
      </c>
      <c r="DX93" s="40">
        <f ca="1" t="shared" si="111"/>
        <v>0</v>
      </c>
      <c r="DY93" s="40">
        <f ca="1" t="shared" si="112"/>
        <v>0</v>
      </c>
      <c r="DZ93" s="40">
        <f ca="1" t="shared" si="113"/>
        <v>0</v>
      </c>
      <c r="EA93" s="40">
        <f ca="1" t="shared" si="114"/>
        <v>1</v>
      </c>
      <c r="EB93" s="40">
        <f ca="1" t="shared" si="115"/>
        <v>1</v>
      </c>
      <c r="EC93" s="40">
        <f ca="1" t="shared" si="116"/>
        <v>1</v>
      </c>
      <c r="ED93" s="40">
        <f ca="1" t="shared" si="117"/>
        <v>0</v>
      </c>
      <c r="EE93" s="40">
        <f ca="1" t="shared" si="118"/>
        <v>1</v>
      </c>
      <c r="EF93" s="40">
        <f ca="1" t="shared" si="119"/>
        <v>0</v>
      </c>
      <c r="EG93" s="40">
        <f ca="1" t="shared" si="120"/>
        <v>0</v>
      </c>
      <c r="EH93" s="40">
        <f ca="1" t="shared" si="121"/>
        <v>1</v>
      </c>
      <c r="EI93" s="40">
        <f ca="1" t="shared" si="122"/>
        <v>1</v>
      </c>
      <c r="EJ93" s="40">
        <f ca="1" t="shared" si="123"/>
        <v>1</v>
      </c>
      <c r="EK93" s="40">
        <f ca="1" t="shared" si="124"/>
        <v>1</v>
      </c>
      <c r="EL93" s="40">
        <f ca="1" t="shared" si="125"/>
        <v>1</v>
      </c>
      <c r="EM93" s="40">
        <f ca="1" t="shared" si="126"/>
        <v>1</v>
      </c>
      <c r="EN93" s="40">
        <f ca="1" t="shared" si="127"/>
        <v>1</v>
      </c>
      <c r="EO93" s="40">
        <f ca="1" t="shared" si="128"/>
        <v>1</v>
      </c>
      <c r="EP93" s="40">
        <f ca="1" t="shared" si="129"/>
        <v>1</v>
      </c>
      <c r="EQ93" s="40">
        <f ca="1" t="shared" si="130"/>
        <v>1</v>
      </c>
      <c r="ER93" s="40">
        <f ca="1" t="shared" si="131"/>
        <v>1</v>
      </c>
    </row>
    <row r="94" spans="1:148">
      <c r="A94">
        <v>1</v>
      </c>
      <c r="B94" t="str">
        <f>VLOOKUP(F94,'TRA balance'!$BA$5:$BB$14,2,FALSE)</f>
        <v>TRAELC</v>
      </c>
      <c r="C94" s="56" t="str">
        <f t="shared" si="133"/>
        <v/>
      </c>
      <c r="D94" s="57"/>
      <c r="E94" s="69" t="s">
        <v>210</v>
      </c>
      <c r="F94" s="58" t="str">
        <f t="shared" si="143"/>
        <v>Electricity</v>
      </c>
      <c r="G94" s="56"/>
      <c r="H94" s="69" t="str">
        <f ca="1">IF(SUM(H90:H93)=1,"-","&lt;&gt;1!!")</f>
        <v>-</v>
      </c>
      <c r="I94" s="69" t="str">
        <f ca="1" t="shared" ref="I94:BA94" si="144">IF(SUM(I90:I93)=1,"-","&lt;&gt;1!!")</f>
        <v>-</v>
      </c>
      <c r="J94" s="69" t="str">
        <f ca="1" t="shared" si="144"/>
        <v>-</v>
      </c>
      <c r="K94" s="69" t="str">
        <f ca="1" t="shared" si="144"/>
        <v>-</v>
      </c>
      <c r="L94" s="69" t="str">
        <f ca="1" t="shared" si="144"/>
        <v>-</v>
      </c>
      <c r="M94" s="69" t="str">
        <f ca="1" t="shared" si="144"/>
        <v>-</v>
      </c>
      <c r="N94" s="69" t="str">
        <f ca="1" t="shared" si="144"/>
        <v>-</v>
      </c>
      <c r="O94" s="69" t="str">
        <f ca="1" t="shared" si="144"/>
        <v>-</v>
      </c>
      <c r="P94" s="69" t="str">
        <f ca="1" t="shared" si="144"/>
        <v>-</v>
      </c>
      <c r="Q94" s="69" t="str">
        <f ca="1" t="shared" si="144"/>
        <v>-</v>
      </c>
      <c r="R94" s="69" t="str">
        <f ca="1" t="shared" si="144"/>
        <v>-</v>
      </c>
      <c r="S94" s="69" t="str">
        <f ca="1" t="shared" si="144"/>
        <v>-</v>
      </c>
      <c r="T94" s="69" t="str">
        <f ca="1" t="shared" si="144"/>
        <v>-</v>
      </c>
      <c r="U94" s="69" t="str">
        <f ca="1" t="shared" si="144"/>
        <v>-</v>
      </c>
      <c r="V94" s="69" t="str">
        <f ca="1" t="shared" si="144"/>
        <v>-</v>
      </c>
      <c r="W94" s="69" t="str">
        <f ca="1" t="shared" si="144"/>
        <v>-</v>
      </c>
      <c r="X94" s="69" t="str">
        <f ca="1" t="shared" si="144"/>
        <v>-</v>
      </c>
      <c r="Y94" s="69" t="str">
        <f ca="1" t="shared" si="144"/>
        <v>-</v>
      </c>
      <c r="Z94" s="69" t="str">
        <f ca="1" t="shared" si="144"/>
        <v>-</v>
      </c>
      <c r="AA94" s="69" t="str">
        <f ca="1" t="shared" si="144"/>
        <v>-</v>
      </c>
      <c r="AB94" s="69" t="str">
        <f ca="1" t="shared" si="144"/>
        <v>-</v>
      </c>
      <c r="AC94" s="69" t="str">
        <f ca="1" t="shared" si="144"/>
        <v>-</v>
      </c>
      <c r="AD94" s="69" t="str">
        <f ca="1" t="shared" si="144"/>
        <v>-</v>
      </c>
      <c r="AE94" s="69" t="str">
        <f ca="1" t="shared" si="144"/>
        <v>-</v>
      </c>
      <c r="AF94" s="69" t="str">
        <f ca="1" t="shared" si="144"/>
        <v>-</v>
      </c>
      <c r="AG94" s="69" t="str">
        <f ca="1" t="shared" si="144"/>
        <v>-</v>
      </c>
      <c r="AH94" s="69" t="str">
        <f ca="1" t="shared" si="144"/>
        <v>-</v>
      </c>
      <c r="AI94" s="69" t="str">
        <f ca="1" t="shared" si="144"/>
        <v>-</v>
      </c>
      <c r="AJ94" s="69" t="str">
        <f ca="1" t="shared" si="144"/>
        <v>-</v>
      </c>
      <c r="AK94" s="69" t="str">
        <f ca="1" t="shared" si="144"/>
        <v>-</v>
      </c>
      <c r="AL94" s="69" t="str">
        <f ca="1" t="shared" si="144"/>
        <v>-</v>
      </c>
      <c r="AM94" s="69" t="str">
        <f ca="1" t="shared" si="144"/>
        <v>-</v>
      </c>
      <c r="AN94" s="69" t="str">
        <f ca="1" t="shared" si="144"/>
        <v>-</v>
      </c>
      <c r="AO94" s="69" t="str">
        <f ca="1" t="shared" si="144"/>
        <v>-</v>
      </c>
      <c r="AP94" s="69" t="str">
        <f ca="1" t="shared" si="144"/>
        <v>-</v>
      </c>
      <c r="AQ94" s="69" t="str">
        <f ca="1" t="shared" si="144"/>
        <v>-</v>
      </c>
      <c r="AR94" s="69" t="str">
        <f ca="1" t="shared" si="144"/>
        <v>-</v>
      </c>
      <c r="AS94" s="69" t="str">
        <f ca="1" t="shared" si="144"/>
        <v>-</v>
      </c>
      <c r="AT94" s="69" t="str">
        <f ca="1" t="shared" si="144"/>
        <v>-</v>
      </c>
      <c r="AU94" s="69" t="str">
        <f ca="1" t="shared" si="144"/>
        <v>-</v>
      </c>
      <c r="AV94" s="69" t="str">
        <f ca="1" t="shared" si="144"/>
        <v>-</v>
      </c>
      <c r="AW94" s="69" t="str">
        <f ca="1" t="shared" si="144"/>
        <v>-</v>
      </c>
      <c r="AX94" s="69" t="str">
        <f ca="1" t="shared" si="144"/>
        <v>-</v>
      </c>
      <c r="AY94" s="69" t="str">
        <f ca="1" t="shared" si="144"/>
        <v>-</v>
      </c>
      <c r="AZ94" s="69" t="str">
        <f ca="1" t="shared" si="144"/>
        <v>-</v>
      </c>
      <c r="BA94" s="69" t="str">
        <f ca="1" t="shared" si="144"/>
        <v>-</v>
      </c>
      <c r="BD94" s="41" t="str">
        <f ca="1">IFERROR(SUMIFS('TRA balance'!E$5:E$40,'TRA balance'!$C$5:$C$40,Assumptions!$C94,'TRA balance'!$D$5:$D$40,Assumptions!$B94)*CY94*H94,"")</f>
        <v/>
      </c>
      <c r="BE94" s="41" t="str">
        <f ca="1">IFERROR(SUMIFS('TRA balance'!F$5:F$40,'TRA balance'!$C$5:$C$40,Assumptions!$C94,'TRA balance'!$D$5:$D$40,Assumptions!$B94)*CZ94*I94,"")</f>
        <v/>
      </c>
      <c r="BF94" s="41" t="str">
        <f ca="1">IFERROR(SUMIFS('TRA balance'!G$5:G$40,'TRA balance'!$C$5:$C$40,Assumptions!$C94,'TRA balance'!$D$5:$D$40,Assumptions!$B94)*DA94*J94,"")</f>
        <v/>
      </c>
      <c r="BG94" s="41" t="str">
        <f ca="1">IFERROR(SUMIFS('TRA balance'!H$5:H$40,'TRA balance'!$C$5:$C$40,Assumptions!$C94,'TRA balance'!$D$5:$D$40,Assumptions!$B94)*DB94*K94,"")</f>
        <v/>
      </c>
      <c r="BH94" s="41" t="str">
        <f ca="1">IFERROR(SUMIFS('TRA balance'!I$5:I$40,'TRA balance'!$C$5:$C$40,Assumptions!$C94,'TRA balance'!$D$5:$D$40,Assumptions!$B94)*DC94*L94,"")</f>
        <v/>
      </c>
      <c r="BI94" s="41" t="str">
        <f ca="1">IFERROR(SUMIFS('TRA balance'!J$5:J$40,'TRA balance'!$C$5:$C$40,Assumptions!$C94,'TRA balance'!$D$5:$D$40,Assumptions!$B94)*DD94*M94,"")</f>
        <v/>
      </c>
      <c r="BJ94" s="41" t="str">
        <f ca="1">IFERROR(SUMIFS('TRA balance'!K$5:K$40,'TRA balance'!$C$5:$C$40,Assumptions!$C94,'TRA balance'!$D$5:$D$40,Assumptions!$B94)*DE94*N94,"")</f>
        <v/>
      </c>
      <c r="BK94" s="41" t="str">
        <f ca="1">IFERROR(SUMIFS('TRA balance'!L$5:L$40,'TRA balance'!$C$5:$C$40,Assumptions!$C94,'TRA balance'!$D$5:$D$40,Assumptions!$B94)*DF94*O94,"")</f>
        <v/>
      </c>
      <c r="BL94" s="41" t="str">
        <f ca="1">IFERROR(SUMIFS('TRA balance'!M$5:M$40,'TRA balance'!$C$5:$C$40,Assumptions!$C94,'TRA balance'!$D$5:$D$40,Assumptions!$B94)*DG94*P94,"")</f>
        <v/>
      </c>
      <c r="BM94" s="41" t="str">
        <f ca="1">IFERROR(SUMIFS('TRA balance'!N$5:N$40,'TRA balance'!$C$5:$C$40,Assumptions!$C94,'TRA balance'!$D$5:$D$40,Assumptions!$B94)*DH94*Q94,"")</f>
        <v/>
      </c>
      <c r="BN94" s="41" t="str">
        <f ca="1">IFERROR(SUMIFS('TRA balance'!O$5:O$40,'TRA balance'!$C$5:$C$40,Assumptions!$C94,'TRA balance'!$D$5:$D$40,Assumptions!$B94)*DI94*R94,"")</f>
        <v/>
      </c>
      <c r="BO94" s="41" t="str">
        <f ca="1">IFERROR(SUMIFS('TRA balance'!P$5:P$40,'TRA balance'!$C$5:$C$40,Assumptions!$C94,'TRA balance'!$D$5:$D$40,Assumptions!$B94)*DJ94*S94,"")</f>
        <v/>
      </c>
      <c r="BP94" s="41" t="str">
        <f ca="1">IFERROR(SUMIFS('TRA balance'!Q$5:Q$40,'TRA balance'!$C$5:$C$40,Assumptions!$C94,'TRA balance'!$D$5:$D$40,Assumptions!$B94)*DK94*T94,"")</f>
        <v/>
      </c>
      <c r="BQ94" s="41" t="str">
        <f ca="1">IFERROR(SUMIFS('TRA balance'!R$5:R$40,'TRA balance'!$C$5:$C$40,Assumptions!$C94,'TRA balance'!$D$5:$D$40,Assumptions!$B94)*DL94*U94,"")</f>
        <v/>
      </c>
      <c r="BR94" s="41" t="str">
        <f ca="1">IFERROR(SUMIFS('TRA balance'!S$5:S$40,'TRA balance'!$C$5:$C$40,Assumptions!$C94,'TRA balance'!$D$5:$D$40,Assumptions!$B94)*DM94*V94,"")</f>
        <v/>
      </c>
      <c r="BS94" s="41" t="str">
        <f ca="1">IFERROR(SUMIFS('TRA balance'!T$5:T$40,'TRA balance'!$C$5:$C$40,Assumptions!$C94,'TRA balance'!$D$5:$D$40,Assumptions!$B94)*DN94*W94,"")</f>
        <v/>
      </c>
      <c r="BT94" s="41" t="str">
        <f ca="1">IFERROR(SUMIFS('TRA balance'!U$5:U$40,'TRA balance'!$C$5:$C$40,Assumptions!$C94,'TRA balance'!$D$5:$D$40,Assumptions!$B94)*DO94*X94,"")</f>
        <v/>
      </c>
      <c r="BU94" s="41" t="str">
        <f ca="1">IFERROR(SUMIFS('TRA balance'!V$5:V$40,'TRA balance'!$C$5:$C$40,Assumptions!$C94,'TRA balance'!$D$5:$D$40,Assumptions!$B94)*DP94*Y94,"")</f>
        <v/>
      </c>
      <c r="BV94" s="41" t="str">
        <f ca="1">IFERROR(SUMIFS('TRA balance'!W$5:W$40,'TRA balance'!$C$5:$C$40,Assumptions!$C94,'TRA balance'!$D$5:$D$40,Assumptions!$B94)*DQ94*Z94,"")</f>
        <v/>
      </c>
      <c r="BW94" s="41" t="str">
        <f ca="1">IFERROR(SUMIFS('TRA balance'!X$5:X$40,'TRA balance'!$C$5:$C$40,Assumptions!$C94,'TRA balance'!$D$5:$D$40,Assumptions!$B94)*DR94*AA94,"")</f>
        <v/>
      </c>
      <c r="BX94" s="41" t="str">
        <f ca="1">IFERROR(SUMIFS('TRA balance'!Y$5:Y$40,'TRA balance'!$C$5:$C$40,Assumptions!$C94,'TRA balance'!$D$5:$D$40,Assumptions!$B94)*DS94*AB94,"")</f>
        <v/>
      </c>
      <c r="BY94" s="41" t="str">
        <f ca="1">IFERROR(SUMIFS('TRA balance'!Z$5:Z$40,'TRA balance'!$C$5:$C$40,Assumptions!$C94,'TRA balance'!$D$5:$D$40,Assumptions!$B94)*DT94*AC94,"")</f>
        <v/>
      </c>
      <c r="BZ94" s="41" t="str">
        <f ca="1">IFERROR(SUMIFS('TRA balance'!AA$5:AA$40,'TRA balance'!$C$5:$C$40,Assumptions!$C94,'TRA balance'!$D$5:$D$40,Assumptions!$B94)*DU94*AD94,"")</f>
        <v/>
      </c>
      <c r="CA94" s="41" t="str">
        <f ca="1">IFERROR(SUMIFS('TRA balance'!AB$5:AB$40,'TRA balance'!$C$5:$C$40,Assumptions!$C94,'TRA balance'!$D$5:$D$40,Assumptions!$B94)*DV94*AE94,"")</f>
        <v/>
      </c>
      <c r="CB94" s="41" t="str">
        <f ca="1">IFERROR(SUMIFS('TRA balance'!AC$5:AC$40,'TRA balance'!$C$5:$C$40,Assumptions!$C94,'TRA balance'!$D$5:$D$40,Assumptions!$B94)*DW94*AF94,"")</f>
        <v/>
      </c>
      <c r="CC94" s="41" t="str">
        <f ca="1">IFERROR(SUMIFS('TRA balance'!AD$5:AD$40,'TRA balance'!$C$5:$C$40,Assumptions!$C94,'TRA balance'!$D$5:$D$40,Assumptions!$B94)*DX94*AG94,"")</f>
        <v/>
      </c>
      <c r="CD94" s="41" t="str">
        <f ca="1">IFERROR(SUMIFS('TRA balance'!AE$5:AE$40,'TRA balance'!$C$5:$C$40,Assumptions!$C94,'TRA balance'!$D$5:$D$40,Assumptions!$B94)*DY94*AH94,"")</f>
        <v/>
      </c>
      <c r="CE94" s="41" t="str">
        <f ca="1">IFERROR(SUMIFS('TRA balance'!AF$5:AF$40,'TRA balance'!$C$5:$C$40,Assumptions!$C94,'TRA balance'!$D$5:$D$40,Assumptions!$B94)*DZ94*AI94,"")</f>
        <v/>
      </c>
      <c r="CF94" s="41" t="str">
        <f ca="1">IFERROR(SUMIFS('TRA balance'!AG$5:AG$40,'TRA balance'!$C$5:$C$40,Assumptions!$C94,'TRA balance'!$D$5:$D$40,Assumptions!$B94)*EA94*AJ94,"")</f>
        <v/>
      </c>
      <c r="CG94" s="41" t="str">
        <f ca="1">IFERROR(SUMIFS('TRA balance'!AH$5:AH$40,'TRA balance'!$C$5:$C$40,Assumptions!$C94,'TRA balance'!$D$5:$D$40,Assumptions!$B94)*EB94*AK94,"")</f>
        <v/>
      </c>
      <c r="CH94" s="41" t="str">
        <f ca="1">IFERROR(SUMIFS('TRA balance'!AI$5:AI$40,'TRA balance'!$C$5:$C$40,Assumptions!$C94,'TRA balance'!$D$5:$D$40,Assumptions!$B94)*EC94*AL94,"")</f>
        <v/>
      </c>
      <c r="CI94" s="41" t="str">
        <f ca="1">IFERROR(SUMIFS('TRA balance'!AJ$5:AJ$40,'TRA balance'!$C$5:$C$40,Assumptions!$C94,'TRA balance'!$D$5:$D$40,Assumptions!$B94)*ED94*AM94,"")</f>
        <v/>
      </c>
      <c r="CJ94" s="41" t="str">
        <f ca="1">IFERROR(SUMIFS('TRA balance'!AK$5:AK$40,'TRA balance'!$C$5:$C$40,Assumptions!$C94,'TRA balance'!$D$5:$D$40,Assumptions!$B94)*EE94*AN94,"")</f>
        <v/>
      </c>
      <c r="CK94" s="41" t="str">
        <f ca="1">IFERROR(SUMIFS('TRA balance'!AL$5:AL$40,'TRA balance'!$C$5:$C$40,Assumptions!$C94,'TRA balance'!$D$5:$D$40,Assumptions!$B94)*EF94*AO94,"")</f>
        <v/>
      </c>
      <c r="CL94" s="41" t="str">
        <f ca="1">IFERROR(SUMIFS('TRA balance'!AM$5:AM$40,'TRA balance'!$C$5:$C$40,Assumptions!$C94,'TRA balance'!$D$5:$D$40,Assumptions!$B94)*EG94*AP94,"")</f>
        <v/>
      </c>
      <c r="CM94" s="41" t="str">
        <f ca="1">IFERROR(SUMIFS('TRA balance'!AN$5:AN$40,'TRA balance'!$C$5:$C$40,Assumptions!$C94,'TRA balance'!$D$5:$D$40,Assumptions!$B94)*EH94*AQ94,"")</f>
        <v/>
      </c>
      <c r="CN94" s="41" t="str">
        <f ca="1">IFERROR(SUMIFS('TRA balance'!AO$5:AO$40,'TRA balance'!$C$5:$C$40,Assumptions!$C94,'TRA balance'!$D$5:$D$40,Assumptions!$B94)*EI94*AR94,"")</f>
        <v/>
      </c>
      <c r="CO94" s="41" t="str">
        <f ca="1">IFERROR(SUMIFS('TRA balance'!AP$5:AP$40,'TRA balance'!$C$5:$C$40,Assumptions!$C94,'TRA balance'!$D$5:$D$40,Assumptions!$B94)*EJ94*AS94,"")</f>
        <v/>
      </c>
      <c r="CP94" s="41" t="str">
        <f ca="1">IFERROR(SUMIFS('TRA balance'!AQ$5:AQ$40,'TRA balance'!$C$5:$C$40,Assumptions!$C94,'TRA balance'!$D$5:$D$40,Assumptions!$B94)*EK94*AT94,"")</f>
        <v/>
      </c>
      <c r="CQ94" s="41" t="str">
        <f ca="1">IFERROR(SUMIFS('TRA balance'!AR$5:AR$40,'TRA balance'!$C$5:$C$40,Assumptions!$C94,'TRA balance'!$D$5:$D$40,Assumptions!$B94)*EL94*AU94,"")</f>
        <v/>
      </c>
      <c r="CR94" s="41" t="str">
        <f ca="1">IFERROR(SUMIFS('TRA balance'!AS$5:AS$40,'TRA balance'!$C$5:$C$40,Assumptions!$C94,'TRA balance'!$D$5:$D$40,Assumptions!$B94)*EM94*AV94,"")</f>
        <v/>
      </c>
      <c r="CS94" s="41" t="str">
        <f ca="1">IFERROR(SUMIFS('TRA balance'!AT$5:AT$40,'TRA balance'!$C$5:$C$40,Assumptions!$C94,'TRA balance'!$D$5:$D$40,Assumptions!$B94)*EN94*AW94,"")</f>
        <v/>
      </c>
      <c r="CT94" s="41" t="str">
        <f ca="1">IFERROR(SUMIFS('TRA balance'!AU$5:AU$40,'TRA balance'!$C$5:$C$40,Assumptions!$C94,'TRA balance'!$D$5:$D$40,Assumptions!$B94)*EO94*AX94,"")</f>
        <v/>
      </c>
      <c r="CU94" s="41" t="str">
        <f ca="1">IFERROR(SUMIFS('TRA balance'!AV$5:AV$40,'TRA balance'!$C$5:$C$40,Assumptions!$C94,'TRA balance'!$D$5:$D$40,Assumptions!$B94)*EP94*AY94,"")</f>
        <v/>
      </c>
      <c r="CV94" s="41" t="str">
        <f ca="1">IFERROR(SUMIFS('TRA balance'!AW$5:AW$40,'TRA balance'!$C$5:$C$40,Assumptions!$C94,'TRA balance'!$D$5:$D$40,Assumptions!$B94)*EQ94*AZ94,"")</f>
        <v/>
      </c>
      <c r="CW94" s="41" t="str">
        <f ca="1">IFERROR(SUMIFS('TRA balance'!AX$5:AX$40,'TRA balance'!$C$5:$C$40,Assumptions!$C94,'TRA balance'!$D$5:$D$40,Assumptions!$B94)*ER94*BA94,"")</f>
        <v/>
      </c>
      <c r="CY94" s="40">
        <f ca="1" t="shared" si="86"/>
        <v>1</v>
      </c>
      <c r="CZ94" s="40">
        <f ca="1" t="shared" si="87"/>
        <v>1</v>
      </c>
      <c r="DA94" s="40">
        <f ca="1" t="shared" si="88"/>
        <v>1</v>
      </c>
      <c r="DB94" s="40">
        <f ca="1" t="shared" si="89"/>
        <v>1</v>
      </c>
      <c r="DC94" s="40">
        <f ca="1" t="shared" si="90"/>
        <v>1</v>
      </c>
      <c r="DD94" s="40">
        <f ca="1" t="shared" si="91"/>
        <v>1</v>
      </c>
      <c r="DE94" s="40">
        <f ca="1" t="shared" si="92"/>
        <v>1</v>
      </c>
      <c r="DF94" s="40">
        <f ca="1" t="shared" si="93"/>
        <v>1</v>
      </c>
      <c r="DG94" s="40">
        <f ca="1" t="shared" si="94"/>
        <v>1</v>
      </c>
      <c r="DH94" s="40">
        <f ca="1" t="shared" si="95"/>
        <v>1</v>
      </c>
      <c r="DI94" s="40">
        <f ca="1" t="shared" si="96"/>
        <v>1</v>
      </c>
      <c r="DJ94" s="40">
        <f ca="1" t="shared" si="97"/>
        <v>1</v>
      </c>
      <c r="DK94" s="40">
        <f ca="1" t="shared" si="98"/>
        <v>1</v>
      </c>
      <c r="DL94" s="40">
        <f ca="1" t="shared" si="99"/>
        <v>1</v>
      </c>
      <c r="DM94" s="40">
        <f ca="1" t="shared" si="100"/>
        <v>1</v>
      </c>
      <c r="DN94" s="40">
        <f ca="1" t="shared" si="101"/>
        <v>1</v>
      </c>
      <c r="DO94" s="40">
        <f ca="1" t="shared" si="102"/>
        <v>1</v>
      </c>
      <c r="DP94" s="40">
        <f ca="1" t="shared" si="103"/>
        <v>1</v>
      </c>
      <c r="DQ94" s="40">
        <f ca="1" t="shared" si="104"/>
        <v>1</v>
      </c>
      <c r="DR94" s="40">
        <f ca="1" t="shared" si="105"/>
        <v>1</v>
      </c>
      <c r="DS94" s="40">
        <f ca="1" t="shared" si="106"/>
        <v>1</v>
      </c>
      <c r="DT94" s="40">
        <f ca="1" t="shared" si="107"/>
        <v>1</v>
      </c>
      <c r="DU94" s="40">
        <f ca="1" t="shared" si="108"/>
        <v>1</v>
      </c>
      <c r="DV94" s="40">
        <f ca="1" t="shared" si="109"/>
        <v>1</v>
      </c>
      <c r="DW94" s="40">
        <f ca="1" t="shared" si="110"/>
        <v>1</v>
      </c>
      <c r="DX94" s="40">
        <f ca="1" t="shared" si="111"/>
        <v>1</v>
      </c>
      <c r="DY94" s="40">
        <f ca="1" t="shared" si="112"/>
        <v>1</v>
      </c>
      <c r="DZ94" s="40">
        <f ca="1" t="shared" si="113"/>
        <v>1</v>
      </c>
      <c r="EA94" s="40">
        <f ca="1" t="shared" si="114"/>
        <v>1</v>
      </c>
      <c r="EB94" s="40">
        <f ca="1" t="shared" si="115"/>
        <v>1</v>
      </c>
      <c r="EC94" s="40">
        <f ca="1" t="shared" si="116"/>
        <v>1</v>
      </c>
      <c r="ED94" s="40">
        <f ca="1" t="shared" si="117"/>
        <v>1</v>
      </c>
      <c r="EE94" s="40">
        <f ca="1" t="shared" si="118"/>
        <v>1</v>
      </c>
      <c r="EF94" s="40">
        <f ca="1" t="shared" si="119"/>
        <v>1</v>
      </c>
      <c r="EG94" s="40">
        <f ca="1" t="shared" si="120"/>
        <v>1</v>
      </c>
      <c r="EH94" s="40">
        <f ca="1" t="shared" si="121"/>
        <v>1</v>
      </c>
      <c r="EI94" s="40">
        <f ca="1" t="shared" si="122"/>
        <v>1</v>
      </c>
      <c r="EJ94" s="40">
        <f ca="1" t="shared" si="123"/>
        <v>1</v>
      </c>
      <c r="EK94" s="40">
        <f ca="1" t="shared" si="124"/>
        <v>1</v>
      </c>
      <c r="EL94" s="40">
        <f ca="1" t="shared" si="125"/>
        <v>1</v>
      </c>
      <c r="EM94" s="40">
        <f ca="1" t="shared" si="126"/>
        <v>1</v>
      </c>
      <c r="EN94" s="40">
        <f ca="1" t="shared" si="127"/>
        <v>1</v>
      </c>
      <c r="EO94" s="40">
        <f ca="1" t="shared" si="128"/>
        <v>1</v>
      </c>
      <c r="EP94" s="40">
        <f ca="1" t="shared" si="129"/>
        <v>1</v>
      </c>
      <c r="EQ94" s="40">
        <f ca="1" t="shared" si="130"/>
        <v>1</v>
      </c>
      <c r="ER94" s="40">
        <f ca="1" t="shared" si="131"/>
        <v>1</v>
      </c>
    </row>
    <row r="95" spans="1:148">
      <c r="A95">
        <v>1</v>
      </c>
      <c r="B95" t="str">
        <f>VLOOKUP(F95,'TRA balance'!$BA$5:$BB$14,2,FALSE)</f>
        <v>TRAELC</v>
      </c>
      <c r="C95" s="64">
        <v>2</v>
      </c>
      <c r="D95" s="65" t="s">
        <v>200</v>
      </c>
      <c r="E95" s="65" t="s">
        <v>211</v>
      </c>
      <c r="F95" s="66" t="str">
        <f t="shared" si="143"/>
        <v>Electricity</v>
      </c>
      <c r="G95" s="64"/>
      <c r="H95" s="70">
        <f ca="1">1-H89</f>
        <v>1</v>
      </c>
      <c r="I95" s="70">
        <f ca="1" t="shared" ref="I95:BA95" si="145">1-I89</f>
        <v>1</v>
      </c>
      <c r="J95" s="70">
        <f ca="1" t="shared" si="145"/>
        <v>0</v>
      </c>
      <c r="K95" s="70">
        <f ca="1" t="shared" si="145"/>
        <v>0</v>
      </c>
      <c r="L95" s="70">
        <f ca="1" t="shared" si="145"/>
        <v>1</v>
      </c>
      <c r="M95" s="70">
        <f ca="1" t="shared" si="145"/>
        <v>0</v>
      </c>
      <c r="N95" s="70">
        <f ca="1" t="shared" si="145"/>
        <v>0.5</v>
      </c>
      <c r="O95" s="70">
        <f ca="1" t="shared" si="145"/>
        <v>0.2</v>
      </c>
      <c r="P95" s="70">
        <f ca="1" t="shared" si="145"/>
        <v>1</v>
      </c>
      <c r="Q95" s="70">
        <f ca="1" t="shared" si="145"/>
        <v>1</v>
      </c>
      <c r="R95" s="70">
        <f ca="1" t="shared" si="145"/>
        <v>0</v>
      </c>
      <c r="S95" s="70">
        <f ca="1" t="shared" si="145"/>
        <v>0</v>
      </c>
      <c r="T95" s="70">
        <f ca="1" t="shared" si="145"/>
        <v>0</v>
      </c>
      <c r="U95" s="70">
        <f ca="1" t="shared" si="145"/>
        <v>1</v>
      </c>
      <c r="V95" s="70">
        <f ca="1" t="shared" si="145"/>
        <v>0</v>
      </c>
      <c r="W95" s="70">
        <f ca="1" t="shared" si="145"/>
        <v>1</v>
      </c>
      <c r="X95" s="70">
        <f ca="1" t="shared" si="145"/>
        <v>0</v>
      </c>
      <c r="Y95" s="70">
        <f ca="1" t="shared" si="145"/>
        <v>0</v>
      </c>
      <c r="Z95" s="70">
        <f ca="1" t="shared" si="145"/>
        <v>0</v>
      </c>
      <c r="AA95" s="70">
        <f ca="1" t="shared" si="145"/>
        <v>0.5</v>
      </c>
      <c r="AB95" s="70">
        <f ca="1" t="shared" si="145"/>
        <v>1</v>
      </c>
      <c r="AC95" s="70">
        <f ca="1" t="shared" si="145"/>
        <v>0</v>
      </c>
      <c r="AD95" s="70">
        <f ca="1" t="shared" si="145"/>
        <v>0</v>
      </c>
      <c r="AE95" s="70">
        <f ca="1" t="shared" si="145"/>
        <v>1</v>
      </c>
      <c r="AF95" s="70">
        <f ca="1" t="shared" si="145"/>
        <v>0</v>
      </c>
      <c r="AG95" s="70">
        <f ca="1" t="shared" si="145"/>
        <v>1</v>
      </c>
      <c r="AH95" s="70">
        <f ca="1" t="shared" si="145"/>
        <v>1</v>
      </c>
      <c r="AI95" s="70">
        <f ca="1" t="shared" si="145"/>
        <v>1</v>
      </c>
      <c r="AJ95" s="70">
        <f ca="1" t="shared" si="145"/>
        <v>0</v>
      </c>
      <c r="AK95" s="70">
        <f ca="1" t="shared" si="145"/>
        <v>0</v>
      </c>
      <c r="AL95" s="70">
        <f ca="1" t="shared" si="145"/>
        <v>0</v>
      </c>
      <c r="AM95" s="70">
        <f ca="1" t="shared" si="145"/>
        <v>1</v>
      </c>
      <c r="AN95" s="70">
        <f ca="1" t="shared" si="145"/>
        <v>0</v>
      </c>
      <c r="AO95" s="70">
        <f ca="1" t="shared" si="145"/>
        <v>1</v>
      </c>
      <c r="AP95" s="70">
        <f ca="1" t="shared" si="145"/>
        <v>1</v>
      </c>
      <c r="AQ95" s="70">
        <f ca="1" t="shared" si="145"/>
        <v>0</v>
      </c>
      <c r="AR95" s="70">
        <f ca="1" t="shared" si="145"/>
        <v>0</v>
      </c>
      <c r="AS95" s="70">
        <f ca="1" t="shared" si="145"/>
        <v>0</v>
      </c>
      <c r="AT95" s="70">
        <f ca="1" t="shared" si="145"/>
        <v>0</v>
      </c>
      <c r="AU95" s="70">
        <f ca="1" t="shared" si="145"/>
        <v>0</v>
      </c>
      <c r="AV95" s="70">
        <f ca="1" t="shared" si="145"/>
        <v>0</v>
      </c>
      <c r="AW95" s="70">
        <f ca="1" t="shared" si="145"/>
        <v>0</v>
      </c>
      <c r="AX95" s="70">
        <f ca="1" t="shared" si="145"/>
        <v>0</v>
      </c>
      <c r="AY95" s="70">
        <f ca="1" t="shared" si="145"/>
        <v>0</v>
      </c>
      <c r="AZ95" s="70">
        <f ca="1" t="shared" si="145"/>
        <v>0</v>
      </c>
      <c r="BA95" s="70">
        <f ca="1" t="shared" si="145"/>
        <v>0</v>
      </c>
      <c r="BD95" s="41">
        <f ca="1">IFERROR(SUMIFS('TRA balance'!E$5:E$40,'TRA balance'!$C$5:$C$40,Assumptions!$C95,'TRA balance'!$D$5:$D$40,Assumptions!$B95)*CY95*H95,"")</f>
        <v>0</v>
      </c>
      <c r="BE95" s="41">
        <f ca="1">IFERROR(SUMIFS('TRA balance'!F$5:F$40,'TRA balance'!$C$5:$C$40,Assumptions!$C95,'TRA balance'!$D$5:$D$40,Assumptions!$B95)*CZ95*I95,"")</f>
        <v>0</v>
      </c>
      <c r="BF95" s="41">
        <f ca="1">IFERROR(SUMIFS('TRA balance'!G$5:G$40,'TRA balance'!$C$5:$C$40,Assumptions!$C95,'TRA balance'!$D$5:$D$40,Assumptions!$B95)*DA95*J95,"")</f>
        <v>0</v>
      </c>
      <c r="BG95" s="41">
        <f ca="1">IFERROR(SUMIFS('TRA balance'!H$5:H$40,'TRA balance'!$C$5:$C$40,Assumptions!$C95,'TRA balance'!$D$5:$D$40,Assumptions!$B95)*DB95*K95,"")</f>
        <v>0</v>
      </c>
      <c r="BH95" s="41">
        <f ca="1">IFERROR(SUMIFS('TRA balance'!I$5:I$40,'TRA balance'!$C$5:$C$40,Assumptions!$C95,'TRA balance'!$D$5:$D$40,Assumptions!$B95)*DC95*L95,"")</f>
        <v>0</v>
      </c>
      <c r="BI95" s="41">
        <f ca="1">IFERROR(SUMIFS('TRA balance'!J$5:J$40,'TRA balance'!$C$5:$C$40,Assumptions!$C95,'TRA balance'!$D$5:$D$40,Assumptions!$B95)*DD95*M95,"")</f>
        <v>0</v>
      </c>
      <c r="BJ95" s="41">
        <f ca="1">IFERROR(SUMIFS('TRA balance'!K$5:K$40,'TRA balance'!$C$5:$C$40,Assumptions!$C95,'TRA balance'!$D$5:$D$40,Assumptions!$B95)*DE95*N95,"")</f>
        <v>0</v>
      </c>
      <c r="BK95" s="41">
        <f ca="1">IFERROR(SUMIFS('TRA balance'!L$5:L$40,'TRA balance'!$C$5:$C$40,Assumptions!$C95,'TRA balance'!$D$5:$D$40,Assumptions!$B95)*DF95*O95,"")</f>
        <v>0</v>
      </c>
      <c r="BL95" s="41">
        <f ca="1">IFERROR(SUMIFS('TRA balance'!M$5:M$40,'TRA balance'!$C$5:$C$40,Assumptions!$C95,'TRA balance'!$D$5:$D$40,Assumptions!$B95)*DG95*P95,"")</f>
        <v>0</v>
      </c>
      <c r="BM95" s="41">
        <f ca="1">IFERROR(SUMIFS('TRA balance'!N$5:N$40,'TRA balance'!$C$5:$C$40,Assumptions!$C95,'TRA balance'!$D$5:$D$40,Assumptions!$B95)*DH95*Q95,"")</f>
        <v>0</v>
      </c>
      <c r="BN95" s="41">
        <f ca="1">IFERROR(SUMIFS('TRA balance'!O$5:O$40,'TRA balance'!$C$5:$C$40,Assumptions!$C95,'TRA balance'!$D$5:$D$40,Assumptions!$B95)*DI95*R95,"")</f>
        <v>0</v>
      </c>
      <c r="BO95" s="41">
        <f ca="1">IFERROR(SUMIFS('TRA balance'!P$5:P$40,'TRA balance'!$C$5:$C$40,Assumptions!$C95,'TRA balance'!$D$5:$D$40,Assumptions!$B95)*DJ95*S95,"")</f>
        <v>0</v>
      </c>
      <c r="BP95" s="41">
        <f ca="1">IFERROR(SUMIFS('TRA balance'!Q$5:Q$40,'TRA balance'!$C$5:$C$40,Assumptions!$C95,'TRA balance'!$D$5:$D$40,Assumptions!$B95)*DK95*T95,"")</f>
        <v>0</v>
      </c>
      <c r="BQ95" s="41">
        <f ca="1">IFERROR(SUMIFS('TRA balance'!R$5:R$40,'TRA balance'!$C$5:$C$40,Assumptions!$C95,'TRA balance'!$D$5:$D$40,Assumptions!$B95)*DL95*U95,"")</f>
        <v>0</v>
      </c>
      <c r="BR95" s="41">
        <f ca="1">IFERROR(SUMIFS('TRA balance'!S$5:S$40,'TRA balance'!$C$5:$C$40,Assumptions!$C95,'TRA balance'!$D$5:$D$40,Assumptions!$B95)*DM95*V95,"")</f>
        <v>0</v>
      </c>
      <c r="BS95" s="41">
        <f ca="1">IFERROR(SUMIFS('TRA balance'!T$5:T$40,'TRA balance'!$C$5:$C$40,Assumptions!$C95,'TRA balance'!$D$5:$D$40,Assumptions!$B95)*DN95*W95,"")</f>
        <v>0</v>
      </c>
      <c r="BT95" s="41">
        <f ca="1">IFERROR(SUMIFS('TRA balance'!U$5:U$40,'TRA balance'!$C$5:$C$40,Assumptions!$C95,'TRA balance'!$D$5:$D$40,Assumptions!$B95)*DO95*X95,"")</f>
        <v>0</v>
      </c>
      <c r="BU95" s="41">
        <f ca="1">IFERROR(SUMIFS('TRA balance'!V$5:V$40,'TRA balance'!$C$5:$C$40,Assumptions!$C95,'TRA balance'!$D$5:$D$40,Assumptions!$B95)*DP95*Y95,"")</f>
        <v>0</v>
      </c>
      <c r="BV95" s="41">
        <f ca="1">IFERROR(SUMIFS('TRA balance'!W$5:W$40,'TRA balance'!$C$5:$C$40,Assumptions!$C95,'TRA balance'!$D$5:$D$40,Assumptions!$B95)*DQ95*Z95,"")</f>
        <v>0</v>
      </c>
      <c r="BW95" s="41">
        <f ca="1">IFERROR(SUMIFS('TRA balance'!X$5:X$40,'TRA balance'!$C$5:$C$40,Assumptions!$C95,'TRA balance'!$D$5:$D$40,Assumptions!$B95)*DR95*AA95,"")</f>
        <v>0</v>
      </c>
      <c r="BX95" s="41">
        <f ca="1">IFERROR(SUMIFS('TRA balance'!Y$5:Y$40,'TRA balance'!$C$5:$C$40,Assumptions!$C95,'TRA balance'!$D$5:$D$40,Assumptions!$B95)*DS95*AB95,"")</f>
        <v>0</v>
      </c>
      <c r="BY95" s="41">
        <f ca="1">IFERROR(SUMIFS('TRA balance'!Z$5:Z$40,'TRA balance'!$C$5:$C$40,Assumptions!$C95,'TRA balance'!$D$5:$D$40,Assumptions!$B95)*DT95*AC95,"")</f>
        <v>0</v>
      </c>
      <c r="BZ95" s="41">
        <f ca="1">IFERROR(SUMIFS('TRA balance'!AA$5:AA$40,'TRA balance'!$C$5:$C$40,Assumptions!$C95,'TRA balance'!$D$5:$D$40,Assumptions!$B95)*DU95*AD95,"")</f>
        <v>0</v>
      </c>
      <c r="CA95" s="41">
        <f ca="1">IFERROR(SUMIFS('TRA balance'!AB$5:AB$40,'TRA balance'!$C$5:$C$40,Assumptions!$C95,'TRA balance'!$D$5:$D$40,Assumptions!$B95)*DV95*AE95,"")</f>
        <v>0</v>
      </c>
      <c r="CB95" s="41">
        <f ca="1">IFERROR(SUMIFS('TRA balance'!AC$5:AC$40,'TRA balance'!$C$5:$C$40,Assumptions!$C95,'TRA balance'!$D$5:$D$40,Assumptions!$B95)*DW95*AF95,"")</f>
        <v>0</v>
      </c>
      <c r="CC95" s="41">
        <f ca="1">IFERROR(SUMIFS('TRA balance'!AD$5:AD$40,'TRA balance'!$C$5:$C$40,Assumptions!$C95,'TRA balance'!$D$5:$D$40,Assumptions!$B95)*DX95*AG95,"")</f>
        <v>0</v>
      </c>
      <c r="CD95" s="41">
        <f ca="1">IFERROR(SUMIFS('TRA balance'!AE$5:AE$40,'TRA balance'!$C$5:$C$40,Assumptions!$C95,'TRA balance'!$D$5:$D$40,Assumptions!$B95)*DY95*AH95,"")</f>
        <v>0</v>
      </c>
      <c r="CE95" s="41">
        <f ca="1">IFERROR(SUMIFS('TRA balance'!AF$5:AF$40,'TRA balance'!$C$5:$C$40,Assumptions!$C95,'TRA balance'!$D$5:$D$40,Assumptions!$B95)*DZ95*AI95,"")</f>
        <v>0</v>
      </c>
      <c r="CF95" s="41">
        <f ca="1">IFERROR(SUMIFS('TRA balance'!AG$5:AG$40,'TRA balance'!$C$5:$C$40,Assumptions!$C95,'TRA balance'!$D$5:$D$40,Assumptions!$B95)*EA95*AJ95,"")</f>
        <v>0</v>
      </c>
      <c r="CG95" s="41">
        <f ca="1">IFERROR(SUMIFS('TRA balance'!AH$5:AH$40,'TRA balance'!$C$5:$C$40,Assumptions!$C95,'TRA balance'!$D$5:$D$40,Assumptions!$B95)*EB95*AK95,"")</f>
        <v>0</v>
      </c>
      <c r="CH95" s="41">
        <f ca="1">IFERROR(SUMIFS('TRA balance'!AI$5:AI$40,'TRA balance'!$C$5:$C$40,Assumptions!$C95,'TRA balance'!$D$5:$D$40,Assumptions!$B95)*EC95*AL95,"")</f>
        <v>0</v>
      </c>
      <c r="CI95" s="41">
        <f ca="1">IFERROR(SUMIFS('TRA balance'!AJ$5:AJ$40,'TRA balance'!$C$5:$C$40,Assumptions!$C95,'TRA balance'!$D$5:$D$40,Assumptions!$B95)*ED95*AM95,"")</f>
        <v>0</v>
      </c>
      <c r="CJ95" s="41">
        <f ca="1">IFERROR(SUMIFS('TRA balance'!AK$5:AK$40,'TRA balance'!$C$5:$C$40,Assumptions!$C95,'TRA balance'!$D$5:$D$40,Assumptions!$B95)*EE95*AN95,"")</f>
        <v>0</v>
      </c>
      <c r="CK95" s="41">
        <f ca="1">IFERROR(SUMIFS('TRA balance'!AL$5:AL$40,'TRA balance'!$C$5:$C$40,Assumptions!$C95,'TRA balance'!$D$5:$D$40,Assumptions!$B95)*EF95*AO95,"")</f>
        <v>0</v>
      </c>
      <c r="CL95" s="41">
        <f ca="1">IFERROR(SUMIFS('TRA balance'!AM$5:AM$40,'TRA balance'!$C$5:$C$40,Assumptions!$C95,'TRA balance'!$D$5:$D$40,Assumptions!$B95)*EG95*AP95,"")</f>
        <v>0</v>
      </c>
      <c r="CM95" s="41">
        <f ca="1">IFERROR(SUMIFS('TRA balance'!AN$5:AN$40,'TRA balance'!$C$5:$C$40,Assumptions!$C95,'TRA balance'!$D$5:$D$40,Assumptions!$B95)*EH95*AQ95,"")</f>
        <v>0</v>
      </c>
      <c r="CN95" s="41">
        <f ca="1">IFERROR(SUMIFS('TRA balance'!AO$5:AO$40,'TRA balance'!$C$5:$C$40,Assumptions!$C95,'TRA balance'!$D$5:$D$40,Assumptions!$B95)*EI95*AR95,"")</f>
        <v>0</v>
      </c>
      <c r="CO95" s="41">
        <f ca="1">IFERROR(SUMIFS('TRA balance'!AP$5:AP$40,'TRA balance'!$C$5:$C$40,Assumptions!$C95,'TRA balance'!$D$5:$D$40,Assumptions!$B95)*EJ95*AS95,"")</f>
        <v>0</v>
      </c>
      <c r="CP95" s="41">
        <f ca="1">IFERROR(SUMIFS('TRA balance'!AQ$5:AQ$40,'TRA balance'!$C$5:$C$40,Assumptions!$C95,'TRA balance'!$D$5:$D$40,Assumptions!$B95)*EK95*AT95,"")</f>
        <v>0</v>
      </c>
      <c r="CQ95" s="41">
        <f ca="1">IFERROR(SUMIFS('TRA balance'!AR$5:AR$40,'TRA balance'!$C$5:$C$40,Assumptions!$C95,'TRA balance'!$D$5:$D$40,Assumptions!$B95)*EL95*AU95,"")</f>
        <v>0</v>
      </c>
      <c r="CR95" s="41">
        <f ca="1">IFERROR(SUMIFS('TRA balance'!AS$5:AS$40,'TRA balance'!$C$5:$C$40,Assumptions!$C95,'TRA balance'!$D$5:$D$40,Assumptions!$B95)*EM95*AV95,"")</f>
        <v>0</v>
      </c>
      <c r="CS95" s="41">
        <f ca="1">IFERROR(SUMIFS('TRA balance'!AT$5:AT$40,'TRA balance'!$C$5:$C$40,Assumptions!$C95,'TRA balance'!$D$5:$D$40,Assumptions!$B95)*EN95*AW95,"")</f>
        <v>0</v>
      </c>
      <c r="CT95" s="41">
        <f ca="1">IFERROR(SUMIFS('TRA balance'!AU$5:AU$40,'TRA balance'!$C$5:$C$40,Assumptions!$C95,'TRA balance'!$D$5:$D$40,Assumptions!$B95)*EO95*AX95,"")</f>
        <v>0</v>
      </c>
      <c r="CU95" s="41">
        <f ca="1">IFERROR(SUMIFS('TRA balance'!AV$5:AV$40,'TRA balance'!$C$5:$C$40,Assumptions!$C95,'TRA balance'!$D$5:$D$40,Assumptions!$B95)*EP95*AY95,"")</f>
        <v>0</v>
      </c>
      <c r="CV95" s="41">
        <f ca="1">IFERROR(SUMIFS('TRA balance'!AW$5:AW$40,'TRA balance'!$C$5:$C$40,Assumptions!$C95,'TRA balance'!$D$5:$D$40,Assumptions!$B95)*EQ95*AZ95,"")</f>
        <v>0</v>
      </c>
      <c r="CW95" s="41">
        <f ca="1">IFERROR(SUMIFS('TRA balance'!AX$5:AX$40,'TRA balance'!$C$5:$C$40,Assumptions!$C95,'TRA balance'!$D$5:$D$40,Assumptions!$B95)*ER95*BA95,"")</f>
        <v>0</v>
      </c>
      <c r="CY95" s="40">
        <f ca="1" t="shared" si="86"/>
        <v>1</v>
      </c>
      <c r="CZ95" s="40">
        <f ca="1" t="shared" si="87"/>
        <v>1</v>
      </c>
      <c r="DA95" s="40">
        <f ca="1" t="shared" si="88"/>
        <v>1</v>
      </c>
      <c r="DB95" s="40">
        <f ca="1" t="shared" si="89"/>
        <v>1</v>
      </c>
      <c r="DC95" s="40">
        <f ca="1" t="shared" si="90"/>
        <v>1</v>
      </c>
      <c r="DD95" s="40">
        <f ca="1" t="shared" si="91"/>
        <v>1</v>
      </c>
      <c r="DE95" s="40">
        <f ca="1" t="shared" si="92"/>
        <v>1</v>
      </c>
      <c r="DF95" s="40">
        <f ca="1" t="shared" si="93"/>
        <v>1</v>
      </c>
      <c r="DG95" s="40">
        <f ca="1" t="shared" si="94"/>
        <v>1</v>
      </c>
      <c r="DH95" s="40">
        <f ca="1" t="shared" si="95"/>
        <v>1</v>
      </c>
      <c r="DI95" s="40">
        <f ca="1" t="shared" si="96"/>
        <v>1</v>
      </c>
      <c r="DJ95" s="40">
        <f ca="1" t="shared" si="97"/>
        <v>1</v>
      </c>
      <c r="DK95" s="40">
        <f ca="1" t="shared" si="98"/>
        <v>1</v>
      </c>
      <c r="DL95" s="40">
        <f ca="1" t="shared" si="99"/>
        <v>1</v>
      </c>
      <c r="DM95" s="40">
        <f ca="1" t="shared" si="100"/>
        <v>1</v>
      </c>
      <c r="DN95" s="40">
        <f ca="1" t="shared" si="101"/>
        <v>1</v>
      </c>
      <c r="DO95" s="40">
        <f ca="1" t="shared" si="102"/>
        <v>1</v>
      </c>
      <c r="DP95" s="40">
        <f ca="1" t="shared" si="103"/>
        <v>1</v>
      </c>
      <c r="DQ95" s="40">
        <f ca="1" t="shared" si="104"/>
        <v>1</v>
      </c>
      <c r="DR95" s="40">
        <f ca="1" t="shared" si="105"/>
        <v>1</v>
      </c>
      <c r="DS95" s="40">
        <f ca="1" t="shared" si="106"/>
        <v>1</v>
      </c>
      <c r="DT95" s="40">
        <f ca="1" t="shared" si="107"/>
        <v>1</v>
      </c>
      <c r="DU95" s="40">
        <f ca="1" t="shared" si="108"/>
        <v>1</v>
      </c>
      <c r="DV95" s="40">
        <f ca="1" t="shared" si="109"/>
        <v>1</v>
      </c>
      <c r="DW95" s="40">
        <f ca="1" t="shared" si="110"/>
        <v>1</v>
      </c>
      <c r="DX95" s="40">
        <f ca="1" t="shared" si="111"/>
        <v>1</v>
      </c>
      <c r="DY95" s="40">
        <f ca="1" t="shared" si="112"/>
        <v>1</v>
      </c>
      <c r="DZ95" s="40">
        <f ca="1" t="shared" si="113"/>
        <v>1</v>
      </c>
      <c r="EA95" s="40">
        <f ca="1" t="shared" si="114"/>
        <v>1</v>
      </c>
      <c r="EB95" s="40">
        <f ca="1" t="shared" si="115"/>
        <v>1</v>
      </c>
      <c r="EC95" s="40">
        <f ca="1" t="shared" si="116"/>
        <v>1</v>
      </c>
      <c r="ED95" s="40">
        <f ca="1" t="shared" si="117"/>
        <v>1</v>
      </c>
      <c r="EE95" s="40">
        <f ca="1" t="shared" si="118"/>
        <v>1</v>
      </c>
      <c r="EF95" s="40">
        <f ca="1" t="shared" si="119"/>
        <v>1</v>
      </c>
      <c r="EG95" s="40">
        <f ca="1" t="shared" si="120"/>
        <v>1</v>
      </c>
      <c r="EH95" s="40">
        <f ca="1" t="shared" si="121"/>
        <v>1</v>
      </c>
      <c r="EI95" s="40">
        <f ca="1" t="shared" si="122"/>
        <v>1</v>
      </c>
      <c r="EJ95" s="40">
        <f ca="1" t="shared" si="123"/>
        <v>1</v>
      </c>
      <c r="EK95" s="40">
        <f ca="1" t="shared" si="124"/>
        <v>1</v>
      </c>
      <c r="EL95" s="40">
        <f ca="1" t="shared" si="125"/>
        <v>1</v>
      </c>
      <c r="EM95" s="40">
        <f ca="1" t="shared" si="126"/>
        <v>1</v>
      </c>
      <c r="EN95" s="40">
        <f ca="1" t="shared" si="127"/>
        <v>1</v>
      </c>
      <c r="EO95" s="40">
        <f ca="1" t="shared" si="128"/>
        <v>1</v>
      </c>
      <c r="EP95" s="40">
        <f ca="1" t="shared" si="129"/>
        <v>1</v>
      </c>
      <c r="EQ95" s="40">
        <f ca="1" t="shared" si="130"/>
        <v>1</v>
      </c>
      <c r="ER95" s="40">
        <f ca="1" t="shared" si="131"/>
        <v>1</v>
      </c>
    </row>
    <row r="96" spans="1:148">
      <c r="A96">
        <v>2</v>
      </c>
      <c r="B96" t="str">
        <f>VLOOKUP(F96,'TRA balance'!$BA$5:$BB$14,2,FALSE)</f>
        <v>TRAELC</v>
      </c>
      <c r="C96" s="56" t="str">
        <f t="shared" si="133"/>
        <v>TR</v>
      </c>
      <c r="D96" s="57" t="s">
        <v>200</v>
      </c>
      <c r="E96" s="68" t="s">
        <v>212</v>
      </c>
      <c r="F96" s="58" t="str">
        <f t="shared" si="143"/>
        <v>Electricity</v>
      </c>
      <c r="G96" s="56" t="s">
        <v>213</v>
      </c>
      <c r="H96" s="59">
        <f ca="1">OFFSET(TIAM15_assumptions!$G96,0,MATCH(VLOOKUP(Assumptions!H$2,TIAM15_assumptions!$Y$3:$Z$87,2,FALSE),TIAM15_assumptions!$H$2:$V$2,0))</f>
        <v>1</v>
      </c>
      <c r="I96" s="59">
        <f ca="1">OFFSET(TIAM15_assumptions!$G96,0,MATCH(VLOOKUP(Assumptions!I$2,TIAM15_assumptions!$Y$3:$Z$87,2,FALSE),TIAM15_assumptions!$H$2:$V$2,0))</f>
        <v>1</v>
      </c>
      <c r="J96" s="59">
        <f ca="1">OFFSET(TIAM15_assumptions!$G96,0,MATCH(VLOOKUP(Assumptions!J$2,TIAM15_assumptions!$Y$3:$Z$87,2,FALSE),TIAM15_assumptions!$H$2:$V$2,0))</f>
        <v>1</v>
      </c>
      <c r="K96" s="59">
        <f ca="1">OFFSET(TIAM15_assumptions!$G96,0,MATCH(VLOOKUP(Assumptions!K$2,TIAM15_assumptions!$Y$3:$Z$87,2,FALSE),TIAM15_assumptions!$H$2:$V$2,0))</f>
        <v>1</v>
      </c>
      <c r="L96" s="59">
        <f ca="1">OFFSET(TIAM15_assumptions!$G96,0,MATCH(VLOOKUP(Assumptions!L$2,TIAM15_assumptions!$Y$3:$Z$87,2,FALSE),TIAM15_assumptions!$H$2:$V$2,0))</f>
        <v>1</v>
      </c>
      <c r="M96" s="59">
        <f ca="1">OFFSET(TIAM15_assumptions!$G96,0,MATCH(VLOOKUP(Assumptions!M$2,TIAM15_assumptions!$Y$3:$Z$87,2,FALSE),TIAM15_assumptions!$H$2:$V$2,0))</f>
        <v>1</v>
      </c>
      <c r="N96" s="59">
        <f ca="1">OFFSET(TIAM15_assumptions!$G96,0,MATCH(VLOOKUP(Assumptions!N$2,TIAM15_assumptions!$Y$3:$Z$87,2,FALSE),TIAM15_assumptions!$H$2:$V$2,0))</f>
        <v>1</v>
      </c>
      <c r="O96" s="59">
        <f ca="1">OFFSET(TIAM15_assumptions!$G96,0,MATCH(VLOOKUP(Assumptions!O$2,TIAM15_assumptions!$Y$3:$Z$87,2,FALSE),TIAM15_assumptions!$H$2:$V$2,0))</f>
        <v>0.5</v>
      </c>
      <c r="P96" s="59">
        <f ca="1">OFFSET(TIAM15_assumptions!$G96,0,MATCH(VLOOKUP(Assumptions!P$2,TIAM15_assumptions!$Y$3:$Z$87,2,FALSE),TIAM15_assumptions!$H$2:$V$2,0))</f>
        <v>1</v>
      </c>
      <c r="Q96" s="59">
        <f ca="1">OFFSET(TIAM15_assumptions!$G96,0,MATCH(VLOOKUP(Assumptions!Q$2,TIAM15_assumptions!$Y$3:$Z$87,2,FALSE),TIAM15_assumptions!$H$2:$V$2,0))</f>
        <v>1</v>
      </c>
      <c r="R96" s="59">
        <f ca="1">OFFSET(TIAM15_assumptions!$G96,0,MATCH(VLOOKUP(Assumptions!R$2,TIAM15_assumptions!$Y$3:$Z$87,2,FALSE),TIAM15_assumptions!$H$2:$V$2,0))</f>
        <v>1</v>
      </c>
      <c r="S96" s="59">
        <f ca="1">OFFSET(TIAM15_assumptions!$G96,0,MATCH(VLOOKUP(Assumptions!S$2,TIAM15_assumptions!$Y$3:$Z$87,2,FALSE),TIAM15_assumptions!$H$2:$V$2,0))</f>
        <v>1</v>
      </c>
      <c r="T96" s="59">
        <f ca="1">OFFSET(TIAM15_assumptions!$G96,0,MATCH(VLOOKUP(Assumptions!T$2,TIAM15_assumptions!$Y$3:$Z$87,2,FALSE),TIAM15_assumptions!$H$2:$V$2,0))</f>
        <v>1</v>
      </c>
      <c r="U96" s="59">
        <f ca="1">OFFSET(TIAM15_assumptions!$G96,0,MATCH(VLOOKUP(Assumptions!U$2,TIAM15_assumptions!$Y$3:$Z$87,2,FALSE),TIAM15_assumptions!$H$2:$V$2,0))</f>
        <v>1</v>
      </c>
      <c r="V96" s="59">
        <f ca="1">OFFSET(TIAM15_assumptions!$G96,0,MATCH(VLOOKUP(Assumptions!V$2,TIAM15_assumptions!$Y$3:$Z$87,2,FALSE),TIAM15_assumptions!$H$2:$V$2,0))</f>
        <v>1</v>
      </c>
      <c r="W96" s="59">
        <f ca="1">OFFSET(TIAM15_assumptions!$G96,0,MATCH(VLOOKUP(Assumptions!W$2,TIAM15_assumptions!$Y$3:$Z$87,2,FALSE),TIAM15_assumptions!$H$2:$V$2,0))</f>
        <v>1</v>
      </c>
      <c r="X96" s="59">
        <f ca="1">OFFSET(TIAM15_assumptions!$G96,0,MATCH(VLOOKUP(Assumptions!X$2,TIAM15_assumptions!$Y$3:$Z$87,2,FALSE),TIAM15_assumptions!$H$2:$V$2,0))</f>
        <v>1</v>
      </c>
      <c r="Y96" s="59">
        <f ca="1">OFFSET(TIAM15_assumptions!$G96,0,MATCH(VLOOKUP(Assumptions!Y$2,TIAM15_assumptions!$Y$3:$Z$87,2,FALSE),TIAM15_assumptions!$H$2:$V$2,0))</f>
        <v>1</v>
      </c>
      <c r="Z96" s="59">
        <f ca="1">OFFSET(TIAM15_assumptions!$G96,0,MATCH(VLOOKUP(Assumptions!Z$2,TIAM15_assumptions!$Y$3:$Z$87,2,FALSE),TIAM15_assumptions!$H$2:$V$2,0))</f>
        <v>1</v>
      </c>
      <c r="AA96" s="59">
        <f ca="1">OFFSET(TIAM15_assumptions!$G96,0,MATCH(VLOOKUP(Assumptions!AA$2,TIAM15_assumptions!$Y$3:$Z$87,2,FALSE),TIAM15_assumptions!$H$2:$V$2,0))</f>
        <v>1</v>
      </c>
      <c r="AB96" s="59">
        <f ca="1">OFFSET(TIAM15_assumptions!$G96,0,MATCH(VLOOKUP(Assumptions!AB$2,TIAM15_assumptions!$Y$3:$Z$87,2,FALSE),TIAM15_assumptions!$H$2:$V$2,0))</f>
        <v>1</v>
      </c>
      <c r="AC96" s="59">
        <f ca="1">OFFSET(TIAM15_assumptions!$G96,0,MATCH(VLOOKUP(Assumptions!AC$2,TIAM15_assumptions!$Y$3:$Z$87,2,FALSE),TIAM15_assumptions!$H$2:$V$2,0))</f>
        <v>1</v>
      </c>
      <c r="AD96" s="59">
        <f ca="1">OFFSET(TIAM15_assumptions!$G96,0,MATCH(VLOOKUP(Assumptions!AD$2,TIAM15_assumptions!$Y$3:$Z$87,2,FALSE),TIAM15_assumptions!$H$2:$V$2,0))</f>
        <v>1</v>
      </c>
      <c r="AE96" s="59">
        <f ca="1">OFFSET(TIAM15_assumptions!$G96,0,MATCH(VLOOKUP(Assumptions!AE$2,TIAM15_assumptions!$Y$3:$Z$87,2,FALSE),TIAM15_assumptions!$H$2:$V$2,0))</f>
        <v>1</v>
      </c>
      <c r="AF96" s="59">
        <f ca="1">OFFSET(TIAM15_assumptions!$G96,0,MATCH(VLOOKUP(Assumptions!AF$2,TIAM15_assumptions!$Y$3:$Z$87,2,FALSE),TIAM15_assumptions!$H$2:$V$2,0))</f>
        <v>1</v>
      </c>
      <c r="AG96" s="59">
        <f ca="1">OFFSET(TIAM15_assumptions!$G96,0,MATCH(VLOOKUP(Assumptions!AG$2,TIAM15_assumptions!$Y$3:$Z$87,2,FALSE),TIAM15_assumptions!$H$2:$V$2,0))</f>
        <v>1</v>
      </c>
      <c r="AH96" s="59">
        <f ca="1">OFFSET(TIAM15_assumptions!$G96,0,MATCH(VLOOKUP(Assumptions!AH$2,TIAM15_assumptions!$Y$3:$Z$87,2,FALSE),TIAM15_assumptions!$H$2:$V$2,0))</f>
        <v>1</v>
      </c>
      <c r="AI96" s="59">
        <f ca="1">OFFSET(TIAM15_assumptions!$G96,0,MATCH(VLOOKUP(Assumptions!AI$2,TIAM15_assumptions!$Y$3:$Z$87,2,FALSE),TIAM15_assumptions!$H$2:$V$2,0))</f>
        <v>1</v>
      </c>
      <c r="AJ96" s="59">
        <f ca="1">OFFSET(TIAM15_assumptions!$G96,0,MATCH(VLOOKUP(Assumptions!AJ$2,TIAM15_assumptions!$Y$3:$Z$87,2,FALSE),TIAM15_assumptions!$H$2:$V$2,0))</f>
        <v>1</v>
      </c>
      <c r="AK96" s="59">
        <f ca="1">OFFSET(TIAM15_assumptions!$G96,0,MATCH(VLOOKUP(Assumptions!AK$2,TIAM15_assumptions!$Y$3:$Z$87,2,FALSE),TIAM15_assumptions!$H$2:$V$2,0))</f>
        <v>1</v>
      </c>
      <c r="AL96" s="59">
        <f ca="1">OFFSET(TIAM15_assumptions!$G96,0,MATCH(VLOOKUP(Assumptions!AL$2,TIAM15_assumptions!$Y$3:$Z$87,2,FALSE),TIAM15_assumptions!$H$2:$V$2,0))</f>
        <v>1</v>
      </c>
      <c r="AM96" s="59">
        <f ca="1">OFFSET(TIAM15_assumptions!$G96,0,MATCH(VLOOKUP(Assumptions!AM$2,TIAM15_assumptions!$Y$3:$Z$87,2,FALSE),TIAM15_assumptions!$H$2:$V$2,0))</f>
        <v>1</v>
      </c>
      <c r="AN96" s="59">
        <f ca="1">OFFSET(TIAM15_assumptions!$G96,0,MATCH(VLOOKUP(Assumptions!AN$2,TIAM15_assumptions!$Y$3:$Z$87,2,FALSE),TIAM15_assumptions!$H$2:$V$2,0))</f>
        <v>1</v>
      </c>
      <c r="AO96" s="59">
        <f ca="1">OFFSET(TIAM15_assumptions!$G96,0,MATCH(VLOOKUP(Assumptions!AO$2,TIAM15_assumptions!$Y$3:$Z$87,2,FALSE),TIAM15_assumptions!$H$2:$V$2,0))</f>
        <v>1</v>
      </c>
      <c r="AP96" s="59">
        <f ca="1">OFFSET(TIAM15_assumptions!$G96,0,MATCH(VLOOKUP(Assumptions!AP$2,TIAM15_assumptions!$Y$3:$Z$87,2,FALSE),TIAM15_assumptions!$H$2:$V$2,0))</f>
        <v>1</v>
      </c>
      <c r="AQ96" s="59">
        <f ca="1">OFFSET(TIAM15_assumptions!$G96,0,MATCH(VLOOKUP(Assumptions!AQ$2,TIAM15_assumptions!$Y$3:$Z$87,2,FALSE),TIAM15_assumptions!$H$2:$V$2,0))</f>
        <v>1</v>
      </c>
      <c r="AR96" s="59">
        <f ca="1">OFFSET(TIAM15_assumptions!$G96,0,MATCH(VLOOKUP(Assumptions!AR$2,TIAM15_assumptions!$Y$3:$Z$87,2,FALSE),TIAM15_assumptions!$H$2:$V$2,0))</f>
        <v>1</v>
      </c>
      <c r="AS96" s="59">
        <f ca="1">OFFSET(TIAM15_assumptions!$G96,0,MATCH(VLOOKUP(Assumptions!AS$2,TIAM15_assumptions!$Y$3:$Z$87,2,FALSE),TIAM15_assumptions!$H$2:$V$2,0))</f>
        <v>1</v>
      </c>
      <c r="AT96" s="59">
        <f ca="1">OFFSET(TIAM15_assumptions!$G96,0,MATCH(VLOOKUP(Assumptions!AT$2,TIAM15_assumptions!$Y$3:$Z$87,2,FALSE),TIAM15_assumptions!$H$2:$V$2,0))</f>
        <v>1</v>
      </c>
      <c r="AU96" s="59">
        <f ca="1">OFFSET(TIAM15_assumptions!$G96,0,MATCH(VLOOKUP(Assumptions!AU$2,TIAM15_assumptions!$Y$3:$Z$87,2,FALSE),TIAM15_assumptions!$H$2:$V$2,0))</f>
        <v>1</v>
      </c>
      <c r="AV96" s="59">
        <f ca="1">OFFSET(TIAM15_assumptions!$G96,0,MATCH(VLOOKUP(Assumptions!AV$2,TIAM15_assumptions!$Y$3:$Z$87,2,FALSE),TIAM15_assumptions!$H$2:$V$2,0))</f>
        <v>1</v>
      </c>
      <c r="AW96" s="59">
        <f ca="1">OFFSET(TIAM15_assumptions!$G96,0,MATCH(VLOOKUP(Assumptions!AW$2,TIAM15_assumptions!$Y$3:$Z$87,2,FALSE),TIAM15_assumptions!$H$2:$V$2,0))</f>
        <v>1</v>
      </c>
      <c r="AX96" s="59">
        <f ca="1">OFFSET(TIAM15_assumptions!$G96,0,MATCH(VLOOKUP(Assumptions!AX$2,TIAM15_assumptions!$Y$3:$Z$87,2,FALSE),TIAM15_assumptions!$H$2:$V$2,0))</f>
        <v>1</v>
      </c>
      <c r="AY96" s="59">
        <f ca="1">OFFSET(TIAM15_assumptions!$G96,0,MATCH(VLOOKUP(Assumptions!AY$2,TIAM15_assumptions!$Y$3:$Z$87,2,FALSE),TIAM15_assumptions!$H$2:$V$2,0))</f>
        <v>1</v>
      </c>
      <c r="AZ96" s="59">
        <f ca="1">OFFSET(TIAM15_assumptions!$G96,0,MATCH(VLOOKUP(Assumptions!AZ$2,TIAM15_assumptions!$Y$3:$Z$87,2,FALSE),TIAM15_assumptions!$H$2:$V$2,0))</f>
        <v>1</v>
      </c>
      <c r="BA96" s="59">
        <f ca="1">OFFSET(TIAM15_assumptions!$G96,0,MATCH(VLOOKUP(Assumptions!BA$2,TIAM15_assumptions!$Y$3:$Z$87,2,FALSE),TIAM15_assumptions!$H$2:$V$2,0))</f>
        <v>1</v>
      </c>
      <c r="BD96" s="41">
        <f ca="1">IFERROR(SUMIFS('TRA balance'!E$5:E$40,'TRA balance'!$C$5:$C$40,Assumptions!$C96,'TRA balance'!$D$5:$D$40,Assumptions!$B96)*CY96*H96,"")</f>
        <v>0</v>
      </c>
      <c r="BE96" s="41">
        <f ca="1">IFERROR(SUMIFS('TRA balance'!F$5:F$40,'TRA balance'!$C$5:$C$40,Assumptions!$C96,'TRA balance'!$D$5:$D$40,Assumptions!$B96)*CZ96*I96,"")</f>
        <v>0</v>
      </c>
      <c r="BF96" s="41">
        <f ca="1">IFERROR(SUMIFS('TRA balance'!G$5:G$40,'TRA balance'!$C$5:$C$40,Assumptions!$C96,'TRA balance'!$D$5:$D$40,Assumptions!$B96)*DA96*J96,"")</f>
        <v>0</v>
      </c>
      <c r="BG96" s="41">
        <f ca="1">IFERROR(SUMIFS('TRA balance'!H$5:H$40,'TRA balance'!$C$5:$C$40,Assumptions!$C96,'TRA balance'!$D$5:$D$40,Assumptions!$B96)*DB96*K96,"")</f>
        <v>0</v>
      </c>
      <c r="BH96" s="41">
        <f ca="1">IFERROR(SUMIFS('TRA balance'!I$5:I$40,'TRA balance'!$C$5:$C$40,Assumptions!$C96,'TRA balance'!$D$5:$D$40,Assumptions!$B96)*DC96*L96,"")</f>
        <v>0.2918660148</v>
      </c>
      <c r="BI96" s="41">
        <f ca="1">IFERROR(SUMIFS('TRA balance'!J$5:J$40,'TRA balance'!$C$5:$C$40,Assumptions!$C96,'TRA balance'!$D$5:$D$40,Assumptions!$B96)*DD96*M96,"")</f>
        <v>0</v>
      </c>
      <c r="BJ96" s="41">
        <f ca="1">IFERROR(SUMIFS('TRA balance'!K$5:K$40,'TRA balance'!$C$5:$C$40,Assumptions!$C96,'TRA balance'!$D$5:$D$40,Assumptions!$B96)*DE96*N96,"")</f>
        <v>0</v>
      </c>
      <c r="BK96" s="41">
        <f ca="1">IFERROR(SUMIFS('TRA balance'!L$5:L$40,'TRA balance'!$C$5:$C$40,Assumptions!$C96,'TRA balance'!$D$5:$D$40,Assumptions!$B96)*DF96*O96,"")</f>
        <v>24.53630136732</v>
      </c>
      <c r="BL96" s="41">
        <f ca="1">IFERROR(SUMIFS('TRA balance'!M$5:M$40,'TRA balance'!$C$5:$C$40,Assumptions!$C96,'TRA balance'!$D$5:$D$40,Assumptions!$B96)*DG96*P96,"")</f>
        <v>0.0128869704</v>
      </c>
      <c r="BM96" s="41">
        <f ca="1">IFERROR(SUMIFS('TRA balance'!N$5:N$40,'TRA balance'!$C$5:$C$40,Assumptions!$C96,'TRA balance'!$D$5:$D$40,Assumptions!$B96)*DH96*Q96,"")</f>
        <v>0.3348853848</v>
      </c>
      <c r="BN96" s="41">
        <f ca="1">IFERROR(SUMIFS('TRA balance'!O$5:O$40,'TRA balance'!$C$5:$C$40,Assumptions!$C96,'TRA balance'!$D$5:$D$40,Assumptions!$B96)*DI96*R96,"")</f>
        <v>0</v>
      </c>
      <c r="BO96" s="41">
        <f ca="1">IFERROR(SUMIFS('TRA balance'!P$5:P$40,'TRA balance'!$C$5:$C$40,Assumptions!$C96,'TRA balance'!$D$5:$D$40,Assumptions!$B96)*DJ96*S96,"")</f>
        <v>0</v>
      </c>
      <c r="BP96" s="41">
        <f ca="1">IFERROR(SUMIFS('TRA balance'!Q$5:Q$40,'TRA balance'!$C$5:$C$40,Assumptions!$C96,'TRA balance'!$D$5:$D$40,Assumptions!$B96)*DK96*T96,"")</f>
        <v>0</v>
      </c>
      <c r="BQ96" s="41">
        <f ca="1">IFERROR(SUMIFS('TRA balance'!R$5:R$40,'TRA balance'!$C$5:$C$40,Assumptions!$C96,'TRA balance'!$D$5:$D$40,Assumptions!$B96)*DL96*U96,"")</f>
        <v>0.423348282</v>
      </c>
      <c r="BR96" s="41">
        <f ca="1">IFERROR(SUMIFS('TRA balance'!S$5:S$40,'TRA balance'!$C$5:$C$40,Assumptions!$C96,'TRA balance'!$D$5:$D$40,Assumptions!$B96)*DM96*V96,"")</f>
        <v>0</v>
      </c>
      <c r="BS96" s="41">
        <f ca="1">IFERROR(SUMIFS('TRA balance'!T$5:T$40,'TRA balance'!$C$5:$C$40,Assumptions!$C96,'TRA balance'!$D$5:$D$40,Assumptions!$B96)*DN96*W96,"")</f>
        <v>0</v>
      </c>
      <c r="BT96" s="41">
        <f ca="1">IFERROR(SUMIFS('TRA balance'!U$5:U$40,'TRA balance'!$C$5:$C$40,Assumptions!$C96,'TRA balance'!$D$5:$D$40,Assumptions!$B96)*DO96*X96,"")</f>
        <v>0</v>
      </c>
      <c r="BU96" s="41">
        <f ca="1">IFERROR(SUMIFS('TRA balance'!V$5:V$40,'TRA balance'!$C$5:$C$40,Assumptions!$C96,'TRA balance'!$D$5:$D$40,Assumptions!$B96)*DP96*Y96,"")</f>
        <v>0</v>
      </c>
      <c r="BV96" s="41">
        <f ca="1">IFERROR(SUMIFS('TRA balance'!W$5:W$40,'TRA balance'!$C$5:$C$40,Assumptions!$C96,'TRA balance'!$D$5:$D$40,Assumptions!$B96)*DQ96*Z96,"")</f>
        <v>0</v>
      </c>
      <c r="BW96" s="41">
        <f ca="1">IFERROR(SUMIFS('TRA balance'!X$5:X$40,'TRA balance'!$C$5:$C$40,Assumptions!$C96,'TRA balance'!$D$5:$D$40,Assumptions!$B96)*DR96*AA96,"")</f>
        <v>1.4705548848</v>
      </c>
      <c r="BX96" s="41">
        <f ca="1">IFERROR(SUMIFS('TRA balance'!Y$5:Y$40,'TRA balance'!$C$5:$C$40,Assumptions!$C96,'TRA balance'!$D$5:$D$40,Assumptions!$B96)*DS96*AB96,"")</f>
        <v>0</v>
      </c>
      <c r="BY96" s="41">
        <f ca="1">IFERROR(SUMIFS('TRA balance'!Z$5:Z$40,'TRA balance'!$C$5:$C$40,Assumptions!$C96,'TRA balance'!$D$5:$D$40,Assumptions!$B96)*DT96*AC96,"")</f>
        <v>0</v>
      </c>
      <c r="BZ96" s="41">
        <f ca="1">IFERROR(SUMIFS('TRA balance'!AA$5:AA$40,'TRA balance'!$C$5:$C$40,Assumptions!$C96,'TRA balance'!$D$5:$D$40,Assumptions!$B96)*DU96*AD96,"")</f>
        <v>0</v>
      </c>
      <c r="CA96" s="41">
        <f ca="1">IFERROR(SUMIFS('TRA balance'!AB$5:AB$40,'TRA balance'!$C$5:$C$40,Assumptions!$C96,'TRA balance'!$D$5:$D$40,Assumptions!$B96)*DV96*AE96,"")</f>
        <v>0.1181054412</v>
      </c>
      <c r="CB96" s="41">
        <f ca="1">IFERROR(SUMIFS('TRA balance'!AC$5:AC$40,'TRA balance'!$C$5:$C$40,Assumptions!$C96,'TRA balance'!$D$5:$D$40,Assumptions!$B96)*DW96*AF96,"")</f>
        <v>0</v>
      </c>
      <c r="CC96" s="41">
        <f ca="1">IFERROR(SUMIFS('TRA balance'!AD$5:AD$40,'TRA balance'!$C$5:$C$40,Assumptions!$C96,'TRA balance'!$D$5:$D$40,Assumptions!$B96)*DX96*AG96,"")</f>
        <v>0.5507986608</v>
      </c>
      <c r="CD96" s="41">
        <f ca="1">IFERROR(SUMIFS('TRA balance'!AE$5:AE$40,'TRA balance'!$C$5:$C$40,Assumptions!$C96,'TRA balance'!$D$5:$D$40,Assumptions!$B96)*DY96*AH96,"")</f>
        <v>0</v>
      </c>
      <c r="CE96" s="41">
        <f ca="1">IFERROR(SUMIFS('TRA balance'!AF$5:AF$40,'TRA balance'!$C$5:$C$40,Assumptions!$C96,'TRA balance'!$D$5:$D$40,Assumptions!$B96)*DZ96*AI96,"")</f>
        <v>0.1933506108</v>
      </c>
      <c r="CF96" s="41">
        <f ca="1">IFERROR(SUMIFS('TRA balance'!AG$5:AG$40,'TRA balance'!$C$5:$C$40,Assumptions!$C96,'TRA balance'!$D$5:$D$40,Assumptions!$B96)*EA96*AJ96,"")</f>
        <v>0</v>
      </c>
      <c r="CG96" s="41">
        <f ca="1">IFERROR(SUMIFS('TRA balance'!AH$5:AH$40,'TRA balance'!$C$5:$C$40,Assumptions!$C96,'TRA balance'!$D$5:$D$40,Assumptions!$B96)*EB96*AK96,"")</f>
        <v>0</v>
      </c>
      <c r="CH96" s="41">
        <f ca="1">IFERROR(SUMIFS('TRA balance'!AI$5:AI$40,'TRA balance'!$C$5:$C$40,Assumptions!$C96,'TRA balance'!$D$5:$D$40,Assumptions!$B96)*EC96*AL96,"")</f>
        <v>0</v>
      </c>
      <c r="CI96" s="41">
        <f ca="1">IFERROR(SUMIFS('TRA balance'!AJ$5:AJ$40,'TRA balance'!$C$5:$C$40,Assumptions!$C96,'TRA balance'!$D$5:$D$40,Assumptions!$B96)*ED96*AM96,"")</f>
        <v>0</v>
      </c>
      <c r="CJ96" s="41">
        <f ca="1">IFERROR(SUMIFS('TRA balance'!AK$5:AK$40,'TRA balance'!$C$5:$C$40,Assumptions!$C96,'TRA balance'!$D$5:$D$40,Assumptions!$B96)*EE96*AN96,"")</f>
        <v>0</v>
      </c>
      <c r="CK96" s="41">
        <f ca="1">IFERROR(SUMIFS('TRA balance'!AL$5:AL$40,'TRA balance'!$C$5:$C$40,Assumptions!$C96,'TRA balance'!$D$5:$D$40,Assumptions!$B96)*EF96*AO96,"")</f>
        <v>0</v>
      </c>
      <c r="CL96" s="41">
        <f ca="1">IFERROR(SUMIFS('TRA balance'!AM$5:AM$40,'TRA balance'!$C$5:$C$40,Assumptions!$C96,'TRA balance'!$D$5:$D$40,Assumptions!$B96)*EG96*AP96,"")</f>
        <v>0.0131381784</v>
      </c>
      <c r="CM96" s="41">
        <f ca="1">IFERROR(SUMIFS('TRA balance'!AN$5:AN$40,'TRA balance'!$C$5:$C$40,Assumptions!$C96,'TRA balance'!$D$5:$D$40,Assumptions!$B96)*EH96*AQ96,"")</f>
        <v>0</v>
      </c>
      <c r="CN96" s="41">
        <f ca="1">IFERROR(SUMIFS('TRA balance'!AO$5:AO$40,'TRA balance'!$C$5:$C$40,Assumptions!$C96,'TRA balance'!$D$5:$D$40,Assumptions!$B96)*EI96*AR96,"")</f>
        <v>0</v>
      </c>
      <c r="CO96" s="41">
        <f ca="1">IFERROR(SUMIFS('TRA balance'!AP$5:AP$40,'TRA balance'!$C$5:$C$40,Assumptions!$C96,'TRA balance'!$D$5:$D$40,Assumptions!$B96)*EJ96*AS96,"")</f>
        <v>0</v>
      </c>
      <c r="CP96" s="41">
        <f ca="1">IFERROR(SUMIFS('TRA balance'!AQ$5:AQ$40,'TRA balance'!$C$5:$C$40,Assumptions!$C96,'TRA balance'!$D$5:$D$40,Assumptions!$B96)*EK96*AT96,"")</f>
        <v>0</v>
      </c>
      <c r="CQ96" s="41">
        <f ca="1">IFERROR(SUMIFS('TRA balance'!AR$5:AR$40,'TRA balance'!$C$5:$C$40,Assumptions!$C96,'TRA balance'!$D$5:$D$40,Assumptions!$B96)*EL96*AU96,"")</f>
        <v>0</v>
      </c>
      <c r="CR96" s="41">
        <f ca="1">IFERROR(SUMIFS('TRA balance'!AS$5:AS$40,'TRA balance'!$C$5:$C$40,Assumptions!$C96,'TRA balance'!$D$5:$D$40,Assumptions!$B96)*EM96*AV96,"")</f>
        <v>0</v>
      </c>
      <c r="CS96" s="41">
        <f ca="1">IFERROR(SUMIFS('TRA balance'!AT$5:AT$40,'TRA balance'!$C$5:$C$40,Assumptions!$C96,'TRA balance'!$D$5:$D$40,Assumptions!$B96)*EN96*AW96,"")</f>
        <v>0</v>
      </c>
      <c r="CT96" s="41">
        <f ca="1">IFERROR(SUMIFS('TRA balance'!AU$5:AU$40,'TRA balance'!$C$5:$C$40,Assumptions!$C96,'TRA balance'!$D$5:$D$40,Assumptions!$B96)*EO96*AX96,"")</f>
        <v>0</v>
      </c>
      <c r="CU96" s="41">
        <f ca="1">IFERROR(SUMIFS('TRA balance'!AV$5:AV$40,'TRA balance'!$C$5:$C$40,Assumptions!$C96,'TRA balance'!$D$5:$D$40,Assumptions!$B96)*EP96*AY96,"")</f>
        <v>0</v>
      </c>
      <c r="CV96" s="41">
        <f ca="1">IFERROR(SUMIFS('TRA balance'!AW$5:AW$40,'TRA balance'!$C$5:$C$40,Assumptions!$C96,'TRA balance'!$D$5:$D$40,Assumptions!$B96)*EQ96*AZ96,"")</f>
        <v>0</v>
      </c>
      <c r="CW96" s="41">
        <f ca="1">IFERROR(SUMIFS('TRA balance'!AX$5:AX$40,'TRA balance'!$C$5:$C$40,Assumptions!$C96,'TRA balance'!$D$5:$D$40,Assumptions!$B96)*ER96*BA96,"")</f>
        <v>0</v>
      </c>
      <c r="CY96" s="40">
        <f ca="1" t="shared" si="86"/>
        <v>1</v>
      </c>
      <c r="CZ96" s="40">
        <f ca="1" t="shared" si="87"/>
        <v>1</v>
      </c>
      <c r="DA96" s="40">
        <f ca="1" t="shared" si="88"/>
        <v>0</v>
      </c>
      <c r="DB96" s="40">
        <f ca="1" t="shared" si="89"/>
        <v>0</v>
      </c>
      <c r="DC96" s="40">
        <f ca="1" t="shared" si="90"/>
        <v>1</v>
      </c>
      <c r="DD96" s="40">
        <f ca="1" t="shared" si="91"/>
        <v>0</v>
      </c>
      <c r="DE96" s="40">
        <f ca="1" t="shared" si="92"/>
        <v>0.5</v>
      </c>
      <c r="DF96" s="40">
        <f ca="1" t="shared" si="93"/>
        <v>0.2</v>
      </c>
      <c r="DG96" s="40">
        <f ca="1" t="shared" si="94"/>
        <v>1</v>
      </c>
      <c r="DH96" s="40">
        <f ca="1" t="shared" si="95"/>
        <v>1</v>
      </c>
      <c r="DI96" s="40">
        <f ca="1" t="shared" si="96"/>
        <v>0</v>
      </c>
      <c r="DJ96" s="40">
        <f ca="1" t="shared" si="97"/>
        <v>0</v>
      </c>
      <c r="DK96" s="40">
        <f ca="1" t="shared" si="98"/>
        <v>0</v>
      </c>
      <c r="DL96" s="40">
        <f ca="1" t="shared" si="99"/>
        <v>1</v>
      </c>
      <c r="DM96" s="40">
        <f ca="1" t="shared" si="100"/>
        <v>0</v>
      </c>
      <c r="DN96" s="40">
        <f ca="1" t="shared" si="101"/>
        <v>1</v>
      </c>
      <c r="DO96" s="40">
        <f ca="1" t="shared" si="102"/>
        <v>0</v>
      </c>
      <c r="DP96" s="40">
        <f ca="1" t="shared" si="103"/>
        <v>0</v>
      </c>
      <c r="DQ96" s="40">
        <f ca="1" t="shared" si="104"/>
        <v>0</v>
      </c>
      <c r="DR96" s="40">
        <f ca="1" t="shared" si="105"/>
        <v>0.5</v>
      </c>
      <c r="DS96" s="40">
        <f ca="1" t="shared" si="106"/>
        <v>1</v>
      </c>
      <c r="DT96" s="40">
        <f ca="1" t="shared" si="107"/>
        <v>0</v>
      </c>
      <c r="DU96" s="40">
        <f ca="1" t="shared" si="108"/>
        <v>0</v>
      </c>
      <c r="DV96" s="40">
        <f ca="1" t="shared" si="109"/>
        <v>1</v>
      </c>
      <c r="DW96" s="40">
        <f ca="1" t="shared" si="110"/>
        <v>0</v>
      </c>
      <c r="DX96" s="40">
        <f ca="1" t="shared" si="111"/>
        <v>1</v>
      </c>
      <c r="DY96" s="40">
        <f ca="1" t="shared" si="112"/>
        <v>1</v>
      </c>
      <c r="DZ96" s="40">
        <f ca="1" t="shared" si="113"/>
        <v>1</v>
      </c>
      <c r="EA96" s="40">
        <f ca="1" t="shared" si="114"/>
        <v>0</v>
      </c>
      <c r="EB96" s="40">
        <f ca="1" t="shared" si="115"/>
        <v>0</v>
      </c>
      <c r="EC96" s="40">
        <f ca="1" t="shared" si="116"/>
        <v>0</v>
      </c>
      <c r="ED96" s="40">
        <f ca="1" t="shared" si="117"/>
        <v>1</v>
      </c>
      <c r="EE96" s="40">
        <f ca="1" t="shared" si="118"/>
        <v>0</v>
      </c>
      <c r="EF96" s="40">
        <f ca="1" t="shared" si="119"/>
        <v>1</v>
      </c>
      <c r="EG96" s="40">
        <f ca="1" t="shared" si="120"/>
        <v>1</v>
      </c>
      <c r="EH96" s="40">
        <f ca="1" t="shared" si="121"/>
        <v>0</v>
      </c>
      <c r="EI96" s="40">
        <f ca="1" t="shared" si="122"/>
        <v>0</v>
      </c>
      <c r="EJ96" s="40">
        <f ca="1" t="shared" si="123"/>
        <v>0</v>
      </c>
      <c r="EK96" s="40">
        <f ca="1" t="shared" si="124"/>
        <v>0</v>
      </c>
      <c r="EL96" s="40">
        <f ca="1" t="shared" si="125"/>
        <v>0</v>
      </c>
      <c r="EM96" s="40">
        <f ca="1" t="shared" si="126"/>
        <v>0</v>
      </c>
      <c r="EN96" s="40">
        <f ca="1" t="shared" si="127"/>
        <v>0</v>
      </c>
      <c r="EO96" s="40">
        <f ca="1" t="shared" si="128"/>
        <v>0</v>
      </c>
      <c r="EP96" s="40">
        <f ca="1" t="shared" si="129"/>
        <v>0</v>
      </c>
      <c r="EQ96" s="40">
        <f ca="1" t="shared" si="130"/>
        <v>0</v>
      </c>
      <c r="ER96" s="40">
        <f ca="1" t="shared" si="131"/>
        <v>0</v>
      </c>
    </row>
    <row r="97" spans="1:148">
      <c r="A97">
        <v>2</v>
      </c>
      <c r="B97" t="str">
        <f>VLOOKUP(F97,'TRA balance'!$BA$5:$BB$14,2,FALSE)</f>
        <v>TRAELC</v>
      </c>
      <c r="C97" s="56" t="str">
        <f t="shared" si="133"/>
        <v>TR</v>
      </c>
      <c r="D97" s="57" t="s">
        <v>200</v>
      </c>
      <c r="E97" s="68" t="s">
        <v>214</v>
      </c>
      <c r="F97" s="58" t="str">
        <f t="shared" ref="F97:F103" si="146">F96</f>
        <v>Electricity</v>
      </c>
      <c r="G97" s="56" t="s">
        <v>215</v>
      </c>
      <c r="H97" s="59">
        <f ca="1">OFFSET(TIAM15_assumptions!$G97,0,MATCH(VLOOKUP(Assumptions!H$2,TIAM15_assumptions!$Y$3:$Z$87,2,FALSE),TIAM15_assumptions!$H$2:$V$2,0))</f>
        <v>0</v>
      </c>
      <c r="I97" s="59">
        <f ca="1">OFFSET(TIAM15_assumptions!$G97,0,MATCH(VLOOKUP(Assumptions!I$2,TIAM15_assumptions!$Y$3:$Z$87,2,FALSE),TIAM15_assumptions!$H$2:$V$2,0))</f>
        <v>0</v>
      </c>
      <c r="J97" s="59">
        <f ca="1">OFFSET(TIAM15_assumptions!$G97,0,MATCH(VLOOKUP(Assumptions!J$2,TIAM15_assumptions!$Y$3:$Z$87,2,FALSE),TIAM15_assumptions!$H$2:$V$2,0))</f>
        <v>0</v>
      </c>
      <c r="K97" s="59">
        <f ca="1">OFFSET(TIAM15_assumptions!$G97,0,MATCH(VLOOKUP(Assumptions!K$2,TIAM15_assumptions!$Y$3:$Z$87,2,FALSE),TIAM15_assumptions!$H$2:$V$2,0))</f>
        <v>0</v>
      </c>
      <c r="L97" s="59">
        <f ca="1">OFFSET(TIAM15_assumptions!$G97,0,MATCH(VLOOKUP(Assumptions!L$2,TIAM15_assumptions!$Y$3:$Z$87,2,FALSE),TIAM15_assumptions!$H$2:$V$2,0))</f>
        <v>0</v>
      </c>
      <c r="M97" s="59">
        <f ca="1">OFFSET(TIAM15_assumptions!$G97,0,MATCH(VLOOKUP(Assumptions!M$2,TIAM15_assumptions!$Y$3:$Z$87,2,FALSE),TIAM15_assumptions!$H$2:$V$2,0))</f>
        <v>0</v>
      </c>
      <c r="N97" s="59">
        <f ca="1">OFFSET(TIAM15_assumptions!$G97,0,MATCH(VLOOKUP(Assumptions!N$2,TIAM15_assumptions!$Y$3:$Z$87,2,FALSE),TIAM15_assumptions!$H$2:$V$2,0))</f>
        <v>0</v>
      </c>
      <c r="O97" s="59">
        <f ca="1">OFFSET(TIAM15_assumptions!$G97,0,MATCH(VLOOKUP(Assumptions!O$2,TIAM15_assumptions!$Y$3:$Z$87,2,FALSE),TIAM15_assumptions!$H$2:$V$2,0))</f>
        <v>0</v>
      </c>
      <c r="P97" s="59">
        <f ca="1">OFFSET(TIAM15_assumptions!$G97,0,MATCH(VLOOKUP(Assumptions!P$2,TIAM15_assumptions!$Y$3:$Z$87,2,FALSE),TIAM15_assumptions!$H$2:$V$2,0))</f>
        <v>0</v>
      </c>
      <c r="Q97" s="59">
        <f ca="1">OFFSET(TIAM15_assumptions!$G97,0,MATCH(VLOOKUP(Assumptions!Q$2,TIAM15_assumptions!$Y$3:$Z$87,2,FALSE),TIAM15_assumptions!$H$2:$V$2,0))</f>
        <v>0</v>
      </c>
      <c r="R97" s="59">
        <f ca="1">OFFSET(TIAM15_assumptions!$G97,0,MATCH(VLOOKUP(Assumptions!R$2,TIAM15_assumptions!$Y$3:$Z$87,2,FALSE),TIAM15_assumptions!$H$2:$V$2,0))</f>
        <v>0</v>
      </c>
      <c r="S97" s="59">
        <f ca="1">OFFSET(TIAM15_assumptions!$G97,0,MATCH(VLOOKUP(Assumptions!S$2,TIAM15_assumptions!$Y$3:$Z$87,2,FALSE),TIAM15_assumptions!$H$2:$V$2,0))</f>
        <v>0</v>
      </c>
      <c r="T97" s="59">
        <f ca="1">OFFSET(TIAM15_assumptions!$G97,0,MATCH(VLOOKUP(Assumptions!T$2,TIAM15_assumptions!$Y$3:$Z$87,2,FALSE),TIAM15_assumptions!$H$2:$V$2,0))</f>
        <v>0</v>
      </c>
      <c r="U97" s="59">
        <f ca="1">OFFSET(TIAM15_assumptions!$G97,0,MATCH(VLOOKUP(Assumptions!U$2,TIAM15_assumptions!$Y$3:$Z$87,2,FALSE),TIAM15_assumptions!$H$2:$V$2,0))</f>
        <v>0</v>
      </c>
      <c r="V97" s="59">
        <f ca="1">OFFSET(TIAM15_assumptions!$G97,0,MATCH(VLOOKUP(Assumptions!V$2,TIAM15_assumptions!$Y$3:$Z$87,2,FALSE),TIAM15_assumptions!$H$2:$V$2,0))</f>
        <v>0</v>
      </c>
      <c r="W97" s="59">
        <f ca="1">OFFSET(TIAM15_assumptions!$G97,0,MATCH(VLOOKUP(Assumptions!W$2,TIAM15_assumptions!$Y$3:$Z$87,2,FALSE),TIAM15_assumptions!$H$2:$V$2,0))</f>
        <v>0</v>
      </c>
      <c r="X97" s="59">
        <f ca="1">OFFSET(TIAM15_assumptions!$G97,0,MATCH(VLOOKUP(Assumptions!X$2,TIAM15_assumptions!$Y$3:$Z$87,2,FALSE),TIAM15_assumptions!$H$2:$V$2,0))</f>
        <v>0</v>
      </c>
      <c r="Y97" s="59">
        <f ca="1">OFFSET(TIAM15_assumptions!$G97,0,MATCH(VLOOKUP(Assumptions!Y$2,TIAM15_assumptions!$Y$3:$Z$87,2,FALSE),TIAM15_assumptions!$H$2:$V$2,0))</f>
        <v>0</v>
      </c>
      <c r="Z97" s="59">
        <f ca="1">OFFSET(TIAM15_assumptions!$G97,0,MATCH(VLOOKUP(Assumptions!Z$2,TIAM15_assumptions!$Y$3:$Z$87,2,FALSE),TIAM15_assumptions!$H$2:$V$2,0))</f>
        <v>0</v>
      </c>
      <c r="AA97" s="59">
        <f ca="1">OFFSET(TIAM15_assumptions!$G97,0,MATCH(VLOOKUP(Assumptions!AA$2,TIAM15_assumptions!$Y$3:$Z$87,2,FALSE),TIAM15_assumptions!$H$2:$V$2,0))</f>
        <v>0</v>
      </c>
      <c r="AB97" s="59">
        <f ca="1">OFFSET(TIAM15_assumptions!$G97,0,MATCH(VLOOKUP(Assumptions!AB$2,TIAM15_assumptions!$Y$3:$Z$87,2,FALSE),TIAM15_assumptions!$H$2:$V$2,0))</f>
        <v>0</v>
      </c>
      <c r="AC97" s="59">
        <f ca="1">OFFSET(TIAM15_assumptions!$G97,0,MATCH(VLOOKUP(Assumptions!AC$2,TIAM15_assumptions!$Y$3:$Z$87,2,FALSE),TIAM15_assumptions!$H$2:$V$2,0))</f>
        <v>0</v>
      </c>
      <c r="AD97" s="59">
        <f ca="1">OFFSET(TIAM15_assumptions!$G97,0,MATCH(VLOOKUP(Assumptions!AD$2,TIAM15_assumptions!$Y$3:$Z$87,2,FALSE),TIAM15_assumptions!$H$2:$V$2,0))</f>
        <v>0</v>
      </c>
      <c r="AE97" s="59">
        <f ca="1">OFFSET(TIAM15_assumptions!$G97,0,MATCH(VLOOKUP(Assumptions!AE$2,TIAM15_assumptions!$Y$3:$Z$87,2,FALSE),TIAM15_assumptions!$H$2:$V$2,0))</f>
        <v>0</v>
      </c>
      <c r="AF97" s="59">
        <f ca="1">OFFSET(TIAM15_assumptions!$G97,0,MATCH(VLOOKUP(Assumptions!AF$2,TIAM15_assumptions!$Y$3:$Z$87,2,FALSE),TIAM15_assumptions!$H$2:$V$2,0))</f>
        <v>0</v>
      </c>
      <c r="AG97" s="59">
        <f ca="1">OFFSET(TIAM15_assumptions!$G97,0,MATCH(VLOOKUP(Assumptions!AG$2,TIAM15_assumptions!$Y$3:$Z$87,2,FALSE),TIAM15_assumptions!$H$2:$V$2,0))</f>
        <v>0</v>
      </c>
      <c r="AH97" s="59">
        <f ca="1">OFFSET(TIAM15_assumptions!$G97,0,MATCH(VLOOKUP(Assumptions!AH$2,TIAM15_assumptions!$Y$3:$Z$87,2,FALSE),TIAM15_assumptions!$H$2:$V$2,0))</f>
        <v>0</v>
      </c>
      <c r="AI97" s="59">
        <f ca="1">OFFSET(TIAM15_assumptions!$G97,0,MATCH(VLOOKUP(Assumptions!AI$2,TIAM15_assumptions!$Y$3:$Z$87,2,FALSE),TIAM15_assumptions!$H$2:$V$2,0))</f>
        <v>0</v>
      </c>
      <c r="AJ97" s="59">
        <f ca="1">OFFSET(TIAM15_assumptions!$G97,0,MATCH(VLOOKUP(Assumptions!AJ$2,TIAM15_assumptions!$Y$3:$Z$87,2,FALSE),TIAM15_assumptions!$H$2:$V$2,0))</f>
        <v>0</v>
      </c>
      <c r="AK97" s="59">
        <f ca="1">OFFSET(TIAM15_assumptions!$G97,0,MATCH(VLOOKUP(Assumptions!AK$2,TIAM15_assumptions!$Y$3:$Z$87,2,FALSE),TIAM15_assumptions!$H$2:$V$2,0))</f>
        <v>0</v>
      </c>
      <c r="AL97" s="59">
        <f ca="1">OFFSET(TIAM15_assumptions!$G97,0,MATCH(VLOOKUP(Assumptions!AL$2,TIAM15_assumptions!$Y$3:$Z$87,2,FALSE),TIAM15_assumptions!$H$2:$V$2,0))</f>
        <v>0</v>
      </c>
      <c r="AM97" s="59">
        <f ca="1">OFFSET(TIAM15_assumptions!$G97,0,MATCH(VLOOKUP(Assumptions!AM$2,TIAM15_assumptions!$Y$3:$Z$87,2,FALSE),TIAM15_assumptions!$H$2:$V$2,0))</f>
        <v>0</v>
      </c>
      <c r="AN97" s="59">
        <f ca="1">OFFSET(TIAM15_assumptions!$G97,0,MATCH(VLOOKUP(Assumptions!AN$2,TIAM15_assumptions!$Y$3:$Z$87,2,FALSE),TIAM15_assumptions!$H$2:$V$2,0))</f>
        <v>0</v>
      </c>
      <c r="AO97" s="59">
        <f ca="1">OFFSET(TIAM15_assumptions!$G97,0,MATCH(VLOOKUP(Assumptions!AO$2,TIAM15_assumptions!$Y$3:$Z$87,2,FALSE),TIAM15_assumptions!$H$2:$V$2,0))</f>
        <v>0</v>
      </c>
      <c r="AP97" s="59">
        <f ca="1">OFFSET(TIAM15_assumptions!$G97,0,MATCH(VLOOKUP(Assumptions!AP$2,TIAM15_assumptions!$Y$3:$Z$87,2,FALSE),TIAM15_assumptions!$H$2:$V$2,0))</f>
        <v>0</v>
      </c>
      <c r="AQ97" s="59">
        <f ca="1">OFFSET(TIAM15_assumptions!$G97,0,MATCH(VLOOKUP(Assumptions!AQ$2,TIAM15_assumptions!$Y$3:$Z$87,2,FALSE),TIAM15_assumptions!$H$2:$V$2,0))</f>
        <v>0</v>
      </c>
      <c r="AR97" s="59">
        <f ca="1">OFFSET(TIAM15_assumptions!$G97,0,MATCH(VLOOKUP(Assumptions!AR$2,TIAM15_assumptions!$Y$3:$Z$87,2,FALSE),TIAM15_assumptions!$H$2:$V$2,0))</f>
        <v>0</v>
      </c>
      <c r="AS97" s="59">
        <f ca="1">OFFSET(TIAM15_assumptions!$G97,0,MATCH(VLOOKUP(Assumptions!AS$2,TIAM15_assumptions!$Y$3:$Z$87,2,FALSE),TIAM15_assumptions!$H$2:$V$2,0))</f>
        <v>0</v>
      </c>
      <c r="AT97" s="59">
        <f ca="1">OFFSET(TIAM15_assumptions!$G97,0,MATCH(VLOOKUP(Assumptions!AT$2,TIAM15_assumptions!$Y$3:$Z$87,2,FALSE),TIAM15_assumptions!$H$2:$V$2,0))</f>
        <v>0</v>
      </c>
      <c r="AU97" s="59">
        <f ca="1">OFFSET(TIAM15_assumptions!$G97,0,MATCH(VLOOKUP(Assumptions!AU$2,TIAM15_assumptions!$Y$3:$Z$87,2,FALSE),TIAM15_assumptions!$H$2:$V$2,0))</f>
        <v>0</v>
      </c>
      <c r="AV97" s="59">
        <f ca="1">OFFSET(TIAM15_assumptions!$G97,0,MATCH(VLOOKUP(Assumptions!AV$2,TIAM15_assumptions!$Y$3:$Z$87,2,FALSE),TIAM15_assumptions!$H$2:$V$2,0))</f>
        <v>0</v>
      </c>
      <c r="AW97" s="59">
        <f ca="1">OFFSET(TIAM15_assumptions!$G97,0,MATCH(VLOOKUP(Assumptions!AW$2,TIAM15_assumptions!$Y$3:$Z$87,2,FALSE),TIAM15_assumptions!$H$2:$V$2,0))</f>
        <v>0</v>
      </c>
      <c r="AX97" s="59">
        <f ca="1">OFFSET(TIAM15_assumptions!$G97,0,MATCH(VLOOKUP(Assumptions!AX$2,TIAM15_assumptions!$Y$3:$Z$87,2,FALSE),TIAM15_assumptions!$H$2:$V$2,0))</f>
        <v>0</v>
      </c>
      <c r="AY97" s="59">
        <f ca="1">OFFSET(TIAM15_assumptions!$G97,0,MATCH(VLOOKUP(Assumptions!AY$2,TIAM15_assumptions!$Y$3:$Z$87,2,FALSE),TIAM15_assumptions!$H$2:$V$2,0))</f>
        <v>0</v>
      </c>
      <c r="AZ97" s="59">
        <f ca="1">OFFSET(TIAM15_assumptions!$G97,0,MATCH(VLOOKUP(Assumptions!AZ$2,TIAM15_assumptions!$Y$3:$Z$87,2,FALSE),TIAM15_assumptions!$H$2:$V$2,0))</f>
        <v>0</v>
      </c>
      <c r="BA97" s="59">
        <f ca="1">OFFSET(TIAM15_assumptions!$G97,0,MATCH(VLOOKUP(Assumptions!BA$2,TIAM15_assumptions!$Y$3:$Z$87,2,FALSE),TIAM15_assumptions!$H$2:$V$2,0))</f>
        <v>0</v>
      </c>
      <c r="BD97" s="41">
        <f ca="1">IFERROR(SUMIFS('TRA balance'!E$5:E$40,'TRA balance'!$C$5:$C$40,Assumptions!$C97,'TRA balance'!$D$5:$D$40,Assumptions!$B97)*CY97*H97,"")</f>
        <v>0</v>
      </c>
      <c r="BE97" s="41">
        <f ca="1">IFERROR(SUMIFS('TRA balance'!F$5:F$40,'TRA balance'!$C$5:$C$40,Assumptions!$C97,'TRA balance'!$D$5:$D$40,Assumptions!$B97)*CZ97*I97,"")</f>
        <v>0</v>
      </c>
      <c r="BF97" s="41">
        <f ca="1">IFERROR(SUMIFS('TRA balance'!G$5:G$40,'TRA balance'!$C$5:$C$40,Assumptions!$C97,'TRA balance'!$D$5:$D$40,Assumptions!$B97)*DA97*J97,"")</f>
        <v>0</v>
      </c>
      <c r="BG97" s="41">
        <f ca="1">IFERROR(SUMIFS('TRA balance'!H$5:H$40,'TRA balance'!$C$5:$C$40,Assumptions!$C97,'TRA balance'!$D$5:$D$40,Assumptions!$B97)*DB97*K97,"")</f>
        <v>0</v>
      </c>
      <c r="BH97" s="41">
        <f ca="1">IFERROR(SUMIFS('TRA balance'!I$5:I$40,'TRA balance'!$C$5:$C$40,Assumptions!$C97,'TRA balance'!$D$5:$D$40,Assumptions!$B97)*DC97*L97,"")</f>
        <v>0</v>
      </c>
      <c r="BI97" s="41">
        <f ca="1">IFERROR(SUMIFS('TRA balance'!J$5:J$40,'TRA balance'!$C$5:$C$40,Assumptions!$C97,'TRA balance'!$D$5:$D$40,Assumptions!$B97)*DD97*M97,"")</f>
        <v>0</v>
      </c>
      <c r="BJ97" s="41">
        <f ca="1">IFERROR(SUMIFS('TRA balance'!K$5:K$40,'TRA balance'!$C$5:$C$40,Assumptions!$C97,'TRA balance'!$D$5:$D$40,Assumptions!$B97)*DE97*N97,"")</f>
        <v>0</v>
      </c>
      <c r="BK97" s="41">
        <f ca="1">IFERROR(SUMIFS('TRA balance'!L$5:L$40,'TRA balance'!$C$5:$C$40,Assumptions!$C97,'TRA balance'!$D$5:$D$40,Assumptions!$B97)*DF97*O97,"")</f>
        <v>0</v>
      </c>
      <c r="BL97" s="41">
        <f ca="1">IFERROR(SUMIFS('TRA balance'!M$5:M$40,'TRA balance'!$C$5:$C$40,Assumptions!$C97,'TRA balance'!$D$5:$D$40,Assumptions!$B97)*DG97*P97,"")</f>
        <v>0</v>
      </c>
      <c r="BM97" s="41">
        <f ca="1">IFERROR(SUMIFS('TRA balance'!N$5:N$40,'TRA balance'!$C$5:$C$40,Assumptions!$C97,'TRA balance'!$D$5:$D$40,Assumptions!$B97)*DH97*Q97,"")</f>
        <v>0</v>
      </c>
      <c r="BN97" s="41">
        <f ca="1">IFERROR(SUMIFS('TRA balance'!O$5:O$40,'TRA balance'!$C$5:$C$40,Assumptions!$C97,'TRA balance'!$D$5:$D$40,Assumptions!$B97)*DI97*R97,"")</f>
        <v>0</v>
      </c>
      <c r="BO97" s="41">
        <f ca="1">IFERROR(SUMIFS('TRA balance'!P$5:P$40,'TRA balance'!$C$5:$C$40,Assumptions!$C97,'TRA balance'!$D$5:$D$40,Assumptions!$B97)*DJ97*S97,"")</f>
        <v>0</v>
      </c>
      <c r="BP97" s="41">
        <f ca="1">IFERROR(SUMIFS('TRA balance'!Q$5:Q$40,'TRA balance'!$C$5:$C$40,Assumptions!$C97,'TRA balance'!$D$5:$D$40,Assumptions!$B97)*DK97*T97,"")</f>
        <v>0</v>
      </c>
      <c r="BQ97" s="41">
        <f ca="1">IFERROR(SUMIFS('TRA balance'!R$5:R$40,'TRA balance'!$C$5:$C$40,Assumptions!$C97,'TRA balance'!$D$5:$D$40,Assumptions!$B97)*DL97*U97,"")</f>
        <v>0</v>
      </c>
      <c r="BR97" s="41">
        <f ca="1">IFERROR(SUMIFS('TRA balance'!S$5:S$40,'TRA balance'!$C$5:$C$40,Assumptions!$C97,'TRA balance'!$D$5:$D$40,Assumptions!$B97)*DM97*V97,"")</f>
        <v>0</v>
      </c>
      <c r="BS97" s="41">
        <f ca="1">IFERROR(SUMIFS('TRA balance'!T$5:T$40,'TRA balance'!$C$5:$C$40,Assumptions!$C97,'TRA balance'!$D$5:$D$40,Assumptions!$B97)*DN97*W97,"")</f>
        <v>0</v>
      </c>
      <c r="BT97" s="41">
        <f ca="1">IFERROR(SUMIFS('TRA balance'!U$5:U$40,'TRA balance'!$C$5:$C$40,Assumptions!$C97,'TRA balance'!$D$5:$D$40,Assumptions!$B97)*DO97*X97,"")</f>
        <v>0</v>
      </c>
      <c r="BU97" s="41">
        <f ca="1">IFERROR(SUMIFS('TRA balance'!V$5:V$40,'TRA balance'!$C$5:$C$40,Assumptions!$C97,'TRA balance'!$D$5:$D$40,Assumptions!$B97)*DP97*Y97,"")</f>
        <v>0</v>
      </c>
      <c r="BV97" s="41">
        <f ca="1">IFERROR(SUMIFS('TRA balance'!W$5:W$40,'TRA balance'!$C$5:$C$40,Assumptions!$C97,'TRA balance'!$D$5:$D$40,Assumptions!$B97)*DQ97*Z97,"")</f>
        <v>0</v>
      </c>
      <c r="BW97" s="41">
        <f ca="1">IFERROR(SUMIFS('TRA balance'!X$5:X$40,'TRA balance'!$C$5:$C$40,Assumptions!$C97,'TRA balance'!$D$5:$D$40,Assumptions!$B97)*DR97*AA97,"")</f>
        <v>0</v>
      </c>
      <c r="BX97" s="41">
        <f ca="1">IFERROR(SUMIFS('TRA balance'!Y$5:Y$40,'TRA balance'!$C$5:$C$40,Assumptions!$C97,'TRA balance'!$D$5:$D$40,Assumptions!$B97)*DS97*AB97,"")</f>
        <v>0</v>
      </c>
      <c r="BY97" s="41">
        <f ca="1">IFERROR(SUMIFS('TRA balance'!Z$5:Z$40,'TRA balance'!$C$5:$C$40,Assumptions!$C97,'TRA balance'!$D$5:$D$40,Assumptions!$B97)*DT97*AC97,"")</f>
        <v>0</v>
      </c>
      <c r="BZ97" s="41">
        <f ca="1">IFERROR(SUMIFS('TRA balance'!AA$5:AA$40,'TRA balance'!$C$5:$C$40,Assumptions!$C97,'TRA balance'!$D$5:$D$40,Assumptions!$B97)*DU97*AD97,"")</f>
        <v>0</v>
      </c>
      <c r="CA97" s="41">
        <f ca="1">IFERROR(SUMIFS('TRA balance'!AB$5:AB$40,'TRA balance'!$C$5:$C$40,Assumptions!$C97,'TRA balance'!$D$5:$D$40,Assumptions!$B97)*DV97*AE97,"")</f>
        <v>0</v>
      </c>
      <c r="CB97" s="41">
        <f ca="1">IFERROR(SUMIFS('TRA balance'!AC$5:AC$40,'TRA balance'!$C$5:$C$40,Assumptions!$C97,'TRA balance'!$D$5:$D$40,Assumptions!$B97)*DW97*AF97,"")</f>
        <v>0</v>
      </c>
      <c r="CC97" s="41">
        <f ca="1">IFERROR(SUMIFS('TRA balance'!AD$5:AD$40,'TRA balance'!$C$5:$C$40,Assumptions!$C97,'TRA balance'!$D$5:$D$40,Assumptions!$B97)*DX97*AG97,"")</f>
        <v>0</v>
      </c>
      <c r="CD97" s="41">
        <f ca="1">IFERROR(SUMIFS('TRA balance'!AE$5:AE$40,'TRA balance'!$C$5:$C$40,Assumptions!$C97,'TRA balance'!$D$5:$D$40,Assumptions!$B97)*DY97*AH97,"")</f>
        <v>0</v>
      </c>
      <c r="CE97" s="41">
        <f ca="1">IFERROR(SUMIFS('TRA balance'!AF$5:AF$40,'TRA balance'!$C$5:$C$40,Assumptions!$C97,'TRA balance'!$D$5:$D$40,Assumptions!$B97)*DZ97*AI97,"")</f>
        <v>0</v>
      </c>
      <c r="CF97" s="41">
        <f ca="1">IFERROR(SUMIFS('TRA balance'!AG$5:AG$40,'TRA balance'!$C$5:$C$40,Assumptions!$C97,'TRA balance'!$D$5:$D$40,Assumptions!$B97)*EA97*AJ97,"")</f>
        <v>0</v>
      </c>
      <c r="CG97" s="41">
        <f ca="1">IFERROR(SUMIFS('TRA balance'!AH$5:AH$40,'TRA balance'!$C$5:$C$40,Assumptions!$C97,'TRA balance'!$D$5:$D$40,Assumptions!$B97)*EB97*AK97,"")</f>
        <v>0</v>
      </c>
      <c r="CH97" s="41">
        <f ca="1">IFERROR(SUMIFS('TRA balance'!AI$5:AI$40,'TRA balance'!$C$5:$C$40,Assumptions!$C97,'TRA balance'!$D$5:$D$40,Assumptions!$B97)*EC97*AL97,"")</f>
        <v>0</v>
      </c>
      <c r="CI97" s="41">
        <f ca="1">IFERROR(SUMIFS('TRA balance'!AJ$5:AJ$40,'TRA balance'!$C$5:$C$40,Assumptions!$C97,'TRA balance'!$D$5:$D$40,Assumptions!$B97)*ED97*AM97,"")</f>
        <v>0</v>
      </c>
      <c r="CJ97" s="41">
        <f ca="1">IFERROR(SUMIFS('TRA balance'!AK$5:AK$40,'TRA balance'!$C$5:$C$40,Assumptions!$C97,'TRA balance'!$D$5:$D$40,Assumptions!$B97)*EE97*AN97,"")</f>
        <v>0</v>
      </c>
      <c r="CK97" s="41">
        <f ca="1">IFERROR(SUMIFS('TRA balance'!AL$5:AL$40,'TRA balance'!$C$5:$C$40,Assumptions!$C97,'TRA balance'!$D$5:$D$40,Assumptions!$B97)*EF97*AO97,"")</f>
        <v>0</v>
      </c>
      <c r="CL97" s="41">
        <f ca="1">IFERROR(SUMIFS('TRA balance'!AM$5:AM$40,'TRA balance'!$C$5:$C$40,Assumptions!$C97,'TRA balance'!$D$5:$D$40,Assumptions!$B97)*EG97*AP97,"")</f>
        <v>0</v>
      </c>
      <c r="CM97" s="41">
        <f ca="1">IFERROR(SUMIFS('TRA balance'!AN$5:AN$40,'TRA balance'!$C$5:$C$40,Assumptions!$C97,'TRA balance'!$D$5:$D$40,Assumptions!$B97)*EH97*AQ97,"")</f>
        <v>0</v>
      </c>
      <c r="CN97" s="41">
        <f ca="1">IFERROR(SUMIFS('TRA balance'!AO$5:AO$40,'TRA balance'!$C$5:$C$40,Assumptions!$C97,'TRA balance'!$D$5:$D$40,Assumptions!$B97)*EI97*AR97,"")</f>
        <v>0</v>
      </c>
      <c r="CO97" s="41">
        <f ca="1">IFERROR(SUMIFS('TRA balance'!AP$5:AP$40,'TRA balance'!$C$5:$C$40,Assumptions!$C97,'TRA balance'!$D$5:$D$40,Assumptions!$B97)*EJ97*AS97,"")</f>
        <v>0</v>
      </c>
      <c r="CP97" s="41">
        <f ca="1">IFERROR(SUMIFS('TRA balance'!AQ$5:AQ$40,'TRA balance'!$C$5:$C$40,Assumptions!$C97,'TRA balance'!$D$5:$D$40,Assumptions!$B97)*EK97*AT97,"")</f>
        <v>0</v>
      </c>
      <c r="CQ97" s="41">
        <f ca="1">IFERROR(SUMIFS('TRA balance'!AR$5:AR$40,'TRA balance'!$C$5:$C$40,Assumptions!$C97,'TRA balance'!$D$5:$D$40,Assumptions!$B97)*EL97*AU97,"")</f>
        <v>0</v>
      </c>
      <c r="CR97" s="41">
        <f ca="1">IFERROR(SUMIFS('TRA balance'!AS$5:AS$40,'TRA balance'!$C$5:$C$40,Assumptions!$C97,'TRA balance'!$D$5:$D$40,Assumptions!$B97)*EM97*AV97,"")</f>
        <v>0</v>
      </c>
      <c r="CS97" s="41">
        <f ca="1">IFERROR(SUMIFS('TRA balance'!AT$5:AT$40,'TRA balance'!$C$5:$C$40,Assumptions!$C97,'TRA balance'!$D$5:$D$40,Assumptions!$B97)*EN97*AW97,"")</f>
        <v>0</v>
      </c>
      <c r="CT97" s="41">
        <f ca="1">IFERROR(SUMIFS('TRA balance'!AU$5:AU$40,'TRA balance'!$C$5:$C$40,Assumptions!$C97,'TRA balance'!$D$5:$D$40,Assumptions!$B97)*EO97*AX97,"")</f>
        <v>0</v>
      </c>
      <c r="CU97" s="41">
        <f ca="1">IFERROR(SUMIFS('TRA balance'!AV$5:AV$40,'TRA balance'!$C$5:$C$40,Assumptions!$C97,'TRA balance'!$D$5:$D$40,Assumptions!$B97)*EP97*AY97,"")</f>
        <v>0</v>
      </c>
      <c r="CV97" s="41">
        <f ca="1">IFERROR(SUMIFS('TRA balance'!AW$5:AW$40,'TRA balance'!$C$5:$C$40,Assumptions!$C97,'TRA balance'!$D$5:$D$40,Assumptions!$B97)*EQ97*AZ97,"")</f>
        <v>0</v>
      </c>
      <c r="CW97" s="41">
        <f ca="1">IFERROR(SUMIFS('TRA balance'!AX$5:AX$40,'TRA balance'!$C$5:$C$40,Assumptions!$C97,'TRA balance'!$D$5:$D$40,Assumptions!$B97)*ER97*BA97,"")</f>
        <v>0</v>
      </c>
      <c r="CY97" s="40">
        <f ca="1" t="shared" si="86"/>
        <v>1</v>
      </c>
      <c r="CZ97" s="40">
        <f ca="1" t="shared" si="87"/>
        <v>1</v>
      </c>
      <c r="DA97" s="40">
        <f ca="1" t="shared" si="88"/>
        <v>0</v>
      </c>
      <c r="DB97" s="40">
        <f ca="1" t="shared" si="89"/>
        <v>0</v>
      </c>
      <c r="DC97" s="40">
        <f ca="1" t="shared" si="90"/>
        <v>1</v>
      </c>
      <c r="DD97" s="40">
        <f ca="1" t="shared" si="91"/>
        <v>0</v>
      </c>
      <c r="DE97" s="40">
        <f ca="1" t="shared" si="92"/>
        <v>0.5</v>
      </c>
      <c r="DF97" s="40">
        <f ca="1" t="shared" si="93"/>
        <v>0.2</v>
      </c>
      <c r="DG97" s="40">
        <f ca="1" t="shared" si="94"/>
        <v>1</v>
      </c>
      <c r="DH97" s="40">
        <f ca="1" t="shared" si="95"/>
        <v>1</v>
      </c>
      <c r="DI97" s="40">
        <f ca="1" t="shared" si="96"/>
        <v>0</v>
      </c>
      <c r="DJ97" s="40">
        <f ca="1" t="shared" si="97"/>
        <v>0</v>
      </c>
      <c r="DK97" s="40">
        <f ca="1" t="shared" si="98"/>
        <v>0</v>
      </c>
      <c r="DL97" s="40">
        <f ca="1" t="shared" si="99"/>
        <v>1</v>
      </c>
      <c r="DM97" s="40">
        <f ca="1" t="shared" si="100"/>
        <v>0</v>
      </c>
      <c r="DN97" s="40">
        <f ca="1" t="shared" si="101"/>
        <v>1</v>
      </c>
      <c r="DO97" s="40">
        <f ca="1" t="shared" si="102"/>
        <v>0</v>
      </c>
      <c r="DP97" s="40">
        <f ca="1" t="shared" si="103"/>
        <v>0</v>
      </c>
      <c r="DQ97" s="40">
        <f ca="1" t="shared" si="104"/>
        <v>0</v>
      </c>
      <c r="DR97" s="40">
        <f ca="1" t="shared" si="105"/>
        <v>0.5</v>
      </c>
      <c r="DS97" s="40">
        <f ca="1" t="shared" si="106"/>
        <v>1</v>
      </c>
      <c r="DT97" s="40">
        <f ca="1" t="shared" si="107"/>
        <v>0</v>
      </c>
      <c r="DU97" s="40">
        <f ca="1" t="shared" si="108"/>
        <v>0</v>
      </c>
      <c r="DV97" s="40">
        <f ca="1" t="shared" si="109"/>
        <v>1</v>
      </c>
      <c r="DW97" s="40">
        <f ca="1" t="shared" si="110"/>
        <v>0</v>
      </c>
      <c r="DX97" s="40">
        <f ca="1" t="shared" si="111"/>
        <v>1</v>
      </c>
      <c r="DY97" s="40">
        <f ca="1" t="shared" si="112"/>
        <v>1</v>
      </c>
      <c r="DZ97" s="40">
        <f ca="1" t="shared" si="113"/>
        <v>1</v>
      </c>
      <c r="EA97" s="40">
        <f ca="1" t="shared" si="114"/>
        <v>0</v>
      </c>
      <c r="EB97" s="40">
        <f ca="1" t="shared" si="115"/>
        <v>0</v>
      </c>
      <c r="EC97" s="40">
        <f ca="1" t="shared" si="116"/>
        <v>0</v>
      </c>
      <c r="ED97" s="40">
        <f ca="1" t="shared" si="117"/>
        <v>1</v>
      </c>
      <c r="EE97" s="40">
        <f ca="1" t="shared" si="118"/>
        <v>0</v>
      </c>
      <c r="EF97" s="40">
        <f ca="1" t="shared" si="119"/>
        <v>1</v>
      </c>
      <c r="EG97" s="40">
        <f ca="1" t="shared" si="120"/>
        <v>1</v>
      </c>
      <c r="EH97" s="40">
        <f ca="1" t="shared" si="121"/>
        <v>0</v>
      </c>
      <c r="EI97" s="40">
        <f ca="1" t="shared" si="122"/>
        <v>0</v>
      </c>
      <c r="EJ97" s="40">
        <f ca="1" t="shared" si="123"/>
        <v>0</v>
      </c>
      <c r="EK97" s="40">
        <f ca="1" t="shared" si="124"/>
        <v>0</v>
      </c>
      <c r="EL97" s="40">
        <f ca="1" t="shared" si="125"/>
        <v>0</v>
      </c>
      <c r="EM97" s="40">
        <f ca="1" t="shared" si="126"/>
        <v>0</v>
      </c>
      <c r="EN97" s="40">
        <f ca="1" t="shared" si="127"/>
        <v>0</v>
      </c>
      <c r="EO97" s="40">
        <f ca="1" t="shared" si="128"/>
        <v>0</v>
      </c>
      <c r="EP97" s="40">
        <f ca="1" t="shared" si="129"/>
        <v>0</v>
      </c>
      <c r="EQ97" s="40">
        <f ca="1" t="shared" si="130"/>
        <v>0</v>
      </c>
      <c r="ER97" s="40">
        <f ca="1" t="shared" si="131"/>
        <v>0</v>
      </c>
    </row>
    <row r="98" spans="1:148">
      <c r="A98">
        <v>2</v>
      </c>
      <c r="B98" t="str">
        <f>VLOOKUP(F98,'TRA balance'!$BA$5:$BB$14,2,FALSE)</f>
        <v>TRAELC</v>
      </c>
      <c r="C98" s="56" t="str">
        <f t="shared" si="133"/>
        <v>TR</v>
      </c>
      <c r="D98" s="57" t="s">
        <v>200</v>
      </c>
      <c r="E98" s="68" t="s">
        <v>216</v>
      </c>
      <c r="F98" s="58" t="str">
        <f t="shared" si="146"/>
        <v>Electricity</v>
      </c>
      <c r="G98" s="56" t="s">
        <v>217</v>
      </c>
      <c r="H98" s="59">
        <f ca="1">OFFSET(TIAM15_assumptions!$G98,0,MATCH(VLOOKUP(Assumptions!H$2,TIAM15_assumptions!$Y$3:$Z$87,2,FALSE),TIAM15_assumptions!$H$2:$V$2,0))</f>
        <v>0</v>
      </c>
      <c r="I98" s="59">
        <f ca="1">OFFSET(TIAM15_assumptions!$G98,0,MATCH(VLOOKUP(Assumptions!I$2,TIAM15_assumptions!$Y$3:$Z$87,2,FALSE),TIAM15_assumptions!$H$2:$V$2,0))</f>
        <v>0</v>
      </c>
      <c r="J98" s="59">
        <f ca="1">OFFSET(TIAM15_assumptions!$G98,0,MATCH(VLOOKUP(Assumptions!J$2,TIAM15_assumptions!$Y$3:$Z$87,2,FALSE),TIAM15_assumptions!$H$2:$V$2,0))</f>
        <v>0</v>
      </c>
      <c r="K98" s="59">
        <f ca="1">OFFSET(TIAM15_assumptions!$G98,0,MATCH(VLOOKUP(Assumptions!K$2,TIAM15_assumptions!$Y$3:$Z$87,2,FALSE),TIAM15_assumptions!$H$2:$V$2,0))</f>
        <v>0</v>
      </c>
      <c r="L98" s="59">
        <f ca="1">OFFSET(TIAM15_assumptions!$G98,0,MATCH(VLOOKUP(Assumptions!L$2,TIAM15_assumptions!$Y$3:$Z$87,2,FALSE),TIAM15_assumptions!$H$2:$V$2,0))</f>
        <v>0</v>
      </c>
      <c r="M98" s="59">
        <f ca="1">OFFSET(TIAM15_assumptions!$G98,0,MATCH(VLOOKUP(Assumptions!M$2,TIAM15_assumptions!$Y$3:$Z$87,2,FALSE),TIAM15_assumptions!$H$2:$V$2,0))</f>
        <v>0</v>
      </c>
      <c r="N98" s="59">
        <f ca="1">OFFSET(TIAM15_assumptions!$G98,0,MATCH(VLOOKUP(Assumptions!N$2,TIAM15_assumptions!$Y$3:$Z$87,2,FALSE),TIAM15_assumptions!$H$2:$V$2,0))</f>
        <v>0</v>
      </c>
      <c r="O98" s="59">
        <f ca="1">OFFSET(TIAM15_assumptions!$G98,0,MATCH(VLOOKUP(Assumptions!O$2,TIAM15_assumptions!$Y$3:$Z$87,2,FALSE),TIAM15_assumptions!$H$2:$V$2,0))</f>
        <v>0</v>
      </c>
      <c r="P98" s="59">
        <f ca="1">OFFSET(TIAM15_assumptions!$G98,0,MATCH(VLOOKUP(Assumptions!P$2,TIAM15_assumptions!$Y$3:$Z$87,2,FALSE),TIAM15_assumptions!$H$2:$V$2,0))</f>
        <v>0</v>
      </c>
      <c r="Q98" s="59">
        <f ca="1">OFFSET(TIAM15_assumptions!$G98,0,MATCH(VLOOKUP(Assumptions!Q$2,TIAM15_assumptions!$Y$3:$Z$87,2,FALSE),TIAM15_assumptions!$H$2:$V$2,0))</f>
        <v>0</v>
      </c>
      <c r="R98" s="59">
        <f ca="1">OFFSET(TIAM15_assumptions!$G98,0,MATCH(VLOOKUP(Assumptions!R$2,TIAM15_assumptions!$Y$3:$Z$87,2,FALSE),TIAM15_assumptions!$H$2:$V$2,0))</f>
        <v>0</v>
      </c>
      <c r="S98" s="59">
        <f ca="1">OFFSET(TIAM15_assumptions!$G98,0,MATCH(VLOOKUP(Assumptions!S$2,TIAM15_assumptions!$Y$3:$Z$87,2,FALSE),TIAM15_assumptions!$H$2:$V$2,0))</f>
        <v>0</v>
      </c>
      <c r="T98" s="59">
        <f ca="1">OFFSET(TIAM15_assumptions!$G98,0,MATCH(VLOOKUP(Assumptions!T$2,TIAM15_assumptions!$Y$3:$Z$87,2,FALSE),TIAM15_assumptions!$H$2:$V$2,0))</f>
        <v>0</v>
      </c>
      <c r="U98" s="59">
        <f ca="1">OFFSET(TIAM15_assumptions!$G98,0,MATCH(VLOOKUP(Assumptions!U$2,TIAM15_assumptions!$Y$3:$Z$87,2,FALSE),TIAM15_assumptions!$H$2:$V$2,0))</f>
        <v>0</v>
      </c>
      <c r="V98" s="59">
        <f ca="1">OFFSET(TIAM15_assumptions!$G98,0,MATCH(VLOOKUP(Assumptions!V$2,TIAM15_assumptions!$Y$3:$Z$87,2,FALSE),TIAM15_assumptions!$H$2:$V$2,0))</f>
        <v>0</v>
      </c>
      <c r="W98" s="59">
        <f ca="1">OFFSET(TIAM15_assumptions!$G98,0,MATCH(VLOOKUP(Assumptions!W$2,TIAM15_assumptions!$Y$3:$Z$87,2,FALSE),TIAM15_assumptions!$H$2:$V$2,0))</f>
        <v>0</v>
      </c>
      <c r="X98" s="59">
        <f ca="1">OFFSET(TIAM15_assumptions!$G98,0,MATCH(VLOOKUP(Assumptions!X$2,TIAM15_assumptions!$Y$3:$Z$87,2,FALSE),TIAM15_assumptions!$H$2:$V$2,0))</f>
        <v>0</v>
      </c>
      <c r="Y98" s="59">
        <f ca="1">OFFSET(TIAM15_assumptions!$G98,0,MATCH(VLOOKUP(Assumptions!Y$2,TIAM15_assumptions!$Y$3:$Z$87,2,FALSE),TIAM15_assumptions!$H$2:$V$2,0))</f>
        <v>0</v>
      </c>
      <c r="Z98" s="59">
        <f ca="1">OFFSET(TIAM15_assumptions!$G98,0,MATCH(VLOOKUP(Assumptions!Z$2,TIAM15_assumptions!$Y$3:$Z$87,2,FALSE),TIAM15_assumptions!$H$2:$V$2,0))</f>
        <v>0</v>
      </c>
      <c r="AA98" s="59">
        <f ca="1">OFFSET(TIAM15_assumptions!$G98,0,MATCH(VLOOKUP(Assumptions!AA$2,TIAM15_assumptions!$Y$3:$Z$87,2,FALSE),TIAM15_assumptions!$H$2:$V$2,0))</f>
        <v>0</v>
      </c>
      <c r="AB98" s="59">
        <f ca="1">OFFSET(TIAM15_assumptions!$G98,0,MATCH(VLOOKUP(Assumptions!AB$2,TIAM15_assumptions!$Y$3:$Z$87,2,FALSE),TIAM15_assumptions!$H$2:$V$2,0))</f>
        <v>0</v>
      </c>
      <c r="AC98" s="59">
        <f ca="1">OFFSET(TIAM15_assumptions!$G98,0,MATCH(VLOOKUP(Assumptions!AC$2,TIAM15_assumptions!$Y$3:$Z$87,2,FALSE),TIAM15_assumptions!$H$2:$V$2,0))</f>
        <v>0</v>
      </c>
      <c r="AD98" s="59">
        <f ca="1">OFFSET(TIAM15_assumptions!$G98,0,MATCH(VLOOKUP(Assumptions!AD$2,TIAM15_assumptions!$Y$3:$Z$87,2,FALSE),TIAM15_assumptions!$H$2:$V$2,0))</f>
        <v>0</v>
      </c>
      <c r="AE98" s="59">
        <f ca="1">OFFSET(TIAM15_assumptions!$G98,0,MATCH(VLOOKUP(Assumptions!AE$2,TIAM15_assumptions!$Y$3:$Z$87,2,FALSE),TIAM15_assumptions!$H$2:$V$2,0))</f>
        <v>0</v>
      </c>
      <c r="AF98" s="59">
        <f ca="1">OFFSET(TIAM15_assumptions!$G98,0,MATCH(VLOOKUP(Assumptions!AF$2,TIAM15_assumptions!$Y$3:$Z$87,2,FALSE),TIAM15_assumptions!$H$2:$V$2,0))</f>
        <v>0</v>
      </c>
      <c r="AG98" s="59">
        <f ca="1">OFFSET(TIAM15_assumptions!$G98,0,MATCH(VLOOKUP(Assumptions!AG$2,TIAM15_assumptions!$Y$3:$Z$87,2,FALSE),TIAM15_assumptions!$H$2:$V$2,0))</f>
        <v>0</v>
      </c>
      <c r="AH98" s="59">
        <f ca="1">OFFSET(TIAM15_assumptions!$G98,0,MATCH(VLOOKUP(Assumptions!AH$2,TIAM15_assumptions!$Y$3:$Z$87,2,FALSE),TIAM15_assumptions!$H$2:$V$2,0))</f>
        <v>0</v>
      </c>
      <c r="AI98" s="59">
        <f ca="1">OFFSET(TIAM15_assumptions!$G98,0,MATCH(VLOOKUP(Assumptions!AI$2,TIAM15_assumptions!$Y$3:$Z$87,2,FALSE),TIAM15_assumptions!$H$2:$V$2,0))</f>
        <v>0</v>
      </c>
      <c r="AJ98" s="59">
        <f ca="1">OFFSET(TIAM15_assumptions!$G98,0,MATCH(VLOOKUP(Assumptions!AJ$2,TIAM15_assumptions!$Y$3:$Z$87,2,FALSE),TIAM15_assumptions!$H$2:$V$2,0))</f>
        <v>0</v>
      </c>
      <c r="AK98" s="59">
        <f ca="1">OFFSET(TIAM15_assumptions!$G98,0,MATCH(VLOOKUP(Assumptions!AK$2,TIAM15_assumptions!$Y$3:$Z$87,2,FALSE),TIAM15_assumptions!$H$2:$V$2,0))</f>
        <v>0</v>
      </c>
      <c r="AL98" s="59">
        <f ca="1">OFFSET(TIAM15_assumptions!$G98,0,MATCH(VLOOKUP(Assumptions!AL$2,TIAM15_assumptions!$Y$3:$Z$87,2,FALSE),TIAM15_assumptions!$H$2:$V$2,0))</f>
        <v>0</v>
      </c>
      <c r="AM98" s="59">
        <f ca="1">OFFSET(TIAM15_assumptions!$G98,0,MATCH(VLOOKUP(Assumptions!AM$2,TIAM15_assumptions!$Y$3:$Z$87,2,FALSE),TIAM15_assumptions!$H$2:$V$2,0))</f>
        <v>0</v>
      </c>
      <c r="AN98" s="59">
        <f ca="1">OFFSET(TIAM15_assumptions!$G98,0,MATCH(VLOOKUP(Assumptions!AN$2,TIAM15_assumptions!$Y$3:$Z$87,2,FALSE),TIAM15_assumptions!$H$2:$V$2,0))</f>
        <v>0</v>
      </c>
      <c r="AO98" s="59">
        <f ca="1">OFFSET(TIAM15_assumptions!$G98,0,MATCH(VLOOKUP(Assumptions!AO$2,TIAM15_assumptions!$Y$3:$Z$87,2,FALSE),TIAM15_assumptions!$H$2:$V$2,0))</f>
        <v>0</v>
      </c>
      <c r="AP98" s="59">
        <f ca="1">OFFSET(TIAM15_assumptions!$G98,0,MATCH(VLOOKUP(Assumptions!AP$2,TIAM15_assumptions!$Y$3:$Z$87,2,FALSE),TIAM15_assumptions!$H$2:$V$2,0))</f>
        <v>0</v>
      </c>
      <c r="AQ98" s="59">
        <f ca="1">OFFSET(TIAM15_assumptions!$G98,0,MATCH(VLOOKUP(Assumptions!AQ$2,TIAM15_assumptions!$Y$3:$Z$87,2,FALSE),TIAM15_assumptions!$H$2:$V$2,0))</f>
        <v>0</v>
      </c>
      <c r="AR98" s="59">
        <f ca="1">OFFSET(TIAM15_assumptions!$G98,0,MATCH(VLOOKUP(Assumptions!AR$2,TIAM15_assumptions!$Y$3:$Z$87,2,FALSE),TIAM15_assumptions!$H$2:$V$2,0))</f>
        <v>0</v>
      </c>
      <c r="AS98" s="59">
        <f ca="1">OFFSET(TIAM15_assumptions!$G98,0,MATCH(VLOOKUP(Assumptions!AS$2,TIAM15_assumptions!$Y$3:$Z$87,2,FALSE),TIAM15_assumptions!$H$2:$V$2,0))</f>
        <v>0</v>
      </c>
      <c r="AT98" s="59">
        <f ca="1">OFFSET(TIAM15_assumptions!$G98,0,MATCH(VLOOKUP(Assumptions!AT$2,TIAM15_assumptions!$Y$3:$Z$87,2,FALSE),TIAM15_assumptions!$H$2:$V$2,0))</f>
        <v>0</v>
      </c>
      <c r="AU98" s="59">
        <f ca="1">OFFSET(TIAM15_assumptions!$G98,0,MATCH(VLOOKUP(Assumptions!AU$2,TIAM15_assumptions!$Y$3:$Z$87,2,FALSE),TIAM15_assumptions!$H$2:$V$2,0))</f>
        <v>0</v>
      </c>
      <c r="AV98" s="59">
        <f ca="1">OFFSET(TIAM15_assumptions!$G98,0,MATCH(VLOOKUP(Assumptions!AV$2,TIAM15_assumptions!$Y$3:$Z$87,2,FALSE),TIAM15_assumptions!$H$2:$V$2,0))</f>
        <v>0</v>
      </c>
      <c r="AW98" s="59">
        <f ca="1">OFFSET(TIAM15_assumptions!$G98,0,MATCH(VLOOKUP(Assumptions!AW$2,TIAM15_assumptions!$Y$3:$Z$87,2,FALSE),TIAM15_assumptions!$H$2:$V$2,0))</f>
        <v>0</v>
      </c>
      <c r="AX98" s="59">
        <f ca="1">OFFSET(TIAM15_assumptions!$G98,0,MATCH(VLOOKUP(Assumptions!AX$2,TIAM15_assumptions!$Y$3:$Z$87,2,FALSE),TIAM15_assumptions!$H$2:$V$2,0))</f>
        <v>0</v>
      </c>
      <c r="AY98" s="59">
        <f ca="1">OFFSET(TIAM15_assumptions!$G98,0,MATCH(VLOOKUP(Assumptions!AY$2,TIAM15_assumptions!$Y$3:$Z$87,2,FALSE),TIAM15_assumptions!$H$2:$V$2,0))</f>
        <v>0</v>
      </c>
      <c r="AZ98" s="59">
        <f ca="1">OFFSET(TIAM15_assumptions!$G98,0,MATCH(VLOOKUP(Assumptions!AZ$2,TIAM15_assumptions!$Y$3:$Z$87,2,FALSE),TIAM15_assumptions!$H$2:$V$2,0))</f>
        <v>0</v>
      </c>
      <c r="BA98" s="59">
        <f ca="1">OFFSET(TIAM15_assumptions!$G98,0,MATCH(VLOOKUP(Assumptions!BA$2,TIAM15_assumptions!$Y$3:$Z$87,2,FALSE),TIAM15_assumptions!$H$2:$V$2,0))</f>
        <v>0</v>
      </c>
      <c r="BD98" s="41">
        <f ca="1">IFERROR(SUMIFS('TRA balance'!E$5:E$40,'TRA balance'!$C$5:$C$40,Assumptions!$C98,'TRA balance'!$D$5:$D$40,Assumptions!$B98)*CY98*H98,"")</f>
        <v>0</v>
      </c>
      <c r="BE98" s="41">
        <f ca="1">IFERROR(SUMIFS('TRA balance'!F$5:F$40,'TRA balance'!$C$5:$C$40,Assumptions!$C98,'TRA balance'!$D$5:$D$40,Assumptions!$B98)*CZ98*I98,"")</f>
        <v>0</v>
      </c>
      <c r="BF98" s="41">
        <f ca="1">IFERROR(SUMIFS('TRA balance'!G$5:G$40,'TRA balance'!$C$5:$C$40,Assumptions!$C98,'TRA balance'!$D$5:$D$40,Assumptions!$B98)*DA98*J98,"")</f>
        <v>0</v>
      </c>
      <c r="BG98" s="41">
        <f ca="1">IFERROR(SUMIFS('TRA balance'!H$5:H$40,'TRA balance'!$C$5:$C$40,Assumptions!$C98,'TRA balance'!$D$5:$D$40,Assumptions!$B98)*DB98*K98,"")</f>
        <v>0</v>
      </c>
      <c r="BH98" s="41">
        <f ca="1">IFERROR(SUMIFS('TRA balance'!I$5:I$40,'TRA balance'!$C$5:$C$40,Assumptions!$C98,'TRA balance'!$D$5:$D$40,Assumptions!$B98)*DC98*L98,"")</f>
        <v>0</v>
      </c>
      <c r="BI98" s="41">
        <f ca="1">IFERROR(SUMIFS('TRA balance'!J$5:J$40,'TRA balance'!$C$5:$C$40,Assumptions!$C98,'TRA balance'!$D$5:$D$40,Assumptions!$B98)*DD98*M98,"")</f>
        <v>0</v>
      </c>
      <c r="BJ98" s="41">
        <f ca="1">IFERROR(SUMIFS('TRA balance'!K$5:K$40,'TRA balance'!$C$5:$C$40,Assumptions!$C98,'TRA balance'!$D$5:$D$40,Assumptions!$B98)*DE98*N98,"")</f>
        <v>0</v>
      </c>
      <c r="BK98" s="41">
        <f ca="1">IFERROR(SUMIFS('TRA balance'!L$5:L$40,'TRA balance'!$C$5:$C$40,Assumptions!$C98,'TRA balance'!$D$5:$D$40,Assumptions!$B98)*DF98*O98,"")</f>
        <v>0</v>
      </c>
      <c r="BL98" s="41">
        <f ca="1">IFERROR(SUMIFS('TRA balance'!M$5:M$40,'TRA balance'!$C$5:$C$40,Assumptions!$C98,'TRA balance'!$D$5:$D$40,Assumptions!$B98)*DG98*P98,"")</f>
        <v>0</v>
      </c>
      <c r="BM98" s="41">
        <f ca="1">IFERROR(SUMIFS('TRA balance'!N$5:N$40,'TRA balance'!$C$5:$C$40,Assumptions!$C98,'TRA balance'!$D$5:$D$40,Assumptions!$B98)*DH98*Q98,"")</f>
        <v>0</v>
      </c>
      <c r="BN98" s="41">
        <f ca="1">IFERROR(SUMIFS('TRA balance'!O$5:O$40,'TRA balance'!$C$5:$C$40,Assumptions!$C98,'TRA balance'!$D$5:$D$40,Assumptions!$B98)*DI98*R98,"")</f>
        <v>0</v>
      </c>
      <c r="BO98" s="41">
        <f ca="1">IFERROR(SUMIFS('TRA balance'!P$5:P$40,'TRA balance'!$C$5:$C$40,Assumptions!$C98,'TRA balance'!$D$5:$D$40,Assumptions!$B98)*DJ98*S98,"")</f>
        <v>0</v>
      </c>
      <c r="BP98" s="41">
        <f ca="1">IFERROR(SUMIFS('TRA balance'!Q$5:Q$40,'TRA balance'!$C$5:$C$40,Assumptions!$C98,'TRA balance'!$D$5:$D$40,Assumptions!$B98)*DK98*T98,"")</f>
        <v>0</v>
      </c>
      <c r="BQ98" s="41">
        <f ca="1">IFERROR(SUMIFS('TRA balance'!R$5:R$40,'TRA balance'!$C$5:$C$40,Assumptions!$C98,'TRA balance'!$D$5:$D$40,Assumptions!$B98)*DL98*U98,"")</f>
        <v>0</v>
      </c>
      <c r="BR98" s="41">
        <f ca="1">IFERROR(SUMIFS('TRA balance'!S$5:S$40,'TRA balance'!$C$5:$C$40,Assumptions!$C98,'TRA balance'!$D$5:$D$40,Assumptions!$B98)*DM98*V98,"")</f>
        <v>0</v>
      </c>
      <c r="BS98" s="41">
        <f ca="1">IFERROR(SUMIFS('TRA balance'!T$5:T$40,'TRA balance'!$C$5:$C$40,Assumptions!$C98,'TRA balance'!$D$5:$D$40,Assumptions!$B98)*DN98*W98,"")</f>
        <v>0</v>
      </c>
      <c r="BT98" s="41">
        <f ca="1">IFERROR(SUMIFS('TRA balance'!U$5:U$40,'TRA balance'!$C$5:$C$40,Assumptions!$C98,'TRA balance'!$D$5:$D$40,Assumptions!$B98)*DO98*X98,"")</f>
        <v>0</v>
      </c>
      <c r="BU98" s="41">
        <f ca="1">IFERROR(SUMIFS('TRA balance'!V$5:V$40,'TRA balance'!$C$5:$C$40,Assumptions!$C98,'TRA balance'!$D$5:$D$40,Assumptions!$B98)*DP98*Y98,"")</f>
        <v>0</v>
      </c>
      <c r="BV98" s="41">
        <f ca="1">IFERROR(SUMIFS('TRA balance'!W$5:W$40,'TRA balance'!$C$5:$C$40,Assumptions!$C98,'TRA balance'!$D$5:$D$40,Assumptions!$B98)*DQ98*Z98,"")</f>
        <v>0</v>
      </c>
      <c r="BW98" s="41">
        <f ca="1">IFERROR(SUMIFS('TRA balance'!X$5:X$40,'TRA balance'!$C$5:$C$40,Assumptions!$C98,'TRA balance'!$D$5:$D$40,Assumptions!$B98)*DR98*AA98,"")</f>
        <v>0</v>
      </c>
      <c r="BX98" s="41">
        <f ca="1">IFERROR(SUMIFS('TRA balance'!Y$5:Y$40,'TRA balance'!$C$5:$C$40,Assumptions!$C98,'TRA balance'!$D$5:$D$40,Assumptions!$B98)*DS98*AB98,"")</f>
        <v>0</v>
      </c>
      <c r="BY98" s="41">
        <f ca="1">IFERROR(SUMIFS('TRA balance'!Z$5:Z$40,'TRA balance'!$C$5:$C$40,Assumptions!$C98,'TRA balance'!$D$5:$D$40,Assumptions!$B98)*DT98*AC98,"")</f>
        <v>0</v>
      </c>
      <c r="BZ98" s="41">
        <f ca="1">IFERROR(SUMIFS('TRA balance'!AA$5:AA$40,'TRA balance'!$C$5:$C$40,Assumptions!$C98,'TRA balance'!$D$5:$D$40,Assumptions!$B98)*DU98*AD98,"")</f>
        <v>0</v>
      </c>
      <c r="CA98" s="41">
        <f ca="1">IFERROR(SUMIFS('TRA balance'!AB$5:AB$40,'TRA balance'!$C$5:$C$40,Assumptions!$C98,'TRA balance'!$D$5:$D$40,Assumptions!$B98)*DV98*AE98,"")</f>
        <v>0</v>
      </c>
      <c r="CB98" s="41">
        <f ca="1">IFERROR(SUMIFS('TRA balance'!AC$5:AC$40,'TRA balance'!$C$5:$C$40,Assumptions!$C98,'TRA balance'!$D$5:$D$40,Assumptions!$B98)*DW98*AF98,"")</f>
        <v>0</v>
      </c>
      <c r="CC98" s="41">
        <f ca="1">IFERROR(SUMIFS('TRA balance'!AD$5:AD$40,'TRA balance'!$C$5:$C$40,Assumptions!$C98,'TRA balance'!$D$5:$D$40,Assumptions!$B98)*DX98*AG98,"")</f>
        <v>0</v>
      </c>
      <c r="CD98" s="41">
        <f ca="1">IFERROR(SUMIFS('TRA balance'!AE$5:AE$40,'TRA balance'!$C$5:$C$40,Assumptions!$C98,'TRA balance'!$D$5:$D$40,Assumptions!$B98)*DY98*AH98,"")</f>
        <v>0</v>
      </c>
      <c r="CE98" s="41">
        <f ca="1">IFERROR(SUMIFS('TRA balance'!AF$5:AF$40,'TRA balance'!$C$5:$C$40,Assumptions!$C98,'TRA balance'!$D$5:$D$40,Assumptions!$B98)*DZ98*AI98,"")</f>
        <v>0</v>
      </c>
      <c r="CF98" s="41">
        <f ca="1">IFERROR(SUMIFS('TRA balance'!AG$5:AG$40,'TRA balance'!$C$5:$C$40,Assumptions!$C98,'TRA balance'!$D$5:$D$40,Assumptions!$B98)*EA98*AJ98,"")</f>
        <v>0</v>
      </c>
      <c r="CG98" s="41">
        <f ca="1">IFERROR(SUMIFS('TRA balance'!AH$5:AH$40,'TRA balance'!$C$5:$C$40,Assumptions!$C98,'TRA balance'!$D$5:$D$40,Assumptions!$B98)*EB98*AK98,"")</f>
        <v>0</v>
      </c>
      <c r="CH98" s="41">
        <f ca="1">IFERROR(SUMIFS('TRA balance'!AI$5:AI$40,'TRA balance'!$C$5:$C$40,Assumptions!$C98,'TRA balance'!$D$5:$D$40,Assumptions!$B98)*EC98*AL98,"")</f>
        <v>0</v>
      </c>
      <c r="CI98" s="41">
        <f ca="1">IFERROR(SUMIFS('TRA balance'!AJ$5:AJ$40,'TRA balance'!$C$5:$C$40,Assumptions!$C98,'TRA balance'!$D$5:$D$40,Assumptions!$B98)*ED98*AM98,"")</f>
        <v>0</v>
      </c>
      <c r="CJ98" s="41">
        <f ca="1">IFERROR(SUMIFS('TRA balance'!AK$5:AK$40,'TRA balance'!$C$5:$C$40,Assumptions!$C98,'TRA balance'!$D$5:$D$40,Assumptions!$B98)*EE98*AN98,"")</f>
        <v>0</v>
      </c>
      <c r="CK98" s="41">
        <f ca="1">IFERROR(SUMIFS('TRA balance'!AL$5:AL$40,'TRA balance'!$C$5:$C$40,Assumptions!$C98,'TRA balance'!$D$5:$D$40,Assumptions!$B98)*EF98*AO98,"")</f>
        <v>0</v>
      </c>
      <c r="CL98" s="41">
        <f ca="1">IFERROR(SUMIFS('TRA balance'!AM$5:AM$40,'TRA balance'!$C$5:$C$40,Assumptions!$C98,'TRA balance'!$D$5:$D$40,Assumptions!$B98)*EG98*AP98,"")</f>
        <v>0</v>
      </c>
      <c r="CM98" s="41">
        <f ca="1">IFERROR(SUMIFS('TRA balance'!AN$5:AN$40,'TRA balance'!$C$5:$C$40,Assumptions!$C98,'TRA balance'!$D$5:$D$40,Assumptions!$B98)*EH98*AQ98,"")</f>
        <v>0</v>
      </c>
      <c r="CN98" s="41">
        <f ca="1">IFERROR(SUMIFS('TRA balance'!AO$5:AO$40,'TRA balance'!$C$5:$C$40,Assumptions!$C98,'TRA balance'!$D$5:$D$40,Assumptions!$B98)*EI98*AR98,"")</f>
        <v>0</v>
      </c>
      <c r="CO98" s="41">
        <f ca="1">IFERROR(SUMIFS('TRA balance'!AP$5:AP$40,'TRA balance'!$C$5:$C$40,Assumptions!$C98,'TRA balance'!$D$5:$D$40,Assumptions!$B98)*EJ98*AS98,"")</f>
        <v>0</v>
      </c>
      <c r="CP98" s="41">
        <f ca="1">IFERROR(SUMIFS('TRA balance'!AQ$5:AQ$40,'TRA balance'!$C$5:$C$40,Assumptions!$C98,'TRA balance'!$D$5:$D$40,Assumptions!$B98)*EK98*AT98,"")</f>
        <v>0</v>
      </c>
      <c r="CQ98" s="41">
        <f ca="1">IFERROR(SUMIFS('TRA balance'!AR$5:AR$40,'TRA balance'!$C$5:$C$40,Assumptions!$C98,'TRA balance'!$D$5:$D$40,Assumptions!$B98)*EL98*AU98,"")</f>
        <v>0</v>
      </c>
      <c r="CR98" s="41">
        <f ca="1">IFERROR(SUMIFS('TRA balance'!AS$5:AS$40,'TRA balance'!$C$5:$C$40,Assumptions!$C98,'TRA balance'!$D$5:$D$40,Assumptions!$B98)*EM98*AV98,"")</f>
        <v>0</v>
      </c>
      <c r="CS98" s="41">
        <f ca="1">IFERROR(SUMIFS('TRA balance'!AT$5:AT$40,'TRA balance'!$C$5:$C$40,Assumptions!$C98,'TRA balance'!$D$5:$D$40,Assumptions!$B98)*EN98*AW98,"")</f>
        <v>0</v>
      </c>
      <c r="CT98" s="41">
        <f ca="1">IFERROR(SUMIFS('TRA balance'!AU$5:AU$40,'TRA balance'!$C$5:$C$40,Assumptions!$C98,'TRA balance'!$D$5:$D$40,Assumptions!$B98)*EO98*AX98,"")</f>
        <v>0</v>
      </c>
      <c r="CU98" s="41">
        <f ca="1">IFERROR(SUMIFS('TRA balance'!AV$5:AV$40,'TRA balance'!$C$5:$C$40,Assumptions!$C98,'TRA balance'!$D$5:$D$40,Assumptions!$B98)*EP98*AY98,"")</f>
        <v>0</v>
      </c>
      <c r="CV98" s="41">
        <f ca="1">IFERROR(SUMIFS('TRA balance'!AW$5:AW$40,'TRA balance'!$C$5:$C$40,Assumptions!$C98,'TRA balance'!$D$5:$D$40,Assumptions!$B98)*EQ98*AZ98,"")</f>
        <v>0</v>
      </c>
      <c r="CW98" s="41">
        <f ca="1">IFERROR(SUMIFS('TRA balance'!AX$5:AX$40,'TRA balance'!$C$5:$C$40,Assumptions!$C98,'TRA balance'!$D$5:$D$40,Assumptions!$B98)*ER98*BA98,"")</f>
        <v>0</v>
      </c>
      <c r="CY98" s="40">
        <f ca="1" t="shared" si="86"/>
        <v>1</v>
      </c>
      <c r="CZ98" s="40">
        <f ca="1" t="shared" si="87"/>
        <v>1</v>
      </c>
      <c r="DA98" s="40">
        <f ca="1" t="shared" si="88"/>
        <v>0</v>
      </c>
      <c r="DB98" s="40">
        <f ca="1" t="shared" si="89"/>
        <v>0</v>
      </c>
      <c r="DC98" s="40">
        <f ca="1" t="shared" si="90"/>
        <v>1</v>
      </c>
      <c r="DD98" s="40">
        <f ca="1" t="shared" si="91"/>
        <v>0</v>
      </c>
      <c r="DE98" s="40">
        <f ca="1" t="shared" si="92"/>
        <v>0.5</v>
      </c>
      <c r="DF98" s="40">
        <f ca="1" t="shared" si="93"/>
        <v>0.2</v>
      </c>
      <c r="DG98" s="40">
        <f ca="1" t="shared" si="94"/>
        <v>1</v>
      </c>
      <c r="DH98" s="40">
        <f ca="1" t="shared" si="95"/>
        <v>1</v>
      </c>
      <c r="DI98" s="40">
        <f ca="1" t="shared" si="96"/>
        <v>0</v>
      </c>
      <c r="DJ98" s="40">
        <f ca="1" t="shared" si="97"/>
        <v>0</v>
      </c>
      <c r="DK98" s="40">
        <f ca="1" t="shared" si="98"/>
        <v>0</v>
      </c>
      <c r="DL98" s="40">
        <f ca="1" t="shared" si="99"/>
        <v>1</v>
      </c>
      <c r="DM98" s="40">
        <f ca="1" t="shared" si="100"/>
        <v>0</v>
      </c>
      <c r="DN98" s="40">
        <f ca="1" t="shared" si="101"/>
        <v>1</v>
      </c>
      <c r="DO98" s="40">
        <f ca="1" t="shared" si="102"/>
        <v>0</v>
      </c>
      <c r="DP98" s="40">
        <f ca="1" t="shared" si="103"/>
        <v>0</v>
      </c>
      <c r="DQ98" s="40">
        <f ca="1" t="shared" si="104"/>
        <v>0</v>
      </c>
      <c r="DR98" s="40">
        <f ca="1" t="shared" si="105"/>
        <v>0.5</v>
      </c>
      <c r="DS98" s="40">
        <f ca="1" t="shared" si="106"/>
        <v>1</v>
      </c>
      <c r="DT98" s="40">
        <f ca="1" t="shared" si="107"/>
        <v>0</v>
      </c>
      <c r="DU98" s="40">
        <f ca="1" t="shared" si="108"/>
        <v>0</v>
      </c>
      <c r="DV98" s="40">
        <f ca="1" t="shared" si="109"/>
        <v>1</v>
      </c>
      <c r="DW98" s="40">
        <f ca="1" t="shared" si="110"/>
        <v>0</v>
      </c>
      <c r="DX98" s="40">
        <f ca="1" t="shared" si="111"/>
        <v>1</v>
      </c>
      <c r="DY98" s="40">
        <f ca="1" t="shared" si="112"/>
        <v>1</v>
      </c>
      <c r="DZ98" s="40">
        <f ca="1" t="shared" si="113"/>
        <v>1</v>
      </c>
      <c r="EA98" s="40">
        <f ca="1" t="shared" si="114"/>
        <v>0</v>
      </c>
      <c r="EB98" s="40">
        <f ca="1" t="shared" si="115"/>
        <v>0</v>
      </c>
      <c r="EC98" s="40">
        <f ca="1" t="shared" si="116"/>
        <v>0</v>
      </c>
      <c r="ED98" s="40">
        <f ca="1" t="shared" si="117"/>
        <v>1</v>
      </c>
      <c r="EE98" s="40">
        <f ca="1" t="shared" si="118"/>
        <v>0</v>
      </c>
      <c r="EF98" s="40">
        <f ca="1" t="shared" si="119"/>
        <v>1</v>
      </c>
      <c r="EG98" s="40">
        <f ca="1" t="shared" si="120"/>
        <v>1</v>
      </c>
      <c r="EH98" s="40">
        <f ca="1" t="shared" si="121"/>
        <v>0</v>
      </c>
      <c r="EI98" s="40">
        <f ca="1" t="shared" si="122"/>
        <v>0</v>
      </c>
      <c r="EJ98" s="40">
        <f ca="1" t="shared" si="123"/>
        <v>0</v>
      </c>
      <c r="EK98" s="40">
        <f ca="1" t="shared" si="124"/>
        <v>0</v>
      </c>
      <c r="EL98" s="40">
        <f ca="1" t="shared" si="125"/>
        <v>0</v>
      </c>
      <c r="EM98" s="40">
        <f ca="1" t="shared" si="126"/>
        <v>0</v>
      </c>
      <c r="EN98" s="40">
        <f ca="1" t="shared" si="127"/>
        <v>0</v>
      </c>
      <c r="EO98" s="40">
        <f ca="1" t="shared" si="128"/>
        <v>0</v>
      </c>
      <c r="EP98" s="40">
        <f ca="1" t="shared" si="129"/>
        <v>0</v>
      </c>
      <c r="EQ98" s="40">
        <f ca="1" t="shared" si="130"/>
        <v>0</v>
      </c>
      <c r="ER98" s="40">
        <f ca="1" t="shared" si="131"/>
        <v>0</v>
      </c>
    </row>
    <row r="99" spans="1:148">
      <c r="A99">
        <v>2</v>
      </c>
      <c r="B99" t="str">
        <f>VLOOKUP(F99,'TRA balance'!$BA$5:$BB$14,2,FALSE)</f>
        <v>TRAELC</v>
      </c>
      <c r="C99" s="56" t="str">
        <f t="shared" si="133"/>
        <v>TR</v>
      </c>
      <c r="D99" s="57" t="s">
        <v>200</v>
      </c>
      <c r="E99" s="68" t="s">
        <v>218</v>
      </c>
      <c r="F99" s="58" t="str">
        <f t="shared" si="146"/>
        <v>Electricity</v>
      </c>
      <c r="G99" s="56" t="s">
        <v>219</v>
      </c>
      <c r="H99" s="59">
        <f ca="1">OFFSET(TIAM15_assumptions!$G99,0,MATCH(VLOOKUP(Assumptions!H$2,TIAM15_assumptions!$Y$3:$Z$87,2,FALSE),TIAM15_assumptions!$H$2:$V$2,0))</f>
        <v>0</v>
      </c>
      <c r="I99" s="59">
        <f ca="1">OFFSET(TIAM15_assumptions!$G99,0,MATCH(VLOOKUP(Assumptions!I$2,TIAM15_assumptions!$Y$3:$Z$87,2,FALSE),TIAM15_assumptions!$H$2:$V$2,0))</f>
        <v>0</v>
      </c>
      <c r="J99" s="59">
        <f ca="1">OFFSET(TIAM15_assumptions!$G99,0,MATCH(VLOOKUP(Assumptions!J$2,TIAM15_assumptions!$Y$3:$Z$87,2,FALSE),TIAM15_assumptions!$H$2:$V$2,0))</f>
        <v>0</v>
      </c>
      <c r="K99" s="59">
        <f ca="1">OFFSET(TIAM15_assumptions!$G99,0,MATCH(VLOOKUP(Assumptions!K$2,TIAM15_assumptions!$Y$3:$Z$87,2,FALSE),TIAM15_assumptions!$H$2:$V$2,0))</f>
        <v>0</v>
      </c>
      <c r="L99" s="59">
        <f ca="1">OFFSET(TIAM15_assumptions!$G99,0,MATCH(VLOOKUP(Assumptions!L$2,TIAM15_assumptions!$Y$3:$Z$87,2,FALSE),TIAM15_assumptions!$H$2:$V$2,0))</f>
        <v>0</v>
      </c>
      <c r="M99" s="59">
        <f ca="1">OFFSET(TIAM15_assumptions!$G99,0,MATCH(VLOOKUP(Assumptions!M$2,TIAM15_assumptions!$Y$3:$Z$87,2,FALSE),TIAM15_assumptions!$H$2:$V$2,0))</f>
        <v>0</v>
      </c>
      <c r="N99" s="59">
        <f ca="1">OFFSET(TIAM15_assumptions!$G99,0,MATCH(VLOOKUP(Assumptions!N$2,TIAM15_assumptions!$Y$3:$Z$87,2,FALSE),TIAM15_assumptions!$H$2:$V$2,0))</f>
        <v>0</v>
      </c>
      <c r="O99" s="59">
        <f ca="1">OFFSET(TIAM15_assumptions!$G99,0,MATCH(VLOOKUP(Assumptions!O$2,TIAM15_assumptions!$Y$3:$Z$87,2,FALSE),TIAM15_assumptions!$H$2:$V$2,0))</f>
        <v>0.5</v>
      </c>
      <c r="P99" s="59">
        <f ca="1">OFFSET(TIAM15_assumptions!$G99,0,MATCH(VLOOKUP(Assumptions!P$2,TIAM15_assumptions!$Y$3:$Z$87,2,FALSE),TIAM15_assumptions!$H$2:$V$2,0))</f>
        <v>0</v>
      </c>
      <c r="Q99" s="59">
        <f ca="1">OFFSET(TIAM15_assumptions!$G99,0,MATCH(VLOOKUP(Assumptions!Q$2,TIAM15_assumptions!$Y$3:$Z$87,2,FALSE),TIAM15_assumptions!$H$2:$V$2,0))</f>
        <v>0</v>
      </c>
      <c r="R99" s="59">
        <f ca="1">OFFSET(TIAM15_assumptions!$G99,0,MATCH(VLOOKUP(Assumptions!R$2,TIAM15_assumptions!$Y$3:$Z$87,2,FALSE),TIAM15_assumptions!$H$2:$V$2,0))</f>
        <v>0</v>
      </c>
      <c r="S99" s="59">
        <f ca="1">OFFSET(TIAM15_assumptions!$G99,0,MATCH(VLOOKUP(Assumptions!S$2,TIAM15_assumptions!$Y$3:$Z$87,2,FALSE),TIAM15_assumptions!$H$2:$V$2,0))</f>
        <v>0</v>
      </c>
      <c r="T99" s="59">
        <f ca="1">OFFSET(TIAM15_assumptions!$G99,0,MATCH(VLOOKUP(Assumptions!T$2,TIAM15_assumptions!$Y$3:$Z$87,2,FALSE),TIAM15_assumptions!$H$2:$V$2,0))</f>
        <v>0</v>
      </c>
      <c r="U99" s="59">
        <f ca="1">OFFSET(TIAM15_assumptions!$G99,0,MATCH(VLOOKUP(Assumptions!U$2,TIAM15_assumptions!$Y$3:$Z$87,2,FALSE),TIAM15_assumptions!$H$2:$V$2,0))</f>
        <v>0</v>
      </c>
      <c r="V99" s="59">
        <f ca="1">OFFSET(TIAM15_assumptions!$G99,0,MATCH(VLOOKUP(Assumptions!V$2,TIAM15_assumptions!$Y$3:$Z$87,2,FALSE),TIAM15_assumptions!$H$2:$V$2,0))</f>
        <v>0</v>
      </c>
      <c r="W99" s="59">
        <f ca="1">OFFSET(TIAM15_assumptions!$G99,0,MATCH(VLOOKUP(Assumptions!W$2,TIAM15_assumptions!$Y$3:$Z$87,2,FALSE),TIAM15_assumptions!$H$2:$V$2,0))</f>
        <v>0</v>
      </c>
      <c r="X99" s="59">
        <f ca="1">OFFSET(TIAM15_assumptions!$G99,0,MATCH(VLOOKUP(Assumptions!X$2,TIAM15_assumptions!$Y$3:$Z$87,2,FALSE),TIAM15_assumptions!$H$2:$V$2,0))</f>
        <v>0</v>
      </c>
      <c r="Y99" s="59">
        <f ca="1">OFFSET(TIAM15_assumptions!$G99,0,MATCH(VLOOKUP(Assumptions!Y$2,TIAM15_assumptions!$Y$3:$Z$87,2,FALSE),TIAM15_assumptions!$H$2:$V$2,0))</f>
        <v>0</v>
      </c>
      <c r="Z99" s="59">
        <f ca="1">OFFSET(TIAM15_assumptions!$G99,0,MATCH(VLOOKUP(Assumptions!Z$2,TIAM15_assumptions!$Y$3:$Z$87,2,FALSE),TIAM15_assumptions!$H$2:$V$2,0))</f>
        <v>0</v>
      </c>
      <c r="AA99" s="59">
        <f ca="1">OFFSET(TIAM15_assumptions!$G99,0,MATCH(VLOOKUP(Assumptions!AA$2,TIAM15_assumptions!$Y$3:$Z$87,2,FALSE),TIAM15_assumptions!$H$2:$V$2,0))</f>
        <v>0</v>
      </c>
      <c r="AB99" s="59">
        <f ca="1">OFFSET(TIAM15_assumptions!$G99,0,MATCH(VLOOKUP(Assumptions!AB$2,TIAM15_assumptions!$Y$3:$Z$87,2,FALSE),TIAM15_assumptions!$H$2:$V$2,0))</f>
        <v>0</v>
      </c>
      <c r="AC99" s="59">
        <f ca="1">OFFSET(TIAM15_assumptions!$G99,0,MATCH(VLOOKUP(Assumptions!AC$2,TIAM15_assumptions!$Y$3:$Z$87,2,FALSE),TIAM15_assumptions!$H$2:$V$2,0))</f>
        <v>0</v>
      </c>
      <c r="AD99" s="59">
        <f ca="1">OFFSET(TIAM15_assumptions!$G99,0,MATCH(VLOOKUP(Assumptions!AD$2,TIAM15_assumptions!$Y$3:$Z$87,2,FALSE),TIAM15_assumptions!$H$2:$V$2,0))</f>
        <v>0</v>
      </c>
      <c r="AE99" s="59">
        <f ca="1">OFFSET(TIAM15_assumptions!$G99,0,MATCH(VLOOKUP(Assumptions!AE$2,TIAM15_assumptions!$Y$3:$Z$87,2,FALSE),TIAM15_assumptions!$H$2:$V$2,0))</f>
        <v>0</v>
      </c>
      <c r="AF99" s="59">
        <f ca="1">OFFSET(TIAM15_assumptions!$G99,0,MATCH(VLOOKUP(Assumptions!AF$2,TIAM15_assumptions!$Y$3:$Z$87,2,FALSE),TIAM15_assumptions!$H$2:$V$2,0))</f>
        <v>0</v>
      </c>
      <c r="AG99" s="59">
        <f ca="1">OFFSET(TIAM15_assumptions!$G99,0,MATCH(VLOOKUP(Assumptions!AG$2,TIAM15_assumptions!$Y$3:$Z$87,2,FALSE),TIAM15_assumptions!$H$2:$V$2,0))</f>
        <v>0</v>
      </c>
      <c r="AH99" s="59">
        <f ca="1">OFFSET(TIAM15_assumptions!$G99,0,MATCH(VLOOKUP(Assumptions!AH$2,TIAM15_assumptions!$Y$3:$Z$87,2,FALSE),TIAM15_assumptions!$H$2:$V$2,0))</f>
        <v>0</v>
      </c>
      <c r="AI99" s="59">
        <f ca="1">OFFSET(TIAM15_assumptions!$G99,0,MATCH(VLOOKUP(Assumptions!AI$2,TIAM15_assumptions!$Y$3:$Z$87,2,FALSE),TIAM15_assumptions!$H$2:$V$2,0))</f>
        <v>0</v>
      </c>
      <c r="AJ99" s="59">
        <f ca="1">OFFSET(TIAM15_assumptions!$G99,0,MATCH(VLOOKUP(Assumptions!AJ$2,TIAM15_assumptions!$Y$3:$Z$87,2,FALSE),TIAM15_assumptions!$H$2:$V$2,0))</f>
        <v>0</v>
      </c>
      <c r="AK99" s="59">
        <f ca="1">OFFSET(TIAM15_assumptions!$G99,0,MATCH(VLOOKUP(Assumptions!AK$2,TIAM15_assumptions!$Y$3:$Z$87,2,FALSE),TIAM15_assumptions!$H$2:$V$2,0))</f>
        <v>0</v>
      </c>
      <c r="AL99" s="59">
        <f ca="1">OFFSET(TIAM15_assumptions!$G99,0,MATCH(VLOOKUP(Assumptions!AL$2,TIAM15_assumptions!$Y$3:$Z$87,2,FALSE),TIAM15_assumptions!$H$2:$V$2,0))</f>
        <v>0</v>
      </c>
      <c r="AM99" s="59">
        <f ca="1">OFFSET(TIAM15_assumptions!$G99,0,MATCH(VLOOKUP(Assumptions!AM$2,TIAM15_assumptions!$Y$3:$Z$87,2,FALSE),TIAM15_assumptions!$H$2:$V$2,0))</f>
        <v>0</v>
      </c>
      <c r="AN99" s="59">
        <f ca="1">OFFSET(TIAM15_assumptions!$G99,0,MATCH(VLOOKUP(Assumptions!AN$2,TIAM15_assumptions!$Y$3:$Z$87,2,FALSE),TIAM15_assumptions!$H$2:$V$2,0))</f>
        <v>0</v>
      </c>
      <c r="AO99" s="59">
        <f ca="1">OFFSET(TIAM15_assumptions!$G99,0,MATCH(VLOOKUP(Assumptions!AO$2,TIAM15_assumptions!$Y$3:$Z$87,2,FALSE),TIAM15_assumptions!$H$2:$V$2,0))</f>
        <v>0</v>
      </c>
      <c r="AP99" s="59">
        <f ca="1">OFFSET(TIAM15_assumptions!$G99,0,MATCH(VLOOKUP(Assumptions!AP$2,TIAM15_assumptions!$Y$3:$Z$87,2,FALSE),TIAM15_assumptions!$H$2:$V$2,0))</f>
        <v>0</v>
      </c>
      <c r="AQ99" s="59">
        <f ca="1">OFFSET(TIAM15_assumptions!$G99,0,MATCH(VLOOKUP(Assumptions!AQ$2,TIAM15_assumptions!$Y$3:$Z$87,2,FALSE),TIAM15_assumptions!$H$2:$V$2,0))</f>
        <v>0</v>
      </c>
      <c r="AR99" s="59">
        <f ca="1">OFFSET(TIAM15_assumptions!$G99,0,MATCH(VLOOKUP(Assumptions!AR$2,TIAM15_assumptions!$Y$3:$Z$87,2,FALSE),TIAM15_assumptions!$H$2:$V$2,0))</f>
        <v>0</v>
      </c>
      <c r="AS99" s="59">
        <f ca="1">OFFSET(TIAM15_assumptions!$G99,0,MATCH(VLOOKUP(Assumptions!AS$2,TIAM15_assumptions!$Y$3:$Z$87,2,FALSE),TIAM15_assumptions!$H$2:$V$2,0))</f>
        <v>0</v>
      </c>
      <c r="AT99" s="59">
        <f ca="1">OFFSET(TIAM15_assumptions!$G99,0,MATCH(VLOOKUP(Assumptions!AT$2,TIAM15_assumptions!$Y$3:$Z$87,2,FALSE),TIAM15_assumptions!$H$2:$V$2,0))</f>
        <v>0</v>
      </c>
      <c r="AU99" s="59">
        <f ca="1">OFFSET(TIAM15_assumptions!$G99,0,MATCH(VLOOKUP(Assumptions!AU$2,TIAM15_assumptions!$Y$3:$Z$87,2,FALSE),TIAM15_assumptions!$H$2:$V$2,0))</f>
        <v>0</v>
      </c>
      <c r="AV99" s="59">
        <f ca="1">OFFSET(TIAM15_assumptions!$G99,0,MATCH(VLOOKUP(Assumptions!AV$2,TIAM15_assumptions!$Y$3:$Z$87,2,FALSE),TIAM15_assumptions!$H$2:$V$2,0))</f>
        <v>0</v>
      </c>
      <c r="AW99" s="59">
        <f ca="1">OFFSET(TIAM15_assumptions!$G99,0,MATCH(VLOOKUP(Assumptions!AW$2,TIAM15_assumptions!$Y$3:$Z$87,2,FALSE),TIAM15_assumptions!$H$2:$V$2,0))</f>
        <v>0</v>
      </c>
      <c r="AX99" s="59">
        <f ca="1">OFFSET(TIAM15_assumptions!$G99,0,MATCH(VLOOKUP(Assumptions!AX$2,TIAM15_assumptions!$Y$3:$Z$87,2,FALSE),TIAM15_assumptions!$H$2:$V$2,0))</f>
        <v>0</v>
      </c>
      <c r="AY99" s="59">
        <f ca="1">OFFSET(TIAM15_assumptions!$G99,0,MATCH(VLOOKUP(Assumptions!AY$2,TIAM15_assumptions!$Y$3:$Z$87,2,FALSE),TIAM15_assumptions!$H$2:$V$2,0))</f>
        <v>0</v>
      </c>
      <c r="AZ99" s="59">
        <f ca="1">OFFSET(TIAM15_assumptions!$G99,0,MATCH(VLOOKUP(Assumptions!AZ$2,TIAM15_assumptions!$Y$3:$Z$87,2,FALSE),TIAM15_assumptions!$H$2:$V$2,0))</f>
        <v>0</v>
      </c>
      <c r="BA99" s="59">
        <f ca="1">OFFSET(TIAM15_assumptions!$G99,0,MATCH(VLOOKUP(Assumptions!BA$2,TIAM15_assumptions!$Y$3:$Z$87,2,FALSE),TIAM15_assumptions!$H$2:$V$2,0))</f>
        <v>0</v>
      </c>
      <c r="BD99" s="41">
        <f ca="1">IFERROR(SUMIFS('TRA balance'!E$5:E$40,'TRA balance'!$C$5:$C$40,Assumptions!$C99,'TRA balance'!$D$5:$D$40,Assumptions!$B99)*CY99*H99,"")</f>
        <v>0</v>
      </c>
      <c r="BE99" s="41">
        <f ca="1">IFERROR(SUMIFS('TRA balance'!F$5:F$40,'TRA balance'!$C$5:$C$40,Assumptions!$C99,'TRA balance'!$D$5:$D$40,Assumptions!$B99)*CZ99*I99,"")</f>
        <v>0</v>
      </c>
      <c r="BF99" s="41">
        <f ca="1">IFERROR(SUMIFS('TRA balance'!G$5:G$40,'TRA balance'!$C$5:$C$40,Assumptions!$C99,'TRA balance'!$D$5:$D$40,Assumptions!$B99)*DA99*J99,"")</f>
        <v>0</v>
      </c>
      <c r="BG99" s="41">
        <f ca="1">IFERROR(SUMIFS('TRA balance'!H$5:H$40,'TRA balance'!$C$5:$C$40,Assumptions!$C99,'TRA balance'!$D$5:$D$40,Assumptions!$B99)*DB99*K99,"")</f>
        <v>0</v>
      </c>
      <c r="BH99" s="41">
        <f ca="1">IFERROR(SUMIFS('TRA balance'!I$5:I$40,'TRA balance'!$C$5:$C$40,Assumptions!$C99,'TRA balance'!$D$5:$D$40,Assumptions!$B99)*DC99*L99,"")</f>
        <v>0</v>
      </c>
      <c r="BI99" s="41">
        <f ca="1">IFERROR(SUMIFS('TRA balance'!J$5:J$40,'TRA balance'!$C$5:$C$40,Assumptions!$C99,'TRA balance'!$D$5:$D$40,Assumptions!$B99)*DD99*M99,"")</f>
        <v>0</v>
      </c>
      <c r="BJ99" s="41">
        <f ca="1">IFERROR(SUMIFS('TRA balance'!K$5:K$40,'TRA balance'!$C$5:$C$40,Assumptions!$C99,'TRA balance'!$D$5:$D$40,Assumptions!$B99)*DE99*N99,"")</f>
        <v>0</v>
      </c>
      <c r="BK99" s="41">
        <f ca="1">IFERROR(SUMIFS('TRA balance'!L$5:L$40,'TRA balance'!$C$5:$C$40,Assumptions!$C99,'TRA balance'!$D$5:$D$40,Assumptions!$B99)*DF99*O99,"")</f>
        <v>24.53630136732</v>
      </c>
      <c r="BL99" s="41">
        <f ca="1">IFERROR(SUMIFS('TRA balance'!M$5:M$40,'TRA balance'!$C$5:$C$40,Assumptions!$C99,'TRA balance'!$D$5:$D$40,Assumptions!$B99)*DG99*P99,"")</f>
        <v>0</v>
      </c>
      <c r="BM99" s="41">
        <f ca="1">IFERROR(SUMIFS('TRA balance'!N$5:N$40,'TRA balance'!$C$5:$C$40,Assumptions!$C99,'TRA balance'!$D$5:$D$40,Assumptions!$B99)*DH99*Q99,"")</f>
        <v>0</v>
      </c>
      <c r="BN99" s="41">
        <f ca="1">IFERROR(SUMIFS('TRA balance'!O$5:O$40,'TRA balance'!$C$5:$C$40,Assumptions!$C99,'TRA balance'!$D$5:$D$40,Assumptions!$B99)*DI99*R99,"")</f>
        <v>0</v>
      </c>
      <c r="BO99" s="41">
        <f ca="1">IFERROR(SUMIFS('TRA balance'!P$5:P$40,'TRA balance'!$C$5:$C$40,Assumptions!$C99,'TRA balance'!$D$5:$D$40,Assumptions!$B99)*DJ99*S99,"")</f>
        <v>0</v>
      </c>
      <c r="BP99" s="41">
        <f ca="1">IFERROR(SUMIFS('TRA balance'!Q$5:Q$40,'TRA balance'!$C$5:$C$40,Assumptions!$C99,'TRA balance'!$D$5:$D$40,Assumptions!$B99)*DK99*T99,"")</f>
        <v>0</v>
      </c>
      <c r="BQ99" s="41">
        <f ca="1">IFERROR(SUMIFS('TRA balance'!R$5:R$40,'TRA balance'!$C$5:$C$40,Assumptions!$C99,'TRA balance'!$D$5:$D$40,Assumptions!$B99)*DL99*U99,"")</f>
        <v>0</v>
      </c>
      <c r="BR99" s="41">
        <f ca="1">IFERROR(SUMIFS('TRA balance'!S$5:S$40,'TRA balance'!$C$5:$C$40,Assumptions!$C99,'TRA balance'!$D$5:$D$40,Assumptions!$B99)*DM99*V99,"")</f>
        <v>0</v>
      </c>
      <c r="BS99" s="41">
        <f ca="1">IFERROR(SUMIFS('TRA balance'!T$5:T$40,'TRA balance'!$C$5:$C$40,Assumptions!$C99,'TRA balance'!$D$5:$D$40,Assumptions!$B99)*DN99*W99,"")</f>
        <v>0</v>
      </c>
      <c r="BT99" s="41">
        <f ca="1">IFERROR(SUMIFS('TRA balance'!U$5:U$40,'TRA balance'!$C$5:$C$40,Assumptions!$C99,'TRA balance'!$D$5:$D$40,Assumptions!$B99)*DO99*X99,"")</f>
        <v>0</v>
      </c>
      <c r="BU99" s="41">
        <f ca="1">IFERROR(SUMIFS('TRA balance'!V$5:V$40,'TRA balance'!$C$5:$C$40,Assumptions!$C99,'TRA balance'!$D$5:$D$40,Assumptions!$B99)*DP99*Y99,"")</f>
        <v>0</v>
      </c>
      <c r="BV99" s="41">
        <f ca="1">IFERROR(SUMIFS('TRA balance'!W$5:W$40,'TRA balance'!$C$5:$C$40,Assumptions!$C99,'TRA balance'!$D$5:$D$40,Assumptions!$B99)*DQ99*Z99,"")</f>
        <v>0</v>
      </c>
      <c r="BW99" s="41">
        <f ca="1">IFERROR(SUMIFS('TRA balance'!X$5:X$40,'TRA balance'!$C$5:$C$40,Assumptions!$C99,'TRA balance'!$D$5:$D$40,Assumptions!$B99)*DR99*AA99,"")</f>
        <v>0</v>
      </c>
      <c r="BX99" s="41">
        <f ca="1">IFERROR(SUMIFS('TRA balance'!Y$5:Y$40,'TRA balance'!$C$5:$C$40,Assumptions!$C99,'TRA balance'!$D$5:$D$40,Assumptions!$B99)*DS99*AB99,"")</f>
        <v>0</v>
      </c>
      <c r="BY99" s="41">
        <f ca="1">IFERROR(SUMIFS('TRA balance'!Z$5:Z$40,'TRA balance'!$C$5:$C$40,Assumptions!$C99,'TRA balance'!$D$5:$D$40,Assumptions!$B99)*DT99*AC99,"")</f>
        <v>0</v>
      </c>
      <c r="BZ99" s="41">
        <f ca="1">IFERROR(SUMIFS('TRA balance'!AA$5:AA$40,'TRA balance'!$C$5:$C$40,Assumptions!$C99,'TRA balance'!$D$5:$D$40,Assumptions!$B99)*DU99*AD99,"")</f>
        <v>0</v>
      </c>
      <c r="CA99" s="41">
        <f ca="1">IFERROR(SUMIFS('TRA balance'!AB$5:AB$40,'TRA balance'!$C$5:$C$40,Assumptions!$C99,'TRA balance'!$D$5:$D$40,Assumptions!$B99)*DV99*AE99,"")</f>
        <v>0</v>
      </c>
      <c r="CB99" s="41">
        <f ca="1">IFERROR(SUMIFS('TRA balance'!AC$5:AC$40,'TRA balance'!$C$5:$C$40,Assumptions!$C99,'TRA balance'!$D$5:$D$40,Assumptions!$B99)*DW99*AF99,"")</f>
        <v>0</v>
      </c>
      <c r="CC99" s="41">
        <f ca="1">IFERROR(SUMIFS('TRA balance'!AD$5:AD$40,'TRA balance'!$C$5:$C$40,Assumptions!$C99,'TRA balance'!$D$5:$D$40,Assumptions!$B99)*DX99*AG99,"")</f>
        <v>0</v>
      </c>
      <c r="CD99" s="41">
        <f ca="1">IFERROR(SUMIFS('TRA balance'!AE$5:AE$40,'TRA balance'!$C$5:$C$40,Assumptions!$C99,'TRA balance'!$D$5:$D$40,Assumptions!$B99)*DY99*AH99,"")</f>
        <v>0</v>
      </c>
      <c r="CE99" s="41">
        <f ca="1">IFERROR(SUMIFS('TRA balance'!AF$5:AF$40,'TRA balance'!$C$5:$C$40,Assumptions!$C99,'TRA balance'!$D$5:$D$40,Assumptions!$B99)*DZ99*AI99,"")</f>
        <v>0</v>
      </c>
      <c r="CF99" s="41">
        <f ca="1">IFERROR(SUMIFS('TRA balance'!AG$5:AG$40,'TRA balance'!$C$5:$C$40,Assumptions!$C99,'TRA balance'!$D$5:$D$40,Assumptions!$B99)*EA99*AJ99,"")</f>
        <v>0</v>
      </c>
      <c r="CG99" s="41">
        <f ca="1">IFERROR(SUMIFS('TRA balance'!AH$5:AH$40,'TRA balance'!$C$5:$C$40,Assumptions!$C99,'TRA balance'!$D$5:$D$40,Assumptions!$B99)*EB99*AK99,"")</f>
        <v>0</v>
      </c>
      <c r="CH99" s="41">
        <f ca="1">IFERROR(SUMIFS('TRA balance'!AI$5:AI$40,'TRA balance'!$C$5:$C$40,Assumptions!$C99,'TRA balance'!$D$5:$D$40,Assumptions!$B99)*EC99*AL99,"")</f>
        <v>0</v>
      </c>
      <c r="CI99" s="41">
        <f ca="1">IFERROR(SUMIFS('TRA balance'!AJ$5:AJ$40,'TRA balance'!$C$5:$C$40,Assumptions!$C99,'TRA balance'!$D$5:$D$40,Assumptions!$B99)*ED99*AM99,"")</f>
        <v>0</v>
      </c>
      <c r="CJ99" s="41">
        <f ca="1">IFERROR(SUMIFS('TRA balance'!AK$5:AK$40,'TRA balance'!$C$5:$C$40,Assumptions!$C99,'TRA balance'!$D$5:$D$40,Assumptions!$B99)*EE99*AN99,"")</f>
        <v>0</v>
      </c>
      <c r="CK99" s="41">
        <f ca="1">IFERROR(SUMIFS('TRA balance'!AL$5:AL$40,'TRA balance'!$C$5:$C$40,Assumptions!$C99,'TRA balance'!$D$5:$D$40,Assumptions!$B99)*EF99*AO99,"")</f>
        <v>0</v>
      </c>
      <c r="CL99" s="41">
        <f ca="1">IFERROR(SUMIFS('TRA balance'!AM$5:AM$40,'TRA balance'!$C$5:$C$40,Assumptions!$C99,'TRA balance'!$D$5:$D$40,Assumptions!$B99)*EG99*AP99,"")</f>
        <v>0</v>
      </c>
      <c r="CM99" s="41">
        <f ca="1">IFERROR(SUMIFS('TRA balance'!AN$5:AN$40,'TRA balance'!$C$5:$C$40,Assumptions!$C99,'TRA balance'!$D$5:$D$40,Assumptions!$B99)*EH99*AQ99,"")</f>
        <v>0</v>
      </c>
      <c r="CN99" s="41">
        <f ca="1">IFERROR(SUMIFS('TRA balance'!AO$5:AO$40,'TRA balance'!$C$5:$C$40,Assumptions!$C99,'TRA balance'!$D$5:$D$40,Assumptions!$B99)*EI99*AR99,"")</f>
        <v>0</v>
      </c>
      <c r="CO99" s="41">
        <f ca="1">IFERROR(SUMIFS('TRA balance'!AP$5:AP$40,'TRA balance'!$C$5:$C$40,Assumptions!$C99,'TRA balance'!$D$5:$D$40,Assumptions!$B99)*EJ99*AS99,"")</f>
        <v>0</v>
      </c>
      <c r="CP99" s="41">
        <f ca="1">IFERROR(SUMIFS('TRA balance'!AQ$5:AQ$40,'TRA balance'!$C$5:$C$40,Assumptions!$C99,'TRA balance'!$D$5:$D$40,Assumptions!$B99)*EK99*AT99,"")</f>
        <v>0</v>
      </c>
      <c r="CQ99" s="41">
        <f ca="1">IFERROR(SUMIFS('TRA balance'!AR$5:AR$40,'TRA balance'!$C$5:$C$40,Assumptions!$C99,'TRA balance'!$D$5:$D$40,Assumptions!$B99)*EL99*AU99,"")</f>
        <v>0</v>
      </c>
      <c r="CR99" s="41">
        <f ca="1">IFERROR(SUMIFS('TRA balance'!AS$5:AS$40,'TRA balance'!$C$5:$C$40,Assumptions!$C99,'TRA balance'!$D$5:$D$40,Assumptions!$B99)*EM99*AV99,"")</f>
        <v>0</v>
      </c>
      <c r="CS99" s="41">
        <f ca="1">IFERROR(SUMIFS('TRA balance'!AT$5:AT$40,'TRA balance'!$C$5:$C$40,Assumptions!$C99,'TRA balance'!$D$5:$D$40,Assumptions!$B99)*EN99*AW99,"")</f>
        <v>0</v>
      </c>
      <c r="CT99" s="41">
        <f ca="1">IFERROR(SUMIFS('TRA balance'!AU$5:AU$40,'TRA balance'!$C$5:$C$40,Assumptions!$C99,'TRA balance'!$D$5:$D$40,Assumptions!$B99)*EO99*AX99,"")</f>
        <v>0</v>
      </c>
      <c r="CU99" s="41">
        <f ca="1">IFERROR(SUMIFS('TRA balance'!AV$5:AV$40,'TRA balance'!$C$5:$C$40,Assumptions!$C99,'TRA balance'!$D$5:$D$40,Assumptions!$B99)*EP99*AY99,"")</f>
        <v>0</v>
      </c>
      <c r="CV99" s="41">
        <f ca="1">IFERROR(SUMIFS('TRA balance'!AW$5:AW$40,'TRA balance'!$C$5:$C$40,Assumptions!$C99,'TRA balance'!$D$5:$D$40,Assumptions!$B99)*EQ99*AZ99,"")</f>
        <v>0</v>
      </c>
      <c r="CW99" s="41">
        <f ca="1">IFERROR(SUMIFS('TRA balance'!AX$5:AX$40,'TRA balance'!$C$5:$C$40,Assumptions!$C99,'TRA balance'!$D$5:$D$40,Assumptions!$B99)*ER99*BA99,"")</f>
        <v>0</v>
      </c>
      <c r="CY99" s="40">
        <f ca="1" t="shared" si="86"/>
        <v>1</v>
      </c>
      <c r="CZ99" s="40">
        <f ca="1" t="shared" si="87"/>
        <v>1</v>
      </c>
      <c r="DA99" s="40">
        <f ca="1" t="shared" si="88"/>
        <v>0</v>
      </c>
      <c r="DB99" s="40">
        <f ca="1" t="shared" si="89"/>
        <v>0</v>
      </c>
      <c r="DC99" s="40">
        <f ca="1" t="shared" si="90"/>
        <v>1</v>
      </c>
      <c r="DD99" s="40">
        <f ca="1" t="shared" si="91"/>
        <v>0</v>
      </c>
      <c r="DE99" s="40">
        <f ca="1" t="shared" si="92"/>
        <v>0.5</v>
      </c>
      <c r="DF99" s="40">
        <f ca="1" t="shared" si="93"/>
        <v>0.2</v>
      </c>
      <c r="DG99" s="40">
        <f ca="1" t="shared" si="94"/>
        <v>1</v>
      </c>
      <c r="DH99" s="40">
        <f ca="1" t="shared" si="95"/>
        <v>1</v>
      </c>
      <c r="DI99" s="40">
        <f ca="1" t="shared" si="96"/>
        <v>0</v>
      </c>
      <c r="DJ99" s="40">
        <f ca="1" t="shared" si="97"/>
        <v>0</v>
      </c>
      <c r="DK99" s="40">
        <f ca="1" t="shared" si="98"/>
        <v>0</v>
      </c>
      <c r="DL99" s="40">
        <f ca="1" t="shared" si="99"/>
        <v>1</v>
      </c>
      <c r="DM99" s="40">
        <f ca="1" t="shared" si="100"/>
        <v>0</v>
      </c>
      <c r="DN99" s="40">
        <f ca="1" t="shared" si="101"/>
        <v>1</v>
      </c>
      <c r="DO99" s="40">
        <f ca="1" t="shared" si="102"/>
        <v>0</v>
      </c>
      <c r="DP99" s="40">
        <f ca="1" t="shared" si="103"/>
        <v>0</v>
      </c>
      <c r="DQ99" s="40">
        <f ca="1" t="shared" si="104"/>
        <v>0</v>
      </c>
      <c r="DR99" s="40">
        <f ca="1" t="shared" si="105"/>
        <v>0.5</v>
      </c>
      <c r="DS99" s="40">
        <f ca="1" t="shared" si="106"/>
        <v>1</v>
      </c>
      <c r="DT99" s="40">
        <f ca="1" t="shared" si="107"/>
        <v>0</v>
      </c>
      <c r="DU99" s="40">
        <f ca="1" t="shared" si="108"/>
        <v>0</v>
      </c>
      <c r="DV99" s="40">
        <f ca="1" t="shared" si="109"/>
        <v>1</v>
      </c>
      <c r="DW99" s="40">
        <f ca="1" t="shared" si="110"/>
        <v>0</v>
      </c>
      <c r="DX99" s="40">
        <f ca="1" t="shared" si="111"/>
        <v>1</v>
      </c>
      <c r="DY99" s="40">
        <f ca="1" t="shared" si="112"/>
        <v>1</v>
      </c>
      <c r="DZ99" s="40">
        <f ca="1" t="shared" si="113"/>
        <v>1</v>
      </c>
      <c r="EA99" s="40">
        <f ca="1" t="shared" si="114"/>
        <v>0</v>
      </c>
      <c r="EB99" s="40">
        <f ca="1" t="shared" si="115"/>
        <v>0</v>
      </c>
      <c r="EC99" s="40">
        <f ca="1" t="shared" si="116"/>
        <v>0</v>
      </c>
      <c r="ED99" s="40">
        <f ca="1" t="shared" si="117"/>
        <v>1</v>
      </c>
      <c r="EE99" s="40">
        <f ca="1" t="shared" si="118"/>
        <v>0</v>
      </c>
      <c r="EF99" s="40">
        <f ca="1" t="shared" si="119"/>
        <v>1</v>
      </c>
      <c r="EG99" s="40">
        <f ca="1" t="shared" si="120"/>
        <v>1</v>
      </c>
      <c r="EH99" s="40">
        <f ca="1" t="shared" si="121"/>
        <v>0</v>
      </c>
      <c r="EI99" s="40">
        <f ca="1" t="shared" si="122"/>
        <v>0</v>
      </c>
      <c r="EJ99" s="40">
        <f ca="1" t="shared" si="123"/>
        <v>0</v>
      </c>
      <c r="EK99" s="40">
        <f ca="1" t="shared" si="124"/>
        <v>0</v>
      </c>
      <c r="EL99" s="40">
        <f ca="1" t="shared" si="125"/>
        <v>0</v>
      </c>
      <c r="EM99" s="40">
        <f ca="1" t="shared" si="126"/>
        <v>0</v>
      </c>
      <c r="EN99" s="40">
        <f ca="1" t="shared" si="127"/>
        <v>0</v>
      </c>
      <c r="EO99" s="40">
        <f ca="1" t="shared" si="128"/>
        <v>0</v>
      </c>
      <c r="EP99" s="40">
        <f ca="1" t="shared" si="129"/>
        <v>0</v>
      </c>
      <c r="EQ99" s="40">
        <f ca="1" t="shared" si="130"/>
        <v>0</v>
      </c>
      <c r="ER99" s="40">
        <f ca="1" t="shared" si="131"/>
        <v>0</v>
      </c>
    </row>
    <row r="100" spans="1:148">
      <c r="A100">
        <v>1</v>
      </c>
      <c r="B100" t="str">
        <f>VLOOKUP(F100,'TRA balance'!$BA$5:$BB$14,2,FALSE)</f>
        <v>TRAELC</v>
      </c>
      <c r="C100" s="56" t="str">
        <f t="shared" si="133"/>
        <v/>
      </c>
      <c r="D100" s="57"/>
      <c r="E100" s="69" t="s">
        <v>220</v>
      </c>
      <c r="F100" s="58" t="str">
        <f t="shared" si="146"/>
        <v>Electricity</v>
      </c>
      <c r="G100" s="56"/>
      <c r="H100" s="71" t="str">
        <f ca="1">IF(SUM(H96:H99)=1,"-","&lt;&gt;1!!")</f>
        <v>-</v>
      </c>
      <c r="I100" s="71" t="str">
        <f ca="1" t="shared" ref="I100:BA100" si="147">IF(SUM(I96:I99)=1,"-","&lt;&gt;1!!")</f>
        <v>-</v>
      </c>
      <c r="J100" s="71" t="str">
        <f ca="1" t="shared" si="147"/>
        <v>-</v>
      </c>
      <c r="K100" s="71" t="str">
        <f ca="1" t="shared" si="147"/>
        <v>-</v>
      </c>
      <c r="L100" s="71" t="str">
        <f ca="1" t="shared" si="147"/>
        <v>-</v>
      </c>
      <c r="M100" s="71" t="str">
        <f ca="1" t="shared" si="147"/>
        <v>-</v>
      </c>
      <c r="N100" s="71" t="str">
        <f ca="1" t="shared" si="147"/>
        <v>-</v>
      </c>
      <c r="O100" s="71" t="str">
        <f ca="1" t="shared" si="147"/>
        <v>-</v>
      </c>
      <c r="P100" s="71" t="str">
        <f ca="1" t="shared" si="147"/>
        <v>-</v>
      </c>
      <c r="Q100" s="71" t="str">
        <f ca="1" t="shared" si="147"/>
        <v>-</v>
      </c>
      <c r="R100" s="71" t="str">
        <f ca="1" t="shared" si="147"/>
        <v>-</v>
      </c>
      <c r="S100" s="71" t="str">
        <f ca="1" t="shared" si="147"/>
        <v>-</v>
      </c>
      <c r="T100" s="71" t="str">
        <f ca="1" t="shared" si="147"/>
        <v>-</v>
      </c>
      <c r="U100" s="71" t="str">
        <f ca="1" t="shared" si="147"/>
        <v>-</v>
      </c>
      <c r="V100" s="71" t="str">
        <f ca="1" t="shared" si="147"/>
        <v>-</v>
      </c>
      <c r="W100" s="71" t="str">
        <f ca="1" t="shared" si="147"/>
        <v>-</v>
      </c>
      <c r="X100" s="71" t="str">
        <f ca="1" t="shared" si="147"/>
        <v>-</v>
      </c>
      <c r="Y100" s="71" t="str">
        <f ca="1" t="shared" si="147"/>
        <v>-</v>
      </c>
      <c r="Z100" s="71" t="str">
        <f ca="1" t="shared" si="147"/>
        <v>-</v>
      </c>
      <c r="AA100" s="71" t="str">
        <f ca="1" t="shared" si="147"/>
        <v>-</v>
      </c>
      <c r="AB100" s="71" t="str">
        <f ca="1" t="shared" si="147"/>
        <v>-</v>
      </c>
      <c r="AC100" s="71" t="str">
        <f ca="1" t="shared" si="147"/>
        <v>-</v>
      </c>
      <c r="AD100" s="71" t="str">
        <f ca="1" t="shared" si="147"/>
        <v>-</v>
      </c>
      <c r="AE100" s="71" t="str">
        <f ca="1" t="shared" si="147"/>
        <v>-</v>
      </c>
      <c r="AF100" s="71" t="str">
        <f ca="1" t="shared" si="147"/>
        <v>-</v>
      </c>
      <c r="AG100" s="71" t="str">
        <f ca="1" t="shared" si="147"/>
        <v>-</v>
      </c>
      <c r="AH100" s="71" t="str">
        <f ca="1" t="shared" si="147"/>
        <v>-</v>
      </c>
      <c r="AI100" s="71" t="str">
        <f ca="1" t="shared" si="147"/>
        <v>-</v>
      </c>
      <c r="AJ100" s="71" t="str">
        <f ca="1" t="shared" si="147"/>
        <v>-</v>
      </c>
      <c r="AK100" s="71" t="str">
        <f ca="1" t="shared" si="147"/>
        <v>-</v>
      </c>
      <c r="AL100" s="71" t="str">
        <f ca="1" t="shared" si="147"/>
        <v>-</v>
      </c>
      <c r="AM100" s="71" t="str">
        <f ca="1" t="shared" si="147"/>
        <v>-</v>
      </c>
      <c r="AN100" s="71" t="str">
        <f ca="1" t="shared" si="147"/>
        <v>-</v>
      </c>
      <c r="AO100" s="71" t="str">
        <f ca="1" t="shared" si="147"/>
        <v>-</v>
      </c>
      <c r="AP100" s="71" t="str">
        <f ca="1" t="shared" si="147"/>
        <v>-</v>
      </c>
      <c r="AQ100" s="71" t="str">
        <f ca="1" t="shared" si="147"/>
        <v>-</v>
      </c>
      <c r="AR100" s="71" t="str">
        <f ca="1" t="shared" si="147"/>
        <v>-</v>
      </c>
      <c r="AS100" s="71" t="str">
        <f ca="1" t="shared" si="147"/>
        <v>-</v>
      </c>
      <c r="AT100" s="71" t="str">
        <f ca="1" t="shared" si="147"/>
        <v>-</v>
      </c>
      <c r="AU100" s="71" t="str">
        <f ca="1" t="shared" si="147"/>
        <v>-</v>
      </c>
      <c r="AV100" s="71" t="str">
        <f ca="1" t="shared" si="147"/>
        <v>-</v>
      </c>
      <c r="AW100" s="71" t="str">
        <f ca="1" t="shared" si="147"/>
        <v>-</v>
      </c>
      <c r="AX100" s="71" t="str">
        <f ca="1" t="shared" si="147"/>
        <v>-</v>
      </c>
      <c r="AY100" s="71" t="str">
        <f ca="1" t="shared" si="147"/>
        <v>-</v>
      </c>
      <c r="AZ100" s="71" t="str">
        <f ca="1" t="shared" si="147"/>
        <v>-</v>
      </c>
      <c r="BA100" s="71" t="str">
        <f ca="1" t="shared" si="147"/>
        <v>-</v>
      </c>
      <c r="BD100" s="41" t="str">
        <f ca="1">IFERROR(SUMIFS('TRA balance'!E$5:E$40,'TRA balance'!$C$5:$C$40,Assumptions!$C100,'TRA balance'!$D$5:$D$40,Assumptions!$B100)*CY100*H100,"")</f>
        <v/>
      </c>
      <c r="BE100" s="41" t="str">
        <f ca="1">IFERROR(SUMIFS('TRA balance'!F$5:F$40,'TRA balance'!$C$5:$C$40,Assumptions!$C100,'TRA balance'!$D$5:$D$40,Assumptions!$B100)*CZ100*I100,"")</f>
        <v/>
      </c>
      <c r="BF100" s="41" t="str">
        <f ca="1">IFERROR(SUMIFS('TRA balance'!G$5:G$40,'TRA balance'!$C$5:$C$40,Assumptions!$C100,'TRA balance'!$D$5:$D$40,Assumptions!$B100)*DA100*J100,"")</f>
        <v/>
      </c>
      <c r="BG100" s="41" t="str">
        <f ca="1">IFERROR(SUMIFS('TRA balance'!H$5:H$40,'TRA balance'!$C$5:$C$40,Assumptions!$C100,'TRA balance'!$D$5:$D$40,Assumptions!$B100)*DB100*K100,"")</f>
        <v/>
      </c>
      <c r="BH100" s="41" t="str">
        <f ca="1">IFERROR(SUMIFS('TRA balance'!I$5:I$40,'TRA balance'!$C$5:$C$40,Assumptions!$C100,'TRA balance'!$D$5:$D$40,Assumptions!$B100)*DC100*L100,"")</f>
        <v/>
      </c>
      <c r="BI100" s="41" t="str">
        <f ca="1">IFERROR(SUMIFS('TRA balance'!J$5:J$40,'TRA balance'!$C$5:$C$40,Assumptions!$C100,'TRA balance'!$D$5:$D$40,Assumptions!$B100)*DD100*M100,"")</f>
        <v/>
      </c>
      <c r="BJ100" s="41" t="str">
        <f ca="1">IFERROR(SUMIFS('TRA balance'!K$5:K$40,'TRA balance'!$C$5:$C$40,Assumptions!$C100,'TRA balance'!$D$5:$D$40,Assumptions!$B100)*DE100*N100,"")</f>
        <v/>
      </c>
      <c r="BK100" s="41" t="str">
        <f ca="1">IFERROR(SUMIFS('TRA balance'!L$5:L$40,'TRA balance'!$C$5:$C$40,Assumptions!$C100,'TRA balance'!$D$5:$D$40,Assumptions!$B100)*DF100*O100,"")</f>
        <v/>
      </c>
      <c r="BL100" s="41" t="str">
        <f ca="1">IFERROR(SUMIFS('TRA balance'!M$5:M$40,'TRA balance'!$C$5:$C$40,Assumptions!$C100,'TRA balance'!$D$5:$D$40,Assumptions!$B100)*DG100*P100,"")</f>
        <v/>
      </c>
      <c r="BM100" s="41" t="str">
        <f ca="1">IFERROR(SUMIFS('TRA balance'!N$5:N$40,'TRA balance'!$C$5:$C$40,Assumptions!$C100,'TRA balance'!$D$5:$D$40,Assumptions!$B100)*DH100*Q100,"")</f>
        <v/>
      </c>
      <c r="BN100" s="41" t="str">
        <f ca="1">IFERROR(SUMIFS('TRA balance'!O$5:O$40,'TRA balance'!$C$5:$C$40,Assumptions!$C100,'TRA balance'!$D$5:$D$40,Assumptions!$B100)*DI100*R100,"")</f>
        <v/>
      </c>
      <c r="BO100" s="41" t="str">
        <f ca="1">IFERROR(SUMIFS('TRA balance'!P$5:P$40,'TRA balance'!$C$5:$C$40,Assumptions!$C100,'TRA balance'!$D$5:$D$40,Assumptions!$B100)*DJ100*S100,"")</f>
        <v/>
      </c>
      <c r="BP100" s="41" t="str">
        <f ca="1">IFERROR(SUMIFS('TRA balance'!Q$5:Q$40,'TRA balance'!$C$5:$C$40,Assumptions!$C100,'TRA balance'!$D$5:$D$40,Assumptions!$B100)*DK100*T100,"")</f>
        <v/>
      </c>
      <c r="BQ100" s="41" t="str">
        <f ca="1">IFERROR(SUMIFS('TRA balance'!R$5:R$40,'TRA balance'!$C$5:$C$40,Assumptions!$C100,'TRA balance'!$D$5:$D$40,Assumptions!$B100)*DL100*U100,"")</f>
        <v/>
      </c>
      <c r="BR100" s="41" t="str">
        <f ca="1">IFERROR(SUMIFS('TRA balance'!S$5:S$40,'TRA balance'!$C$5:$C$40,Assumptions!$C100,'TRA balance'!$D$5:$D$40,Assumptions!$B100)*DM100*V100,"")</f>
        <v/>
      </c>
      <c r="BS100" s="41" t="str">
        <f ca="1">IFERROR(SUMIFS('TRA balance'!T$5:T$40,'TRA balance'!$C$5:$C$40,Assumptions!$C100,'TRA balance'!$D$5:$D$40,Assumptions!$B100)*DN100*W100,"")</f>
        <v/>
      </c>
      <c r="BT100" s="41" t="str">
        <f ca="1">IFERROR(SUMIFS('TRA balance'!U$5:U$40,'TRA balance'!$C$5:$C$40,Assumptions!$C100,'TRA balance'!$D$5:$D$40,Assumptions!$B100)*DO100*X100,"")</f>
        <v/>
      </c>
      <c r="BU100" s="41" t="str">
        <f ca="1">IFERROR(SUMIFS('TRA balance'!V$5:V$40,'TRA balance'!$C$5:$C$40,Assumptions!$C100,'TRA balance'!$D$5:$D$40,Assumptions!$B100)*DP100*Y100,"")</f>
        <v/>
      </c>
      <c r="BV100" s="41" t="str">
        <f ca="1">IFERROR(SUMIFS('TRA balance'!W$5:W$40,'TRA balance'!$C$5:$C$40,Assumptions!$C100,'TRA balance'!$D$5:$D$40,Assumptions!$B100)*DQ100*Z100,"")</f>
        <v/>
      </c>
      <c r="BW100" s="41" t="str">
        <f ca="1">IFERROR(SUMIFS('TRA balance'!X$5:X$40,'TRA balance'!$C$5:$C$40,Assumptions!$C100,'TRA balance'!$D$5:$D$40,Assumptions!$B100)*DR100*AA100,"")</f>
        <v/>
      </c>
      <c r="BX100" s="41" t="str">
        <f ca="1">IFERROR(SUMIFS('TRA balance'!Y$5:Y$40,'TRA balance'!$C$5:$C$40,Assumptions!$C100,'TRA balance'!$D$5:$D$40,Assumptions!$B100)*DS100*AB100,"")</f>
        <v/>
      </c>
      <c r="BY100" s="41" t="str">
        <f ca="1">IFERROR(SUMIFS('TRA balance'!Z$5:Z$40,'TRA balance'!$C$5:$C$40,Assumptions!$C100,'TRA balance'!$D$5:$D$40,Assumptions!$B100)*DT100*AC100,"")</f>
        <v/>
      </c>
      <c r="BZ100" s="41" t="str">
        <f ca="1">IFERROR(SUMIFS('TRA balance'!AA$5:AA$40,'TRA balance'!$C$5:$C$40,Assumptions!$C100,'TRA balance'!$D$5:$D$40,Assumptions!$B100)*DU100*AD100,"")</f>
        <v/>
      </c>
      <c r="CA100" s="41" t="str">
        <f ca="1">IFERROR(SUMIFS('TRA balance'!AB$5:AB$40,'TRA balance'!$C$5:$C$40,Assumptions!$C100,'TRA balance'!$D$5:$D$40,Assumptions!$B100)*DV100*AE100,"")</f>
        <v/>
      </c>
      <c r="CB100" s="41" t="str">
        <f ca="1">IFERROR(SUMIFS('TRA balance'!AC$5:AC$40,'TRA balance'!$C$5:$C$40,Assumptions!$C100,'TRA balance'!$D$5:$D$40,Assumptions!$B100)*DW100*AF100,"")</f>
        <v/>
      </c>
      <c r="CC100" s="41" t="str">
        <f ca="1">IFERROR(SUMIFS('TRA balance'!AD$5:AD$40,'TRA balance'!$C$5:$C$40,Assumptions!$C100,'TRA balance'!$D$5:$D$40,Assumptions!$B100)*DX100*AG100,"")</f>
        <v/>
      </c>
      <c r="CD100" s="41" t="str">
        <f ca="1">IFERROR(SUMIFS('TRA balance'!AE$5:AE$40,'TRA balance'!$C$5:$C$40,Assumptions!$C100,'TRA balance'!$D$5:$D$40,Assumptions!$B100)*DY100*AH100,"")</f>
        <v/>
      </c>
      <c r="CE100" s="41" t="str">
        <f ca="1">IFERROR(SUMIFS('TRA balance'!AF$5:AF$40,'TRA balance'!$C$5:$C$40,Assumptions!$C100,'TRA balance'!$D$5:$D$40,Assumptions!$B100)*DZ100*AI100,"")</f>
        <v/>
      </c>
      <c r="CF100" s="41" t="str">
        <f ca="1">IFERROR(SUMIFS('TRA balance'!AG$5:AG$40,'TRA balance'!$C$5:$C$40,Assumptions!$C100,'TRA balance'!$D$5:$D$40,Assumptions!$B100)*EA100*AJ100,"")</f>
        <v/>
      </c>
      <c r="CG100" s="41" t="str">
        <f ca="1">IFERROR(SUMIFS('TRA balance'!AH$5:AH$40,'TRA balance'!$C$5:$C$40,Assumptions!$C100,'TRA balance'!$D$5:$D$40,Assumptions!$B100)*EB100*AK100,"")</f>
        <v/>
      </c>
      <c r="CH100" s="41" t="str">
        <f ca="1">IFERROR(SUMIFS('TRA balance'!AI$5:AI$40,'TRA balance'!$C$5:$C$40,Assumptions!$C100,'TRA balance'!$D$5:$D$40,Assumptions!$B100)*EC100*AL100,"")</f>
        <v/>
      </c>
      <c r="CI100" s="41" t="str">
        <f ca="1">IFERROR(SUMIFS('TRA balance'!AJ$5:AJ$40,'TRA balance'!$C$5:$C$40,Assumptions!$C100,'TRA balance'!$D$5:$D$40,Assumptions!$B100)*ED100*AM100,"")</f>
        <v/>
      </c>
      <c r="CJ100" s="41" t="str">
        <f ca="1">IFERROR(SUMIFS('TRA balance'!AK$5:AK$40,'TRA balance'!$C$5:$C$40,Assumptions!$C100,'TRA balance'!$D$5:$D$40,Assumptions!$B100)*EE100*AN100,"")</f>
        <v/>
      </c>
      <c r="CK100" s="41" t="str">
        <f ca="1">IFERROR(SUMIFS('TRA balance'!AL$5:AL$40,'TRA balance'!$C$5:$C$40,Assumptions!$C100,'TRA balance'!$D$5:$D$40,Assumptions!$B100)*EF100*AO100,"")</f>
        <v/>
      </c>
      <c r="CL100" s="41" t="str">
        <f ca="1">IFERROR(SUMIFS('TRA balance'!AM$5:AM$40,'TRA balance'!$C$5:$C$40,Assumptions!$C100,'TRA balance'!$D$5:$D$40,Assumptions!$B100)*EG100*AP100,"")</f>
        <v/>
      </c>
      <c r="CM100" s="41" t="str">
        <f ca="1">IFERROR(SUMIFS('TRA balance'!AN$5:AN$40,'TRA balance'!$C$5:$C$40,Assumptions!$C100,'TRA balance'!$D$5:$D$40,Assumptions!$B100)*EH100*AQ100,"")</f>
        <v/>
      </c>
      <c r="CN100" s="41" t="str">
        <f ca="1">IFERROR(SUMIFS('TRA balance'!AO$5:AO$40,'TRA balance'!$C$5:$C$40,Assumptions!$C100,'TRA balance'!$D$5:$D$40,Assumptions!$B100)*EI100*AR100,"")</f>
        <v/>
      </c>
      <c r="CO100" s="41" t="str">
        <f ca="1">IFERROR(SUMIFS('TRA balance'!AP$5:AP$40,'TRA balance'!$C$5:$C$40,Assumptions!$C100,'TRA balance'!$D$5:$D$40,Assumptions!$B100)*EJ100*AS100,"")</f>
        <v/>
      </c>
      <c r="CP100" s="41" t="str">
        <f ca="1">IFERROR(SUMIFS('TRA balance'!AQ$5:AQ$40,'TRA balance'!$C$5:$C$40,Assumptions!$C100,'TRA balance'!$D$5:$D$40,Assumptions!$B100)*EK100*AT100,"")</f>
        <v/>
      </c>
      <c r="CQ100" s="41" t="str">
        <f ca="1">IFERROR(SUMIFS('TRA balance'!AR$5:AR$40,'TRA balance'!$C$5:$C$40,Assumptions!$C100,'TRA balance'!$D$5:$D$40,Assumptions!$B100)*EL100*AU100,"")</f>
        <v/>
      </c>
      <c r="CR100" s="41" t="str">
        <f ca="1">IFERROR(SUMIFS('TRA balance'!AS$5:AS$40,'TRA balance'!$C$5:$C$40,Assumptions!$C100,'TRA balance'!$D$5:$D$40,Assumptions!$B100)*EM100*AV100,"")</f>
        <v/>
      </c>
      <c r="CS100" s="41" t="str">
        <f ca="1">IFERROR(SUMIFS('TRA balance'!AT$5:AT$40,'TRA balance'!$C$5:$C$40,Assumptions!$C100,'TRA balance'!$D$5:$D$40,Assumptions!$B100)*EN100*AW100,"")</f>
        <v/>
      </c>
      <c r="CT100" s="41" t="str">
        <f ca="1">IFERROR(SUMIFS('TRA balance'!AU$5:AU$40,'TRA balance'!$C$5:$C$40,Assumptions!$C100,'TRA balance'!$D$5:$D$40,Assumptions!$B100)*EO100*AX100,"")</f>
        <v/>
      </c>
      <c r="CU100" s="41" t="str">
        <f ca="1">IFERROR(SUMIFS('TRA balance'!AV$5:AV$40,'TRA balance'!$C$5:$C$40,Assumptions!$C100,'TRA balance'!$D$5:$D$40,Assumptions!$B100)*EP100*AY100,"")</f>
        <v/>
      </c>
      <c r="CV100" s="41" t="str">
        <f ca="1">IFERROR(SUMIFS('TRA balance'!AW$5:AW$40,'TRA balance'!$C$5:$C$40,Assumptions!$C100,'TRA balance'!$D$5:$D$40,Assumptions!$B100)*EQ100*AZ100,"")</f>
        <v/>
      </c>
      <c r="CW100" s="41" t="str">
        <f ca="1">IFERROR(SUMIFS('TRA balance'!AX$5:AX$40,'TRA balance'!$C$5:$C$40,Assumptions!$C100,'TRA balance'!$D$5:$D$40,Assumptions!$B100)*ER100*BA100,"")</f>
        <v/>
      </c>
      <c r="CY100" s="40">
        <f ca="1" t="shared" si="86"/>
        <v>1</v>
      </c>
      <c r="CZ100" s="40">
        <f ca="1" t="shared" si="87"/>
        <v>1</v>
      </c>
      <c r="DA100" s="40">
        <f ca="1" t="shared" si="88"/>
        <v>1</v>
      </c>
      <c r="DB100" s="40">
        <f ca="1" t="shared" si="89"/>
        <v>1</v>
      </c>
      <c r="DC100" s="40">
        <f ca="1" t="shared" si="90"/>
        <v>1</v>
      </c>
      <c r="DD100" s="40">
        <f ca="1" t="shared" si="91"/>
        <v>1</v>
      </c>
      <c r="DE100" s="40">
        <f ca="1" t="shared" si="92"/>
        <v>1</v>
      </c>
      <c r="DF100" s="40">
        <f ca="1" t="shared" si="93"/>
        <v>1</v>
      </c>
      <c r="DG100" s="40">
        <f ca="1" t="shared" si="94"/>
        <v>1</v>
      </c>
      <c r="DH100" s="40">
        <f ca="1" t="shared" si="95"/>
        <v>1</v>
      </c>
      <c r="DI100" s="40">
        <f ca="1" t="shared" si="96"/>
        <v>1</v>
      </c>
      <c r="DJ100" s="40">
        <f ca="1" t="shared" si="97"/>
        <v>1</v>
      </c>
      <c r="DK100" s="40">
        <f ca="1" t="shared" si="98"/>
        <v>1</v>
      </c>
      <c r="DL100" s="40">
        <f ca="1" t="shared" si="99"/>
        <v>1</v>
      </c>
      <c r="DM100" s="40">
        <f ca="1" t="shared" si="100"/>
        <v>1</v>
      </c>
      <c r="DN100" s="40">
        <f ca="1" t="shared" si="101"/>
        <v>1</v>
      </c>
      <c r="DO100" s="40">
        <f ca="1" t="shared" si="102"/>
        <v>1</v>
      </c>
      <c r="DP100" s="40">
        <f ca="1" t="shared" si="103"/>
        <v>1</v>
      </c>
      <c r="DQ100" s="40">
        <f ca="1" t="shared" si="104"/>
        <v>1</v>
      </c>
      <c r="DR100" s="40">
        <f ca="1" t="shared" si="105"/>
        <v>1</v>
      </c>
      <c r="DS100" s="40">
        <f ca="1" t="shared" si="106"/>
        <v>1</v>
      </c>
      <c r="DT100" s="40">
        <f ca="1" t="shared" si="107"/>
        <v>1</v>
      </c>
      <c r="DU100" s="40">
        <f ca="1" t="shared" si="108"/>
        <v>1</v>
      </c>
      <c r="DV100" s="40">
        <f ca="1" t="shared" si="109"/>
        <v>1</v>
      </c>
      <c r="DW100" s="40">
        <f ca="1" t="shared" si="110"/>
        <v>1</v>
      </c>
      <c r="DX100" s="40">
        <f ca="1" t="shared" si="111"/>
        <v>1</v>
      </c>
      <c r="DY100" s="40">
        <f ca="1" t="shared" si="112"/>
        <v>1</v>
      </c>
      <c r="DZ100" s="40">
        <f ca="1" t="shared" si="113"/>
        <v>1</v>
      </c>
      <c r="EA100" s="40">
        <f ca="1" t="shared" si="114"/>
        <v>1</v>
      </c>
      <c r="EB100" s="40">
        <f ca="1" t="shared" si="115"/>
        <v>1</v>
      </c>
      <c r="EC100" s="40">
        <f ca="1" t="shared" si="116"/>
        <v>1</v>
      </c>
      <c r="ED100" s="40">
        <f ca="1" t="shared" si="117"/>
        <v>1</v>
      </c>
      <c r="EE100" s="40">
        <f ca="1" t="shared" si="118"/>
        <v>1</v>
      </c>
      <c r="EF100" s="40">
        <f ca="1" t="shared" si="119"/>
        <v>1</v>
      </c>
      <c r="EG100" s="40">
        <f ca="1" t="shared" si="120"/>
        <v>1</v>
      </c>
      <c r="EH100" s="40">
        <f ca="1" t="shared" si="121"/>
        <v>1</v>
      </c>
      <c r="EI100" s="40">
        <f ca="1" t="shared" si="122"/>
        <v>1</v>
      </c>
      <c r="EJ100" s="40">
        <f ca="1" t="shared" si="123"/>
        <v>1</v>
      </c>
      <c r="EK100" s="40">
        <f ca="1" t="shared" si="124"/>
        <v>1</v>
      </c>
      <c r="EL100" s="40">
        <f ca="1" t="shared" si="125"/>
        <v>1</v>
      </c>
      <c r="EM100" s="40">
        <f ca="1" t="shared" si="126"/>
        <v>1</v>
      </c>
      <c r="EN100" s="40">
        <f ca="1" t="shared" si="127"/>
        <v>1</v>
      </c>
      <c r="EO100" s="40">
        <f ca="1" t="shared" si="128"/>
        <v>1</v>
      </c>
      <c r="EP100" s="40">
        <f ca="1" t="shared" si="129"/>
        <v>1</v>
      </c>
      <c r="EQ100" s="40">
        <f ca="1" t="shared" si="130"/>
        <v>1</v>
      </c>
      <c r="ER100" s="40">
        <f ca="1" t="shared" si="131"/>
        <v>1</v>
      </c>
    </row>
    <row r="101" spans="1:148">
      <c r="A101">
        <v>1</v>
      </c>
      <c r="B101" t="str">
        <f>VLOOKUP(F101,'TRA balance'!$BA$5:$BB$14,2,FALSE)</f>
        <v>TRAELC</v>
      </c>
      <c r="C101" s="56" t="str">
        <f t="shared" si="133"/>
        <v>TT</v>
      </c>
      <c r="D101" s="57" t="s">
        <v>192</v>
      </c>
      <c r="E101" s="57" t="s">
        <v>193</v>
      </c>
      <c r="F101" s="58" t="str">
        <f t="shared" si="146"/>
        <v>Electricity</v>
      </c>
      <c r="G101" s="56" t="s">
        <v>194</v>
      </c>
      <c r="H101" s="59">
        <f ca="1">OFFSET(TIAM15_assumptions!$G101,0,MATCH(VLOOKUP(Assumptions!H$2,TIAM15_assumptions!$Y$3:$Z$87,2,FALSE),TIAM15_assumptions!$H$2:$V$2,0))</f>
        <v>0.3</v>
      </c>
      <c r="I101" s="59">
        <f ca="1">OFFSET(TIAM15_assumptions!$G101,0,MATCH(VLOOKUP(Assumptions!I$2,TIAM15_assumptions!$Y$3:$Z$87,2,FALSE),TIAM15_assumptions!$H$2:$V$2,0))</f>
        <v>0.3</v>
      </c>
      <c r="J101" s="59">
        <f ca="1">OFFSET(TIAM15_assumptions!$G101,0,MATCH(VLOOKUP(Assumptions!J$2,TIAM15_assumptions!$Y$3:$Z$87,2,FALSE),TIAM15_assumptions!$H$2:$V$2,0))</f>
        <v>0.3</v>
      </c>
      <c r="K101" s="59">
        <f ca="1">OFFSET(TIAM15_assumptions!$G101,0,MATCH(VLOOKUP(Assumptions!K$2,TIAM15_assumptions!$Y$3:$Z$87,2,FALSE),TIAM15_assumptions!$H$2:$V$2,0))</f>
        <v>0</v>
      </c>
      <c r="L101" s="59">
        <f ca="1">OFFSET(TIAM15_assumptions!$G101,0,MATCH(VLOOKUP(Assumptions!L$2,TIAM15_assumptions!$Y$3:$Z$87,2,FALSE),TIAM15_assumptions!$H$2:$V$2,0))</f>
        <v>0.2</v>
      </c>
      <c r="M101" s="59">
        <f ca="1">OFFSET(TIAM15_assumptions!$G101,0,MATCH(VLOOKUP(Assumptions!M$2,TIAM15_assumptions!$Y$3:$Z$87,2,FALSE),TIAM15_assumptions!$H$2:$V$2,0))</f>
        <v>0</v>
      </c>
      <c r="N101" s="59">
        <f ca="1">OFFSET(TIAM15_assumptions!$G101,0,MATCH(VLOOKUP(Assumptions!N$2,TIAM15_assumptions!$Y$3:$Z$87,2,FALSE),TIAM15_assumptions!$H$2:$V$2,0))</f>
        <v>0.05</v>
      </c>
      <c r="O101" s="59">
        <f ca="1">OFFSET(TIAM15_assumptions!$G101,0,MATCH(VLOOKUP(Assumptions!O$2,TIAM15_assumptions!$Y$3:$Z$87,2,FALSE),TIAM15_assumptions!$H$2:$V$2,0))</f>
        <v>0.2</v>
      </c>
      <c r="P101" s="59">
        <f ca="1">OFFSET(TIAM15_assumptions!$G101,0,MATCH(VLOOKUP(Assumptions!P$2,TIAM15_assumptions!$Y$3:$Z$87,2,FALSE),TIAM15_assumptions!$H$2:$V$2,0))</f>
        <v>0.1</v>
      </c>
      <c r="Q101" s="59">
        <f ca="1">OFFSET(TIAM15_assumptions!$G101,0,MATCH(VLOOKUP(Assumptions!Q$2,TIAM15_assumptions!$Y$3:$Z$87,2,FALSE),TIAM15_assumptions!$H$2:$V$2,0))</f>
        <v>0.1</v>
      </c>
      <c r="R101" s="59">
        <f ca="1">OFFSET(TIAM15_assumptions!$G101,0,MATCH(VLOOKUP(Assumptions!R$2,TIAM15_assumptions!$Y$3:$Z$87,2,FALSE),TIAM15_assumptions!$H$2:$V$2,0))</f>
        <v>0</v>
      </c>
      <c r="S101" s="59">
        <f ca="1">OFFSET(TIAM15_assumptions!$G101,0,MATCH(VLOOKUP(Assumptions!S$2,TIAM15_assumptions!$Y$3:$Z$87,2,FALSE),TIAM15_assumptions!$H$2:$V$2,0))</f>
        <v>0</v>
      </c>
      <c r="T101" s="59">
        <f ca="1">OFFSET(TIAM15_assumptions!$G101,0,MATCH(VLOOKUP(Assumptions!T$2,TIAM15_assumptions!$Y$3:$Z$87,2,FALSE),TIAM15_assumptions!$H$2:$V$2,0))</f>
        <v>0</v>
      </c>
      <c r="U101" s="59">
        <f ca="1">OFFSET(TIAM15_assumptions!$G101,0,MATCH(VLOOKUP(Assumptions!U$2,TIAM15_assumptions!$Y$3:$Z$87,2,FALSE),TIAM15_assumptions!$H$2:$V$2,0))</f>
        <v>0.1</v>
      </c>
      <c r="V101" s="59">
        <f ca="1">OFFSET(TIAM15_assumptions!$G101,0,MATCH(VLOOKUP(Assumptions!V$2,TIAM15_assumptions!$Y$3:$Z$87,2,FALSE),TIAM15_assumptions!$H$2:$V$2,0))</f>
        <v>0</v>
      </c>
      <c r="W101" s="59">
        <f ca="1">OFFSET(TIAM15_assumptions!$G101,0,MATCH(VLOOKUP(Assumptions!W$2,TIAM15_assumptions!$Y$3:$Z$87,2,FALSE),TIAM15_assumptions!$H$2:$V$2,0))</f>
        <v>0.3</v>
      </c>
      <c r="X101" s="59">
        <f ca="1">OFFSET(TIAM15_assumptions!$G101,0,MATCH(VLOOKUP(Assumptions!X$2,TIAM15_assumptions!$Y$3:$Z$87,2,FALSE),TIAM15_assumptions!$H$2:$V$2,0))</f>
        <v>0</v>
      </c>
      <c r="Y101" s="59">
        <f ca="1">OFFSET(TIAM15_assumptions!$G101,0,MATCH(VLOOKUP(Assumptions!Y$2,TIAM15_assumptions!$Y$3:$Z$87,2,FALSE),TIAM15_assumptions!$H$2:$V$2,0))</f>
        <v>0</v>
      </c>
      <c r="Z101" s="59">
        <f ca="1">OFFSET(TIAM15_assumptions!$G101,0,MATCH(VLOOKUP(Assumptions!Z$2,TIAM15_assumptions!$Y$3:$Z$87,2,FALSE),TIAM15_assumptions!$H$2:$V$2,0))</f>
        <v>0</v>
      </c>
      <c r="AA101" s="59">
        <f ca="1">OFFSET(TIAM15_assumptions!$G101,0,MATCH(VLOOKUP(Assumptions!AA$2,TIAM15_assumptions!$Y$3:$Z$87,2,FALSE),TIAM15_assumptions!$H$2:$V$2,0))</f>
        <v>0.05</v>
      </c>
      <c r="AB101" s="59">
        <f ca="1">OFFSET(TIAM15_assumptions!$G101,0,MATCH(VLOOKUP(Assumptions!AB$2,TIAM15_assumptions!$Y$3:$Z$87,2,FALSE),TIAM15_assumptions!$H$2:$V$2,0))</f>
        <v>0.1</v>
      </c>
      <c r="AC101" s="59">
        <f ca="1">OFFSET(TIAM15_assumptions!$G101,0,MATCH(VLOOKUP(Assumptions!AC$2,TIAM15_assumptions!$Y$3:$Z$87,2,FALSE),TIAM15_assumptions!$H$2:$V$2,0))</f>
        <v>0</v>
      </c>
      <c r="AD101" s="59">
        <f ca="1">OFFSET(TIAM15_assumptions!$G101,0,MATCH(VLOOKUP(Assumptions!AD$2,TIAM15_assumptions!$Y$3:$Z$87,2,FALSE),TIAM15_assumptions!$H$2:$V$2,0))</f>
        <v>0</v>
      </c>
      <c r="AE101" s="59">
        <f ca="1">OFFSET(TIAM15_assumptions!$G101,0,MATCH(VLOOKUP(Assumptions!AE$2,TIAM15_assumptions!$Y$3:$Z$87,2,FALSE),TIAM15_assumptions!$H$2:$V$2,0))</f>
        <v>0.1</v>
      </c>
      <c r="AF101" s="59">
        <f ca="1">OFFSET(TIAM15_assumptions!$G101,0,MATCH(VLOOKUP(Assumptions!AF$2,TIAM15_assumptions!$Y$3:$Z$87,2,FALSE),TIAM15_assumptions!$H$2:$V$2,0))</f>
        <v>0.05</v>
      </c>
      <c r="AG101" s="59">
        <f ca="1">OFFSET(TIAM15_assumptions!$G101,0,MATCH(VLOOKUP(Assumptions!AG$2,TIAM15_assumptions!$Y$3:$Z$87,2,FALSE),TIAM15_assumptions!$H$2:$V$2,0))</f>
        <v>0.2</v>
      </c>
      <c r="AH101" s="59">
        <f ca="1">OFFSET(TIAM15_assumptions!$G101,0,MATCH(VLOOKUP(Assumptions!AH$2,TIAM15_assumptions!$Y$3:$Z$87,2,FALSE),TIAM15_assumptions!$H$2:$V$2,0))</f>
        <v>0.1</v>
      </c>
      <c r="AI101" s="59">
        <f ca="1">OFFSET(TIAM15_assumptions!$G101,0,MATCH(VLOOKUP(Assumptions!AI$2,TIAM15_assumptions!$Y$3:$Z$87,2,FALSE),TIAM15_assumptions!$H$2:$V$2,0))</f>
        <v>0.3</v>
      </c>
      <c r="AJ101" s="59">
        <f ca="1">OFFSET(TIAM15_assumptions!$G101,0,MATCH(VLOOKUP(Assumptions!AJ$2,TIAM15_assumptions!$Y$3:$Z$87,2,FALSE),TIAM15_assumptions!$H$2:$V$2,0))</f>
        <v>0</v>
      </c>
      <c r="AK101" s="59">
        <f ca="1">OFFSET(TIAM15_assumptions!$G101,0,MATCH(VLOOKUP(Assumptions!AK$2,TIAM15_assumptions!$Y$3:$Z$87,2,FALSE),TIAM15_assumptions!$H$2:$V$2,0))</f>
        <v>0</v>
      </c>
      <c r="AL101" s="59">
        <f ca="1">OFFSET(TIAM15_assumptions!$G101,0,MATCH(VLOOKUP(Assumptions!AL$2,TIAM15_assumptions!$Y$3:$Z$87,2,FALSE),TIAM15_assumptions!$H$2:$V$2,0))</f>
        <v>0</v>
      </c>
      <c r="AM101" s="59">
        <f ca="1">OFFSET(TIAM15_assumptions!$G101,0,MATCH(VLOOKUP(Assumptions!AM$2,TIAM15_assumptions!$Y$3:$Z$87,2,FALSE),TIAM15_assumptions!$H$2:$V$2,0))</f>
        <v>0.1</v>
      </c>
      <c r="AN101" s="59">
        <f ca="1">OFFSET(TIAM15_assumptions!$G101,0,MATCH(VLOOKUP(Assumptions!AN$2,TIAM15_assumptions!$Y$3:$Z$87,2,FALSE),TIAM15_assumptions!$H$2:$V$2,0))</f>
        <v>0</v>
      </c>
      <c r="AO101" s="59">
        <f ca="1">OFFSET(TIAM15_assumptions!$G101,0,MATCH(VLOOKUP(Assumptions!AO$2,TIAM15_assumptions!$Y$3:$Z$87,2,FALSE),TIAM15_assumptions!$H$2:$V$2,0))</f>
        <v>0.2</v>
      </c>
      <c r="AP101" s="59">
        <f ca="1">OFFSET(TIAM15_assumptions!$G101,0,MATCH(VLOOKUP(Assumptions!AP$2,TIAM15_assumptions!$Y$3:$Z$87,2,FALSE),TIAM15_assumptions!$H$2:$V$2,0))</f>
        <v>0.1</v>
      </c>
      <c r="AQ101" s="59">
        <f ca="1">OFFSET(TIAM15_assumptions!$G101,0,MATCH(VLOOKUP(Assumptions!AQ$2,TIAM15_assumptions!$Y$3:$Z$87,2,FALSE),TIAM15_assumptions!$H$2:$V$2,0))</f>
        <v>0</v>
      </c>
      <c r="AR101" s="59">
        <f ca="1">OFFSET(TIAM15_assumptions!$G101,0,MATCH(VLOOKUP(Assumptions!AR$2,TIAM15_assumptions!$Y$3:$Z$87,2,FALSE),TIAM15_assumptions!$H$2:$V$2,0))</f>
        <v>0</v>
      </c>
      <c r="AS101" s="59">
        <f ca="1">OFFSET(TIAM15_assumptions!$G101,0,MATCH(VLOOKUP(Assumptions!AS$2,TIAM15_assumptions!$Y$3:$Z$87,2,FALSE),TIAM15_assumptions!$H$2:$V$2,0))</f>
        <v>0</v>
      </c>
      <c r="AT101" s="59">
        <f ca="1">OFFSET(TIAM15_assumptions!$G101,0,MATCH(VLOOKUP(Assumptions!AT$2,TIAM15_assumptions!$Y$3:$Z$87,2,FALSE),TIAM15_assumptions!$H$2:$V$2,0))</f>
        <v>0</v>
      </c>
      <c r="AU101" s="59">
        <f ca="1">OFFSET(TIAM15_assumptions!$G101,0,MATCH(VLOOKUP(Assumptions!AU$2,TIAM15_assumptions!$Y$3:$Z$87,2,FALSE),TIAM15_assumptions!$H$2:$V$2,0))</f>
        <v>0</v>
      </c>
      <c r="AV101" s="59">
        <f ca="1">OFFSET(TIAM15_assumptions!$G101,0,MATCH(VLOOKUP(Assumptions!AV$2,TIAM15_assumptions!$Y$3:$Z$87,2,FALSE),TIAM15_assumptions!$H$2:$V$2,0))</f>
        <v>0</v>
      </c>
      <c r="AW101" s="59">
        <f ca="1">OFFSET(TIAM15_assumptions!$G101,0,MATCH(VLOOKUP(Assumptions!AW$2,TIAM15_assumptions!$Y$3:$Z$87,2,FALSE),TIAM15_assumptions!$H$2:$V$2,0))</f>
        <v>0</v>
      </c>
      <c r="AX101" s="59">
        <f ca="1">OFFSET(TIAM15_assumptions!$G101,0,MATCH(VLOOKUP(Assumptions!AX$2,TIAM15_assumptions!$Y$3:$Z$87,2,FALSE),TIAM15_assumptions!$H$2:$V$2,0))</f>
        <v>0</v>
      </c>
      <c r="AY101" s="59">
        <f ca="1">OFFSET(TIAM15_assumptions!$G101,0,MATCH(VLOOKUP(Assumptions!AY$2,TIAM15_assumptions!$Y$3:$Z$87,2,FALSE),TIAM15_assumptions!$H$2:$V$2,0))</f>
        <v>0</v>
      </c>
      <c r="AZ101" s="59">
        <f ca="1">OFFSET(TIAM15_assumptions!$G101,0,MATCH(VLOOKUP(Assumptions!AZ$2,TIAM15_assumptions!$Y$3:$Z$87,2,FALSE),TIAM15_assumptions!$H$2:$V$2,0))</f>
        <v>0</v>
      </c>
      <c r="BA101" s="59">
        <f ca="1">OFFSET(TIAM15_assumptions!$G101,0,MATCH(VLOOKUP(Assumptions!BA$2,TIAM15_assumptions!$Y$3:$Z$87,2,FALSE),TIAM15_assumptions!$H$2:$V$2,0))</f>
        <v>0</v>
      </c>
      <c r="BD101" s="41">
        <f ca="1">IFERROR(SUMIFS('TRA balance'!E$5:E$40,'TRA balance'!$C$5:$C$40,Assumptions!$C101,'TRA balance'!$D$5:$D$40,Assumptions!$B101)*CY101*H101,"")</f>
        <v>2.33582241888</v>
      </c>
      <c r="BE101" s="41">
        <f ca="1">IFERROR(SUMIFS('TRA balance'!F$5:F$40,'TRA balance'!$C$5:$C$40,Assumptions!$C101,'TRA balance'!$D$5:$D$40,Assumptions!$B101)*CZ101*I101,"")</f>
        <v>0.05456614572</v>
      </c>
      <c r="BF101" s="41">
        <f ca="1">IFERROR(SUMIFS('TRA balance'!G$5:G$40,'TRA balance'!$C$5:$C$40,Assumptions!$C101,'TRA balance'!$D$5:$D$40,Assumptions!$B101)*DA101*J101,"")</f>
        <v>3.49920057996</v>
      </c>
      <c r="BG101" s="41">
        <f ca="1">IFERROR(SUMIFS('TRA balance'!H$5:H$40,'TRA balance'!$C$5:$C$40,Assumptions!$C101,'TRA balance'!$D$5:$D$40,Assumptions!$B101)*DB101*K101,"")</f>
        <v>0</v>
      </c>
      <c r="BH101" s="41">
        <f ca="1">IFERROR(SUMIFS('TRA balance'!I$5:I$40,'TRA balance'!$C$5:$C$40,Assumptions!$C101,'TRA balance'!$D$5:$D$40,Assumptions!$B101)*DC101*L101,"")</f>
        <v>0.06814351944</v>
      </c>
      <c r="BI101" s="41">
        <f ca="1">IFERROR(SUMIFS('TRA balance'!J$5:J$40,'TRA balance'!$C$5:$C$40,Assumptions!$C101,'TRA balance'!$D$5:$D$40,Assumptions!$B101)*DD101*M101,"")</f>
        <v>0</v>
      </c>
      <c r="BJ101" s="41">
        <f ca="1">IFERROR(SUMIFS('TRA balance'!K$5:K$40,'TRA balance'!$C$5:$C$40,Assumptions!$C101,'TRA balance'!$D$5:$D$40,Assumptions!$B101)*DE101*N101,"")</f>
        <v>0.4051022076</v>
      </c>
      <c r="BK101" s="41">
        <f ca="1">IFERROR(SUMIFS('TRA balance'!L$5:L$40,'TRA balance'!$C$5:$C$40,Assumptions!$C101,'TRA balance'!$D$5:$D$40,Assumptions!$B101)*DF101*O101,"")</f>
        <v>70.21846486296</v>
      </c>
      <c r="BL101" s="41">
        <f ca="1">IFERROR(SUMIFS('TRA balance'!M$5:M$40,'TRA balance'!$C$5:$C$40,Assumptions!$C101,'TRA balance'!$D$5:$D$40,Assumptions!$B101)*DG101*P101,"")</f>
        <v>0.16635579912</v>
      </c>
      <c r="BM101" s="41">
        <f ca="1">IFERROR(SUMIFS('TRA balance'!N$5:N$40,'TRA balance'!$C$5:$C$40,Assumptions!$C101,'TRA balance'!$D$5:$D$40,Assumptions!$B101)*DH101*Q101,"")</f>
        <v>0.74760924312</v>
      </c>
      <c r="BN101" s="41">
        <f ca="1">IFERROR(SUMIFS('TRA balance'!O$5:O$40,'TRA balance'!$C$5:$C$40,Assumptions!$C101,'TRA balance'!$D$5:$D$40,Assumptions!$B101)*DI101*R101,"")</f>
        <v>0</v>
      </c>
      <c r="BO101" s="41">
        <f ca="1">IFERROR(SUMIFS('TRA balance'!P$5:P$40,'TRA balance'!$C$5:$C$40,Assumptions!$C101,'TRA balance'!$D$5:$D$40,Assumptions!$B101)*DJ101*S101,"")</f>
        <v>0</v>
      </c>
      <c r="BP101" s="41">
        <f ca="1">IFERROR(SUMIFS('TRA balance'!Q$5:Q$40,'TRA balance'!$C$5:$C$40,Assumptions!$C101,'TRA balance'!$D$5:$D$40,Assumptions!$B101)*DK101*T101,"")</f>
        <v>0</v>
      </c>
      <c r="BQ101" s="41">
        <f ca="1">IFERROR(SUMIFS('TRA balance'!R$5:R$40,'TRA balance'!$C$5:$C$40,Assumptions!$C101,'TRA balance'!$D$5:$D$40,Assumptions!$B101)*DL101*U101,"")</f>
        <v>0.88579373976</v>
      </c>
      <c r="BR101" s="41">
        <f ca="1">IFERROR(SUMIFS('TRA balance'!S$5:S$40,'TRA balance'!$C$5:$C$40,Assumptions!$C101,'TRA balance'!$D$5:$D$40,Assumptions!$B101)*DM101*V101,"")</f>
        <v>0</v>
      </c>
      <c r="BS101" s="41">
        <f ca="1">IFERROR(SUMIFS('TRA balance'!T$5:T$40,'TRA balance'!$C$5:$C$40,Assumptions!$C101,'TRA balance'!$D$5:$D$40,Assumptions!$B101)*DN101*W101,"")</f>
        <v>20.67983946864</v>
      </c>
      <c r="BT101" s="41">
        <f ca="1">IFERROR(SUMIFS('TRA balance'!U$5:U$40,'TRA balance'!$C$5:$C$40,Assumptions!$C101,'TRA balance'!$D$5:$D$40,Assumptions!$B101)*DO101*X101,"")</f>
        <v>0</v>
      </c>
      <c r="BU101" s="41">
        <f ca="1">IFERROR(SUMIFS('TRA balance'!V$5:V$40,'TRA balance'!$C$5:$C$40,Assumptions!$C101,'TRA balance'!$D$5:$D$40,Assumptions!$B101)*DP101*Y101,"")</f>
        <v>0</v>
      </c>
      <c r="BV101" s="41">
        <f ca="1">IFERROR(SUMIFS('TRA balance'!W$5:W$40,'TRA balance'!$C$5:$C$40,Assumptions!$C101,'TRA balance'!$D$5:$D$40,Assumptions!$B101)*DQ101*Z101,"")</f>
        <v>0</v>
      </c>
      <c r="BW101" s="41">
        <f ca="1">IFERROR(SUMIFS('TRA balance'!X$5:X$40,'TRA balance'!$C$5:$C$40,Assumptions!$C101,'TRA balance'!$D$5:$D$40,Assumptions!$B101)*DR101*AA101,"")</f>
        <v>0.26022050568</v>
      </c>
      <c r="BX101" s="41">
        <f ca="1">IFERROR(SUMIFS('TRA balance'!Y$5:Y$40,'TRA balance'!$C$5:$C$40,Assumptions!$C101,'TRA balance'!$D$5:$D$40,Assumptions!$B101)*DS101*AB101,"")</f>
        <v>0</v>
      </c>
      <c r="BY101" s="41">
        <f ca="1">IFERROR(SUMIFS('TRA balance'!Z$5:Z$40,'TRA balance'!$C$5:$C$40,Assumptions!$C101,'TRA balance'!$D$5:$D$40,Assumptions!$B101)*DT101*AC101,"")</f>
        <v>0</v>
      </c>
      <c r="BZ101" s="41">
        <f ca="1">IFERROR(SUMIFS('TRA balance'!AA$5:AA$40,'TRA balance'!$C$5:$C$40,Assumptions!$C101,'TRA balance'!$D$5:$D$40,Assumptions!$B101)*DU101*AD101,"")</f>
        <v>0</v>
      </c>
      <c r="CA101" s="41">
        <f ca="1">IFERROR(SUMIFS('TRA balance'!AB$5:AB$40,'TRA balance'!$C$5:$C$40,Assumptions!$C101,'TRA balance'!$D$5:$D$40,Assumptions!$B101)*DV101*AE101,"")</f>
        <v>1.13277725856</v>
      </c>
      <c r="CB101" s="41">
        <f ca="1">IFERROR(SUMIFS('TRA balance'!AC$5:AC$40,'TRA balance'!$C$5:$C$40,Assumptions!$C101,'TRA balance'!$D$5:$D$40,Assumptions!$B101)*DW101*AF101,"")</f>
        <v>2.5475233554</v>
      </c>
      <c r="CC101" s="41">
        <f ca="1">IFERROR(SUMIFS('TRA balance'!AD$5:AD$40,'TRA balance'!$C$5:$C$40,Assumptions!$C101,'TRA balance'!$D$5:$D$40,Assumptions!$B101)*DX101*AG101,"")</f>
        <v>38.56528803744</v>
      </c>
      <c r="CD101" s="41">
        <f ca="1">IFERROR(SUMIFS('TRA balance'!AE$5:AE$40,'TRA balance'!$C$5:$C$40,Assumptions!$C101,'TRA balance'!$D$5:$D$40,Assumptions!$B101)*DY101*AH101,"")</f>
        <v>0</v>
      </c>
      <c r="CE101" s="41">
        <f ca="1">IFERROR(SUMIFS('TRA balance'!AF$5:AF$40,'TRA balance'!$C$5:$C$40,Assumptions!$C101,'TRA balance'!$D$5:$D$40,Assumptions!$B101)*DZ101*AI101,"")</f>
        <v>2.80800051192</v>
      </c>
      <c r="CF101" s="41">
        <f ca="1">IFERROR(SUMIFS('TRA balance'!AG$5:AG$40,'TRA balance'!$C$5:$C$40,Assumptions!$C101,'TRA balance'!$D$5:$D$40,Assumptions!$B101)*EA101*AJ101,"")</f>
        <v>0</v>
      </c>
      <c r="CG101" s="41">
        <f ca="1">IFERROR(SUMIFS('TRA balance'!AH$5:AH$40,'TRA balance'!$C$5:$C$40,Assumptions!$C101,'TRA balance'!$D$5:$D$40,Assumptions!$B101)*EB101*AK101,"")</f>
        <v>0</v>
      </c>
      <c r="CH101" s="41">
        <f ca="1">IFERROR(SUMIFS('TRA balance'!AI$5:AI$40,'TRA balance'!$C$5:$C$40,Assumptions!$C101,'TRA balance'!$D$5:$D$40,Assumptions!$B101)*EC101*AL101,"")</f>
        <v>0</v>
      </c>
      <c r="CI101" s="41">
        <f ca="1">IFERROR(SUMIFS('TRA balance'!AJ$5:AJ$40,'TRA balance'!$C$5:$C$40,Assumptions!$C101,'TRA balance'!$D$5:$D$40,Assumptions!$B101)*ED101*AM101,"")</f>
        <v>0.46356207732</v>
      </c>
      <c r="CJ101" s="41">
        <f ca="1">IFERROR(SUMIFS('TRA balance'!AK$5:AK$40,'TRA balance'!$C$5:$C$40,Assumptions!$C101,'TRA balance'!$D$5:$D$40,Assumptions!$B101)*EE101*AN101,"")</f>
        <v>0</v>
      </c>
      <c r="CK101" s="41">
        <f ca="1">IFERROR(SUMIFS('TRA balance'!AL$5:AL$40,'TRA balance'!$C$5:$C$40,Assumptions!$C101,'TRA balance'!$D$5:$D$40,Assumptions!$B101)*EF101*AO101,"")</f>
        <v>3.85351146072</v>
      </c>
      <c r="CL101" s="41">
        <f ca="1">IFERROR(SUMIFS('TRA balance'!AM$5:AM$40,'TRA balance'!$C$5:$C$40,Assumptions!$C101,'TRA balance'!$D$5:$D$40,Assumptions!$B101)*EG101*AP101,"")</f>
        <v>0.16868575332</v>
      </c>
      <c r="CM101" s="41">
        <f ca="1">IFERROR(SUMIFS('TRA balance'!AN$5:AN$40,'TRA balance'!$C$5:$C$40,Assumptions!$C101,'TRA balance'!$D$5:$D$40,Assumptions!$B101)*EH101*AQ101,"")</f>
        <v>0</v>
      </c>
      <c r="CN101" s="41">
        <f ca="1">IFERROR(SUMIFS('TRA balance'!AO$5:AO$40,'TRA balance'!$C$5:$C$40,Assumptions!$C101,'TRA balance'!$D$5:$D$40,Assumptions!$B101)*EI101*AR101,"")</f>
        <v>0</v>
      </c>
      <c r="CO101" s="41">
        <f ca="1">IFERROR(SUMIFS('TRA balance'!AP$5:AP$40,'TRA balance'!$C$5:$C$40,Assumptions!$C101,'TRA balance'!$D$5:$D$40,Assumptions!$B101)*EJ101*AS101,"")</f>
        <v>0</v>
      </c>
      <c r="CP101" s="41">
        <f ca="1">IFERROR(SUMIFS('TRA balance'!AQ$5:AQ$40,'TRA balance'!$C$5:$C$40,Assumptions!$C101,'TRA balance'!$D$5:$D$40,Assumptions!$B101)*EK101*AT101,"")</f>
        <v>0</v>
      </c>
      <c r="CQ101" s="41">
        <f ca="1">IFERROR(SUMIFS('TRA balance'!AR$5:AR$40,'TRA balance'!$C$5:$C$40,Assumptions!$C101,'TRA balance'!$D$5:$D$40,Assumptions!$B101)*EL101*AU101,"")</f>
        <v>0</v>
      </c>
      <c r="CR101" s="41">
        <f ca="1">IFERROR(SUMIFS('TRA balance'!AS$5:AS$40,'TRA balance'!$C$5:$C$40,Assumptions!$C101,'TRA balance'!$D$5:$D$40,Assumptions!$B101)*EM101*AV101,"")</f>
        <v>0</v>
      </c>
      <c r="CS101" s="41">
        <f ca="1">IFERROR(SUMIFS('TRA balance'!AT$5:AT$40,'TRA balance'!$C$5:$C$40,Assumptions!$C101,'TRA balance'!$D$5:$D$40,Assumptions!$B101)*EN101*AW101,"")</f>
        <v>0</v>
      </c>
      <c r="CT101" s="41">
        <f ca="1">IFERROR(SUMIFS('TRA balance'!AU$5:AU$40,'TRA balance'!$C$5:$C$40,Assumptions!$C101,'TRA balance'!$D$5:$D$40,Assumptions!$B101)*EO101*AX101,"")</f>
        <v>0</v>
      </c>
      <c r="CU101" s="41">
        <f ca="1">IFERROR(SUMIFS('TRA balance'!AV$5:AV$40,'TRA balance'!$C$5:$C$40,Assumptions!$C101,'TRA balance'!$D$5:$D$40,Assumptions!$B101)*EP101*AY101,"")</f>
        <v>0</v>
      </c>
      <c r="CV101" s="41">
        <f ca="1">IFERROR(SUMIFS('TRA balance'!AW$5:AW$40,'TRA balance'!$C$5:$C$40,Assumptions!$C101,'TRA balance'!$D$5:$D$40,Assumptions!$B101)*EQ101*AZ101,"")</f>
        <v>0</v>
      </c>
      <c r="CW101" s="41">
        <f ca="1">IFERROR(SUMIFS('TRA balance'!AX$5:AX$40,'TRA balance'!$C$5:$C$40,Assumptions!$C101,'TRA balance'!$D$5:$D$40,Assumptions!$B101)*ER101*BA101,"")</f>
        <v>0</v>
      </c>
      <c r="CY101" s="40">
        <f ca="1" t="shared" si="86"/>
        <v>1</v>
      </c>
      <c r="CZ101" s="40">
        <f ca="1" t="shared" si="87"/>
        <v>1</v>
      </c>
      <c r="DA101" s="40">
        <f ca="1" t="shared" si="88"/>
        <v>1</v>
      </c>
      <c r="DB101" s="40">
        <f ca="1" t="shared" si="89"/>
        <v>1</v>
      </c>
      <c r="DC101" s="40">
        <f ca="1" t="shared" si="90"/>
        <v>1</v>
      </c>
      <c r="DD101" s="40">
        <f ca="1" t="shared" si="91"/>
        <v>1</v>
      </c>
      <c r="DE101" s="40">
        <f ca="1" t="shared" si="92"/>
        <v>1</v>
      </c>
      <c r="DF101" s="40">
        <f ca="1" t="shared" si="93"/>
        <v>1</v>
      </c>
      <c r="DG101" s="40">
        <f ca="1" t="shared" si="94"/>
        <v>1</v>
      </c>
      <c r="DH101" s="40">
        <f ca="1" t="shared" si="95"/>
        <v>1</v>
      </c>
      <c r="DI101" s="40">
        <f ca="1" t="shared" si="96"/>
        <v>1</v>
      </c>
      <c r="DJ101" s="40">
        <f ca="1" t="shared" si="97"/>
        <v>1</v>
      </c>
      <c r="DK101" s="40">
        <f ca="1" t="shared" si="98"/>
        <v>1</v>
      </c>
      <c r="DL101" s="40">
        <f ca="1" t="shared" si="99"/>
        <v>1</v>
      </c>
      <c r="DM101" s="40">
        <f ca="1" t="shared" si="100"/>
        <v>1</v>
      </c>
      <c r="DN101" s="40">
        <f ca="1" t="shared" si="101"/>
        <v>1</v>
      </c>
      <c r="DO101" s="40">
        <f ca="1" t="shared" si="102"/>
        <v>1</v>
      </c>
      <c r="DP101" s="40">
        <f ca="1" t="shared" si="103"/>
        <v>1</v>
      </c>
      <c r="DQ101" s="40">
        <f ca="1" t="shared" si="104"/>
        <v>1</v>
      </c>
      <c r="DR101" s="40">
        <f ca="1" t="shared" si="105"/>
        <v>1</v>
      </c>
      <c r="DS101" s="40">
        <f ca="1" t="shared" si="106"/>
        <v>1</v>
      </c>
      <c r="DT101" s="40">
        <f ca="1" t="shared" si="107"/>
        <v>1</v>
      </c>
      <c r="DU101" s="40">
        <f ca="1" t="shared" si="108"/>
        <v>1</v>
      </c>
      <c r="DV101" s="40">
        <f ca="1" t="shared" si="109"/>
        <v>1</v>
      </c>
      <c r="DW101" s="40">
        <f ca="1" t="shared" si="110"/>
        <v>1</v>
      </c>
      <c r="DX101" s="40">
        <f ca="1" t="shared" si="111"/>
        <v>1</v>
      </c>
      <c r="DY101" s="40">
        <f ca="1" t="shared" si="112"/>
        <v>1</v>
      </c>
      <c r="DZ101" s="40">
        <f ca="1" t="shared" si="113"/>
        <v>1</v>
      </c>
      <c r="EA101" s="40">
        <f ca="1" t="shared" si="114"/>
        <v>1</v>
      </c>
      <c r="EB101" s="40">
        <f ca="1" t="shared" si="115"/>
        <v>1</v>
      </c>
      <c r="EC101" s="40">
        <f ca="1" t="shared" si="116"/>
        <v>1</v>
      </c>
      <c r="ED101" s="40">
        <f ca="1" t="shared" si="117"/>
        <v>1</v>
      </c>
      <c r="EE101" s="40">
        <f ca="1" t="shared" si="118"/>
        <v>1</v>
      </c>
      <c r="EF101" s="40">
        <f ca="1" t="shared" si="119"/>
        <v>1</v>
      </c>
      <c r="EG101" s="40">
        <f ca="1" t="shared" si="120"/>
        <v>1</v>
      </c>
      <c r="EH101" s="40">
        <f ca="1" t="shared" si="121"/>
        <v>1</v>
      </c>
      <c r="EI101" s="40">
        <f ca="1" t="shared" si="122"/>
        <v>1</v>
      </c>
      <c r="EJ101" s="40">
        <f ca="1" t="shared" si="123"/>
        <v>1</v>
      </c>
      <c r="EK101" s="40">
        <f ca="1" t="shared" si="124"/>
        <v>1</v>
      </c>
      <c r="EL101" s="40">
        <f ca="1" t="shared" si="125"/>
        <v>1</v>
      </c>
      <c r="EM101" s="40">
        <f ca="1" t="shared" si="126"/>
        <v>1</v>
      </c>
      <c r="EN101" s="40">
        <f ca="1" t="shared" si="127"/>
        <v>1</v>
      </c>
      <c r="EO101" s="40">
        <f ca="1" t="shared" si="128"/>
        <v>1</v>
      </c>
      <c r="EP101" s="40">
        <f ca="1" t="shared" si="129"/>
        <v>1</v>
      </c>
      <c r="EQ101" s="40">
        <f ca="1" t="shared" si="130"/>
        <v>1</v>
      </c>
      <c r="ER101" s="40">
        <f ca="1" t="shared" si="131"/>
        <v>1</v>
      </c>
    </row>
    <row r="102" spans="1:148">
      <c r="A102">
        <v>1</v>
      </c>
      <c r="B102" t="str">
        <f>VLOOKUP(F102,'TRA balance'!$BA$5:$BB$14,2,FALSE)</f>
        <v>TRAELC</v>
      </c>
      <c r="C102" s="56" t="str">
        <f t="shared" si="133"/>
        <v>TT</v>
      </c>
      <c r="D102" s="57" t="s">
        <v>192</v>
      </c>
      <c r="E102" s="57" t="s">
        <v>197</v>
      </c>
      <c r="F102" s="58" t="str">
        <f t="shared" si="146"/>
        <v>Electricity</v>
      </c>
      <c r="G102" s="56" t="s">
        <v>198</v>
      </c>
      <c r="H102" s="59">
        <f ca="1">OFFSET(TIAM15_assumptions!$G102,0,MATCH(VLOOKUP(Assumptions!H$2,TIAM15_assumptions!$Y$3:$Z$87,2,FALSE),TIAM15_assumptions!$H$2:$V$2,0))</f>
        <v>0.7</v>
      </c>
      <c r="I102" s="59">
        <f ca="1">OFFSET(TIAM15_assumptions!$G102,0,MATCH(VLOOKUP(Assumptions!I$2,TIAM15_assumptions!$Y$3:$Z$87,2,FALSE),TIAM15_assumptions!$H$2:$V$2,0))</f>
        <v>0.7</v>
      </c>
      <c r="J102" s="59">
        <f ca="1">OFFSET(TIAM15_assumptions!$G102,0,MATCH(VLOOKUP(Assumptions!J$2,TIAM15_assumptions!$Y$3:$Z$87,2,FALSE),TIAM15_assumptions!$H$2:$V$2,0))</f>
        <v>0.7</v>
      </c>
      <c r="K102" s="59">
        <f ca="1">OFFSET(TIAM15_assumptions!$G102,0,MATCH(VLOOKUP(Assumptions!K$2,TIAM15_assumptions!$Y$3:$Z$87,2,FALSE),TIAM15_assumptions!$H$2:$V$2,0))</f>
        <v>1</v>
      </c>
      <c r="L102" s="59">
        <f ca="1">OFFSET(TIAM15_assumptions!$G102,0,MATCH(VLOOKUP(Assumptions!L$2,TIAM15_assumptions!$Y$3:$Z$87,2,FALSE),TIAM15_assumptions!$H$2:$V$2,0))</f>
        <v>0.8</v>
      </c>
      <c r="M102" s="59">
        <f ca="1">OFFSET(TIAM15_assumptions!$G102,0,MATCH(VLOOKUP(Assumptions!M$2,TIAM15_assumptions!$Y$3:$Z$87,2,FALSE),TIAM15_assumptions!$H$2:$V$2,0))</f>
        <v>1</v>
      </c>
      <c r="N102" s="59">
        <f ca="1">OFFSET(TIAM15_assumptions!$G102,0,MATCH(VLOOKUP(Assumptions!N$2,TIAM15_assumptions!$Y$3:$Z$87,2,FALSE),TIAM15_assumptions!$H$2:$V$2,0))</f>
        <v>0.95</v>
      </c>
      <c r="O102" s="59">
        <f ca="1">OFFSET(TIAM15_assumptions!$G102,0,MATCH(VLOOKUP(Assumptions!O$2,TIAM15_assumptions!$Y$3:$Z$87,2,FALSE),TIAM15_assumptions!$H$2:$V$2,0))</f>
        <v>0.8</v>
      </c>
      <c r="P102" s="59">
        <f ca="1">OFFSET(TIAM15_assumptions!$G102,0,MATCH(VLOOKUP(Assumptions!P$2,TIAM15_assumptions!$Y$3:$Z$87,2,FALSE),TIAM15_assumptions!$H$2:$V$2,0))</f>
        <v>0.9</v>
      </c>
      <c r="Q102" s="59">
        <f ca="1">OFFSET(TIAM15_assumptions!$G102,0,MATCH(VLOOKUP(Assumptions!Q$2,TIAM15_assumptions!$Y$3:$Z$87,2,FALSE),TIAM15_assumptions!$H$2:$V$2,0))</f>
        <v>0.9</v>
      </c>
      <c r="R102" s="59">
        <f ca="1">OFFSET(TIAM15_assumptions!$G102,0,MATCH(VLOOKUP(Assumptions!R$2,TIAM15_assumptions!$Y$3:$Z$87,2,FALSE),TIAM15_assumptions!$H$2:$V$2,0))</f>
        <v>1</v>
      </c>
      <c r="S102" s="59">
        <f ca="1">OFFSET(TIAM15_assumptions!$G102,0,MATCH(VLOOKUP(Assumptions!S$2,TIAM15_assumptions!$Y$3:$Z$87,2,FALSE),TIAM15_assumptions!$H$2:$V$2,0))</f>
        <v>1</v>
      </c>
      <c r="T102" s="59">
        <f ca="1">OFFSET(TIAM15_assumptions!$G102,0,MATCH(VLOOKUP(Assumptions!T$2,TIAM15_assumptions!$Y$3:$Z$87,2,FALSE),TIAM15_assumptions!$H$2:$V$2,0))</f>
        <v>1</v>
      </c>
      <c r="U102" s="59">
        <f ca="1">OFFSET(TIAM15_assumptions!$G102,0,MATCH(VLOOKUP(Assumptions!U$2,TIAM15_assumptions!$Y$3:$Z$87,2,FALSE),TIAM15_assumptions!$H$2:$V$2,0))</f>
        <v>0.9</v>
      </c>
      <c r="V102" s="59">
        <f ca="1">OFFSET(TIAM15_assumptions!$G102,0,MATCH(VLOOKUP(Assumptions!V$2,TIAM15_assumptions!$Y$3:$Z$87,2,FALSE),TIAM15_assumptions!$H$2:$V$2,0))</f>
        <v>1</v>
      </c>
      <c r="W102" s="59">
        <f ca="1">OFFSET(TIAM15_assumptions!$G102,0,MATCH(VLOOKUP(Assumptions!W$2,TIAM15_assumptions!$Y$3:$Z$87,2,FALSE),TIAM15_assumptions!$H$2:$V$2,0))</f>
        <v>0.7</v>
      </c>
      <c r="X102" s="59">
        <f ca="1">OFFSET(TIAM15_assumptions!$G102,0,MATCH(VLOOKUP(Assumptions!X$2,TIAM15_assumptions!$Y$3:$Z$87,2,FALSE),TIAM15_assumptions!$H$2:$V$2,0))</f>
        <v>1</v>
      </c>
      <c r="Y102" s="59">
        <f ca="1">OFFSET(TIAM15_assumptions!$G102,0,MATCH(VLOOKUP(Assumptions!Y$2,TIAM15_assumptions!$Y$3:$Z$87,2,FALSE),TIAM15_assumptions!$H$2:$V$2,0))</f>
        <v>1</v>
      </c>
      <c r="Z102" s="59">
        <f ca="1">OFFSET(TIAM15_assumptions!$G102,0,MATCH(VLOOKUP(Assumptions!Z$2,TIAM15_assumptions!$Y$3:$Z$87,2,FALSE),TIAM15_assumptions!$H$2:$V$2,0))</f>
        <v>1</v>
      </c>
      <c r="AA102" s="59">
        <f ca="1">OFFSET(TIAM15_assumptions!$G102,0,MATCH(VLOOKUP(Assumptions!AA$2,TIAM15_assumptions!$Y$3:$Z$87,2,FALSE),TIAM15_assumptions!$H$2:$V$2,0))</f>
        <v>0.95</v>
      </c>
      <c r="AB102" s="59">
        <f ca="1">OFFSET(TIAM15_assumptions!$G102,0,MATCH(VLOOKUP(Assumptions!AB$2,TIAM15_assumptions!$Y$3:$Z$87,2,FALSE),TIAM15_assumptions!$H$2:$V$2,0))</f>
        <v>0.9</v>
      </c>
      <c r="AC102" s="59">
        <f ca="1">OFFSET(TIAM15_assumptions!$G102,0,MATCH(VLOOKUP(Assumptions!AC$2,TIAM15_assumptions!$Y$3:$Z$87,2,FALSE),TIAM15_assumptions!$H$2:$V$2,0))</f>
        <v>1</v>
      </c>
      <c r="AD102" s="59">
        <f ca="1">OFFSET(TIAM15_assumptions!$G102,0,MATCH(VLOOKUP(Assumptions!AD$2,TIAM15_assumptions!$Y$3:$Z$87,2,FALSE),TIAM15_assumptions!$H$2:$V$2,0))</f>
        <v>1</v>
      </c>
      <c r="AE102" s="59">
        <f ca="1">OFFSET(TIAM15_assumptions!$G102,0,MATCH(VLOOKUP(Assumptions!AE$2,TIAM15_assumptions!$Y$3:$Z$87,2,FALSE),TIAM15_assumptions!$H$2:$V$2,0))</f>
        <v>0.9</v>
      </c>
      <c r="AF102" s="59">
        <f ca="1">OFFSET(TIAM15_assumptions!$G102,0,MATCH(VLOOKUP(Assumptions!AF$2,TIAM15_assumptions!$Y$3:$Z$87,2,FALSE),TIAM15_assumptions!$H$2:$V$2,0))</f>
        <v>0.95</v>
      </c>
      <c r="AG102" s="59">
        <f ca="1">OFFSET(TIAM15_assumptions!$G102,0,MATCH(VLOOKUP(Assumptions!AG$2,TIAM15_assumptions!$Y$3:$Z$87,2,FALSE),TIAM15_assumptions!$H$2:$V$2,0))</f>
        <v>0.8</v>
      </c>
      <c r="AH102" s="59">
        <f ca="1">OFFSET(TIAM15_assumptions!$G102,0,MATCH(VLOOKUP(Assumptions!AH$2,TIAM15_assumptions!$Y$3:$Z$87,2,FALSE),TIAM15_assumptions!$H$2:$V$2,0))</f>
        <v>0.9</v>
      </c>
      <c r="AI102" s="59">
        <f ca="1">OFFSET(TIAM15_assumptions!$G102,0,MATCH(VLOOKUP(Assumptions!AI$2,TIAM15_assumptions!$Y$3:$Z$87,2,FALSE),TIAM15_assumptions!$H$2:$V$2,0))</f>
        <v>0.7</v>
      </c>
      <c r="AJ102" s="59">
        <f ca="1">OFFSET(TIAM15_assumptions!$G102,0,MATCH(VLOOKUP(Assumptions!AJ$2,TIAM15_assumptions!$Y$3:$Z$87,2,FALSE),TIAM15_assumptions!$H$2:$V$2,0))</f>
        <v>1</v>
      </c>
      <c r="AK102" s="59">
        <f ca="1">OFFSET(TIAM15_assumptions!$G102,0,MATCH(VLOOKUP(Assumptions!AK$2,TIAM15_assumptions!$Y$3:$Z$87,2,FALSE),TIAM15_assumptions!$H$2:$V$2,0))</f>
        <v>1</v>
      </c>
      <c r="AL102" s="59">
        <f ca="1">OFFSET(TIAM15_assumptions!$G102,0,MATCH(VLOOKUP(Assumptions!AL$2,TIAM15_assumptions!$Y$3:$Z$87,2,FALSE),TIAM15_assumptions!$H$2:$V$2,0))</f>
        <v>1</v>
      </c>
      <c r="AM102" s="59">
        <f ca="1">OFFSET(TIAM15_assumptions!$G102,0,MATCH(VLOOKUP(Assumptions!AM$2,TIAM15_assumptions!$Y$3:$Z$87,2,FALSE),TIAM15_assumptions!$H$2:$V$2,0))</f>
        <v>0.9</v>
      </c>
      <c r="AN102" s="59">
        <f ca="1">OFFSET(TIAM15_assumptions!$G102,0,MATCH(VLOOKUP(Assumptions!AN$2,TIAM15_assumptions!$Y$3:$Z$87,2,FALSE),TIAM15_assumptions!$H$2:$V$2,0))</f>
        <v>1</v>
      </c>
      <c r="AO102" s="59">
        <f ca="1">OFFSET(TIAM15_assumptions!$G102,0,MATCH(VLOOKUP(Assumptions!AO$2,TIAM15_assumptions!$Y$3:$Z$87,2,FALSE),TIAM15_assumptions!$H$2:$V$2,0))</f>
        <v>0.8</v>
      </c>
      <c r="AP102" s="59">
        <f ca="1">OFFSET(TIAM15_assumptions!$G102,0,MATCH(VLOOKUP(Assumptions!AP$2,TIAM15_assumptions!$Y$3:$Z$87,2,FALSE),TIAM15_assumptions!$H$2:$V$2,0))</f>
        <v>0.9</v>
      </c>
      <c r="AQ102" s="59">
        <f ca="1">OFFSET(TIAM15_assumptions!$G102,0,MATCH(VLOOKUP(Assumptions!AQ$2,TIAM15_assumptions!$Y$3:$Z$87,2,FALSE),TIAM15_assumptions!$H$2:$V$2,0))</f>
        <v>1</v>
      </c>
      <c r="AR102" s="59">
        <f ca="1">OFFSET(TIAM15_assumptions!$G102,0,MATCH(VLOOKUP(Assumptions!AR$2,TIAM15_assumptions!$Y$3:$Z$87,2,FALSE),TIAM15_assumptions!$H$2:$V$2,0))</f>
        <v>1</v>
      </c>
      <c r="AS102" s="59">
        <f ca="1">OFFSET(TIAM15_assumptions!$G102,0,MATCH(VLOOKUP(Assumptions!AS$2,TIAM15_assumptions!$Y$3:$Z$87,2,FALSE),TIAM15_assumptions!$H$2:$V$2,0))</f>
        <v>1</v>
      </c>
      <c r="AT102" s="59">
        <f ca="1">OFFSET(TIAM15_assumptions!$G102,0,MATCH(VLOOKUP(Assumptions!AT$2,TIAM15_assumptions!$Y$3:$Z$87,2,FALSE),TIAM15_assumptions!$H$2:$V$2,0))</f>
        <v>1</v>
      </c>
      <c r="AU102" s="59">
        <f ca="1">OFFSET(TIAM15_assumptions!$G102,0,MATCH(VLOOKUP(Assumptions!AU$2,TIAM15_assumptions!$Y$3:$Z$87,2,FALSE),TIAM15_assumptions!$H$2:$V$2,0))</f>
        <v>1</v>
      </c>
      <c r="AV102" s="59">
        <f ca="1">OFFSET(TIAM15_assumptions!$G102,0,MATCH(VLOOKUP(Assumptions!AV$2,TIAM15_assumptions!$Y$3:$Z$87,2,FALSE),TIAM15_assumptions!$H$2:$V$2,0))</f>
        <v>1</v>
      </c>
      <c r="AW102" s="59">
        <f ca="1">OFFSET(TIAM15_assumptions!$G102,0,MATCH(VLOOKUP(Assumptions!AW$2,TIAM15_assumptions!$Y$3:$Z$87,2,FALSE),TIAM15_assumptions!$H$2:$V$2,0))</f>
        <v>1</v>
      </c>
      <c r="AX102" s="59">
        <f ca="1">OFFSET(TIAM15_assumptions!$G102,0,MATCH(VLOOKUP(Assumptions!AX$2,TIAM15_assumptions!$Y$3:$Z$87,2,FALSE),TIAM15_assumptions!$H$2:$V$2,0))</f>
        <v>1</v>
      </c>
      <c r="AY102" s="59">
        <f ca="1">OFFSET(TIAM15_assumptions!$G102,0,MATCH(VLOOKUP(Assumptions!AY$2,TIAM15_assumptions!$Y$3:$Z$87,2,FALSE),TIAM15_assumptions!$H$2:$V$2,0))</f>
        <v>1</v>
      </c>
      <c r="AZ102" s="59">
        <f ca="1">OFFSET(TIAM15_assumptions!$G102,0,MATCH(VLOOKUP(Assumptions!AZ$2,TIAM15_assumptions!$Y$3:$Z$87,2,FALSE),TIAM15_assumptions!$H$2:$V$2,0))</f>
        <v>1</v>
      </c>
      <c r="BA102" s="59">
        <f ca="1">OFFSET(TIAM15_assumptions!$G102,0,MATCH(VLOOKUP(Assumptions!BA$2,TIAM15_assumptions!$Y$3:$Z$87,2,FALSE),TIAM15_assumptions!$H$2:$V$2,0))</f>
        <v>1</v>
      </c>
      <c r="BD102" s="41">
        <f ca="1">IFERROR(SUMIFS('TRA balance'!E$5:E$40,'TRA balance'!$C$5:$C$40,Assumptions!$C102,'TRA balance'!$D$5:$D$40,Assumptions!$B102)*CY102*H102,"")</f>
        <v>5.45025231072</v>
      </c>
      <c r="BE102" s="41">
        <f ca="1">IFERROR(SUMIFS('TRA balance'!F$5:F$40,'TRA balance'!$C$5:$C$40,Assumptions!$C102,'TRA balance'!$D$5:$D$40,Assumptions!$B102)*CZ102*I102,"")</f>
        <v>0.12732100668</v>
      </c>
      <c r="BF102" s="41">
        <f ca="1">IFERROR(SUMIFS('TRA balance'!G$5:G$40,'TRA balance'!$C$5:$C$40,Assumptions!$C102,'TRA balance'!$D$5:$D$40,Assumptions!$B102)*DA102*J102,"")</f>
        <v>8.16480135324</v>
      </c>
      <c r="BG102" s="41">
        <f ca="1">IFERROR(SUMIFS('TRA balance'!H$5:H$40,'TRA balance'!$C$5:$C$40,Assumptions!$C102,'TRA balance'!$D$5:$D$40,Assumptions!$B102)*DB102*K102,"")</f>
        <v>7.15220577</v>
      </c>
      <c r="BH102" s="41">
        <f ca="1">IFERROR(SUMIFS('TRA balance'!I$5:I$40,'TRA balance'!$C$5:$C$40,Assumptions!$C102,'TRA balance'!$D$5:$D$40,Assumptions!$B102)*DC102*L102,"")</f>
        <v>0.27257407776</v>
      </c>
      <c r="BI102" s="41">
        <f ca="1">IFERROR(SUMIFS('TRA balance'!J$5:J$40,'TRA balance'!$C$5:$C$40,Assumptions!$C102,'TRA balance'!$D$5:$D$40,Assumptions!$B102)*DD102*M102,"")</f>
        <v>12.1599032724</v>
      </c>
      <c r="BJ102" s="41">
        <f ca="1">IFERROR(SUMIFS('TRA balance'!K$5:K$40,'TRA balance'!$C$5:$C$40,Assumptions!$C102,'TRA balance'!$D$5:$D$40,Assumptions!$B102)*DE102*N102,"")</f>
        <v>7.6969419444</v>
      </c>
      <c r="BK102" s="41">
        <f ca="1">IFERROR(SUMIFS('TRA balance'!L$5:L$40,'TRA balance'!$C$5:$C$40,Assumptions!$C102,'TRA balance'!$D$5:$D$40,Assumptions!$B102)*DF102*O102,"")</f>
        <v>280.87385945184</v>
      </c>
      <c r="BL102" s="41">
        <f ca="1">IFERROR(SUMIFS('TRA balance'!M$5:M$40,'TRA balance'!$C$5:$C$40,Assumptions!$C102,'TRA balance'!$D$5:$D$40,Assumptions!$B102)*DG102*P102,"")</f>
        <v>1.49720219208</v>
      </c>
      <c r="BM102" s="41">
        <f ca="1">IFERROR(SUMIFS('TRA balance'!N$5:N$40,'TRA balance'!$C$5:$C$40,Assumptions!$C102,'TRA balance'!$D$5:$D$40,Assumptions!$B102)*DH102*Q102,"")</f>
        <v>6.72848318808</v>
      </c>
      <c r="BN102" s="41">
        <f ca="1">IFERROR(SUMIFS('TRA balance'!O$5:O$40,'TRA balance'!$C$5:$C$40,Assumptions!$C102,'TRA balance'!$D$5:$D$40,Assumptions!$B102)*DI102*R102,"")</f>
        <v>30.4929082008</v>
      </c>
      <c r="BO102" s="41">
        <f ca="1">IFERROR(SUMIFS('TRA balance'!P$5:P$40,'TRA balance'!$C$5:$C$40,Assumptions!$C102,'TRA balance'!$D$5:$D$40,Assumptions!$B102)*DJ102*S102,"")</f>
        <v>40.5684005328</v>
      </c>
      <c r="BP102" s="41">
        <f ca="1">IFERROR(SUMIFS('TRA balance'!Q$5:Q$40,'TRA balance'!$C$5:$C$40,Assumptions!$C102,'TRA balance'!$D$5:$D$40,Assumptions!$B102)*DK102*T102,"")</f>
        <v>0.6561594828</v>
      </c>
      <c r="BQ102" s="41">
        <f ca="1">IFERROR(SUMIFS('TRA balance'!R$5:R$40,'TRA balance'!$C$5:$C$40,Assumptions!$C102,'TRA balance'!$D$5:$D$40,Assumptions!$B102)*DL102*U102,"")</f>
        <v>7.97214365784</v>
      </c>
      <c r="BR102" s="41">
        <f ca="1">IFERROR(SUMIFS('TRA balance'!S$5:S$40,'TRA balance'!$C$5:$C$40,Assumptions!$C102,'TRA balance'!$D$5:$D$40,Assumptions!$B102)*DM102*V102,"")</f>
        <v>0</v>
      </c>
      <c r="BS102" s="41">
        <f ca="1">IFERROR(SUMIFS('TRA balance'!T$5:T$40,'TRA balance'!$C$5:$C$40,Assumptions!$C102,'TRA balance'!$D$5:$D$40,Assumptions!$B102)*DN102*W102,"")</f>
        <v>48.25295876016</v>
      </c>
      <c r="BT102" s="41">
        <f ca="1">IFERROR(SUMIFS('TRA balance'!U$5:U$40,'TRA balance'!$C$5:$C$40,Assumptions!$C102,'TRA balance'!$D$5:$D$40,Assumptions!$B102)*DO102*X102,"")</f>
        <v>0.1866098628</v>
      </c>
      <c r="BU102" s="41">
        <f ca="1">IFERROR(SUMIFS('TRA balance'!V$5:V$40,'TRA balance'!$C$5:$C$40,Assumptions!$C102,'TRA balance'!$D$5:$D$40,Assumptions!$B102)*DP102*Y102,"")</f>
        <v>19.9794682152</v>
      </c>
      <c r="BV102" s="41">
        <f ca="1">IFERROR(SUMIFS('TRA balance'!W$5:W$40,'TRA balance'!$C$5:$C$40,Assumptions!$C102,'TRA balance'!$D$5:$D$40,Assumptions!$B102)*DQ102*Z102,"")</f>
        <v>62.294203962</v>
      </c>
      <c r="BW102" s="41">
        <f ca="1">IFERROR(SUMIFS('TRA balance'!X$5:X$40,'TRA balance'!$C$5:$C$40,Assumptions!$C102,'TRA balance'!$D$5:$D$40,Assumptions!$B102)*DR102*AA102,"")</f>
        <v>4.94418960792</v>
      </c>
      <c r="BX102" s="41">
        <f ca="1">IFERROR(SUMIFS('TRA balance'!Y$5:Y$40,'TRA balance'!$C$5:$C$40,Assumptions!$C102,'TRA balance'!$D$5:$D$40,Assumptions!$B102)*DS102*AB102,"")</f>
        <v>0</v>
      </c>
      <c r="BY102" s="41">
        <f ca="1">IFERROR(SUMIFS('TRA balance'!Z$5:Z$40,'TRA balance'!$C$5:$C$40,Assumptions!$C102,'TRA balance'!$D$5:$D$40,Assumptions!$B102)*DT102*AC102,"")</f>
        <v>30.3831219312</v>
      </c>
      <c r="BZ102" s="41">
        <f ca="1">IFERROR(SUMIFS('TRA balance'!AA$5:AA$40,'TRA balance'!$C$5:$C$40,Assumptions!$C102,'TRA balance'!$D$5:$D$40,Assumptions!$B102)*DU102*AD102,"")</f>
        <v>2.1131993772</v>
      </c>
      <c r="CA102" s="41">
        <f ca="1">IFERROR(SUMIFS('TRA balance'!AB$5:AB$40,'TRA balance'!$C$5:$C$40,Assumptions!$C102,'TRA balance'!$D$5:$D$40,Assumptions!$B102)*DV102*AE102,"")</f>
        <v>10.19499532704</v>
      </c>
      <c r="CB102" s="41">
        <f ca="1">IFERROR(SUMIFS('TRA balance'!AC$5:AC$40,'TRA balance'!$C$5:$C$40,Assumptions!$C102,'TRA balance'!$D$5:$D$40,Assumptions!$B102)*DW102*AF102,"")</f>
        <v>48.4029437526</v>
      </c>
      <c r="CC102" s="41">
        <f ca="1">IFERROR(SUMIFS('TRA balance'!AD$5:AD$40,'TRA balance'!$C$5:$C$40,Assumptions!$C102,'TRA balance'!$D$5:$D$40,Assumptions!$B102)*DX102*AG102,"")</f>
        <v>154.26115214976</v>
      </c>
      <c r="CD102" s="41">
        <f ca="1">IFERROR(SUMIFS('TRA balance'!AE$5:AE$40,'TRA balance'!$C$5:$C$40,Assumptions!$C102,'TRA balance'!$D$5:$D$40,Assumptions!$B102)*DY102*AH102,"")</f>
        <v>0</v>
      </c>
      <c r="CE102" s="41">
        <f ca="1">IFERROR(SUMIFS('TRA balance'!AF$5:AF$40,'TRA balance'!$C$5:$C$40,Assumptions!$C102,'TRA balance'!$D$5:$D$40,Assumptions!$B102)*DZ102*AI102,"")</f>
        <v>6.55200119448</v>
      </c>
      <c r="CF102" s="41">
        <f ca="1">IFERROR(SUMIFS('TRA balance'!AG$5:AG$40,'TRA balance'!$C$5:$C$40,Assumptions!$C102,'TRA balance'!$D$5:$D$40,Assumptions!$B102)*EA102*AJ102,"")</f>
        <v>14.2327418976</v>
      </c>
      <c r="CG102" s="41">
        <f ca="1">IFERROR(SUMIFS('TRA balance'!AH$5:AH$40,'TRA balance'!$C$5:$C$40,Assumptions!$C102,'TRA balance'!$D$5:$D$40,Assumptions!$B102)*EB102*AK102,"")</f>
        <v>13.2546426156</v>
      </c>
      <c r="CH102" s="41">
        <f ca="1">IFERROR(SUMIFS('TRA balance'!AI$5:AI$40,'TRA balance'!$C$5:$C$40,Assumptions!$C102,'TRA balance'!$D$5:$D$40,Assumptions!$B102)*EC102*AL102,"")</f>
        <v>10.9500018084</v>
      </c>
      <c r="CI102" s="41">
        <f ca="1">IFERROR(SUMIFS('TRA balance'!AJ$5:AJ$40,'TRA balance'!$C$5:$C$40,Assumptions!$C102,'TRA balance'!$D$5:$D$40,Assumptions!$B102)*ED102*AM102,"")</f>
        <v>4.17205869588</v>
      </c>
      <c r="CJ102" s="41">
        <f ca="1">IFERROR(SUMIFS('TRA balance'!AK$5:AK$40,'TRA balance'!$C$5:$C$40,Assumptions!$C102,'TRA balance'!$D$5:$D$40,Assumptions!$B102)*EE102*AN102,"")</f>
        <v>20.3567742576</v>
      </c>
      <c r="CK102" s="41">
        <f ca="1">IFERROR(SUMIFS('TRA balance'!AL$5:AL$40,'TRA balance'!$C$5:$C$40,Assumptions!$C102,'TRA balance'!$D$5:$D$40,Assumptions!$B102)*EF102*AO102,"")</f>
        <v>15.41404584288</v>
      </c>
      <c r="CL102" s="41">
        <f ca="1">IFERROR(SUMIFS('TRA balance'!AM$5:AM$40,'TRA balance'!$C$5:$C$40,Assumptions!$C102,'TRA balance'!$D$5:$D$40,Assumptions!$B102)*EG102*AP102,"")</f>
        <v>1.51817177988</v>
      </c>
      <c r="CM102" s="41">
        <f ca="1">IFERROR(SUMIFS('TRA balance'!AN$5:AN$40,'TRA balance'!$C$5:$C$40,Assumptions!$C102,'TRA balance'!$D$5:$D$40,Assumptions!$B102)*EH102*AQ102,"")</f>
        <v>0</v>
      </c>
      <c r="CN102" s="41">
        <f ca="1">IFERROR(SUMIFS('TRA balance'!AO$5:AO$40,'TRA balance'!$C$5:$C$40,Assumptions!$C102,'TRA balance'!$D$5:$D$40,Assumptions!$B102)*EI102*AR102,"")</f>
        <v>0</v>
      </c>
      <c r="CO102" s="41">
        <f ca="1">IFERROR(SUMIFS('TRA balance'!AP$5:AP$40,'TRA balance'!$C$5:$C$40,Assumptions!$C102,'TRA balance'!$D$5:$D$40,Assumptions!$B102)*EJ102*AS102,"")</f>
        <v>0</v>
      </c>
      <c r="CP102" s="41">
        <f ca="1">IFERROR(SUMIFS('TRA balance'!AQ$5:AQ$40,'TRA balance'!$C$5:$C$40,Assumptions!$C102,'TRA balance'!$D$5:$D$40,Assumptions!$B102)*EK102*AT102,"")</f>
        <v>0</v>
      </c>
      <c r="CQ102" s="41">
        <f ca="1">IFERROR(SUMIFS('TRA balance'!AR$5:AR$40,'TRA balance'!$C$5:$C$40,Assumptions!$C102,'TRA balance'!$D$5:$D$40,Assumptions!$B102)*EL102*AU102,"")</f>
        <v>0</v>
      </c>
      <c r="CR102" s="41">
        <f ca="1">IFERROR(SUMIFS('TRA balance'!AS$5:AS$40,'TRA balance'!$C$5:$C$40,Assumptions!$C102,'TRA balance'!$D$5:$D$40,Assumptions!$B102)*EM102*AV102,"")</f>
        <v>0</v>
      </c>
      <c r="CS102" s="41">
        <f ca="1">IFERROR(SUMIFS('TRA balance'!AT$5:AT$40,'TRA balance'!$C$5:$C$40,Assumptions!$C102,'TRA balance'!$D$5:$D$40,Assumptions!$B102)*EN102*AW102,"")</f>
        <v>0</v>
      </c>
      <c r="CT102" s="41">
        <f ca="1">IFERROR(SUMIFS('TRA balance'!AU$5:AU$40,'TRA balance'!$C$5:$C$40,Assumptions!$C102,'TRA balance'!$D$5:$D$40,Assumptions!$B102)*EO102*AX102,"")</f>
        <v>0</v>
      </c>
      <c r="CU102" s="41">
        <f ca="1">IFERROR(SUMIFS('TRA balance'!AV$5:AV$40,'TRA balance'!$C$5:$C$40,Assumptions!$C102,'TRA balance'!$D$5:$D$40,Assumptions!$B102)*EP102*AY102,"")</f>
        <v>0</v>
      </c>
      <c r="CV102" s="41">
        <f ca="1">IFERROR(SUMIFS('TRA balance'!AW$5:AW$40,'TRA balance'!$C$5:$C$40,Assumptions!$C102,'TRA balance'!$D$5:$D$40,Assumptions!$B102)*EQ102*AZ102,"")</f>
        <v>0</v>
      </c>
      <c r="CW102" s="41">
        <f ca="1">IFERROR(SUMIFS('TRA balance'!AX$5:AX$40,'TRA balance'!$C$5:$C$40,Assumptions!$C102,'TRA balance'!$D$5:$D$40,Assumptions!$B102)*ER102*BA102,"")</f>
        <v>0</v>
      </c>
      <c r="CY102" s="40">
        <f ca="1" t="shared" si="86"/>
        <v>1</v>
      </c>
      <c r="CZ102" s="40">
        <f ca="1" t="shared" si="87"/>
        <v>1</v>
      </c>
      <c r="DA102" s="40">
        <f ca="1" t="shared" si="88"/>
        <v>1</v>
      </c>
      <c r="DB102" s="40">
        <f ca="1" t="shared" si="89"/>
        <v>1</v>
      </c>
      <c r="DC102" s="40">
        <f ca="1" t="shared" si="90"/>
        <v>1</v>
      </c>
      <c r="DD102" s="40">
        <f ca="1" t="shared" si="91"/>
        <v>1</v>
      </c>
      <c r="DE102" s="40">
        <f ca="1" t="shared" si="92"/>
        <v>1</v>
      </c>
      <c r="DF102" s="40">
        <f ca="1" t="shared" si="93"/>
        <v>1</v>
      </c>
      <c r="DG102" s="40">
        <f ca="1" t="shared" si="94"/>
        <v>1</v>
      </c>
      <c r="DH102" s="40">
        <f ca="1" t="shared" si="95"/>
        <v>1</v>
      </c>
      <c r="DI102" s="40">
        <f ca="1" t="shared" si="96"/>
        <v>1</v>
      </c>
      <c r="DJ102" s="40">
        <f ca="1" t="shared" si="97"/>
        <v>1</v>
      </c>
      <c r="DK102" s="40">
        <f ca="1" t="shared" si="98"/>
        <v>1</v>
      </c>
      <c r="DL102" s="40">
        <f ca="1" t="shared" si="99"/>
        <v>1</v>
      </c>
      <c r="DM102" s="40">
        <f ca="1" t="shared" si="100"/>
        <v>1</v>
      </c>
      <c r="DN102" s="40">
        <f ca="1" t="shared" si="101"/>
        <v>1</v>
      </c>
      <c r="DO102" s="40">
        <f ca="1" t="shared" si="102"/>
        <v>1</v>
      </c>
      <c r="DP102" s="40">
        <f ca="1" t="shared" si="103"/>
        <v>1</v>
      </c>
      <c r="DQ102" s="40">
        <f ca="1" t="shared" si="104"/>
        <v>1</v>
      </c>
      <c r="DR102" s="40">
        <f ca="1" t="shared" si="105"/>
        <v>1</v>
      </c>
      <c r="DS102" s="40">
        <f ca="1" t="shared" si="106"/>
        <v>1</v>
      </c>
      <c r="DT102" s="40">
        <f ca="1" t="shared" si="107"/>
        <v>1</v>
      </c>
      <c r="DU102" s="40">
        <f ca="1" t="shared" si="108"/>
        <v>1</v>
      </c>
      <c r="DV102" s="40">
        <f ca="1" t="shared" si="109"/>
        <v>1</v>
      </c>
      <c r="DW102" s="40">
        <f ca="1" t="shared" si="110"/>
        <v>1</v>
      </c>
      <c r="DX102" s="40">
        <f ca="1" t="shared" si="111"/>
        <v>1</v>
      </c>
      <c r="DY102" s="40">
        <f ca="1" t="shared" si="112"/>
        <v>1</v>
      </c>
      <c r="DZ102" s="40">
        <f ca="1" t="shared" si="113"/>
        <v>1</v>
      </c>
      <c r="EA102" s="40">
        <f ca="1" t="shared" si="114"/>
        <v>1</v>
      </c>
      <c r="EB102" s="40">
        <f ca="1" t="shared" si="115"/>
        <v>1</v>
      </c>
      <c r="EC102" s="40">
        <f ca="1" t="shared" si="116"/>
        <v>1</v>
      </c>
      <c r="ED102" s="40">
        <f ca="1" t="shared" si="117"/>
        <v>1</v>
      </c>
      <c r="EE102" s="40">
        <f ca="1" t="shared" si="118"/>
        <v>1</v>
      </c>
      <c r="EF102" s="40">
        <f ca="1" t="shared" si="119"/>
        <v>1</v>
      </c>
      <c r="EG102" s="40">
        <f ca="1" t="shared" si="120"/>
        <v>1</v>
      </c>
      <c r="EH102" s="40">
        <f ca="1" t="shared" si="121"/>
        <v>1</v>
      </c>
      <c r="EI102" s="40">
        <f ca="1" t="shared" si="122"/>
        <v>1</v>
      </c>
      <c r="EJ102" s="40">
        <f ca="1" t="shared" si="123"/>
        <v>1</v>
      </c>
      <c r="EK102" s="40">
        <f ca="1" t="shared" si="124"/>
        <v>1</v>
      </c>
      <c r="EL102" s="40">
        <f ca="1" t="shared" si="125"/>
        <v>1</v>
      </c>
      <c r="EM102" s="40">
        <f ca="1" t="shared" si="126"/>
        <v>1</v>
      </c>
      <c r="EN102" s="40">
        <f ca="1" t="shared" si="127"/>
        <v>1</v>
      </c>
      <c r="EO102" s="40">
        <f ca="1" t="shared" si="128"/>
        <v>1</v>
      </c>
      <c r="EP102" s="40">
        <f ca="1" t="shared" si="129"/>
        <v>1</v>
      </c>
      <c r="EQ102" s="40">
        <f ca="1" t="shared" si="130"/>
        <v>1</v>
      </c>
      <c r="ER102" s="40">
        <f ca="1" t="shared" si="131"/>
        <v>1</v>
      </c>
    </row>
    <row r="103" spans="1:148">
      <c r="A103">
        <v>1</v>
      </c>
      <c r="B103" t="str">
        <f>VLOOKUP(F103,'TRA balance'!$BA$5:$BB$14,2,FALSE)</f>
        <v>TRAELC</v>
      </c>
      <c r="C103" s="60"/>
      <c r="D103" s="60"/>
      <c r="E103" s="61" t="s">
        <v>199</v>
      </c>
      <c r="F103" s="62" t="str">
        <f t="shared" si="146"/>
        <v>Electricity</v>
      </c>
      <c r="G103" s="60"/>
      <c r="H103" s="61" t="str">
        <f ca="1" t="shared" ref="H103" si="148">IF(SUM(H101:H102)=1,"-","&lt;&gt;1!!")</f>
        <v>-</v>
      </c>
      <c r="I103" s="61" t="str">
        <f ca="1" t="shared" ref="I103:BA103" si="149">IF(SUM(I101:I102)=1,"-","&lt;&gt;1!!")</f>
        <v>-</v>
      </c>
      <c r="J103" s="61" t="str">
        <f ca="1" t="shared" si="149"/>
        <v>-</v>
      </c>
      <c r="K103" s="61" t="str">
        <f ca="1" t="shared" si="149"/>
        <v>-</v>
      </c>
      <c r="L103" s="61" t="str">
        <f ca="1" t="shared" si="149"/>
        <v>-</v>
      </c>
      <c r="M103" s="61" t="str">
        <f ca="1" t="shared" si="149"/>
        <v>-</v>
      </c>
      <c r="N103" s="61" t="str">
        <f ca="1" t="shared" si="149"/>
        <v>-</v>
      </c>
      <c r="O103" s="61" t="str">
        <f ca="1" t="shared" si="149"/>
        <v>-</v>
      </c>
      <c r="P103" s="61" t="str">
        <f ca="1" t="shared" si="149"/>
        <v>-</v>
      </c>
      <c r="Q103" s="61" t="str">
        <f ca="1" t="shared" si="149"/>
        <v>-</v>
      </c>
      <c r="R103" s="61" t="str">
        <f ca="1" t="shared" si="149"/>
        <v>-</v>
      </c>
      <c r="S103" s="61" t="str">
        <f ca="1" t="shared" si="149"/>
        <v>-</v>
      </c>
      <c r="T103" s="61" t="str">
        <f ca="1" t="shared" si="149"/>
        <v>-</v>
      </c>
      <c r="U103" s="61" t="str">
        <f ca="1" t="shared" si="149"/>
        <v>-</v>
      </c>
      <c r="V103" s="61" t="str">
        <f ca="1" t="shared" si="149"/>
        <v>-</v>
      </c>
      <c r="W103" s="61" t="str">
        <f ca="1" t="shared" si="149"/>
        <v>-</v>
      </c>
      <c r="X103" s="61" t="str">
        <f ca="1" t="shared" si="149"/>
        <v>-</v>
      </c>
      <c r="Y103" s="61" t="str">
        <f ca="1" t="shared" si="149"/>
        <v>-</v>
      </c>
      <c r="Z103" s="61" t="str">
        <f ca="1" t="shared" si="149"/>
        <v>-</v>
      </c>
      <c r="AA103" s="61" t="str">
        <f ca="1" t="shared" si="149"/>
        <v>-</v>
      </c>
      <c r="AB103" s="61" t="str">
        <f ca="1" t="shared" si="149"/>
        <v>-</v>
      </c>
      <c r="AC103" s="61" t="str">
        <f ca="1" t="shared" si="149"/>
        <v>-</v>
      </c>
      <c r="AD103" s="61" t="str">
        <f ca="1" t="shared" si="149"/>
        <v>-</v>
      </c>
      <c r="AE103" s="61" t="str">
        <f ca="1" t="shared" si="149"/>
        <v>-</v>
      </c>
      <c r="AF103" s="61" t="str">
        <f ca="1" t="shared" si="149"/>
        <v>-</v>
      </c>
      <c r="AG103" s="61" t="str">
        <f ca="1" t="shared" si="149"/>
        <v>-</v>
      </c>
      <c r="AH103" s="61" t="str">
        <f ca="1" t="shared" si="149"/>
        <v>-</v>
      </c>
      <c r="AI103" s="61" t="str">
        <f ca="1" t="shared" si="149"/>
        <v>-</v>
      </c>
      <c r="AJ103" s="61" t="str">
        <f ca="1" t="shared" si="149"/>
        <v>-</v>
      </c>
      <c r="AK103" s="61" t="str">
        <f ca="1" t="shared" si="149"/>
        <v>-</v>
      </c>
      <c r="AL103" s="61" t="str">
        <f ca="1" t="shared" si="149"/>
        <v>-</v>
      </c>
      <c r="AM103" s="61" t="str">
        <f ca="1" t="shared" si="149"/>
        <v>-</v>
      </c>
      <c r="AN103" s="61" t="str">
        <f ca="1" t="shared" si="149"/>
        <v>-</v>
      </c>
      <c r="AO103" s="61" t="str">
        <f ca="1" t="shared" si="149"/>
        <v>-</v>
      </c>
      <c r="AP103" s="61" t="str">
        <f ca="1" t="shared" si="149"/>
        <v>-</v>
      </c>
      <c r="AQ103" s="61" t="str">
        <f ca="1" t="shared" si="149"/>
        <v>-</v>
      </c>
      <c r="AR103" s="61" t="str">
        <f ca="1" t="shared" si="149"/>
        <v>-</v>
      </c>
      <c r="AS103" s="61" t="str">
        <f ca="1" t="shared" si="149"/>
        <v>-</v>
      </c>
      <c r="AT103" s="61" t="str">
        <f ca="1" t="shared" si="149"/>
        <v>-</v>
      </c>
      <c r="AU103" s="61" t="str">
        <f ca="1" t="shared" si="149"/>
        <v>-</v>
      </c>
      <c r="AV103" s="61" t="str">
        <f ca="1" t="shared" si="149"/>
        <v>-</v>
      </c>
      <c r="AW103" s="61" t="str">
        <f ca="1" t="shared" si="149"/>
        <v>-</v>
      </c>
      <c r="AX103" s="61" t="str">
        <f ca="1" t="shared" si="149"/>
        <v>-</v>
      </c>
      <c r="AY103" s="61" t="str">
        <f ca="1" t="shared" si="149"/>
        <v>-</v>
      </c>
      <c r="AZ103" s="61" t="str">
        <f ca="1" t="shared" si="149"/>
        <v>-</v>
      </c>
      <c r="BA103" s="61" t="str">
        <f ca="1" t="shared" si="149"/>
        <v>-</v>
      </c>
      <c r="BD103" s="41" t="str">
        <f ca="1">IFERROR(SUMIFS('TRA balance'!E$5:E$40,'TRA balance'!$C$5:$C$40,Assumptions!$C103,'TRA balance'!$D$5:$D$40,Assumptions!$B103)*CY103*H103,"")</f>
        <v/>
      </c>
      <c r="BE103" s="41" t="str">
        <f ca="1">IFERROR(SUMIFS('TRA balance'!F$5:F$40,'TRA balance'!$C$5:$C$40,Assumptions!$C103,'TRA balance'!$D$5:$D$40,Assumptions!$B103)*CZ103*I103,"")</f>
        <v/>
      </c>
      <c r="BF103" s="41" t="str">
        <f ca="1">IFERROR(SUMIFS('TRA balance'!G$5:G$40,'TRA balance'!$C$5:$C$40,Assumptions!$C103,'TRA balance'!$D$5:$D$40,Assumptions!$B103)*DA103*J103,"")</f>
        <v/>
      </c>
      <c r="BG103" s="41" t="str">
        <f ca="1">IFERROR(SUMIFS('TRA balance'!H$5:H$40,'TRA balance'!$C$5:$C$40,Assumptions!$C103,'TRA balance'!$D$5:$D$40,Assumptions!$B103)*DB103*K103,"")</f>
        <v/>
      </c>
      <c r="BH103" s="41" t="str">
        <f ca="1">IFERROR(SUMIFS('TRA balance'!I$5:I$40,'TRA balance'!$C$5:$C$40,Assumptions!$C103,'TRA balance'!$D$5:$D$40,Assumptions!$B103)*DC103*L103,"")</f>
        <v/>
      </c>
      <c r="BI103" s="41" t="str">
        <f ca="1">IFERROR(SUMIFS('TRA balance'!J$5:J$40,'TRA balance'!$C$5:$C$40,Assumptions!$C103,'TRA balance'!$D$5:$D$40,Assumptions!$B103)*DD103*M103,"")</f>
        <v/>
      </c>
      <c r="BJ103" s="41" t="str">
        <f ca="1">IFERROR(SUMIFS('TRA balance'!K$5:K$40,'TRA balance'!$C$5:$C$40,Assumptions!$C103,'TRA balance'!$D$5:$D$40,Assumptions!$B103)*DE103*N103,"")</f>
        <v/>
      </c>
      <c r="BK103" s="41" t="str">
        <f ca="1">IFERROR(SUMIFS('TRA balance'!L$5:L$40,'TRA balance'!$C$5:$C$40,Assumptions!$C103,'TRA balance'!$D$5:$D$40,Assumptions!$B103)*DF103*O103,"")</f>
        <v/>
      </c>
      <c r="BL103" s="41" t="str">
        <f ca="1">IFERROR(SUMIFS('TRA balance'!M$5:M$40,'TRA balance'!$C$5:$C$40,Assumptions!$C103,'TRA balance'!$D$5:$D$40,Assumptions!$B103)*DG103*P103,"")</f>
        <v/>
      </c>
      <c r="BM103" s="41" t="str">
        <f ca="1">IFERROR(SUMIFS('TRA balance'!N$5:N$40,'TRA balance'!$C$5:$C$40,Assumptions!$C103,'TRA balance'!$D$5:$D$40,Assumptions!$B103)*DH103*Q103,"")</f>
        <v/>
      </c>
      <c r="BN103" s="41" t="str">
        <f ca="1">IFERROR(SUMIFS('TRA balance'!O$5:O$40,'TRA balance'!$C$5:$C$40,Assumptions!$C103,'TRA balance'!$D$5:$D$40,Assumptions!$B103)*DI103*R103,"")</f>
        <v/>
      </c>
      <c r="BO103" s="41" t="str">
        <f ca="1">IFERROR(SUMIFS('TRA balance'!P$5:P$40,'TRA balance'!$C$5:$C$40,Assumptions!$C103,'TRA balance'!$D$5:$D$40,Assumptions!$B103)*DJ103*S103,"")</f>
        <v/>
      </c>
      <c r="BP103" s="41" t="str">
        <f ca="1">IFERROR(SUMIFS('TRA balance'!Q$5:Q$40,'TRA balance'!$C$5:$C$40,Assumptions!$C103,'TRA balance'!$D$5:$D$40,Assumptions!$B103)*DK103*T103,"")</f>
        <v/>
      </c>
      <c r="BQ103" s="41" t="str">
        <f ca="1">IFERROR(SUMIFS('TRA balance'!R$5:R$40,'TRA balance'!$C$5:$C$40,Assumptions!$C103,'TRA balance'!$D$5:$D$40,Assumptions!$B103)*DL103*U103,"")</f>
        <v/>
      </c>
      <c r="BR103" s="41" t="str">
        <f ca="1">IFERROR(SUMIFS('TRA balance'!S$5:S$40,'TRA balance'!$C$5:$C$40,Assumptions!$C103,'TRA balance'!$D$5:$D$40,Assumptions!$B103)*DM103*V103,"")</f>
        <v/>
      </c>
      <c r="BS103" s="41" t="str">
        <f ca="1">IFERROR(SUMIFS('TRA balance'!T$5:T$40,'TRA balance'!$C$5:$C$40,Assumptions!$C103,'TRA balance'!$D$5:$D$40,Assumptions!$B103)*DN103*W103,"")</f>
        <v/>
      </c>
      <c r="BT103" s="41" t="str">
        <f ca="1">IFERROR(SUMIFS('TRA balance'!U$5:U$40,'TRA balance'!$C$5:$C$40,Assumptions!$C103,'TRA balance'!$D$5:$D$40,Assumptions!$B103)*DO103*X103,"")</f>
        <v/>
      </c>
      <c r="BU103" s="41" t="str">
        <f ca="1">IFERROR(SUMIFS('TRA balance'!V$5:V$40,'TRA balance'!$C$5:$C$40,Assumptions!$C103,'TRA balance'!$D$5:$D$40,Assumptions!$B103)*DP103*Y103,"")</f>
        <v/>
      </c>
      <c r="BV103" s="41" t="str">
        <f ca="1">IFERROR(SUMIFS('TRA balance'!W$5:W$40,'TRA balance'!$C$5:$C$40,Assumptions!$C103,'TRA balance'!$D$5:$D$40,Assumptions!$B103)*DQ103*Z103,"")</f>
        <v/>
      </c>
      <c r="BW103" s="41" t="str">
        <f ca="1">IFERROR(SUMIFS('TRA balance'!X$5:X$40,'TRA balance'!$C$5:$C$40,Assumptions!$C103,'TRA balance'!$D$5:$D$40,Assumptions!$B103)*DR103*AA103,"")</f>
        <v/>
      </c>
      <c r="BX103" s="41" t="str">
        <f ca="1">IFERROR(SUMIFS('TRA balance'!Y$5:Y$40,'TRA balance'!$C$5:$C$40,Assumptions!$C103,'TRA balance'!$D$5:$D$40,Assumptions!$B103)*DS103*AB103,"")</f>
        <v/>
      </c>
      <c r="BY103" s="41" t="str">
        <f ca="1">IFERROR(SUMIFS('TRA balance'!Z$5:Z$40,'TRA balance'!$C$5:$C$40,Assumptions!$C103,'TRA balance'!$D$5:$D$40,Assumptions!$B103)*DT103*AC103,"")</f>
        <v/>
      </c>
      <c r="BZ103" s="41" t="str">
        <f ca="1">IFERROR(SUMIFS('TRA balance'!AA$5:AA$40,'TRA balance'!$C$5:$C$40,Assumptions!$C103,'TRA balance'!$D$5:$D$40,Assumptions!$B103)*DU103*AD103,"")</f>
        <v/>
      </c>
      <c r="CA103" s="41" t="str">
        <f ca="1">IFERROR(SUMIFS('TRA balance'!AB$5:AB$40,'TRA balance'!$C$5:$C$40,Assumptions!$C103,'TRA balance'!$D$5:$D$40,Assumptions!$B103)*DV103*AE103,"")</f>
        <v/>
      </c>
      <c r="CB103" s="41" t="str">
        <f ca="1">IFERROR(SUMIFS('TRA balance'!AC$5:AC$40,'TRA balance'!$C$5:$C$40,Assumptions!$C103,'TRA balance'!$D$5:$D$40,Assumptions!$B103)*DW103*AF103,"")</f>
        <v/>
      </c>
      <c r="CC103" s="41" t="str">
        <f ca="1">IFERROR(SUMIFS('TRA balance'!AD$5:AD$40,'TRA balance'!$C$5:$C$40,Assumptions!$C103,'TRA balance'!$D$5:$D$40,Assumptions!$B103)*DX103*AG103,"")</f>
        <v/>
      </c>
      <c r="CD103" s="41" t="str">
        <f ca="1">IFERROR(SUMIFS('TRA balance'!AE$5:AE$40,'TRA balance'!$C$5:$C$40,Assumptions!$C103,'TRA balance'!$D$5:$D$40,Assumptions!$B103)*DY103*AH103,"")</f>
        <v/>
      </c>
      <c r="CE103" s="41" t="str">
        <f ca="1">IFERROR(SUMIFS('TRA balance'!AF$5:AF$40,'TRA balance'!$C$5:$C$40,Assumptions!$C103,'TRA balance'!$D$5:$D$40,Assumptions!$B103)*DZ103*AI103,"")</f>
        <v/>
      </c>
      <c r="CF103" s="41" t="str">
        <f ca="1">IFERROR(SUMIFS('TRA balance'!AG$5:AG$40,'TRA balance'!$C$5:$C$40,Assumptions!$C103,'TRA balance'!$D$5:$D$40,Assumptions!$B103)*EA103*AJ103,"")</f>
        <v/>
      </c>
      <c r="CG103" s="41" t="str">
        <f ca="1">IFERROR(SUMIFS('TRA balance'!AH$5:AH$40,'TRA balance'!$C$5:$C$40,Assumptions!$C103,'TRA balance'!$D$5:$D$40,Assumptions!$B103)*EB103*AK103,"")</f>
        <v/>
      </c>
      <c r="CH103" s="41" t="str">
        <f ca="1">IFERROR(SUMIFS('TRA balance'!AI$5:AI$40,'TRA balance'!$C$5:$C$40,Assumptions!$C103,'TRA balance'!$D$5:$D$40,Assumptions!$B103)*EC103*AL103,"")</f>
        <v/>
      </c>
      <c r="CI103" s="41" t="str">
        <f ca="1">IFERROR(SUMIFS('TRA balance'!AJ$5:AJ$40,'TRA balance'!$C$5:$C$40,Assumptions!$C103,'TRA balance'!$D$5:$D$40,Assumptions!$B103)*ED103*AM103,"")</f>
        <v/>
      </c>
      <c r="CJ103" s="41" t="str">
        <f ca="1">IFERROR(SUMIFS('TRA balance'!AK$5:AK$40,'TRA balance'!$C$5:$C$40,Assumptions!$C103,'TRA balance'!$D$5:$D$40,Assumptions!$B103)*EE103*AN103,"")</f>
        <v/>
      </c>
      <c r="CK103" s="41" t="str">
        <f ca="1">IFERROR(SUMIFS('TRA balance'!AL$5:AL$40,'TRA balance'!$C$5:$C$40,Assumptions!$C103,'TRA balance'!$D$5:$D$40,Assumptions!$B103)*EF103*AO103,"")</f>
        <v/>
      </c>
      <c r="CL103" s="41" t="str">
        <f ca="1">IFERROR(SUMIFS('TRA balance'!AM$5:AM$40,'TRA balance'!$C$5:$C$40,Assumptions!$C103,'TRA balance'!$D$5:$D$40,Assumptions!$B103)*EG103*AP103,"")</f>
        <v/>
      </c>
      <c r="CM103" s="41" t="str">
        <f ca="1">IFERROR(SUMIFS('TRA balance'!AN$5:AN$40,'TRA balance'!$C$5:$C$40,Assumptions!$C103,'TRA balance'!$D$5:$D$40,Assumptions!$B103)*EH103*AQ103,"")</f>
        <v/>
      </c>
      <c r="CN103" s="41" t="str">
        <f ca="1">IFERROR(SUMIFS('TRA balance'!AO$5:AO$40,'TRA balance'!$C$5:$C$40,Assumptions!$C103,'TRA balance'!$D$5:$D$40,Assumptions!$B103)*EI103*AR103,"")</f>
        <v/>
      </c>
      <c r="CO103" s="41" t="str">
        <f ca="1">IFERROR(SUMIFS('TRA balance'!AP$5:AP$40,'TRA balance'!$C$5:$C$40,Assumptions!$C103,'TRA balance'!$D$5:$D$40,Assumptions!$B103)*EJ103*AS103,"")</f>
        <v/>
      </c>
      <c r="CP103" s="41" t="str">
        <f ca="1">IFERROR(SUMIFS('TRA balance'!AQ$5:AQ$40,'TRA balance'!$C$5:$C$40,Assumptions!$C103,'TRA balance'!$D$5:$D$40,Assumptions!$B103)*EK103*AT103,"")</f>
        <v/>
      </c>
      <c r="CQ103" s="41" t="str">
        <f ca="1">IFERROR(SUMIFS('TRA balance'!AR$5:AR$40,'TRA balance'!$C$5:$C$40,Assumptions!$C103,'TRA balance'!$D$5:$D$40,Assumptions!$B103)*EL103*AU103,"")</f>
        <v/>
      </c>
      <c r="CR103" s="41" t="str">
        <f ca="1">IFERROR(SUMIFS('TRA balance'!AS$5:AS$40,'TRA balance'!$C$5:$C$40,Assumptions!$C103,'TRA balance'!$D$5:$D$40,Assumptions!$B103)*EM103*AV103,"")</f>
        <v/>
      </c>
      <c r="CS103" s="41" t="str">
        <f ca="1">IFERROR(SUMIFS('TRA balance'!AT$5:AT$40,'TRA balance'!$C$5:$C$40,Assumptions!$C103,'TRA balance'!$D$5:$D$40,Assumptions!$B103)*EN103*AW103,"")</f>
        <v/>
      </c>
      <c r="CT103" s="41" t="str">
        <f ca="1">IFERROR(SUMIFS('TRA balance'!AU$5:AU$40,'TRA balance'!$C$5:$C$40,Assumptions!$C103,'TRA balance'!$D$5:$D$40,Assumptions!$B103)*EO103*AX103,"")</f>
        <v/>
      </c>
      <c r="CU103" s="41" t="str">
        <f ca="1">IFERROR(SUMIFS('TRA balance'!AV$5:AV$40,'TRA balance'!$C$5:$C$40,Assumptions!$C103,'TRA balance'!$D$5:$D$40,Assumptions!$B103)*EP103*AY103,"")</f>
        <v/>
      </c>
      <c r="CV103" s="41" t="str">
        <f ca="1">IFERROR(SUMIFS('TRA balance'!AW$5:AW$40,'TRA balance'!$C$5:$C$40,Assumptions!$C103,'TRA balance'!$D$5:$D$40,Assumptions!$B103)*EQ103*AZ103,"")</f>
        <v/>
      </c>
      <c r="CW103" s="41" t="str">
        <f ca="1">IFERROR(SUMIFS('TRA balance'!AX$5:AX$40,'TRA balance'!$C$5:$C$40,Assumptions!$C103,'TRA balance'!$D$5:$D$40,Assumptions!$B103)*ER103*BA103,"")</f>
        <v/>
      </c>
      <c r="CY103" s="40">
        <f ca="1" t="shared" si="86"/>
        <v>1</v>
      </c>
      <c r="CZ103" s="40">
        <f ca="1" t="shared" si="87"/>
        <v>1</v>
      </c>
      <c r="DA103" s="40">
        <f ca="1" t="shared" si="88"/>
        <v>1</v>
      </c>
      <c r="DB103" s="40">
        <f ca="1" t="shared" si="89"/>
        <v>1</v>
      </c>
      <c r="DC103" s="40">
        <f ca="1" t="shared" si="90"/>
        <v>1</v>
      </c>
      <c r="DD103" s="40">
        <f ca="1" t="shared" si="91"/>
        <v>1</v>
      </c>
      <c r="DE103" s="40">
        <f ca="1" t="shared" si="92"/>
        <v>1</v>
      </c>
      <c r="DF103" s="40">
        <f ca="1" t="shared" si="93"/>
        <v>1</v>
      </c>
      <c r="DG103" s="40">
        <f ca="1" t="shared" si="94"/>
        <v>1</v>
      </c>
      <c r="DH103" s="40">
        <f ca="1" t="shared" si="95"/>
        <v>1</v>
      </c>
      <c r="DI103" s="40">
        <f ca="1" t="shared" si="96"/>
        <v>1</v>
      </c>
      <c r="DJ103" s="40">
        <f ca="1" t="shared" si="97"/>
        <v>1</v>
      </c>
      <c r="DK103" s="40">
        <f ca="1" t="shared" si="98"/>
        <v>1</v>
      </c>
      <c r="DL103" s="40">
        <f ca="1" t="shared" si="99"/>
        <v>1</v>
      </c>
      <c r="DM103" s="40">
        <f ca="1" t="shared" si="100"/>
        <v>1</v>
      </c>
      <c r="DN103" s="40">
        <f ca="1" t="shared" si="101"/>
        <v>1</v>
      </c>
      <c r="DO103" s="40">
        <f ca="1" t="shared" si="102"/>
        <v>1</v>
      </c>
      <c r="DP103" s="40">
        <f ca="1" t="shared" si="103"/>
        <v>1</v>
      </c>
      <c r="DQ103" s="40">
        <f ca="1" t="shared" si="104"/>
        <v>1</v>
      </c>
      <c r="DR103" s="40">
        <f ca="1" t="shared" si="105"/>
        <v>1</v>
      </c>
      <c r="DS103" s="40">
        <f ca="1" t="shared" si="106"/>
        <v>1</v>
      </c>
      <c r="DT103" s="40">
        <f ca="1" t="shared" si="107"/>
        <v>1</v>
      </c>
      <c r="DU103" s="40">
        <f ca="1" t="shared" si="108"/>
        <v>1</v>
      </c>
      <c r="DV103" s="40">
        <f ca="1" t="shared" si="109"/>
        <v>1</v>
      </c>
      <c r="DW103" s="40">
        <f ca="1" t="shared" si="110"/>
        <v>1</v>
      </c>
      <c r="DX103" s="40">
        <f ca="1" t="shared" si="111"/>
        <v>1</v>
      </c>
      <c r="DY103" s="40">
        <f ca="1" t="shared" si="112"/>
        <v>1</v>
      </c>
      <c r="DZ103" s="40">
        <f ca="1" t="shared" si="113"/>
        <v>1</v>
      </c>
      <c r="EA103" s="40">
        <f ca="1" t="shared" si="114"/>
        <v>1</v>
      </c>
      <c r="EB103" s="40">
        <f ca="1" t="shared" si="115"/>
        <v>1</v>
      </c>
      <c r="EC103" s="40">
        <f ca="1" t="shared" si="116"/>
        <v>1</v>
      </c>
      <c r="ED103" s="40">
        <f ca="1" t="shared" si="117"/>
        <v>1</v>
      </c>
      <c r="EE103" s="40">
        <f ca="1" t="shared" si="118"/>
        <v>1</v>
      </c>
      <c r="EF103" s="40">
        <f ca="1" t="shared" si="119"/>
        <v>1</v>
      </c>
      <c r="EG103" s="40">
        <f ca="1" t="shared" si="120"/>
        <v>1</v>
      </c>
      <c r="EH103" s="40">
        <f ca="1" t="shared" si="121"/>
        <v>1</v>
      </c>
      <c r="EI103" s="40">
        <f ca="1" t="shared" si="122"/>
        <v>1</v>
      </c>
      <c r="EJ103" s="40">
        <f ca="1" t="shared" si="123"/>
        <v>1</v>
      </c>
      <c r="EK103" s="40">
        <f ca="1" t="shared" si="124"/>
        <v>1</v>
      </c>
      <c r="EL103" s="40">
        <f ca="1" t="shared" si="125"/>
        <v>1</v>
      </c>
      <c r="EM103" s="40">
        <f ca="1" t="shared" si="126"/>
        <v>1</v>
      </c>
      <c r="EN103" s="40">
        <f ca="1" t="shared" si="127"/>
        <v>1</v>
      </c>
      <c r="EO103" s="40">
        <f ca="1" t="shared" si="128"/>
        <v>1</v>
      </c>
      <c r="EP103" s="40">
        <f ca="1" t="shared" si="129"/>
        <v>1</v>
      </c>
      <c r="EQ103" s="40">
        <f ca="1" t="shared" si="130"/>
        <v>1</v>
      </c>
      <c r="ER103" s="40">
        <f ca="1" t="shared" si="131"/>
        <v>1</v>
      </c>
    </row>
    <row r="104" spans="1:148">
      <c r="C104" s="39"/>
      <c r="D104" s="39"/>
      <c r="E104" s="74"/>
      <c r="F104" s="75"/>
      <c r="G104" s="39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</row>
    <row r="105" spans="1:148">
      <c r="C105" s="39"/>
      <c r="D105" s="39"/>
      <c r="E105" s="74"/>
      <c r="F105" s="75"/>
      <c r="G105" s="39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39" t="s">
        <v>76</v>
      </c>
      <c r="BC105" s="39" t="s">
        <v>235</v>
      </c>
      <c r="BD105" s="41">
        <f>IFERROR(ABS(SUMIFS('TRA balance'!E$5:E$40,'TRA balance'!$C$5:$C$40,Assumptions!$BB105,'TRA balance'!$D$5:$D$40,Assumptions!$BC105)),"")</f>
        <v>0</v>
      </c>
      <c r="BE105" s="41">
        <f>IFERROR(ABS(SUMIFS('TRA balance'!F$5:F$40,'TRA balance'!$C$5:$C$40,Assumptions!$BB105,'TRA balance'!$D$5:$D$40,Assumptions!$BC105)),"")</f>
        <v>0</v>
      </c>
      <c r="BF105" s="41">
        <f>IFERROR(ABS(SUMIFS('TRA balance'!G$5:G$40,'TRA balance'!$C$5:$C$40,Assumptions!$BB105,'TRA balance'!$D$5:$D$40,Assumptions!$BC105)),"")</f>
        <v>0</v>
      </c>
      <c r="BG105" s="41">
        <f>IFERROR(ABS(SUMIFS('TRA balance'!H$5:H$40,'TRA balance'!$C$5:$C$40,Assumptions!$BB105,'TRA balance'!$D$5:$D$40,Assumptions!$BC105)),"")</f>
        <v>0</v>
      </c>
      <c r="BH105" s="41">
        <f>IFERROR(ABS(SUMIFS('TRA balance'!I$5:I$40,'TRA balance'!$C$5:$C$40,Assumptions!$BB105,'TRA balance'!$D$5:$D$40,Assumptions!$BC105)),"")</f>
        <v>0</v>
      </c>
      <c r="BI105" s="41">
        <f>IFERROR(ABS(SUMIFS('TRA balance'!J$5:J$40,'TRA balance'!$C$5:$C$40,Assumptions!$BB105,'TRA balance'!$D$5:$D$40,Assumptions!$BC105)),"")</f>
        <v>0</v>
      </c>
      <c r="BJ105" s="41">
        <f>IFERROR(ABS(SUMIFS('TRA balance'!K$5:K$40,'TRA balance'!$C$5:$C$40,Assumptions!$BB105,'TRA balance'!$D$5:$D$40,Assumptions!$BC105)),"")</f>
        <v>0</v>
      </c>
      <c r="BK105" s="41">
        <f>IFERROR(ABS(SUMIFS('TRA balance'!L$5:L$40,'TRA balance'!$C$5:$C$40,Assumptions!$BB105,'TRA balance'!$D$5:$D$40,Assumptions!$BC105)),"")</f>
        <v>0</v>
      </c>
      <c r="BL105" s="41">
        <f>IFERROR(ABS(SUMIFS('TRA balance'!M$5:M$40,'TRA balance'!$C$5:$C$40,Assumptions!$BB105,'TRA balance'!$D$5:$D$40,Assumptions!$BC105)),"")</f>
        <v>0</v>
      </c>
      <c r="BM105" s="41">
        <f>IFERROR(ABS(SUMIFS('TRA balance'!N$5:N$40,'TRA balance'!$C$5:$C$40,Assumptions!$BB105,'TRA balance'!$D$5:$D$40,Assumptions!$BC105)),"")</f>
        <v>0</v>
      </c>
      <c r="BN105" s="41">
        <f>IFERROR(ABS(SUMIFS('TRA balance'!O$5:O$40,'TRA balance'!$C$5:$C$40,Assumptions!$BB105,'TRA balance'!$D$5:$D$40,Assumptions!$BC105)),"")</f>
        <v>0</v>
      </c>
      <c r="BO105" s="41">
        <f>IFERROR(ABS(SUMIFS('TRA balance'!P$5:P$40,'TRA balance'!$C$5:$C$40,Assumptions!$BB105,'TRA balance'!$D$5:$D$40,Assumptions!$BC105)),"")</f>
        <v>0</v>
      </c>
      <c r="BP105" s="41">
        <f>IFERROR(ABS(SUMIFS('TRA balance'!Q$5:Q$40,'TRA balance'!$C$5:$C$40,Assumptions!$BB105,'TRA balance'!$D$5:$D$40,Assumptions!$BC105)),"")</f>
        <v>0</v>
      </c>
      <c r="BQ105" s="41">
        <f>IFERROR(ABS(SUMIFS('TRA balance'!R$5:R$40,'TRA balance'!$C$5:$C$40,Assumptions!$BB105,'TRA balance'!$D$5:$D$40,Assumptions!$BC105)),"")</f>
        <v>0</v>
      </c>
      <c r="BR105" s="41">
        <f>IFERROR(ABS(SUMIFS('TRA balance'!S$5:S$40,'TRA balance'!$C$5:$C$40,Assumptions!$BB105,'TRA balance'!$D$5:$D$40,Assumptions!$BC105)),"")</f>
        <v>0</v>
      </c>
      <c r="BS105" s="41">
        <f>IFERROR(ABS(SUMIFS('TRA balance'!T$5:T$40,'TRA balance'!$C$5:$C$40,Assumptions!$BB105,'TRA balance'!$D$5:$D$40,Assumptions!$BC105)),"")</f>
        <v>0</v>
      </c>
      <c r="BT105" s="41">
        <f>IFERROR(ABS(SUMIFS('TRA balance'!U$5:U$40,'TRA balance'!$C$5:$C$40,Assumptions!$BB105,'TRA balance'!$D$5:$D$40,Assumptions!$BC105)),"")</f>
        <v>0</v>
      </c>
      <c r="BU105" s="41">
        <f>IFERROR(ABS(SUMIFS('TRA balance'!V$5:V$40,'TRA balance'!$C$5:$C$40,Assumptions!$BB105,'TRA balance'!$D$5:$D$40,Assumptions!$BC105)),"")</f>
        <v>0</v>
      </c>
      <c r="BV105" s="41">
        <f>IFERROR(ABS(SUMIFS('TRA balance'!W$5:W$40,'TRA balance'!$C$5:$C$40,Assumptions!$BB105,'TRA balance'!$D$5:$D$40,Assumptions!$BC105)),"")</f>
        <v>0</v>
      </c>
      <c r="BW105" s="41">
        <f>IFERROR(ABS(SUMIFS('TRA balance'!X$5:X$40,'TRA balance'!$C$5:$C$40,Assumptions!$BB105,'TRA balance'!$D$5:$D$40,Assumptions!$BC105)),"")</f>
        <v>0</v>
      </c>
      <c r="BX105" s="41">
        <f>IFERROR(ABS(SUMIFS('TRA balance'!Y$5:Y$40,'TRA balance'!$C$5:$C$40,Assumptions!$BB105,'TRA balance'!$D$5:$D$40,Assumptions!$BC105)),"")</f>
        <v>0</v>
      </c>
      <c r="BY105" s="41">
        <f>IFERROR(ABS(SUMIFS('TRA balance'!Z$5:Z$40,'TRA balance'!$C$5:$C$40,Assumptions!$BB105,'TRA balance'!$D$5:$D$40,Assumptions!$BC105)),"")</f>
        <v>0</v>
      </c>
      <c r="BZ105" s="41">
        <f>IFERROR(ABS(SUMIFS('TRA balance'!AA$5:AA$40,'TRA balance'!$C$5:$C$40,Assumptions!$BB105,'TRA balance'!$D$5:$D$40,Assumptions!$BC105)),"")</f>
        <v>0</v>
      </c>
      <c r="CA105" s="41">
        <f>IFERROR(ABS(SUMIFS('TRA balance'!AB$5:AB$40,'TRA balance'!$C$5:$C$40,Assumptions!$BB105,'TRA balance'!$D$5:$D$40,Assumptions!$BC105)),"")</f>
        <v>0</v>
      </c>
      <c r="CB105" s="41">
        <f>IFERROR(ABS(SUMIFS('TRA balance'!AC$5:AC$40,'TRA balance'!$C$5:$C$40,Assumptions!$BB105,'TRA balance'!$D$5:$D$40,Assumptions!$BC105)),"")</f>
        <v>0</v>
      </c>
      <c r="CC105" s="41">
        <f>IFERROR(ABS(SUMIFS('TRA balance'!AD$5:AD$40,'TRA balance'!$C$5:$C$40,Assumptions!$BB105,'TRA balance'!$D$5:$D$40,Assumptions!$BC105)),"")</f>
        <v>0</v>
      </c>
      <c r="CD105" s="41">
        <f>IFERROR(ABS(SUMIFS('TRA balance'!AE$5:AE$40,'TRA balance'!$C$5:$C$40,Assumptions!$BB105,'TRA balance'!$D$5:$D$40,Assumptions!$BC105)),"")</f>
        <v>0</v>
      </c>
      <c r="CE105" s="41">
        <f>IFERROR(ABS(SUMIFS('TRA balance'!AF$5:AF$40,'TRA balance'!$C$5:$C$40,Assumptions!$BB105,'TRA balance'!$D$5:$D$40,Assumptions!$BC105)),"")</f>
        <v>0</v>
      </c>
      <c r="CF105" s="41">
        <f>IFERROR(ABS(SUMIFS('TRA balance'!AG$5:AG$40,'TRA balance'!$C$5:$C$40,Assumptions!$BB105,'TRA balance'!$D$5:$D$40,Assumptions!$BC105)),"")</f>
        <v>0</v>
      </c>
      <c r="CG105" s="41">
        <f>IFERROR(ABS(SUMIFS('TRA balance'!AH$5:AH$40,'TRA balance'!$C$5:$C$40,Assumptions!$BB105,'TRA balance'!$D$5:$D$40,Assumptions!$BC105)),"")</f>
        <v>0</v>
      </c>
      <c r="CH105" s="41">
        <f>IFERROR(ABS(SUMIFS('TRA balance'!AI$5:AI$40,'TRA balance'!$C$5:$C$40,Assumptions!$BB105,'TRA balance'!$D$5:$D$40,Assumptions!$BC105)),"")</f>
        <v>0</v>
      </c>
      <c r="CI105" s="41">
        <f>IFERROR(ABS(SUMIFS('TRA balance'!AJ$5:AJ$40,'TRA balance'!$C$5:$C$40,Assumptions!$BB105,'TRA balance'!$D$5:$D$40,Assumptions!$BC105)),"")</f>
        <v>0</v>
      </c>
      <c r="CJ105" s="41">
        <f>IFERROR(ABS(SUMIFS('TRA balance'!AK$5:AK$40,'TRA balance'!$C$5:$C$40,Assumptions!$BB105,'TRA balance'!$D$5:$D$40,Assumptions!$BC105)),"")</f>
        <v>0</v>
      </c>
      <c r="CK105" s="41">
        <f>IFERROR(ABS(SUMIFS('TRA balance'!AL$5:AL$40,'TRA balance'!$C$5:$C$40,Assumptions!$BB105,'TRA balance'!$D$5:$D$40,Assumptions!$BC105)),"")</f>
        <v>0</v>
      </c>
      <c r="CL105" s="41">
        <f>IFERROR(ABS(SUMIFS('TRA balance'!AM$5:AM$40,'TRA balance'!$C$5:$C$40,Assumptions!$BB105,'TRA balance'!$D$5:$D$40,Assumptions!$BC105)),"")</f>
        <v>0</v>
      </c>
      <c r="CM105" s="41">
        <f>IFERROR(ABS(SUMIFS('TRA balance'!AN$5:AN$40,'TRA balance'!$C$5:$C$40,Assumptions!$BB105,'TRA balance'!$D$5:$D$40,Assumptions!$BC105)),"")</f>
        <v>0</v>
      </c>
      <c r="CN105" s="41">
        <f>IFERROR(ABS(SUMIFS('TRA balance'!AO$5:AO$40,'TRA balance'!$C$5:$C$40,Assumptions!$BB105,'TRA balance'!$D$5:$D$40,Assumptions!$BC105)),"")</f>
        <v>0</v>
      </c>
      <c r="CO105" s="41">
        <f>IFERROR(ABS(SUMIFS('TRA balance'!AP$5:AP$40,'TRA balance'!$C$5:$C$40,Assumptions!$BB105,'TRA balance'!$D$5:$D$40,Assumptions!$BC105)),"")</f>
        <v>0</v>
      </c>
      <c r="CP105" s="41">
        <f>IFERROR(ABS(SUMIFS('TRA balance'!AQ$5:AQ$40,'TRA balance'!$C$5:$C$40,Assumptions!$BB105,'TRA balance'!$D$5:$D$40,Assumptions!$BC105)),"")</f>
        <v>0</v>
      </c>
      <c r="CQ105" s="41">
        <f>IFERROR(ABS(SUMIFS('TRA balance'!AR$5:AR$40,'TRA balance'!$C$5:$C$40,Assumptions!$BB105,'TRA balance'!$D$5:$D$40,Assumptions!$BC105)),"")</f>
        <v>0</v>
      </c>
      <c r="CR105" s="41">
        <f>IFERROR(ABS(SUMIFS('TRA balance'!AS$5:AS$40,'TRA balance'!$C$5:$C$40,Assumptions!$BB105,'TRA balance'!$D$5:$D$40,Assumptions!$BC105)),"")</f>
        <v>0</v>
      </c>
      <c r="CS105" s="41">
        <f>IFERROR(ABS(SUMIFS('TRA balance'!AT$5:AT$40,'TRA balance'!$C$5:$C$40,Assumptions!$BB105,'TRA balance'!$D$5:$D$40,Assumptions!$BC105)),"")</f>
        <v>0</v>
      </c>
      <c r="CT105" s="41">
        <f>IFERROR(ABS(SUMIFS('TRA balance'!AU$5:AU$40,'TRA balance'!$C$5:$C$40,Assumptions!$BB105,'TRA balance'!$D$5:$D$40,Assumptions!$BC105)),"")</f>
        <v>0</v>
      </c>
      <c r="CU105" s="41">
        <f>IFERROR(ABS(SUMIFS('TRA balance'!AV$5:AV$40,'TRA balance'!$C$5:$C$40,Assumptions!$BB105,'TRA balance'!$D$5:$D$40,Assumptions!$BC105)),"")</f>
        <v>0</v>
      </c>
      <c r="CV105" s="41">
        <f>IFERROR(ABS(SUMIFS('TRA balance'!AW$5:AW$40,'TRA balance'!$C$5:$C$40,Assumptions!$BB105,'TRA balance'!$D$5:$D$40,Assumptions!$BC105)),"")</f>
        <v>0</v>
      </c>
      <c r="CW105" s="41">
        <f>IFERROR(ABS(SUMIFS('TRA balance'!AX$5:AX$40,'TRA balance'!$C$5:$C$40,Assumptions!$BB105,'TRA balance'!$D$5:$D$40,Assumptions!$BC105)),"")</f>
        <v>0</v>
      </c>
      <c r="CX105" s="39"/>
      <c r="CY105" s="39"/>
      <c r="CZ105" s="39"/>
      <c r="DA105" s="39"/>
      <c r="DB105" s="39"/>
      <c r="DC105" s="39"/>
      <c r="DD105" s="39"/>
      <c r="DE105" s="39"/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</row>
    <row r="106" spans="1:148">
      <c r="C106" s="39"/>
      <c r="D106" s="39"/>
      <c r="E106" s="74"/>
      <c r="F106" s="75"/>
      <c r="G106" s="39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39" t="s">
        <v>76</v>
      </c>
      <c r="BC106" s="39" t="s">
        <v>60</v>
      </c>
      <c r="BD106" s="41">
        <f>IFERROR(ABS(SUMIFS('TRA balance'!E$5:E$40,'TRA balance'!$C$5:$C$40,Assumptions!$BB106,'TRA balance'!$D$5:$D$40,Assumptions!$BC106)),"")</f>
        <v>0</v>
      </c>
      <c r="BE106" s="41">
        <f>IFERROR(ABS(SUMIFS('TRA balance'!F$5:F$40,'TRA balance'!$C$5:$C$40,Assumptions!$BB106,'TRA balance'!$D$5:$D$40,Assumptions!$BC106)),"")</f>
        <v>0</v>
      </c>
      <c r="BF106" s="41">
        <f>IFERROR(ABS(SUMIFS('TRA balance'!G$5:G$40,'TRA balance'!$C$5:$C$40,Assumptions!$BB106,'TRA balance'!$D$5:$D$40,Assumptions!$BC106)),"")</f>
        <v>0</v>
      </c>
      <c r="BG106" s="41">
        <f>IFERROR(ABS(SUMIFS('TRA balance'!H$5:H$40,'TRA balance'!$C$5:$C$40,Assumptions!$BB106,'TRA balance'!$D$5:$D$40,Assumptions!$BC106)),"")</f>
        <v>0</v>
      </c>
      <c r="BH106" s="41">
        <f>IFERROR(ABS(SUMIFS('TRA balance'!I$5:I$40,'TRA balance'!$C$5:$C$40,Assumptions!$BB106,'TRA balance'!$D$5:$D$40,Assumptions!$BC106)),"")</f>
        <v>0</v>
      </c>
      <c r="BI106" s="41">
        <f>IFERROR(ABS(SUMIFS('TRA balance'!J$5:J$40,'TRA balance'!$C$5:$C$40,Assumptions!$BB106,'TRA balance'!$D$5:$D$40,Assumptions!$BC106)),"")</f>
        <v>0</v>
      </c>
      <c r="BJ106" s="41">
        <f>IFERROR(ABS(SUMIFS('TRA balance'!K$5:K$40,'TRA balance'!$C$5:$C$40,Assumptions!$BB106,'TRA balance'!$D$5:$D$40,Assumptions!$BC106)),"")</f>
        <v>0</v>
      </c>
      <c r="BK106" s="41">
        <f>IFERROR(ABS(SUMIFS('TRA balance'!L$5:L$40,'TRA balance'!$C$5:$C$40,Assumptions!$BB106,'TRA balance'!$D$5:$D$40,Assumptions!$BC106)),"")</f>
        <v>0</v>
      </c>
      <c r="BL106" s="41">
        <f>IFERROR(ABS(SUMIFS('TRA balance'!M$5:M$40,'TRA balance'!$C$5:$C$40,Assumptions!$BB106,'TRA balance'!$D$5:$D$40,Assumptions!$BC106)),"")</f>
        <v>0</v>
      </c>
      <c r="BM106" s="41">
        <f>IFERROR(ABS(SUMIFS('TRA balance'!N$5:N$40,'TRA balance'!$C$5:$C$40,Assumptions!$BB106,'TRA balance'!$D$5:$D$40,Assumptions!$BC106)),"")</f>
        <v>0</v>
      </c>
      <c r="BN106" s="41">
        <f>IFERROR(ABS(SUMIFS('TRA balance'!O$5:O$40,'TRA balance'!$C$5:$C$40,Assumptions!$BB106,'TRA balance'!$D$5:$D$40,Assumptions!$BC106)),"")</f>
        <v>0</v>
      </c>
      <c r="BO106" s="41">
        <f>IFERROR(ABS(SUMIFS('TRA balance'!P$5:P$40,'TRA balance'!$C$5:$C$40,Assumptions!$BB106,'TRA balance'!$D$5:$D$40,Assumptions!$BC106)),"")</f>
        <v>0</v>
      </c>
      <c r="BP106" s="41">
        <f>IFERROR(ABS(SUMIFS('TRA balance'!Q$5:Q$40,'TRA balance'!$C$5:$C$40,Assumptions!$BB106,'TRA balance'!$D$5:$D$40,Assumptions!$BC106)),"")</f>
        <v>0</v>
      </c>
      <c r="BQ106" s="41">
        <f>IFERROR(ABS(SUMIFS('TRA balance'!R$5:R$40,'TRA balance'!$C$5:$C$40,Assumptions!$BB106,'TRA balance'!$D$5:$D$40,Assumptions!$BC106)),"")</f>
        <v>0</v>
      </c>
      <c r="BR106" s="41">
        <f>IFERROR(ABS(SUMIFS('TRA balance'!S$5:S$40,'TRA balance'!$C$5:$C$40,Assumptions!$BB106,'TRA balance'!$D$5:$D$40,Assumptions!$BC106)),"")</f>
        <v>0</v>
      </c>
      <c r="BS106" s="41">
        <f>IFERROR(ABS(SUMIFS('TRA balance'!T$5:T$40,'TRA balance'!$C$5:$C$40,Assumptions!$BB106,'TRA balance'!$D$5:$D$40,Assumptions!$BC106)),"")</f>
        <v>0</v>
      </c>
      <c r="BT106" s="41">
        <f>IFERROR(ABS(SUMIFS('TRA balance'!U$5:U$40,'TRA balance'!$C$5:$C$40,Assumptions!$BB106,'TRA balance'!$D$5:$D$40,Assumptions!$BC106)),"")</f>
        <v>0</v>
      </c>
      <c r="BU106" s="41">
        <f>IFERROR(ABS(SUMIFS('TRA balance'!V$5:V$40,'TRA balance'!$C$5:$C$40,Assumptions!$BB106,'TRA balance'!$D$5:$D$40,Assumptions!$BC106)),"")</f>
        <v>0</v>
      </c>
      <c r="BV106" s="41">
        <f>IFERROR(ABS(SUMIFS('TRA balance'!W$5:W$40,'TRA balance'!$C$5:$C$40,Assumptions!$BB106,'TRA balance'!$D$5:$D$40,Assumptions!$BC106)),"")</f>
        <v>0</v>
      </c>
      <c r="BW106" s="41">
        <f>IFERROR(ABS(SUMIFS('TRA balance'!X$5:X$40,'TRA balance'!$C$5:$C$40,Assumptions!$BB106,'TRA balance'!$D$5:$D$40,Assumptions!$BC106)),"")</f>
        <v>0</v>
      </c>
      <c r="BX106" s="41">
        <f>IFERROR(ABS(SUMIFS('TRA balance'!Y$5:Y$40,'TRA balance'!$C$5:$C$40,Assumptions!$BB106,'TRA balance'!$D$5:$D$40,Assumptions!$BC106)),"")</f>
        <v>0</v>
      </c>
      <c r="BY106" s="41">
        <f>IFERROR(ABS(SUMIFS('TRA balance'!Z$5:Z$40,'TRA balance'!$C$5:$C$40,Assumptions!$BB106,'TRA balance'!$D$5:$D$40,Assumptions!$BC106)),"")</f>
        <v>0</v>
      </c>
      <c r="BZ106" s="41">
        <f>IFERROR(ABS(SUMIFS('TRA balance'!AA$5:AA$40,'TRA balance'!$C$5:$C$40,Assumptions!$BB106,'TRA balance'!$D$5:$D$40,Assumptions!$BC106)),"")</f>
        <v>0</v>
      </c>
      <c r="CA106" s="41">
        <f>IFERROR(ABS(SUMIFS('TRA balance'!AB$5:AB$40,'TRA balance'!$C$5:$C$40,Assumptions!$BB106,'TRA balance'!$D$5:$D$40,Assumptions!$BC106)),"")</f>
        <v>0</v>
      </c>
      <c r="CB106" s="41">
        <f>IFERROR(ABS(SUMIFS('TRA balance'!AC$5:AC$40,'TRA balance'!$C$5:$C$40,Assumptions!$BB106,'TRA balance'!$D$5:$D$40,Assumptions!$BC106)),"")</f>
        <v>0</v>
      </c>
      <c r="CC106" s="41">
        <f>IFERROR(ABS(SUMIFS('TRA balance'!AD$5:AD$40,'TRA balance'!$C$5:$C$40,Assumptions!$BB106,'TRA balance'!$D$5:$D$40,Assumptions!$BC106)),"")</f>
        <v>0</v>
      </c>
      <c r="CD106" s="41">
        <f>IFERROR(ABS(SUMIFS('TRA balance'!AE$5:AE$40,'TRA balance'!$C$5:$C$40,Assumptions!$BB106,'TRA balance'!$D$5:$D$40,Assumptions!$BC106)),"")</f>
        <v>0</v>
      </c>
      <c r="CE106" s="41">
        <f>IFERROR(ABS(SUMIFS('TRA balance'!AF$5:AF$40,'TRA balance'!$C$5:$C$40,Assumptions!$BB106,'TRA balance'!$D$5:$D$40,Assumptions!$BC106)),"")</f>
        <v>0</v>
      </c>
      <c r="CF106" s="41">
        <f>IFERROR(ABS(SUMIFS('TRA balance'!AG$5:AG$40,'TRA balance'!$C$5:$C$40,Assumptions!$BB106,'TRA balance'!$D$5:$D$40,Assumptions!$BC106)),"")</f>
        <v>0</v>
      </c>
      <c r="CG106" s="41">
        <f>IFERROR(ABS(SUMIFS('TRA balance'!AH$5:AH$40,'TRA balance'!$C$5:$C$40,Assumptions!$BB106,'TRA balance'!$D$5:$D$40,Assumptions!$BC106)),"")</f>
        <v>0</v>
      </c>
      <c r="CH106" s="41">
        <f>IFERROR(ABS(SUMIFS('TRA balance'!AI$5:AI$40,'TRA balance'!$C$5:$C$40,Assumptions!$BB106,'TRA balance'!$D$5:$D$40,Assumptions!$BC106)),"")</f>
        <v>0</v>
      </c>
      <c r="CI106" s="41">
        <f>IFERROR(ABS(SUMIFS('TRA balance'!AJ$5:AJ$40,'TRA balance'!$C$5:$C$40,Assumptions!$BB106,'TRA balance'!$D$5:$D$40,Assumptions!$BC106)),"")</f>
        <v>0</v>
      </c>
      <c r="CJ106" s="41">
        <f>IFERROR(ABS(SUMIFS('TRA balance'!AK$5:AK$40,'TRA balance'!$C$5:$C$40,Assumptions!$BB106,'TRA balance'!$D$5:$D$40,Assumptions!$BC106)),"")</f>
        <v>0</v>
      </c>
      <c r="CK106" s="41">
        <f>IFERROR(ABS(SUMIFS('TRA balance'!AL$5:AL$40,'TRA balance'!$C$5:$C$40,Assumptions!$BB106,'TRA balance'!$D$5:$D$40,Assumptions!$BC106)),"")</f>
        <v>0</v>
      </c>
      <c r="CL106" s="41">
        <f>IFERROR(ABS(SUMIFS('TRA balance'!AM$5:AM$40,'TRA balance'!$C$5:$C$40,Assumptions!$BB106,'TRA balance'!$D$5:$D$40,Assumptions!$BC106)),"")</f>
        <v>0</v>
      </c>
      <c r="CM106" s="41">
        <f>IFERROR(ABS(SUMIFS('TRA balance'!AN$5:AN$40,'TRA balance'!$C$5:$C$40,Assumptions!$BB106,'TRA balance'!$D$5:$D$40,Assumptions!$BC106)),"")</f>
        <v>0</v>
      </c>
      <c r="CN106" s="41">
        <f>IFERROR(ABS(SUMIFS('TRA balance'!AO$5:AO$40,'TRA balance'!$C$5:$C$40,Assumptions!$BB106,'TRA balance'!$D$5:$D$40,Assumptions!$BC106)),"")</f>
        <v>0</v>
      </c>
      <c r="CO106" s="41">
        <f>IFERROR(ABS(SUMIFS('TRA balance'!AP$5:AP$40,'TRA balance'!$C$5:$C$40,Assumptions!$BB106,'TRA balance'!$D$5:$D$40,Assumptions!$BC106)),"")</f>
        <v>0</v>
      </c>
      <c r="CP106" s="41">
        <f>IFERROR(ABS(SUMIFS('TRA balance'!AQ$5:AQ$40,'TRA balance'!$C$5:$C$40,Assumptions!$BB106,'TRA balance'!$D$5:$D$40,Assumptions!$BC106)),"")</f>
        <v>0</v>
      </c>
      <c r="CQ106" s="41">
        <f>IFERROR(ABS(SUMIFS('TRA balance'!AR$5:AR$40,'TRA balance'!$C$5:$C$40,Assumptions!$BB106,'TRA balance'!$D$5:$D$40,Assumptions!$BC106)),"")</f>
        <v>0</v>
      </c>
      <c r="CR106" s="41">
        <f>IFERROR(ABS(SUMIFS('TRA balance'!AS$5:AS$40,'TRA balance'!$C$5:$C$40,Assumptions!$BB106,'TRA balance'!$D$5:$D$40,Assumptions!$BC106)),"")</f>
        <v>0</v>
      </c>
      <c r="CS106" s="41">
        <f>IFERROR(ABS(SUMIFS('TRA balance'!AT$5:AT$40,'TRA balance'!$C$5:$C$40,Assumptions!$BB106,'TRA balance'!$D$5:$D$40,Assumptions!$BC106)),"")</f>
        <v>0</v>
      </c>
      <c r="CT106" s="41">
        <f>IFERROR(ABS(SUMIFS('TRA balance'!AU$5:AU$40,'TRA balance'!$C$5:$C$40,Assumptions!$BB106,'TRA balance'!$D$5:$D$40,Assumptions!$BC106)),"")</f>
        <v>0</v>
      </c>
      <c r="CU106" s="41">
        <f>IFERROR(ABS(SUMIFS('TRA balance'!AV$5:AV$40,'TRA balance'!$C$5:$C$40,Assumptions!$BB106,'TRA balance'!$D$5:$D$40,Assumptions!$BC106)),"")</f>
        <v>0</v>
      </c>
      <c r="CV106" s="41">
        <f>IFERROR(ABS(SUMIFS('TRA balance'!AW$5:AW$40,'TRA balance'!$C$5:$C$40,Assumptions!$BB106,'TRA balance'!$D$5:$D$40,Assumptions!$BC106)),"")</f>
        <v>0</v>
      </c>
      <c r="CW106" s="41">
        <f>IFERROR(ABS(SUMIFS('TRA balance'!AX$5:AX$40,'TRA balance'!$C$5:$C$40,Assumptions!$BB106,'TRA balance'!$D$5:$D$40,Assumptions!$BC106)),"")</f>
        <v>0</v>
      </c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</row>
    <row r="107" spans="1:148">
      <c r="B107" t="s">
        <v>135</v>
      </c>
      <c r="C107" t="s">
        <v>139</v>
      </c>
      <c r="D107" t="s">
        <v>236</v>
      </c>
      <c r="E107" t="s">
        <v>237</v>
      </c>
      <c r="F107" t="s">
        <v>177</v>
      </c>
      <c r="G107" t="s">
        <v>178</v>
      </c>
      <c r="H107" t="s">
        <v>179</v>
      </c>
      <c r="I107" t="s">
        <v>179</v>
      </c>
      <c r="J107" t="s">
        <v>179</v>
      </c>
      <c r="K107" t="s">
        <v>179</v>
      </c>
      <c r="L107" t="s">
        <v>179</v>
      </c>
      <c r="M107" t="s">
        <v>179</v>
      </c>
      <c r="N107" t="s">
        <v>179</v>
      </c>
      <c r="O107" t="s">
        <v>179</v>
      </c>
      <c r="P107" t="s">
        <v>179</v>
      </c>
      <c r="Q107" t="s">
        <v>179</v>
      </c>
      <c r="R107" t="s">
        <v>179</v>
      </c>
      <c r="S107" t="s">
        <v>179</v>
      </c>
      <c r="T107" t="s">
        <v>179</v>
      </c>
      <c r="U107" t="s">
        <v>179</v>
      </c>
      <c r="V107" t="s">
        <v>179</v>
      </c>
      <c r="W107" t="s">
        <v>179</v>
      </c>
      <c r="X107" t="s">
        <v>179</v>
      </c>
      <c r="Y107" t="s">
        <v>179</v>
      </c>
      <c r="Z107" t="s">
        <v>179</v>
      </c>
      <c r="AA107" t="s">
        <v>179</v>
      </c>
      <c r="AB107" t="s">
        <v>179</v>
      </c>
      <c r="AC107" t="s">
        <v>179</v>
      </c>
      <c r="AD107" t="s">
        <v>179</v>
      </c>
      <c r="AE107" t="s">
        <v>179</v>
      </c>
      <c r="AF107" t="s">
        <v>179</v>
      </c>
      <c r="AG107" t="s">
        <v>179</v>
      </c>
      <c r="AH107" t="s">
        <v>179</v>
      </c>
      <c r="AI107" t="s">
        <v>179</v>
      </c>
      <c r="AJ107" t="s">
        <v>179</v>
      </c>
      <c r="AK107" t="s">
        <v>179</v>
      </c>
      <c r="AL107" t="s">
        <v>179</v>
      </c>
      <c r="AM107" t="s">
        <v>179</v>
      </c>
      <c r="AN107" t="s">
        <v>179</v>
      </c>
      <c r="AO107" t="s">
        <v>179</v>
      </c>
      <c r="AP107" t="s">
        <v>179</v>
      </c>
      <c r="AQ107" t="s">
        <v>179</v>
      </c>
      <c r="AR107" t="s">
        <v>179</v>
      </c>
      <c r="AS107" t="s">
        <v>179</v>
      </c>
      <c r="AT107" t="s">
        <v>179</v>
      </c>
      <c r="AU107" t="s">
        <v>179</v>
      </c>
      <c r="AV107" t="s">
        <v>179</v>
      </c>
      <c r="AW107" t="s">
        <v>179</v>
      </c>
      <c r="AX107" t="s">
        <v>179</v>
      </c>
      <c r="AY107" t="s">
        <v>179</v>
      </c>
      <c r="AZ107" t="s">
        <v>179</v>
      </c>
      <c r="BA107" t="s">
        <v>179</v>
      </c>
      <c r="BB107" s="39" t="s">
        <v>76</v>
      </c>
      <c r="BC107" s="39" t="s">
        <v>69</v>
      </c>
      <c r="BD107" s="41">
        <f>IFERROR(ABS(SUMIFS('TRA balance'!E$5:E$40,'TRA balance'!$C$5:$C$40,Assumptions!$BB107,'TRA balance'!$D$5:$D$40,Assumptions!$BC107)),"")</f>
        <v>0</v>
      </c>
      <c r="BE107" s="41">
        <f>IFERROR(ABS(SUMIFS('TRA balance'!F$5:F$40,'TRA balance'!$C$5:$C$40,Assumptions!$BB107,'TRA balance'!$D$5:$D$40,Assumptions!$BC107)),"")</f>
        <v>0</v>
      </c>
      <c r="BF107" s="41">
        <f>IFERROR(ABS(SUMIFS('TRA balance'!G$5:G$40,'TRA balance'!$C$5:$C$40,Assumptions!$BB107,'TRA balance'!$D$5:$D$40,Assumptions!$BC107)),"")</f>
        <v>0</v>
      </c>
      <c r="BG107" s="41">
        <f>IFERROR(ABS(SUMIFS('TRA balance'!H$5:H$40,'TRA balance'!$C$5:$C$40,Assumptions!$BB107,'TRA balance'!$D$5:$D$40,Assumptions!$BC107)),"")</f>
        <v>0</v>
      </c>
      <c r="BH107" s="41">
        <f>IFERROR(ABS(SUMIFS('TRA balance'!I$5:I$40,'TRA balance'!$C$5:$C$40,Assumptions!$BB107,'TRA balance'!$D$5:$D$40,Assumptions!$BC107)),"")</f>
        <v>0</v>
      </c>
      <c r="BI107" s="41">
        <f>IFERROR(ABS(SUMIFS('TRA balance'!J$5:J$40,'TRA balance'!$C$5:$C$40,Assumptions!$BB107,'TRA balance'!$D$5:$D$40,Assumptions!$BC107)),"")</f>
        <v>0</v>
      </c>
      <c r="BJ107" s="41">
        <f>IFERROR(ABS(SUMIFS('TRA balance'!K$5:K$40,'TRA balance'!$C$5:$C$40,Assumptions!$BB107,'TRA balance'!$D$5:$D$40,Assumptions!$BC107)),"")</f>
        <v>0</v>
      </c>
      <c r="BK107" s="41">
        <f>IFERROR(ABS(SUMIFS('TRA balance'!L$5:L$40,'TRA balance'!$C$5:$C$40,Assumptions!$BB107,'TRA balance'!$D$5:$D$40,Assumptions!$BC107)),"")</f>
        <v>0</v>
      </c>
      <c r="BL107" s="41">
        <f>IFERROR(ABS(SUMIFS('TRA balance'!M$5:M$40,'TRA balance'!$C$5:$C$40,Assumptions!$BB107,'TRA balance'!$D$5:$D$40,Assumptions!$BC107)),"")</f>
        <v>0</v>
      </c>
      <c r="BM107" s="41">
        <f>IFERROR(ABS(SUMIFS('TRA balance'!N$5:N$40,'TRA balance'!$C$5:$C$40,Assumptions!$BB107,'TRA balance'!$D$5:$D$40,Assumptions!$BC107)),"")</f>
        <v>0</v>
      </c>
      <c r="BN107" s="41">
        <f>IFERROR(ABS(SUMIFS('TRA balance'!O$5:O$40,'TRA balance'!$C$5:$C$40,Assumptions!$BB107,'TRA balance'!$D$5:$D$40,Assumptions!$BC107)),"")</f>
        <v>0</v>
      </c>
      <c r="BO107" s="41">
        <f>IFERROR(ABS(SUMIFS('TRA balance'!P$5:P$40,'TRA balance'!$C$5:$C$40,Assumptions!$BB107,'TRA balance'!$D$5:$D$40,Assumptions!$BC107)),"")</f>
        <v>0</v>
      </c>
      <c r="BP107" s="41">
        <f>IFERROR(ABS(SUMIFS('TRA balance'!Q$5:Q$40,'TRA balance'!$C$5:$C$40,Assumptions!$BB107,'TRA balance'!$D$5:$D$40,Assumptions!$BC107)),"")</f>
        <v>0</v>
      </c>
      <c r="BQ107" s="41">
        <f>IFERROR(ABS(SUMIFS('TRA balance'!R$5:R$40,'TRA balance'!$C$5:$C$40,Assumptions!$BB107,'TRA balance'!$D$5:$D$40,Assumptions!$BC107)),"")</f>
        <v>0</v>
      </c>
      <c r="BR107" s="41">
        <f>IFERROR(ABS(SUMIFS('TRA balance'!S$5:S$40,'TRA balance'!$C$5:$C$40,Assumptions!$BB107,'TRA balance'!$D$5:$D$40,Assumptions!$BC107)),"")</f>
        <v>0</v>
      </c>
      <c r="BS107" s="41">
        <f>IFERROR(ABS(SUMIFS('TRA balance'!T$5:T$40,'TRA balance'!$C$5:$C$40,Assumptions!$BB107,'TRA balance'!$D$5:$D$40,Assumptions!$BC107)),"")</f>
        <v>0</v>
      </c>
      <c r="BT107" s="41">
        <f>IFERROR(ABS(SUMIFS('TRA balance'!U$5:U$40,'TRA balance'!$C$5:$C$40,Assumptions!$BB107,'TRA balance'!$D$5:$D$40,Assumptions!$BC107)),"")</f>
        <v>0</v>
      </c>
      <c r="BU107" s="41">
        <f>IFERROR(ABS(SUMIFS('TRA balance'!V$5:V$40,'TRA balance'!$C$5:$C$40,Assumptions!$BB107,'TRA balance'!$D$5:$D$40,Assumptions!$BC107)),"")</f>
        <v>0</v>
      </c>
      <c r="BV107" s="41">
        <f>IFERROR(ABS(SUMIFS('TRA balance'!W$5:W$40,'TRA balance'!$C$5:$C$40,Assumptions!$BB107,'TRA balance'!$D$5:$D$40,Assumptions!$BC107)),"")</f>
        <v>0</v>
      </c>
      <c r="BW107" s="41">
        <f>IFERROR(ABS(SUMIFS('TRA balance'!X$5:X$40,'TRA balance'!$C$5:$C$40,Assumptions!$BB107,'TRA balance'!$D$5:$D$40,Assumptions!$BC107)),"")</f>
        <v>0</v>
      </c>
      <c r="BX107" s="41">
        <f>IFERROR(ABS(SUMIFS('TRA balance'!Y$5:Y$40,'TRA balance'!$C$5:$C$40,Assumptions!$BB107,'TRA balance'!$D$5:$D$40,Assumptions!$BC107)),"")</f>
        <v>0</v>
      </c>
      <c r="BY107" s="41">
        <f>IFERROR(ABS(SUMIFS('TRA balance'!Z$5:Z$40,'TRA balance'!$C$5:$C$40,Assumptions!$BB107,'TRA balance'!$D$5:$D$40,Assumptions!$BC107)),"")</f>
        <v>0</v>
      </c>
      <c r="BZ107" s="41">
        <f>IFERROR(ABS(SUMIFS('TRA balance'!AA$5:AA$40,'TRA balance'!$C$5:$C$40,Assumptions!$BB107,'TRA balance'!$D$5:$D$40,Assumptions!$BC107)),"")</f>
        <v>0</v>
      </c>
      <c r="CA107" s="41">
        <f>IFERROR(ABS(SUMIFS('TRA balance'!AB$5:AB$40,'TRA balance'!$C$5:$C$40,Assumptions!$BB107,'TRA balance'!$D$5:$D$40,Assumptions!$BC107)),"")</f>
        <v>0</v>
      </c>
      <c r="CB107" s="41">
        <f>IFERROR(ABS(SUMIFS('TRA balance'!AC$5:AC$40,'TRA balance'!$C$5:$C$40,Assumptions!$BB107,'TRA balance'!$D$5:$D$40,Assumptions!$BC107)),"")</f>
        <v>0</v>
      </c>
      <c r="CC107" s="41">
        <f>IFERROR(ABS(SUMIFS('TRA balance'!AD$5:AD$40,'TRA balance'!$C$5:$C$40,Assumptions!$BB107,'TRA balance'!$D$5:$D$40,Assumptions!$BC107)),"")</f>
        <v>0</v>
      </c>
      <c r="CD107" s="41">
        <f>IFERROR(ABS(SUMIFS('TRA balance'!AE$5:AE$40,'TRA balance'!$C$5:$C$40,Assumptions!$BB107,'TRA balance'!$D$5:$D$40,Assumptions!$BC107)),"")</f>
        <v>0</v>
      </c>
      <c r="CE107" s="41">
        <f>IFERROR(ABS(SUMIFS('TRA balance'!AF$5:AF$40,'TRA balance'!$C$5:$C$40,Assumptions!$BB107,'TRA balance'!$D$5:$D$40,Assumptions!$BC107)),"")</f>
        <v>0</v>
      </c>
      <c r="CF107" s="41">
        <f>IFERROR(ABS(SUMIFS('TRA balance'!AG$5:AG$40,'TRA balance'!$C$5:$C$40,Assumptions!$BB107,'TRA balance'!$D$5:$D$40,Assumptions!$BC107)),"")</f>
        <v>0</v>
      </c>
      <c r="CG107" s="41">
        <f>IFERROR(ABS(SUMIFS('TRA balance'!AH$5:AH$40,'TRA balance'!$C$5:$C$40,Assumptions!$BB107,'TRA balance'!$D$5:$D$40,Assumptions!$BC107)),"")</f>
        <v>0</v>
      </c>
      <c r="CH107" s="41">
        <f>IFERROR(ABS(SUMIFS('TRA balance'!AI$5:AI$40,'TRA balance'!$C$5:$C$40,Assumptions!$BB107,'TRA balance'!$D$5:$D$40,Assumptions!$BC107)),"")</f>
        <v>0</v>
      </c>
      <c r="CI107" s="41">
        <f>IFERROR(ABS(SUMIFS('TRA balance'!AJ$5:AJ$40,'TRA balance'!$C$5:$C$40,Assumptions!$BB107,'TRA balance'!$D$5:$D$40,Assumptions!$BC107)),"")</f>
        <v>0</v>
      </c>
      <c r="CJ107" s="41">
        <f>IFERROR(ABS(SUMIFS('TRA balance'!AK$5:AK$40,'TRA balance'!$C$5:$C$40,Assumptions!$BB107,'TRA balance'!$D$5:$D$40,Assumptions!$BC107)),"")</f>
        <v>0</v>
      </c>
      <c r="CK107" s="41">
        <f>IFERROR(ABS(SUMIFS('TRA balance'!AL$5:AL$40,'TRA balance'!$C$5:$C$40,Assumptions!$BB107,'TRA balance'!$D$5:$D$40,Assumptions!$BC107)),"")</f>
        <v>5.0799993516</v>
      </c>
      <c r="CL107" s="41">
        <f>IFERROR(ABS(SUMIFS('TRA balance'!AM$5:AM$40,'TRA balance'!$C$5:$C$40,Assumptions!$BB107,'TRA balance'!$D$5:$D$40,Assumptions!$BC107)),"")</f>
        <v>0</v>
      </c>
      <c r="CM107" s="41">
        <f>IFERROR(ABS(SUMIFS('TRA balance'!AN$5:AN$40,'TRA balance'!$C$5:$C$40,Assumptions!$BB107,'TRA balance'!$D$5:$D$40,Assumptions!$BC107)),"")</f>
        <v>0</v>
      </c>
      <c r="CN107" s="41">
        <f>IFERROR(ABS(SUMIFS('TRA balance'!AO$5:AO$40,'TRA balance'!$C$5:$C$40,Assumptions!$BB107,'TRA balance'!$D$5:$D$40,Assumptions!$BC107)),"")</f>
        <v>0</v>
      </c>
      <c r="CO107" s="41">
        <f>IFERROR(ABS(SUMIFS('TRA balance'!AP$5:AP$40,'TRA balance'!$C$5:$C$40,Assumptions!$BB107,'TRA balance'!$D$5:$D$40,Assumptions!$BC107)),"")</f>
        <v>0</v>
      </c>
      <c r="CP107" s="41">
        <f>IFERROR(ABS(SUMIFS('TRA balance'!AQ$5:AQ$40,'TRA balance'!$C$5:$C$40,Assumptions!$BB107,'TRA balance'!$D$5:$D$40,Assumptions!$BC107)),"")</f>
        <v>0</v>
      </c>
      <c r="CQ107" s="41">
        <f>IFERROR(ABS(SUMIFS('TRA balance'!AR$5:AR$40,'TRA balance'!$C$5:$C$40,Assumptions!$BB107,'TRA balance'!$D$5:$D$40,Assumptions!$BC107)),"")</f>
        <v>0</v>
      </c>
      <c r="CR107" s="41">
        <f>IFERROR(ABS(SUMIFS('TRA balance'!AS$5:AS$40,'TRA balance'!$C$5:$C$40,Assumptions!$BB107,'TRA balance'!$D$5:$D$40,Assumptions!$BC107)),"")</f>
        <v>0</v>
      </c>
      <c r="CS107" s="41">
        <f>IFERROR(ABS(SUMIFS('TRA balance'!AT$5:AT$40,'TRA balance'!$C$5:$C$40,Assumptions!$BB107,'TRA balance'!$D$5:$D$40,Assumptions!$BC107)),"")</f>
        <v>0</v>
      </c>
      <c r="CT107" s="41">
        <f>IFERROR(ABS(SUMIFS('TRA balance'!AU$5:AU$40,'TRA balance'!$C$5:$C$40,Assumptions!$BB107,'TRA balance'!$D$5:$D$40,Assumptions!$BC107)),"")</f>
        <v>0</v>
      </c>
      <c r="CU107" s="41">
        <f>IFERROR(ABS(SUMIFS('TRA balance'!AV$5:AV$40,'TRA balance'!$C$5:$C$40,Assumptions!$BB107,'TRA balance'!$D$5:$D$40,Assumptions!$BC107)),"")</f>
        <v>0</v>
      </c>
      <c r="CV107" s="41">
        <f>IFERROR(ABS(SUMIFS('TRA balance'!AW$5:AW$40,'TRA balance'!$C$5:$C$40,Assumptions!$BB107,'TRA balance'!$D$5:$D$40,Assumptions!$BC107)),"")</f>
        <v>0</v>
      </c>
      <c r="CW107" s="41">
        <f>IFERROR(ABS(SUMIFS('TRA balance'!AX$5:AX$40,'TRA balance'!$C$5:$C$40,Assumptions!$BB107,'TRA balance'!$D$5:$D$40,Assumptions!$BC107)),"")</f>
        <v>0</v>
      </c>
      <c r="CX107" s="39"/>
      <c r="CY107" s="39"/>
      <c r="CZ107" s="39"/>
      <c r="DA107" s="39"/>
      <c r="DB107" s="39"/>
      <c r="DC107" s="39"/>
      <c r="DD107" s="39"/>
      <c r="DE107" s="39"/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</row>
    <row r="108" spans="1:148">
      <c r="C108" t="str">
        <f>MID(E108,4,3)</f>
        <v>DST</v>
      </c>
      <c r="D108" t="str">
        <f t="shared" ref="D108:D150" si="150">LEFT(E108,3)</f>
        <v>TRB</v>
      </c>
      <c r="E108" t="s">
        <v>238</v>
      </c>
      <c r="F108" s="3">
        <v>0.088</v>
      </c>
      <c r="G108" s="3">
        <v>0.099</v>
      </c>
      <c r="H108" s="3">
        <v>0.099</v>
      </c>
      <c r="I108" s="3">
        <v>0.099</v>
      </c>
      <c r="J108" s="3">
        <v>0.099</v>
      </c>
      <c r="K108" s="3">
        <v>0.099</v>
      </c>
      <c r="L108" s="3">
        <v>0.099</v>
      </c>
      <c r="M108" s="3">
        <v>0.099</v>
      </c>
      <c r="N108" s="3">
        <v>0.099</v>
      </c>
      <c r="O108" s="3">
        <v>0.099</v>
      </c>
      <c r="P108" s="3">
        <v>0.099</v>
      </c>
      <c r="Q108" s="3">
        <v>0.099</v>
      </c>
      <c r="R108" s="3">
        <v>0.099</v>
      </c>
      <c r="S108" s="3">
        <v>0.099</v>
      </c>
      <c r="T108" s="3">
        <v>0.099</v>
      </c>
      <c r="U108" s="3">
        <v>0.099</v>
      </c>
      <c r="V108" s="3">
        <v>0.099</v>
      </c>
      <c r="W108" s="3">
        <v>0.099</v>
      </c>
      <c r="X108" s="3">
        <v>0.099</v>
      </c>
      <c r="Y108" s="3">
        <v>0.099</v>
      </c>
      <c r="Z108" s="3">
        <v>0.099</v>
      </c>
      <c r="AA108" s="3">
        <v>0.099</v>
      </c>
      <c r="AB108" s="3">
        <v>0.099</v>
      </c>
      <c r="AC108" s="3">
        <v>0.099</v>
      </c>
      <c r="AD108" s="3">
        <v>0.099</v>
      </c>
      <c r="AE108" s="3">
        <v>0.099</v>
      </c>
      <c r="AF108" s="3">
        <v>0.099</v>
      </c>
      <c r="AG108" s="3">
        <v>0.099</v>
      </c>
      <c r="AH108" s="3">
        <v>0.099</v>
      </c>
      <c r="AI108" s="3">
        <v>0.099</v>
      </c>
      <c r="AJ108" s="3">
        <v>0.099</v>
      </c>
      <c r="AK108" s="3">
        <v>0.099</v>
      </c>
      <c r="AL108" s="3">
        <v>0.099</v>
      </c>
      <c r="AM108" s="3">
        <v>0.099</v>
      </c>
      <c r="AN108" s="3">
        <v>0.099</v>
      </c>
      <c r="AO108" s="3">
        <v>0.099</v>
      </c>
      <c r="AP108" s="3">
        <v>0.099</v>
      </c>
      <c r="AQ108" s="3">
        <v>0.099</v>
      </c>
      <c r="AR108" s="3">
        <v>0.099</v>
      </c>
      <c r="AS108" s="3">
        <v>0.099</v>
      </c>
      <c r="AT108" s="3">
        <v>0.099</v>
      </c>
      <c r="AU108" s="3">
        <v>0.099</v>
      </c>
      <c r="AV108" s="3">
        <v>0.099</v>
      </c>
      <c r="AW108" s="3">
        <v>0.099</v>
      </c>
      <c r="AX108" s="3">
        <v>0.099</v>
      </c>
      <c r="AY108" s="3">
        <v>0.099</v>
      </c>
      <c r="AZ108" s="3">
        <v>0.099</v>
      </c>
      <c r="BA108" s="3">
        <v>0.099</v>
      </c>
      <c r="BB108" s="39" t="s">
        <v>76</v>
      </c>
      <c r="BC108" s="39" t="s">
        <v>72</v>
      </c>
      <c r="BD108" s="41">
        <f>IFERROR(ABS(SUMIFS('TRA balance'!E$5:E$40,'TRA balance'!$C$5:$C$40,Assumptions!$BB108,'TRA balance'!$D$5:$D$40,Assumptions!$BC108)),"")</f>
        <v>99.1230300972</v>
      </c>
      <c r="BE108" s="41">
        <f>IFERROR(ABS(SUMIFS('TRA balance'!F$5:F$40,'TRA balance'!$C$5:$C$40,Assumptions!$BB108,'TRA balance'!$D$5:$D$40,Assumptions!$BC108)),"")</f>
        <v>192.0928039704</v>
      </c>
      <c r="BF108" s="41">
        <f>IFERROR(ABS(SUMIFS('TRA balance'!G$5:G$40,'TRA balance'!$C$5:$C$40,Assumptions!$BB108,'TRA balance'!$D$5:$D$40,Assumptions!$BC108)),"")</f>
        <v>211.3565345388</v>
      </c>
      <c r="BG108" s="41">
        <f>IFERROR(ABS(SUMIFS('TRA balance'!H$5:H$40,'TRA balance'!$C$5:$C$40,Assumptions!$BB108,'TRA balance'!$D$5:$D$40,Assumptions!$BC108)),"")</f>
        <v>39.6794089152</v>
      </c>
      <c r="BH108" s="41">
        <f>IFERROR(ABS(SUMIFS('TRA balance'!I$5:I$40,'TRA balance'!$C$5:$C$40,Assumptions!$BB108,'TRA balance'!$D$5:$D$40,Assumptions!$BC108)),"")</f>
        <v>14.5334462472</v>
      </c>
      <c r="BI108" s="41">
        <f>IFERROR(ABS(SUMIFS('TRA balance'!J$5:J$40,'TRA balance'!$C$5:$C$40,Assumptions!$BB108,'TRA balance'!$D$5:$D$40,Assumptions!$BC108)),"")</f>
        <v>260.8231662324</v>
      </c>
      <c r="BJ108" s="41">
        <f>IFERROR(ABS(SUMIFS('TRA balance'!K$5:K$40,'TRA balance'!$C$5:$C$40,Assumptions!$BB108,'TRA balance'!$D$5:$D$40,Assumptions!$BC108)),"")</f>
        <v>101.4462184284</v>
      </c>
      <c r="BK108" s="41">
        <f>IFERROR(ABS(SUMIFS('TRA balance'!L$5:L$40,'TRA balance'!$C$5:$C$40,Assumptions!$BB108,'TRA balance'!$D$5:$D$40,Assumptions!$BC108)),"")</f>
        <v>449.183894364</v>
      </c>
      <c r="BL108" s="41">
        <f>IFERROR(ABS(SUMIFS('TRA balance'!M$5:M$40,'TRA balance'!$C$5:$C$40,Assumptions!$BB108,'TRA balance'!$D$5:$D$40,Assumptions!$BC108)),"")</f>
        <v>9.4939499988</v>
      </c>
      <c r="BM108" s="41">
        <f>IFERROR(ABS(SUMIFS('TRA balance'!N$5:N$40,'TRA balance'!$C$5:$C$40,Assumptions!$BB108,'TRA balance'!$D$5:$D$40,Assumptions!$BC108)),"")</f>
        <v>19.3069969596</v>
      </c>
      <c r="BN108" s="41">
        <f>IFERROR(ABS(SUMIFS('TRA balance'!O$5:O$40,'TRA balance'!$C$5:$C$40,Assumptions!$BB108,'TRA balance'!$D$5:$D$40,Assumptions!$BC108)),"")</f>
        <v>260.0460249768</v>
      </c>
      <c r="BO108" s="41">
        <f>IFERROR(ABS(SUMIFS('TRA balance'!P$5:P$40,'TRA balance'!$C$5:$C$40,Assumptions!$BB108,'TRA balance'!$D$5:$D$40,Assumptions!$BC108)),"")</f>
        <v>409.8760011468</v>
      </c>
      <c r="BP108" s="41">
        <f>IFERROR(ABS(SUMIFS('TRA balance'!Q$5:Q$40,'TRA balance'!$C$5:$C$40,Assumptions!$BB108,'TRA balance'!$D$5:$D$40,Assumptions!$BC108)),"")</f>
        <v>60.3557197488</v>
      </c>
      <c r="BQ108" s="41">
        <f>IFERROR(ABS(SUMIFS('TRA balance'!R$5:R$40,'TRA balance'!$C$5:$C$40,Assumptions!$BB108,'TRA balance'!$D$5:$D$40,Assumptions!$BC108)),"")</f>
        <v>28.1800487052</v>
      </c>
      <c r="BR108" s="41">
        <f>IFERROR(ABS(SUMIFS('TRA balance'!S$5:S$40,'TRA balance'!$C$5:$C$40,Assumptions!$BB108,'TRA balance'!$D$5:$D$40,Assumptions!$BC108)),"")</f>
        <v>13.0422420648</v>
      </c>
      <c r="BS108" s="41">
        <f>IFERROR(ABS(SUMIFS('TRA balance'!T$5:T$40,'TRA balance'!$C$5:$C$40,Assumptions!$BB108,'TRA balance'!$D$5:$D$40,Assumptions!$BC108)),"")</f>
        <v>177.4691070624</v>
      </c>
      <c r="BT108" s="41">
        <f>IFERROR(ABS(SUMIFS('TRA balance'!U$5:U$40,'TRA balance'!$C$5:$C$40,Assumptions!$BB108,'TRA balance'!$D$5:$D$40,Assumptions!$BC108)),"")</f>
        <v>45.3314591244</v>
      </c>
      <c r="BU108" s="41">
        <f>IFERROR(ABS(SUMIFS('TRA balance'!V$5:V$40,'TRA balance'!$C$5:$C$40,Assumptions!$BB108,'TRA balance'!$D$5:$D$40,Assumptions!$BC108)),"")</f>
        <v>173.0543776704</v>
      </c>
      <c r="BV108" s="41">
        <f>IFERROR(ABS(SUMIFS('TRA balance'!W$5:W$40,'TRA balance'!$C$5:$C$40,Assumptions!$BB108,'TRA balance'!$D$5:$D$40,Assumptions!$BC108)),"")</f>
        <v>305.523649476</v>
      </c>
      <c r="BW108" s="41">
        <f>IFERROR(ABS(SUMIFS('TRA balance'!X$5:X$40,'TRA balance'!$C$5:$C$40,Assumptions!$BB108,'TRA balance'!$D$5:$D$40,Assumptions!$BC108)),"")</f>
        <v>322.4176638048</v>
      </c>
      <c r="BX108" s="41">
        <f>IFERROR(ABS(SUMIFS('TRA balance'!Y$5:Y$40,'TRA balance'!$C$5:$C$40,Assumptions!$BB108,'TRA balance'!$D$5:$D$40,Assumptions!$BC108)),"")</f>
        <v>762.824241792</v>
      </c>
      <c r="BY108" s="41">
        <f>IFERROR(ABS(SUMIFS('TRA balance'!Z$5:Z$40,'TRA balance'!$C$5:$C$40,Assumptions!$BB108,'TRA balance'!$D$5:$D$40,Assumptions!$BC108)),"")</f>
        <v>1284.8589878796</v>
      </c>
      <c r="BZ108" s="41">
        <f>IFERROR(ABS(SUMIFS('TRA balance'!AA$5:AA$40,'TRA balance'!$C$5:$C$40,Assumptions!$BB108,'TRA balance'!$D$5:$D$40,Assumptions!$BC108)),"")</f>
        <v>22.9425293772</v>
      </c>
      <c r="CA108" s="41">
        <f>IFERROR(ABS(SUMIFS('TRA balance'!AB$5:AB$40,'TRA balance'!$C$5:$C$40,Assumptions!$BB108,'TRA balance'!$D$5:$D$40,Assumptions!$BC108)),"")</f>
        <v>45.0546614028</v>
      </c>
      <c r="CB108" s="41">
        <f>IFERROR(ABS(SUMIFS('TRA balance'!AC$5:AC$40,'TRA balance'!$C$5:$C$40,Assumptions!$BB108,'TRA balance'!$D$5:$D$40,Assumptions!$BC108)),"")</f>
        <v>1737.5925643272</v>
      </c>
      <c r="CC108" s="41">
        <f>IFERROR(ABS(SUMIFS('TRA balance'!AD$5:AD$40,'TRA balance'!$C$5:$C$40,Assumptions!$BB108,'TRA balance'!$D$5:$D$40,Assumptions!$BC108)),"")</f>
        <v>253.1128809564</v>
      </c>
      <c r="CD108" s="41">
        <f>IFERROR(ABS(SUMIFS('TRA balance'!AE$5:AE$40,'TRA balance'!$C$5:$C$40,Assumptions!$BB108,'TRA balance'!$D$5:$D$40,Assumptions!$BC108)),"")</f>
        <v>153.0961909596</v>
      </c>
      <c r="CE108" s="41">
        <f>IFERROR(ABS(SUMIFS('TRA balance'!AF$5:AF$40,'TRA balance'!$C$5:$C$40,Assumptions!$BB108,'TRA balance'!$D$5:$D$40,Assumptions!$BC108)),"")</f>
        <v>46.0725980868</v>
      </c>
      <c r="CF108" s="41">
        <f>IFERROR(ABS(SUMIFS('TRA balance'!AG$5:AG$40,'TRA balance'!$C$5:$C$40,Assumptions!$BB108,'TRA balance'!$D$5:$D$40,Assumptions!$BC108)),"")</f>
        <v>260.6991071616</v>
      </c>
      <c r="CG108" s="41">
        <f>IFERROR(ABS(SUMIFS('TRA balance'!AH$5:AH$40,'TRA balance'!$C$5:$C$40,Assumptions!$BB108,'TRA balance'!$D$5:$D$40,Assumptions!$BC108)),"")</f>
        <v>115.4657935908</v>
      </c>
      <c r="CH108" s="41">
        <f>IFERROR(ABS(SUMIFS('TRA balance'!AI$5:AI$40,'TRA balance'!$C$5:$C$40,Assumptions!$BB108,'TRA balance'!$D$5:$D$40,Assumptions!$BC108)),"")</f>
        <v>77.9501857176</v>
      </c>
      <c r="CI108" s="41">
        <f>IFERROR(ABS(SUMIFS('TRA balance'!AJ$5:AJ$40,'TRA balance'!$C$5:$C$40,Assumptions!$BB108,'TRA balance'!$D$5:$D$40,Assumptions!$BC108)),"")</f>
        <v>184.4269992576</v>
      </c>
      <c r="CJ108" s="41">
        <f>IFERROR(ABS(SUMIFS('TRA balance'!AK$5:AK$40,'TRA balance'!$C$5:$C$40,Assumptions!$BB108,'TRA balance'!$D$5:$D$40,Assumptions!$BC108)),"")</f>
        <v>493.2392126616</v>
      </c>
      <c r="CK108" s="41">
        <f>IFERROR(ABS(SUMIFS('TRA balance'!AL$5:AL$40,'TRA balance'!$C$5:$C$40,Assumptions!$BB108,'TRA balance'!$D$5:$D$40,Assumptions!$BC108)),"")</f>
        <v>2.211739902</v>
      </c>
      <c r="CL108" s="41">
        <f>IFERROR(ABS(SUMIFS('TRA balance'!AM$5:AM$40,'TRA balance'!$C$5:$C$40,Assumptions!$BB108,'TRA balance'!$D$5:$D$40,Assumptions!$BC108)),"")</f>
        <v>9.5715565236</v>
      </c>
      <c r="CM108" s="41">
        <f>IFERROR(ABS(SUMIFS('TRA balance'!AN$5:AN$40,'TRA balance'!$C$5:$C$40,Assumptions!$BB108,'TRA balance'!$D$5:$D$40,Assumptions!$BC108)),"")</f>
        <v>0</v>
      </c>
      <c r="CN108" s="41">
        <f>IFERROR(ABS(SUMIFS('TRA balance'!AO$5:AO$40,'TRA balance'!$C$5:$C$40,Assumptions!$BB108,'TRA balance'!$D$5:$D$40,Assumptions!$BC108)),"")</f>
        <v>0</v>
      </c>
      <c r="CO108" s="41">
        <f>IFERROR(ABS(SUMIFS('TRA balance'!AP$5:AP$40,'TRA balance'!$C$5:$C$40,Assumptions!$BB108,'TRA balance'!$D$5:$D$40,Assumptions!$BC108)),"")</f>
        <v>0</v>
      </c>
      <c r="CP108" s="41">
        <f>IFERROR(ABS(SUMIFS('TRA balance'!AQ$5:AQ$40,'TRA balance'!$C$5:$C$40,Assumptions!$BB108,'TRA balance'!$D$5:$D$40,Assumptions!$BC108)),"")</f>
        <v>0</v>
      </c>
      <c r="CQ108" s="41">
        <f>IFERROR(ABS(SUMIFS('TRA balance'!AR$5:AR$40,'TRA balance'!$C$5:$C$40,Assumptions!$BB108,'TRA balance'!$D$5:$D$40,Assumptions!$BC108)),"")</f>
        <v>0</v>
      </c>
      <c r="CR108" s="41">
        <f>IFERROR(ABS(SUMIFS('TRA balance'!AS$5:AS$40,'TRA balance'!$C$5:$C$40,Assumptions!$BB108,'TRA balance'!$D$5:$D$40,Assumptions!$BC108)),"")</f>
        <v>0</v>
      </c>
      <c r="CS108" s="41">
        <f>IFERROR(ABS(SUMIFS('TRA balance'!AT$5:AT$40,'TRA balance'!$C$5:$C$40,Assumptions!$BB108,'TRA balance'!$D$5:$D$40,Assumptions!$BC108)),"")</f>
        <v>0</v>
      </c>
      <c r="CT108" s="41">
        <f>IFERROR(ABS(SUMIFS('TRA balance'!AU$5:AU$40,'TRA balance'!$C$5:$C$40,Assumptions!$BB108,'TRA balance'!$D$5:$D$40,Assumptions!$BC108)),"")</f>
        <v>0</v>
      </c>
      <c r="CU108" s="41">
        <f>IFERROR(ABS(SUMIFS('TRA balance'!AV$5:AV$40,'TRA balance'!$C$5:$C$40,Assumptions!$BB108,'TRA balance'!$D$5:$D$40,Assumptions!$BC108)),"")</f>
        <v>0</v>
      </c>
      <c r="CV108" s="41">
        <f>IFERROR(ABS(SUMIFS('TRA balance'!AW$5:AW$40,'TRA balance'!$C$5:$C$40,Assumptions!$BB108,'TRA balance'!$D$5:$D$40,Assumptions!$BC108)),"")</f>
        <v>0</v>
      </c>
      <c r="CW108" s="41">
        <f>IFERROR(ABS(SUMIFS('TRA balance'!AX$5:AX$40,'TRA balance'!$C$5:$C$40,Assumptions!$BB108,'TRA balance'!$D$5:$D$40,Assumptions!$BC108)),"")</f>
        <v>0</v>
      </c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</row>
    <row r="109" spans="1:148">
      <c r="C109" t="str">
        <f t="shared" ref="C109:C150" si="151">MID(E109,4,3)</f>
        <v>ELC</v>
      </c>
      <c r="D109" t="str">
        <f t="shared" si="150"/>
        <v>TRB</v>
      </c>
      <c r="E109" t="s">
        <v>239</v>
      </c>
      <c r="F109" s="3">
        <v>0.12</v>
      </c>
      <c r="G109" s="3">
        <v>0.135</v>
      </c>
      <c r="H109" s="3">
        <v>0.135</v>
      </c>
      <c r="I109" s="3">
        <v>0.135</v>
      </c>
      <c r="J109" s="3">
        <v>0.135</v>
      </c>
      <c r="K109" s="3">
        <v>0.135</v>
      </c>
      <c r="L109" s="3">
        <v>0.135</v>
      </c>
      <c r="M109" s="3">
        <v>0.135</v>
      </c>
      <c r="N109" s="3">
        <v>0.135</v>
      </c>
      <c r="O109" s="3">
        <v>0.135</v>
      </c>
      <c r="P109" s="3">
        <v>0.135</v>
      </c>
      <c r="Q109" s="3">
        <v>0.135</v>
      </c>
      <c r="R109" s="3">
        <v>0.135</v>
      </c>
      <c r="S109" s="3">
        <v>0.135</v>
      </c>
      <c r="T109" s="3">
        <v>0.135</v>
      </c>
      <c r="U109" s="3">
        <v>0.135</v>
      </c>
      <c r="V109" s="3">
        <v>0.135</v>
      </c>
      <c r="W109" s="3">
        <v>0.135</v>
      </c>
      <c r="X109" s="3">
        <v>0.135</v>
      </c>
      <c r="Y109" s="3">
        <v>0.135</v>
      </c>
      <c r="Z109" s="3">
        <v>0.135</v>
      </c>
      <c r="AA109" s="3">
        <v>0.135</v>
      </c>
      <c r="AB109" s="3">
        <v>0.135</v>
      </c>
      <c r="AC109" s="3">
        <v>0.135</v>
      </c>
      <c r="AD109" s="3">
        <v>0.135</v>
      </c>
      <c r="AE109" s="3">
        <v>0.135</v>
      </c>
      <c r="AF109" s="3">
        <v>0.135</v>
      </c>
      <c r="AG109" s="3">
        <v>0.135</v>
      </c>
      <c r="AH109" s="3">
        <v>0.135</v>
      </c>
      <c r="AI109" s="3">
        <v>0.135</v>
      </c>
      <c r="AJ109" s="3">
        <v>0.135</v>
      </c>
      <c r="AK109" s="3">
        <v>0.135</v>
      </c>
      <c r="AL109" s="3">
        <v>0.135</v>
      </c>
      <c r="AM109" s="3">
        <v>0.135</v>
      </c>
      <c r="AN109" s="3">
        <v>0.135</v>
      </c>
      <c r="AO109" s="3">
        <v>0.135</v>
      </c>
      <c r="AP109" s="3">
        <v>0.135</v>
      </c>
      <c r="AQ109" s="3">
        <v>0.135</v>
      </c>
      <c r="AR109" s="3">
        <v>0.135</v>
      </c>
      <c r="AS109" s="3">
        <v>0.135</v>
      </c>
      <c r="AT109" s="3">
        <v>0.135</v>
      </c>
      <c r="AU109" s="3">
        <v>0.135</v>
      </c>
      <c r="AV109" s="3">
        <v>0.135</v>
      </c>
      <c r="AW109" s="3">
        <v>0.135</v>
      </c>
      <c r="AX109" s="3">
        <v>0.135</v>
      </c>
      <c r="AY109" s="3">
        <v>0.135</v>
      </c>
      <c r="AZ109" s="3">
        <v>0.135</v>
      </c>
      <c r="BA109" s="3">
        <v>0.135</v>
      </c>
      <c r="BB109" s="39" t="s">
        <v>62</v>
      </c>
      <c r="BC109" s="39" t="s">
        <v>235</v>
      </c>
      <c r="BD109" s="41">
        <f>IFERROR(ABS(SUMIFS('TRA balance'!E$5:E$40,'TRA balance'!$C$5:$C$40,Assumptions!$BB109,'TRA balance'!$D$5:$D$40,Assumptions!$BC109)),"")</f>
        <v>0</v>
      </c>
      <c r="BE109" s="41">
        <f>IFERROR(ABS(SUMIFS('TRA balance'!F$5:F$40,'TRA balance'!$C$5:$C$40,Assumptions!$BB109,'TRA balance'!$D$5:$D$40,Assumptions!$BC109)),"")</f>
        <v>0</v>
      </c>
      <c r="BF109" s="41">
        <f>IFERROR(ABS(SUMIFS('TRA balance'!G$5:G$40,'TRA balance'!$C$5:$C$40,Assumptions!$BB109,'TRA balance'!$D$5:$D$40,Assumptions!$BC109)),"")</f>
        <v>0</v>
      </c>
      <c r="BG109" s="41">
        <f>IFERROR(ABS(SUMIFS('TRA balance'!H$5:H$40,'TRA balance'!$C$5:$C$40,Assumptions!$BB109,'TRA balance'!$D$5:$D$40,Assumptions!$BC109)),"")</f>
        <v>0</v>
      </c>
      <c r="BH109" s="41">
        <f>IFERROR(ABS(SUMIFS('TRA balance'!I$5:I$40,'TRA balance'!$C$5:$C$40,Assumptions!$BB109,'TRA balance'!$D$5:$D$40,Assumptions!$BC109)),"")</f>
        <v>0</v>
      </c>
      <c r="BI109" s="41">
        <f>IFERROR(ABS(SUMIFS('TRA balance'!J$5:J$40,'TRA balance'!$C$5:$C$40,Assumptions!$BB109,'TRA balance'!$D$5:$D$40,Assumptions!$BC109)),"")</f>
        <v>0</v>
      </c>
      <c r="BJ109" s="41">
        <f>IFERROR(ABS(SUMIFS('TRA balance'!K$5:K$40,'TRA balance'!$C$5:$C$40,Assumptions!$BB109,'TRA balance'!$D$5:$D$40,Assumptions!$BC109)),"")</f>
        <v>0</v>
      </c>
      <c r="BK109" s="41">
        <f>IFERROR(ABS(SUMIFS('TRA balance'!L$5:L$40,'TRA balance'!$C$5:$C$40,Assumptions!$BB109,'TRA balance'!$D$5:$D$40,Assumptions!$BC109)),"")</f>
        <v>0</v>
      </c>
      <c r="BL109" s="41">
        <f>IFERROR(ABS(SUMIFS('TRA balance'!M$5:M$40,'TRA balance'!$C$5:$C$40,Assumptions!$BB109,'TRA balance'!$D$5:$D$40,Assumptions!$BC109)),"")</f>
        <v>0</v>
      </c>
      <c r="BM109" s="41">
        <f>IFERROR(ABS(SUMIFS('TRA balance'!N$5:N$40,'TRA balance'!$C$5:$C$40,Assumptions!$BB109,'TRA balance'!$D$5:$D$40,Assumptions!$BC109)),"")</f>
        <v>0</v>
      </c>
      <c r="BN109" s="41">
        <f>IFERROR(ABS(SUMIFS('TRA balance'!O$5:O$40,'TRA balance'!$C$5:$C$40,Assumptions!$BB109,'TRA balance'!$D$5:$D$40,Assumptions!$BC109)),"")</f>
        <v>0</v>
      </c>
      <c r="BO109" s="41">
        <f>IFERROR(ABS(SUMIFS('TRA balance'!P$5:P$40,'TRA balance'!$C$5:$C$40,Assumptions!$BB109,'TRA balance'!$D$5:$D$40,Assumptions!$BC109)),"")</f>
        <v>0</v>
      </c>
      <c r="BP109" s="41">
        <f>IFERROR(ABS(SUMIFS('TRA balance'!Q$5:Q$40,'TRA balance'!$C$5:$C$40,Assumptions!$BB109,'TRA balance'!$D$5:$D$40,Assumptions!$BC109)),"")</f>
        <v>0</v>
      </c>
      <c r="BQ109" s="41">
        <f>IFERROR(ABS(SUMIFS('TRA balance'!R$5:R$40,'TRA balance'!$C$5:$C$40,Assumptions!$BB109,'TRA balance'!$D$5:$D$40,Assumptions!$BC109)),"")</f>
        <v>0</v>
      </c>
      <c r="BR109" s="41">
        <f>IFERROR(ABS(SUMIFS('TRA balance'!S$5:S$40,'TRA balance'!$C$5:$C$40,Assumptions!$BB109,'TRA balance'!$D$5:$D$40,Assumptions!$BC109)),"")</f>
        <v>0</v>
      </c>
      <c r="BS109" s="41">
        <f>IFERROR(ABS(SUMIFS('TRA balance'!T$5:T$40,'TRA balance'!$C$5:$C$40,Assumptions!$BB109,'TRA balance'!$D$5:$D$40,Assumptions!$BC109)),"")</f>
        <v>0</v>
      </c>
      <c r="BT109" s="41">
        <f>IFERROR(ABS(SUMIFS('TRA balance'!U$5:U$40,'TRA balance'!$C$5:$C$40,Assumptions!$BB109,'TRA balance'!$D$5:$D$40,Assumptions!$BC109)),"")</f>
        <v>0</v>
      </c>
      <c r="BU109" s="41">
        <f>IFERROR(ABS(SUMIFS('TRA balance'!V$5:V$40,'TRA balance'!$C$5:$C$40,Assumptions!$BB109,'TRA balance'!$D$5:$D$40,Assumptions!$BC109)),"")</f>
        <v>0</v>
      </c>
      <c r="BV109" s="41">
        <f>IFERROR(ABS(SUMIFS('TRA balance'!W$5:W$40,'TRA balance'!$C$5:$C$40,Assumptions!$BB109,'TRA balance'!$D$5:$D$40,Assumptions!$BC109)),"")</f>
        <v>0</v>
      </c>
      <c r="BW109" s="41">
        <f>IFERROR(ABS(SUMIFS('TRA balance'!X$5:X$40,'TRA balance'!$C$5:$C$40,Assumptions!$BB109,'TRA balance'!$D$5:$D$40,Assumptions!$BC109)),"")</f>
        <v>0</v>
      </c>
      <c r="BX109" s="41">
        <f>IFERROR(ABS(SUMIFS('TRA balance'!Y$5:Y$40,'TRA balance'!$C$5:$C$40,Assumptions!$BB109,'TRA balance'!$D$5:$D$40,Assumptions!$BC109)),"")</f>
        <v>0</v>
      </c>
      <c r="BY109" s="41">
        <f>IFERROR(ABS(SUMIFS('TRA balance'!Z$5:Z$40,'TRA balance'!$C$5:$C$40,Assumptions!$BB109,'TRA balance'!$D$5:$D$40,Assumptions!$BC109)),"")</f>
        <v>0</v>
      </c>
      <c r="BZ109" s="41">
        <f>IFERROR(ABS(SUMIFS('TRA balance'!AA$5:AA$40,'TRA balance'!$C$5:$C$40,Assumptions!$BB109,'TRA balance'!$D$5:$D$40,Assumptions!$BC109)),"")</f>
        <v>0</v>
      </c>
      <c r="CA109" s="41">
        <f>IFERROR(ABS(SUMIFS('TRA balance'!AB$5:AB$40,'TRA balance'!$C$5:$C$40,Assumptions!$BB109,'TRA balance'!$D$5:$D$40,Assumptions!$BC109)),"")</f>
        <v>0</v>
      </c>
      <c r="CB109" s="41">
        <f>IFERROR(ABS(SUMIFS('TRA balance'!AC$5:AC$40,'TRA balance'!$C$5:$C$40,Assumptions!$BB109,'TRA balance'!$D$5:$D$40,Assumptions!$BC109)),"")</f>
        <v>0</v>
      </c>
      <c r="CC109" s="41">
        <f>IFERROR(ABS(SUMIFS('TRA balance'!AD$5:AD$40,'TRA balance'!$C$5:$C$40,Assumptions!$BB109,'TRA balance'!$D$5:$D$40,Assumptions!$BC109)),"")</f>
        <v>0</v>
      </c>
      <c r="CD109" s="41">
        <f>IFERROR(ABS(SUMIFS('TRA balance'!AE$5:AE$40,'TRA balance'!$C$5:$C$40,Assumptions!$BB109,'TRA balance'!$D$5:$D$40,Assumptions!$BC109)),"")</f>
        <v>0</v>
      </c>
      <c r="CE109" s="41">
        <f>IFERROR(ABS(SUMIFS('TRA balance'!AF$5:AF$40,'TRA balance'!$C$5:$C$40,Assumptions!$BB109,'TRA balance'!$D$5:$D$40,Assumptions!$BC109)),"")</f>
        <v>0</v>
      </c>
      <c r="CF109" s="41">
        <f>IFERROR(ABS(SUMIFS('TRA balance'!AG$5:AG$40,'TRA balance'!$C$5:$C$40,Assumptions!$BB109,'TRA balance'!$D$5:$D$40,Assumptions!$BC109)),"")</f>
        <v>0</v>
      </c>
      <c r="CG109" s="41">
        <f>IFERROR(ABS(SUMIFS('TRA balance'!AH$5:AH$40,'TRA balance'!$C$5:$C$40,Assumptions!$BB109,'TRA balance'!$D$5:$D$40,Assumptions!$BC109)),"")</f>
        <v>0</v>
      </c>
      <c r="CH109" s="41">
        <f>IFERROR(ABS(SUMIFS('TRA balance'!AI$5:AI$40,'TRA balance'!$C$5:$C$40,Assumptions!$BB109,'TRA balance'!$D$5:$D$40,Assumptions!$BC109)),"")</f>
        <v>0</v>
      </c>
      <c r="CI109" s="41">
        <f>IFERROR(ABS(SUMIFS('TRA balance'!AJ$5:AJ$40,'TRA balance'!$C$5:$C$40,Assumptions!$BB109,'TRA balance'!$D$5:$D$40,Assumptions!$BC109)),"")</f>
        <v>0</v>
      </c>
      <c r="CJ109" s="41">
        <f>IFERROR(ABS(SUMIFS('TRA balance'!AK$5:AK$40,'TRA balance'!$C$5:$C$40,Assumptions!$BB109,'TRA balance'!$D$5:$D$40,Assumptions!$BC109)),"")</f>
        <v>0</v>
      </c>
      <c r="CK109" s="41">
        <f>IFERROR(ABS(SUMIFS('TRA balance'!AL$5:AL$40,'TRA balance'!$C$5:$C$40,Assumptions!$BB109,'TRA balance'!$D$5:$D$40,Assumptions!$BC109)),"")</f>
        <v>0</v>
      </c>
      <c r="CL109" s="41">
        <f>IFERROR(ABS(SUMIFS('TRA balance'!AM$5:AM$40,'TRA balance'!$C$5:$C$40,Assumptions!$BB109,'TRA balance'!$D$5:$D$40,Assumptions!$BC109)),"")</f>
        <v>0</v>
      </c>
      <c r="CM109" s="41">
        <f>IFERROR(ABS(SUMIFS('TRA balance'!AN$5:AN$40,'TRA balance'!$C$5:$C$40,Assumptions!$BB109,'TRA balance'!$D$5:$D$40,Assumptions!$BC109)),"")</f>
        <v>0</v>
      </c>
      <c r="CN109" s="41">
        <f>IFERROR(ABS(SUMIFS('TRA balance'!AO$5:AO$40,'TRA balance'!$C$5:$C$40,Assumptions!$BB109,'TRA balance'!$D$5:$D$40,Assumptions!$BC109)),"")</f>
        <v>0</v>
      </c>
      <c r="CO109" s="41">
        <f>IFERROR(ABS(SUMIFS('TRA balance'!AP$5:AP$40,'TRA balance'!$C$5:$C$40,Assumptions!$BB109,'TRA balance'!$D$5:$D$40,Assumptions!$BC109)),"")</f>
        <v>0</v>
      </c>
      <c r="CP109" s="41">
        <f>IFERROR(ABS(SUMIFS('TRA balance'!AQ$5:AQ$40,'TRA balance'!$C$5:$C$40,Assumptions!$BB109,'TRA balance'!$D$5:$D$40,Assumptions!$BC109)),"")</f>
        <v>0</v>
      </c>
      <c r="CQ109" s="41">
        <f>IFERROR(ABS(SUMIFS('TRA balance'!AR$5:AR$40,'TRA balance'!$C$5:$C$40,Assumptions!$BB109,'TRA balance'!$D$5:$D$40,Assumptions!$BC109)),"")</f>
        <v>0</v>
      </c>
      <c r="CR109" s="41">
        <f>IFERROR(ABS(SUMIFS('TRA balance'!AS$5:AS$40,'TRA balance'!$C$5:$C$40,Assumptions!$BB109,'TRA balance'!$D$5:$D$40,Assumptions!$BC109)),"")</f>
        <v>0</v>
      </c>
      <c r="CS109" s="41">
        <f>IFERROR(ABS(SUMIFS('TRA balance'!AT$5:AT$40,'TRA balance'!$C$5:$C$40,Assumptions!$BB109,'TRA balance'!$D$5:$D$40,Assumptions!$BC109)),"")</f>
        <v>0</v>
      </c>
      <c r="CT109" s="41">
        <f>IFERROR(ABS(SUMIFS('TRA balance'!AU$5:AU$40,'TRA balance'!$C$5:$C$40,Assumptions!$BB109,'TRA balance'!$D$5:$D$40,Assumptions!$BC109)),"")</f>
        <v>0</v>
      </c>
      <c r="CU109" s="41">
        <f>IFERROR(ABS(SUMIFS('TRA balance'!AV$5:AV$40,'TRA balance'!$C$5:$C$40,Assumptions!$BB109,'TRA balance'!$D$5:$D$40,Assumptions!$BC109)),"")</f>
        <v>0</v>
      </c>
      <c r="CV109" s="41">
        <f>IFERROR(ABS(SUMIFS('TRA balance'!AW$5:AW$40,'TRA balance'!$C$5:$C$40,Assumptions!$BB109,'TRA balance'!$D$5:$D$40,Assumptions!$BC109)),"")</f>
        <v>0</v>
      </c>
      <c r="CW109" s="41">
        <f>IFERROR(ABS(SUMIFS('TRA balance'!AX$5:AX$40,'TRA balance'!$C$5:$C$40,Assumptions!$BB109,'TRA balance'!$D$5:$D$40,Assumptions!$BC109)),"")</f>
        <v>0</v>
      </c>
      <c r="CX109" s="39"/>
      <c r="CY109" s="39"/>
      <c r="CZ109" s="39"/>
      <c r="DA109" s="39"/>
      <c r="DB109" s="39"/>
      <c r="DC109" s="39"/>
      <c r="DD109" s="39"/>
      <c r="DE109" s="39"/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</row>
    <row r="110" spans="1:148">
      <c r="C110" t="str">
        <f t="shared" si="151"/>
        <v>ETH</v>
      </c>
      <c r="D110" t="str">
        <f t="shared" si="150"/>
        <v>TRB</v>
      </c>
      <c r="E110" t="s">
        <v>240</v>
      </c>
      <c r="F110" s="3">
        <v>0.072</v>
      </c>
      <c r="G110" s="3">
        <v>0.081</v>
      </c>
      <c r="H110" s="3">
        <v>0.081</v>
      </c>
      <c r="I110" s="3">
        <v>0.081</v>
      </c>
      <c r="J110" s="3">
        <v>0.081</v>
      </c>
      <c r="K110" s="3">
        <v>0.081</v>
      </c>
      <c r="L110" s="3">
        <v>0.081</v>
      </c>
      <c r="M110" s="3">
        <v>0.081</v>
      </c>
      <c r="N110" s="3">
        <v>0.081</v>
      </c>
      <c r="O110" s="3">
        <v>0.081</v>
      </c>
      <c r="P110" s="3">
        <v>0.081</v>
      </c>
      <c r="Q110" s="3">
        <v>0.081</v>
      </c>
      <c r="R110" s="3">
        <v>0.081</v>
      </c>
      <c r="S110" s="3">
        <v>0.081</v>
      </c>
      <c r="T110" s="3">
        <v>0.081</v>
      </c>
      <c r="U110" s="3">
        <v>0.081</v>
      </c>
      <c r="V110" s="3">
        <v>0.081</v>
      </c>
      <c r="W110" s="3">
        <v>0.081</v>
      </c>
      <c r="X110" s="3">
        <v>0.081</v>
      </c>
      <c r="Y110" s="3">
        <v>0.081</v>
      </c>
      <c r="Z110" s="3">
        <v>0.081</v>
      </c>
      <c r="AA110" s="3">
        <v>0.081</v>
      </c>
      <c r="AB110" s="3">
        <v>0.081</v>
      </c>
      <c r="AC110" s="3">
        <v>0.081</v>
      </c>
      <c r="AD110" s="3">
        <v>0.081</v>
      </c>
      <c r="AE110" s="3">
        <v>0.081</v>
      </c>
      <c r="AF110" s="3">
        <v>0.081</v>
      </c>
      <c r="AG110" s="3">
        <v>0.081</v>
      </c>
      <c r="AH110" s="3">
        <v>0.081</v>
      </c>
      <c r="AI110" s="3">
        <v>0.081</v>
      </c>
      <c r="AJ110" s="3">
        <v>0.081</v>
      </c>
      <c r="AK110" s="3">
        <v>0.081</v>
      </c>
      <c r="AL110" s="3">
        <v>0.081</v>
      </c>
      <c r="AM110" s="3">
        <v>0.081</v>
      </c>
      <c r="AN110" s="3">
        <v>0.081</v>
      </c>
      <c r="AO110" s="3">
        <v>0.081</v>
      </c>
      <c r="AP110" s="3">
        <v>0.081</v>
      </c>
      <c r="AQ110" s="3">
        <v>0.081</v>
      </c>
      <c r="AR110" s="3">
        <v>0.081</v>
      </c>
      <c r="AS110" s="3">
        <v>0.081</v>
      </c>
      <c r="AT110" s="3">
        <v>0.081</v>
      </c>
      <c r="AU110" s="3">
        <v>0.081</v>
      </c>
      <c r="AV110" s="3">
        <v>0.081</v>
      </c>
      <c r="AW110" s="3">
        <v>0.081</v>
      </c>
      <c r="AX110" s="3">
        <v>0.081</v>
      </c>
      <c r="AY110" s="3">
        <v>0.081</v>
      </c>
      <c r="AZ110" s="3">
        <v>0.081</v>
      </c>
      <c r="BA110" s="3">
        <v>0.081</v>
      </c>
      <c r="BB110" s="39" t="s">
        <v>62</v>
      </c>
      <c r="BC110" s="39" t="s">
        <v>60</v>
      </c>
      <c r="BD110" s="41">
        <f>IFERROR(ABS(SUMIFS('TRA balance'!E$5:E$40,'TRA balance'!$C$5:$C$40,Assumptions!$BB110,'TRA balance'!$D$5:$D$40,Assumptions!$BC110)),"")</f>
        <v>0</v>
      </c>
      <c r="BE110" s="41">
        <f>IFERROR(ABS(SUMIFS('TRA balance'!F$5:F$40,'TRA balance'!$C$5:$C$40,Assumptions!$BB110,'TRA balance'!$D$5:$D$40,Assumptions!$BC110)),"")</f>
        <v>0.046243206</v>
      </c>
      <c r="BF110" s="41">
        <f>IFERROR(ABS(SUMIFS('TRA balance'!G$5:G$40,'TRA balance'!$C$5:$C$40,Assumptions!$BB110,'TRA balance'!$D$5:$D$40,Assumptions!$BC110)),"")</f>
        <v>0</v>
      </c>
      <c r="BG110" s="41">
        <f>IFERROR(ABS(SUMIFS('TRA balance'!H$5:H$40,'TRA balance'!$C$5:$C$40,Assumptions!$BB110,'TRA balance'!$D$5:$D$40,Assumptions!$BC110)),"")</f>
        <v>0</v>
      </c>
      <c r="BH110" s="41">
        <f>IFERROR(ABS(SUMIFS('TRA balance'!I$5:I$40,'TRA balance'!$C$5:$C$40,Assumptions!$BB110,'TRA balance'!$D$5:$D$40,Assumptions!$BC110)),"")</f>
        <v>0</v>
      </c>
      <c r="BI110" s="41">
        <f>IFERROR(ABS(SUMIFS('TRA balance'!J$5:J$40,'TRA balance'!$C$5:$C$40,Assumptions!$BB110,'TRA balance'!$D$5:$D$40,Assumptions!$BC110)),"")</f>
        <v>0</v>
      </c>
      <c r="BJ110" s="41">
        <f>IFERROR(ABS(SUMIFS('TRA balance'!K$5:K$40,'TRA balance'!$C$5:$C$40,Assumptions!$BB110,'TRA balance'!$D$5:$D$40,Assumptions!$BC110)),"")</f>
        <v>0</v>
      </c>
      <c r="BK110" s="41">
        <f>IFERROR(ABS(SUMIFS('TRA balance'!L$5:L$40,'TRA balance'!$C$5:$C$40,Assumptions!$BB110,'TRA balance'!$D$5:$D$40,Assumptions!$BC110)),"")</f>
        <v>0</v>
      </c>
      <c r="BL110" s="41">
        <f>IFERROR(ABS(SUMIFS('TRA balance'!M$5:M$40,'TRA balance'!$C$5:$C$40,Assumptions!$BB110,'TRA balance'!$D$5:$D$40,Assumptions!$BC110)),"")</f>
        <v>0</v>
      </c>
      <c r="BM110" s="41">
        <f>IFERROR(ABS(SUMIFS('TRA balance'!N$5:N$40,'TRA balance'!$C$5:$C$40,Assumptions!$BB110,'TRA balance'!$D$5:$D$40,Assumptions!$BC110)),"")</f>
        <v>0</v>
      </c>
      <c r="BN110" s="41">
        <f>IFERROR(ABS(SUMIFS('TRA balance'!O$5:O$40,'TRA balance'!$C$5:$C$40,Assumptions!$BB110,'TRA balance'!$D$5:$D$40,Assumptions!$BC110)),"")</f>
        <v>0</v>
      </c>
      <c r="BO110" s="41">
        <f>IFERROR(ABS(SUMIFS('TRA balance'!P$5:P$40,'TRA balance'!$C$5:$C$40,Assumptions!$BB110,'TRA balance'!$D$5:$D$40,Assumptions!$BC110)),"")</f>
        <v>0</v>
      </c>
      <c r="BP110" s="41">
        <f>IFERROR(ABS(SUMIFS('TRA balance'!Q$5:Q$40,'TRA balance'!$C$5:$C$40,Assumptions!$BB110,'TRA balance'!$D$5:$D$40,Assumptions!$BC110)),"")</f>
        <v>0</v>
      </c>
      <c r="BQ110" s="41">
        <f>IFERROR(ABS(SUMIFS('TRA balance'!R$5:R$40,'TRA balance'!$C$5:$C$40,Assumptions!$BB110,'TRA balance'!$D$5:$D$40,Assumptions!$BC110)),"")</f>
        <v>0</v>
      </c>
      <c r="BR110" s="41">
        <f>IFERROR(ABS(SUMIFS('TRA balance'!S$5:S$40,'TRA balance'!$C$5:$C$40,Assumptions!$BB110,'TRA balance'!$D$5:$D$40,Assumptions!$BC110)),"")</f>
        <v>0</v>
      </c>
      <c r="BS110" s="41">
        <f>IFERROR(ABS(SUMIFS('TRA balance'!T$5:T$40,'TRA balance'!$C$5:$C$40,Assumptions!$BB110,'TRA balance'!$D$5:$D$40,Assumptions!$BC110)),"")</f>
        <v>0</v>
      </c>
      <c r="BT110" s="41">
        <f>IFERROR(ABS(SUMIFS('TRA balance'!U$5:U$40,'TRA balance'!$C$5:$C$40,Assumptions!$BB110,'TRA balance'!$D$5:$D$40,Assumptions!$BC110)),"")</f>
        <v>0</v>
      </c>
      <c r="BU110" s="41">
        <f>IFERROR(ABS(SUMIFS('TRA balance'!V$5:V$40,'TRA balance'!$C$5:$C$40,Assumptions!$BB110,'TRA balance'!$D$5:$D$40,Assumptions!$BC110)),"")</f>
        <v>0</v>
      </c>
      <c r="BV110" s="41">
        <f>IFERROR(ABS(SUMIFS('TRA balance'!W$5:W$40,'TRA balance'!$C$5:$C$40,Assumptions!$BB110,'TRA balance'!$D$5:$D$40,Assumptions!$BC110)),"")</f>
        <v>0</v>
      </c>
      <c r="BW110" s="41">
        <f>IFERROR(ABS(SUMIFS('TRA balance'!X$5:X$40,'TRA balance'!$C$5:$C$40,Assumptions!$BB110,'TRA balance'!$D$5:$D$40,Assumptions!$BC110)),"")</f>
        <v>0.3086425224</v>
      </c>
      <c r="BX110" s="41">
        <f>IFERROR(ABS(SUMIFS('TRA balance'!Y$5:Y$40,'TRA balance'!$C$5:$C$40,Assumptions!$BB110,'TRA balance'!$D$5:$D$40,Assumptions!$BC110)),"")</f>
        <v>0</v>
      </c>
      <c r="BY110" s="41">
        <f>IFERROR(ABS(SUMIFS('TRA balance'!Z$5:Z$40,'TRA balance'!$C$5:$C$40,Assumptions!$BB110,'TRA balance'!$D$5:$D$40,Assumptions!$BC110)),"")</f>
        <v>0</v>
      </c>
      <c r="BZ110" s="41">
        <f>IFERROR(ABS(SUMIFS('TRA balance'!AA$5:AA$40,'TRA balance'!$C$5:$C$40,Assumptions!$BB110,'TRA balance'!$D$5:$D$40,Assumptions!$BC110)),"")</f>
        <v>0</v>
      </c>
      <c r="CA110" s="41">
        <f>IFERROR(ABS(SUMIFS('TRA balance'!AB$5:AB$40,'TRA balance'!$C$5:$C$40,Assumptions!$BB110,'TRA balance'!$D$5:$D$40,Assumptions!$BC110)),"")</f>
        <v>0</v>
      </c>
      <c r="CB110" s="41">
        <f>IFERROR(ABS(SUMIFS('TRA balance'!AC$5:AC$40,'TRA balance'!$C$5:$C$40,Assumptions!$BB110,'TRA balance'!$D$5:$D$40,Assumptions!$BC110)),"")</f>
        <v>0.0688142448</v>
      </c>
      <c r="CC110" s="41">
        <f>IFERROR(ABS(SUMIFS('TRA balance'!AD$5:AD$40,'TRA balance'!$C$5:$C$40,Assumptions!$BB110,'TRA balance'!$D$5:$D$40,Assumptions!$BC110)),"")</f>
        <v>0</v>
      </c>
      <c r="CD110" s="41">
        <f>IFERROR(ABS(SUMIFS('TRA balance'!AE$5:AE$40,'TRA balance'!$C$5:$C$40,Assumptions!$BB110,'TRA balance'!$D$5:$D$40,Assumptions!$BC110)),"")</f>
        <v>0</v>
      </c>
      <c r="CE110" s="41">
        <f>IFERROR(ABS(SUMIFS('TRA balance'!AF$5:AF$40,'TRA balance'!$C$5:$C$40,Assumptions!$BB110,'TRA balance'!$D$5:$D$40,Assumptions!$BC110)),"")</f>
        <v>0.7461631224</v>
      </c>
      <c r="CF110" s="41">
        <f>IFERROR(ABS(SUMIFS('TRA balance'!AG$5:AG$40,'TRA balance'!$C$5:$C$40,Assumptions!$BB110,'TRA balance'!$D$5:$D$40,Assumptions!$BC110)),"")</f>
        <v>0</v>
      </c>
      <c r="CG110" s="41">
        <f>IFERROR(ABS(SUMIFS('TRA balance'!AH$5:AH$40,'TRA balance'!$C$5:$C$40,Assumptions!$BB110,'TRA balance'!$D$5:$D$40,Assumptions!$BC110)),"")</f>
        <v>0</v>
      </c>
      <c r="CH110" s="41">
        <f>IFERROR(ABS(SUMIFS('TRA balance'!AI$5:AI$40,'TRA balance'!$C$5:$C$40,Assumptions!$BB110,'TRA balance'!$D$5:$D$40,Assumptions!$BC110)),"")</f>
        <v>0</v>
      </c>
      <c r="CI110" s="41">
        <f>IFERROR(ABS(SUMIFS('TRA balance'!AJ$5:AJ$40,'TRA balance'!$C$5:$C$40,Assumptions!$BB110,'TRA balance'!$D$5:$D$40,Assumptions!$BC110)),"")</f>
        <v>0</v>
      </c>
      <c r="CJ110" s="41">
        <f>IFERROR(ABS(SUMIFS('TRA balance'!AK$5:AK$40,'TRA balance'!$C$5:$C$40,Assumptions!$BB110,'TRA balance'!$D$5:$D$40,Assumptions!$BC110)),"")</f>
        <v>0</v>
      </c>
      <c r="CK110" s="41">
        <f>IFERROR(ABS(SUMIFS('TRA balance'!AL$5:AL$40,'TRA balance'!$C$5:$C$40,Assumptions!$BB110,'TRA balance'!$D$5:$D$40,Assumptions!$BC110)),"")</f>
        <v>0</v>
      </c>
      <c r="CL110" s="41">
        <f>IFERROR(ABS(SUMIFS('TRA balance'!AM$5:AM$40,'TRA balance'!$C$5:$C$40,Assumptions!$BB110,'TRA balance'!$D$5:$D$40,Assumptions!$BC110)),"")</f>
        <v>0</v>
      </c>
      <c r="CM110" s="41">
        <f>IFERROR(ABS(SUMIFS('TRA balance'!AN$5:AN$40,'TRA balance'!$C$5:$C$40,Assumptions!$BB110,'TRA balance'!$D$5:$D$40,Assumptions!$BC110)),"")</f>
        <v>0</v>
      </c>
      <c r="CN110" s="41">
        <f>IFERROR(ABS(SUMIFS('TRA balance'!AO$5:AO$40,'TRA balance'!$C$5:$C$40,Assumptions!$BB110,'TRA balance'!$D$5:$D$40,Assumptions!$BC110)),"")</f>
        <v>0</v>
      </c>
      <c r="CO110" s="41">
        <f>IFERROR(ABS(SUMIFS('TRA balance'!AP$5:AP$40,'TRA balance'!$C$5:$C$40,Assumptions!$BB110,'TRA balance'!$D$5:$D$40,Assumptions!$BC110)),"")</f>
        <v>0</v>
      </c>
      <c r="CP110" s="41">
        <f>IFERROR(ABS(SUMIFS('TRA balance'!AQ$5:AQ$40,'TRA balance'!$C$5:$C$40,Assumptions!$BB110,'TRA balance'!$D$5:$D$40,Assumptions!$BC110)),"")</f>
        <v>0</v>
      </c>
      <c r="CQ110" s="41">
        <f>IFERROR(ABS(SUMIFS('TRA balance'!AR$5:AR$40,'TRA balance'!$C$5:$C$40,Assumptions!$BB110,'TRA balance'!$D$5:$D$40,Assumptions!$BC110)),"")</f>
        <v>0</v>
      </c>
      <c r="CR110" s="41">
        <f>IFERROR(ABS(SUMIFS('TRA balance'!AS$5:AS$40,'TRA balance'!$C$5:$C$40,Assumptions!$BB110,'TRA balance'!$D$5:$D$40,Assumptions!$BC110)),"")</f>
        <v>0</v>
      </c>
      <c r="CS110" s="41">
        <f>IFERROR(ABS(SUMIFS('TRA balance'!AT$5:AT$40,'TRA balance'!$C$5:$C$40,Assumptions!$BB110,'TRA balance'!$D$5:$D$40,Assumptions!$BC110)),"")</f>
        <v>0</v>
      </c>
      <c r="CT110" s="41">
        <f>IFERROR(ABS(SUMIFS('TRA balance'!AU$5:AU$40,'TRA balance'!$C$5:$C$40,Assumptions!$BB110,'TRA balance'!$D$5:$D$40,Assumptions!$BC110)),"")</f>
        <v>0</v>
      </c>
      <c r="CU110" s="41">
        <f>IFERROR(ABS(SUMIFS('TRA balance'!AV$5:AV$40,'TRA balance'!$C$5:$C$40,Assumptions!$BB110,'TRA balance'!$D$5:$D$40,Assumptions!$BC110)),"")</f>
        <v>0</v>
      </c>
      <c r="CV110" s="41">
        <f>IFERROR(ABS(SUMIFS('TRA balance'!AW$5:AW$40,'TRA balance'!$C$5:$C$40,Assumptions!$BB110,'TRA balance'!$D$5:$D$40,Assumptions!$BC110)),"")</f>
        <v>0</v>
      </c>
      <c r="CW110" s="41">
        <f>IFERROR(ABS(SUMIFS('TRA balance'!AX$5:AX$40,'TRA balance'!$C$5:$C$40,Assumptions!$BB110,'TRA balance'!$D$5:$D$40,Assumptions!$BC110)),"")</f>
        <v>0</v>
      </c>
      <c r="CX110" s="39"/>
    </row>
    <row r="111" spans="1:148">
      <c r="C111" t="str">
        <f t="shared" si="151"/>
        <v>GAS</v>
      </c>
      <c r="D111" t="str">
        <f t="shared" si="150"/>
        <v>TRB</v>
      </c>
      <c r="E111" t="s">
        <v>241</v>
      </c>
      <c r="F111" s="3">
        <v>0.08</v>
      </c>
      <c r="G111" s="3">
        <v>0.09</v>
      </c>
      <c r="H111" s="3">
        <v>0.09</v>
      </c>
      <c r="I111" s="3">
        <v>0.09</v>
      </c>
      <c r="J111" s="3">
        <v>0.09</v>
      </c>
      <c r="K111" s="3">
        <v>0.09</v>
      </c>
      <c r="L111" s="3">
        <v>0.09</v>
      </c>
      <c r="M111" s="3">
        <v>0.09</v>
      </c>
      <c r="N111" s="3">
        <v>0.09</v>
      </c>
      <c r="O111" s="3">
        <v>0.09</v>
      </c>
      <c r="P111" s="3">
        <v>0.09</v>
      </c>
      <c r="Q111" s="3">
        <v>0.09</v>
      </c>
      <c r="R111" s="3">
        <v>0.09</v>
      </c>
      <c r="S111" s="3">
        <v>0.09</v>
      </c>
      <c r="T111" s="3">
        <v>0.09</v>
      </c>
      <c r="U111" s="3">
        <v>0.09</v>
      </c>
      <c r="V111" s="3">
        <v>0.09</v>
      </c>
      <c r="W111" s="3">
        <v>0.09</v>
      </c>
      <c r="X111" s="3">
        <v>0.09</v>
      </c>
      <c r="Y111" s="3">
        <v>0.09</v>
      </c>
      <c r="Z111" s="3">
        <v>0.09</v>
      </c>
      <c r="AA111" s="3">
        <v>0.09</v>
      </c>
      <c r="AB111" s="3">
        <v>0.09</v>
      </c>
      <c r="AC111" s="3">
        <v>0.09</v>
      </c>
      <c r="AD111" s="3">
        <v>0.09</v>
      </c>
      <c r="AE111" s="3">
        <v>0.09</v>
      </c>
      <c r="AF111" s="3">
        <v>0.09</v>
      </c>
      <c r="AG111" s="3">
        <v>0.09</v>
      </c>
      <c r="AH111" s="3">
        <v>0.09</v>
      </c>
      <c r="AI111" s="3">
        <v>0.09</v>
      </c>
      <c r="AJ111" s="3">
        <v>0.09</v>
      </c>
      <c r="AK111" s="3">
        <v>0.09</v>
      </c>
      <c r="AL111" s="3">
        <v>0.09</v>
      </c>
      <c r="AM111" s="3">
        <v>0.09</v>
      </c>
      <c r="AN111" s="3">
        <v>0.09</v>
      </c>
      <c r="AO111" s="3">
        <v>0.09</v>
      </c>
      <c r="AP111" s="3">
        <v>0.09</v>
      </c>
      <c r="AQ111" s="3">
        <v>0.09</v>
      </c>
      <c r="AR111" s="3">
        <v>0.09</v>
      </c>
      <c r="AS111" s="3">
        <v>0.09</v>
      </c>
      <c r="AT111" s="3">
        <v>0.09</v>
      </c>
      <c r="AU111" s="3">
        <v>0.09</v>
      </c>
      <c r="AV111" s="3">
        <v>0.09</v>
      </c>
      <c r="AW111" s="3">
        <v>0.09</v>
      </c>
      <c r="AX111" s="3">
        <v>0.09</v>
      </c>
      <c r="AY111" s="3">
        <v>0.09</v>
      </c>
      <c r="AZ111" s="3">
        <v>0.09</v>
      </c>
      <c r="BA111" s="3">
        <v>0.09</v>
      </c>
      <c r="BB111" s="39" t="s">
        <v>62</v>
      </c>
      <c r="BC111" s="39" t="s">
        <v>66</v>
      </c>
      <c r="BD111" s="41">
        <f>IFERROR(ABS(SUMIFS('TRA balance'!E$5:E$40,'TRA balance'!$C$5:$C$40,Assumptions!$BB111,'TRA balance'!$D$5:$D$40,Assumptions!$BC111)),"")</f>
        <v>0</v>
      </c>
      <c r="BE111" s="41">
        <f>IFERROR(ABS(SUMIFS('TRA balance'!F$5:F$40,'TRA balance'!$C$5:$C$40,Assumptions!$BB111,'TRA balance'!$D$5:$D$40,Assumptions!$BC111)),"")</f>
        <v>0</v>
      </c>
      <c r="BF111" s="41">
        <f>IFERROR(ABS(SUMIFS('TRA balance'!G$5:G$40,'TRA balance'!$C$5:$C$40,Assumptions!$BB111,'TRA balance'!$D$5:$D$40,Assumptions!$BC111)),"")</f>
        <v>0</v>
      </c>
      <c r="BG111" s="41">
        <f>IFERROR(ABS(SUMIFS('TRA balance'!H$5:H$40,'TRA balance'!$C$5:$C$40,Assumptions!$BB111,'TRA balance'!$D$5:$D$40,Assumptions!$BC111)),"")</f>
        <v>0</v>
      </c>
      <c r="BH111" s="41">
        <f>IFERROR(ABS(SUMIFS('TRA balance'!I$5:I$40,'TRA balance'!$C$5:$C$40,Assumptions!$BB111,'TRA balance'!$D$5:$D$40,Assumptions!$BC111)),"")</f>
        <v>0</v>
      </c>
      <c r="BI111" s="41">
        <f>IFERROR(ABS(SUMIFS('TRA balance'!J$5:J$40,'TRA balance'!$C$5:$C$40,Assumptions!$BB111,'TRA balance'!$D$5:$D$40,Assumptions!$BC111)),"")</f>
        <v>0</v>
      </c>
      <c r="BJ111" s="41">
        <f>IFERROR(ABS(SUMIFS('TRA balance'!K$5:K$40,'TRA balance'!$C$5:$C$40,Assumptions!$BB111,'TRA balance'!$D$5:$D$40,Assumptions!$BC111)),"")</f>
        <v>0</v>
      </c>
      <c r="BK111" s="41">
        <f>IFERROR(ABS(SUMIFS('TRA balance'!L$5:L$40,'TRA balance'!$C$5:$C$40,Assumptions!$BB111,'TRA balance'!$D$5:$D$40,Assumptions!$BC111)),"")</f>
        <v>0</v>
      </c>
      <c r="BL111" s="41">
        <f>IFERROR(ABS(SUMIFS('TRA balance'!M$5:M$40,'TRA balance'!$C$5:$C$40,Assumptions!$BB111,'TRA balance'!$D$5:$D$40,Assumptions!$BC111)),"")</f>
        <v>0</v>
      </c>
      <c r="BM111" s="41">
        <f>IFERROR(ABS(SUMIFS('TRA balance'!N$5:N$40,'TRA balance'!$C$5:$C$40,Assumptions!$BB111,'TRA balance'!$D$5:$D$40,Assumptions!$BC111)),"")</f>
        <v>0</v>
      </c>
      <c r="BN111" s="41">
        <f>IFERROR(ABS(SUMIFS('TRA balance'!O$5:O$40,'TRA balance'!$C$5:$C$40,Assumptions!$BB111,'TRA balance'!$D$5:$D$40,Assumptions!$BC111)),"")</f>
        <v>0</v>
      </c>
      <c r="BO111" s="41">
        <f>IFERROR(ABS(SUMIFS('TRA balance'!P$5:P$40,'TRA balance'!$C$5:$C$40,Assumptions!$BB111,'TRA balance'!$D$5:$D$40,Assumptions!$BC111)),"")</f>
        <v>0</v>
      </c>
      <c r="BP111" s="41">
        <f>IFERROR(ABS(SUMIFS('TRA balance'!Q$5:Q$40,'TRA balance'!$C$5:$C$40,Assumptions!$BB111,'TRA balance'!$D$5:$D$40,Assumptions!$BC111)),"")</f>
        <v>0</v>
      </c>
      <c r="BQ111" s="41">
        <f>IFERROR(ABS(SUMIFS('TRA balance'!R$5:R$40,'TRA balance'!$C$5:$C$40,Assumptions!$BB111,'TRA balance'!$D$5:$D$40,Assumptions!$BC111)),"")</f>
        <v>0</v>
      </c>
      <c r="BR111" s="41">
        <f>IFERROR(ABS(SUMIFS('TRA balance'!S$5:S$40,'TRA balance'!$C$5:$C$40,Assumptions!$BB111,'TRA balance'!$D$5:$D$40,Assumptions!$BC111)),"")</f>
        <v>0</v>
      </c>
      <c r="BS111" s="41">
        <f>IFERROR(ABS(SUMIFS('TRA balance'!T$5:T$40,'TRA balance'!$C$5:$C$40,Assumptions!$BB111,'TRA balance'!$D$5:$D$40,Assumptions!$BC111)),"")</f>
        <v>0</v>
      </c>
      <c r="BT111" s="41">
        <f>IFERROR(ABS(SUMIFS('TRA balance'!U$5:U$40,'TRA balance'!$C$5:$C$40,Assumptions!$BB111,'TRA balance'!$D$5:$D$40,Assumptions!$BC111)),"")</f>
        <v>0.0309320784</v>
      </c>
      <c r="BU111" s="41">
        <f>IFERROR(ABS(SUMIFS('TRA balance'!V$5:V$40,'TRA balance'!$C$5:$C$40,Assumptions!$BB111,'TRA balance'!$D$5:$D$40,Assumptions!$BC111)),"")</f>
        <v>0</v>
      </c>
      <c r="BV111" s="41">
        <f>IFERROR(ABS(SUMIFS('TRA balance'!W$5:W$40,'TRA balance'!$C$5:$C$40,Assumptions!$BB111,'TRA balance'!$D$5:$D$40,Assumptions!$BC111)),"")</f>
        <v>0</v>
      </c>
      <c r="BW111" s="41">
        <f>IFERROR(ABS(SUMIFS('TRA balance'!X$5:X$40,'TRA balance'!$C$5:$C$40,Assumptions!$BB111,'TRA balance'!$D$5:$D$40,Assumptions!$BC111)),"")</f>
        <v>0.690884802</v>
      </c>
      <c r="BX111" s="41">
        <f>IFERROR(ABS(SUMIFS('TRA balance'!Y$5:Y$40,'TRA balance'!$C$5:$C$40,Assumptions!$BB111,'TRA balance'!$D$5:$D$40,Assumptions!$BC111)),"")</f>
        <v>0</v>
      </c>
      <c r="BY111" s="41">
        <f>IFERROR(ABS(SUMIFS('TRA balance'!Z$5:Z$40,'TRA balance'!$C$5:$C$40,Assumptions!$BB111,'TRA balance'!$D$5:$D$40,Assumptions!$BC111)),"")</f>
        <v>0</v>
      </c>
      <c r="BZ111" s="41">
        <f>IFERROR(ABS(SUMIFS('TRA balance'!AA$5:AA$40,'TRA balance'!$C$5:$C$40,Assumptions!$BB111,'TRA balance'!$D$5:$D$40,Assumptions!$BC111)),"")</f>
        <v>0</v>
      </c>
      <c r="CA111" s="41">
        <f>IFERROR(ABS(SUMIFS('TRA balance'!AB$5:AB$40,'TRA balance'!$C$5:$C$40,Assumptions!$BB111,'TRA balance'!$D$5:$D$40,Assumptions!$BC111)),"")</f>
        <v>0</v>
      </c>
      <c r="CB111" s="41">
        <f>IFERROR(ABS(SUMIFS('TRA balance'!AC$5:AC$40,'TRA balance'!$C$5:$C$40,Assumptions!$BB111,'TRA balance'!$D$5:$D$40,Assumptions!$BC111)),"")</f>
        <v>0.008959752</v>
      </c>
      <c r="CC111" s="41">
        <f>IFERROR(ABS(SUMIFS('TRA balance'!AD$5:AD$40,'TRA balance'!$C$5:$C$40,Assumptions!$BB111,'TRA balance'!$D$5:$D$40,Assumptions!$BC111)),"")</f>
        <v>0</v>
      </c>
      <c r="CD111" s="41">
        <f>IFERROR(ABS(SUMIFS('TRA balance'!AE$5:AE$40,'TRA balance'!$C$5:$C$40,Assumptions!$BB111,'TRA balance'!$D$5:$D$40,Assumptions!$BC111)),"")</f>
        <v>0</v>
      </c>
      <c r="CE111" s="41">
        <f>IFERROR(ABS(SUMIFS('TRA balance'!AF$5:AF$40,'TRA balance'!$C$5:$C$40,Assumptions!$BB111,'TRA balance'!$D$5:$D$40,Assumptions!$BC111)),"")</f>
        <v>0</v>
      </c>
      <c r="CF111" s="41">
        <f>IFERROR(ABS(SUMIFS('TRA balance'!AG$5:AG$40,'TRA balance'!$C$5:$C$40,Assumptions!$BB111,'TRA balance'!$D$5:$D$40,Assumptions!$BC111)),"")</f>
        <v>0</v>
      </c>
      <c r="CG111" s="41">
        <f>IFERROR(ABS(SUMIFS('TRA balance'!AH$5:AH$40,'TRA balance'!$C$5:$C$40,Assumptions!$BB111,'TRA balance'!$D$5:$D$40,Assumptions!$BC111)),"")</f>
        <v>4.60548e-5</v>
      </c>
      <c r="CH111" s="41">
        <f>IFERROR(ABS(SUMIFS('TRA balance'!AI$5:AI$40,'TRA balance'!$C$5:$C$40,Assumptions!$BB111,'TRA balance'!$D$5:$D$40,Assumptions!$BC111)),"")</f>
        <v>0</v>
      </c>
      <c r="CI111" s="41">
        <f>IFERROR(ABS(SUMIFS('TRA balance'!AJ$5:AJ$40,'TRA balance'!$C$5:$C$40,Assumptions!$BB111,'TRA balance'!$D$5:$D$40,Assumptions!$BC111)),"")</f>
        <v>0</v>
      </c>
      <c r="CJ111" s="41">
        <f>IFERROR(ABS(SUMIFS('TRA balance'!AK$5:AK$40,'TRA balance'!$C$5:$C$40,Assumptions!$BB111,'TRA balance'!$D$5:$D$40,Assumptions!$BC111)),"")</f>
        <v>0</v>
      </c>
      <c r="CK111" s="41">
        <f>IFERROR(ABS(SUMIFS('TRA balance'!AL$5:AL$40,'TRA balance'!$C$5:$C$40,Assumptions!$BB111,'TRA balance'!$D$5:$D$40,Assumptions!$BC111)),"")</f>
        <v>0</v>
      </c>
      <c r="CL111" s="41">
        <f>IFERROR(ABS(SUMIFS('TRA balance'!AM$5:AM$40,'TRA balance'!$C$5:$C$40,Assumptions!$BB111,'TRA balance'!$D$5:$D$40,Assumptions!$BC111)),"")</f>
        <v>0</v>
      </c>
      <c r="CM111" s="41">
        <f>IFERROR(ABS(SUMIFS('TRA balance'!AN$5:AN$40,'TRA balance'!$C$5:$C$40,Assumptions!$BB111,'TRA balance'!$D$5:$D$40,Assumptions!$BC111)),"")</f>
        <v>0</v>
      </c>
      <c r="CN111" s="41">
        <f>IFERROR(ABS(SUMIFS('TRA balance'!AO$5:AO$40,'TRA balance'!$C$5:$C$40,Assumptions!$BB111,'TRA balance'!$D$5:$D$40,Assumptions!$BC111)),"")</f>
        <v>0</v>
      </c>
      <c r="CO111" s="41">
        <f>IFERROR(ABS(SUMIFS('TRA balance'!AP$5:AP$40,'TRA balance'!$C$5:$C$40,Assumptions!$BB111,'TRA balance'!$D$5:$D$40,Assumptions!$BC111)),"")</f>
        <v>0</v>
      </c>
      <c r="CP111" s="41">
        <f>IFERROR(ABS(SUMIFS('TRA balance'!AQ$5:AQ$40,'TRA balance'!$C$5:$C$40,Assumptions!$BB111,'TRA balance'!$D$5:$D$40,Assumptions!$BC111)),"")</f>
        <v>0</v>
      </c>
      <c r="CQ111" s="41">
        <f>IFERROR(ABS(SUMIFS('TRA balance'!AR$5:AR$40,'TRA balance'!$C$5:$C$40,Assumptions!$BB111,'TRA balance'!$D$5:$D$40,Assumptions!$BC111)),"")</f>
        <v>0</v>
      </c>
      <c r="CR111" s="41">
        <f>IFERROR(ABS(SUMIFS('TRA balance'!AS$5:AS$40,'TRA balance'!$C$5:$C$40,Assumptions!$BB111,'TRA balance'!$D$5:$D$40,Assumptions!$BC111)),"")</f>
        <v>0</v>
      </c>
      <c r="CS111" s="41">
        <f>IFERROR(ABS(SUMIFS('TRA balance'!AT$5:AT$40,'TRA balance'!$C$5:$C$40,Assumptions!$BB111,'TRA balance'!$D$5:$D$40,Assumptions!$BC111)),"")</f>
        <v>0</v>
      </c>
      <c r="CT111" s="41">
        <f>IFERROR(ABS(SUMIFS('TRA balance'!AU$5:AU$40,'TRA balance'!$C$5:$C$40,Assumptions!$BB111,'TRA balance'!$D$5:$D$40,Assumptions!$BC111)),"")</f>
        <v>0</v>
      </c>
      <c r="CU111" s="41">
        <f>IFERROR(ABS(SUMIFS('TRA balance'!AV$5:AV$40,'TRA balance'!$C$5:$C$40,Assumptions!$BB111,'TRA balance'!$D$5:$D$40,Assumptions!$BC111)),"")</f>
        <v>0</v>
      </c>
      <c r="CV111" s="41">
        <f>IFERROR(ABS(SUMIFS('TRA balance'!AW$5:AW$40,'TRA balance'!$C$5:$C$40,Assumptions!$BB111,'TRA balance'!$D$5:$D$40,Assumptions!$BC111)),"")</f>
        <v>0</v>
      </c>
      <c r="CW111" s="41">
        <f>IFERROR(ABS(SUMIFS('TRA balance'!AX$5:AX$40,'TRA balance'!$C$5:$C$40,Assumptions!$BB111,'TRA balance'!$D$5:$D$40,Assumptions!$BC111)),"")</f>
        <v>0</v>
      </c>
      <c r="CX111" s="39"/>
    </row>
    <row r="112" spans="1:148">
      <c r="C112" t="str">
        <f t="shared" si="151"/>
        <v>LPG</v>
      </c>
      <c r="D112" t="str">
        <f t="shared" si="150"/>
        <v>TRB</v>
      </c>
      <c r="E112" t="s">
        <v>242</v>
      </c>
      <c r="F112" s="3">
        <v>0.072</v>
      </c>
      <c r="G112" s="3">
        <v>0.081</v>
      </c>
      <c r="H112" s="3">
        <v>0.081</v>
      </c>
      <c r="I112" s="3">
        <v>0.081</v>
      </c>
      <c r="J112" s="3">
        <v>0.081</v>
      </c>
      <c r="K112" s="3">
        <v>0.081</v>
      </c>
      <c r="L112" s="3">
        <v>0.081</v>
      </c>
      <c r="M112" s="3">
        <v>0.081</v>
      </c>
      <c r="N112" s="3">
        <v>0.081</v>
      </c>
      <c r="O112" s="3">
        <v>0.081</v>
      </c>
      <c r="P112" s="3">
        <v>0.081</v>
      </c>
      <c r="Q112" s="3">
        <v>0.081</v>
      </c>
      <c r="R112" s="3">
        <v>0.081</v>
      </c>
      <c r="S112" s="3">
        <v>0.081</v>
      </c>
      <c r="T112" s="3">
        <v>0.081</v>
      </c>
      <c r="U112" s="3">
        <v>0.081</v>
      </c>
      <c r="V112" s="3">
        <v>0.081</v>
      </c>
      <c r="W112" s="3">
        <v>0.081</v>
      </c>
      <c r="X112" s="3">
        <v>0.081</v>
      </c>
      <c r="Y112" s="3">
        <v>0.081</v>
      </c>
      <c r="Z112" s="3">
        <v>0.081</v>
      </c>
      <c r="AA112" s="3">
        <v>0.081</v>
      </c>
      <c r="AB112" s="3">
        <v>0.081</v>
      </c>
      <c r="AC112" s="3">
        <v>0.081</v>
      </c>
      <c r="AD112" s="3">
        <v>0.081</v>
      </c>
      <c r="AE112" s="3">
        <v>0.081</v>
      </c>
      <c r="AF112" s="3">
        <v>0.081</v>
      </c>
      <c r="AG112" s="3">
        <v>0.081</v>
      </c>
      <c r="AH112" s="3">
        <v>0.081</v>
      </c>
      <c r="AI112" s="3">
        <v>0.081</v>
      </c>
      <c r="AJ112" s="3">
        <v>0.081</v>
      </c>
      <c r="AK112" s="3">
        <v>0.081</v>
      </c>
      <c r="AL112" s="3">
        <v>0.081</v>
      </c>
      <c r="AM112" s="3">
        <v>0.081</v>
      </c>
      <c r="AN112" s="3">
        <v>0.081</v>
      </c>
      <c r="AO112" s="3">
        <v>0.081</v>
      </c>
      <c r="AP112" s="3">
        <v>0.081</v>
      </c>
      <c r="AQ112" s="3">
        <v>0.081</v>
      </c>
      <c r="AR112" s="3">
        <v>0.081</v>
      </c>
      <c r="AS112" s="3">
        <v>0.081</v>
      </c>
      <c r="AT112" s="3">
        <v>0.081</v>
      </c>
      <c r="AU112" s="3">
        <v>0.081</v>
      </c>
      <c r="AV112" s="3">
        <v>0.081</v>
      </c>
      <c r="AW112" s="3">
        <v>0.081</v>
      </c>
      <c r="AX112" s="3">
        <v>0.081</v>
      </c>
      <c r="AY112" s="3">
        <v>0.081</v>
      </c>
      <c r="AZ112" s="3">
        <v>0.081</v>
      </c>
      <c r="BA112" s="3">
        <v>0.081</v>
      </c>
      <c r="BB112" s="39" t="s">
        <v>62</v>
      </c>
      <c r="BC112" s="39" t="s">
        <v>69</v>
      </c>
      <c r="BD112" s="41">
        <f>IFERROR(ABS(SUMIFS('TRA balance'!E$5:E$40,'TRA balance'!$C$5:$C$40,Assumptions!$BB112,'TRA balance'!$D$5:$D$40,Assumptions!$BC112)),"")</f>
        <v>0.0119993688</v>
      </c>
      <c r="BE112" s="41">
        <f>IFERROR(ABS(SUMIFS('TRA balance'!F$5:F$40,'TRA balance'!$C$5:$C$40,Assumptions!$BB112,'TRA balance'!$D$5:$D$40,Assumptions!$BC112)),"")</f>
        <v>0</v>
      </c>
      <c r="BF112" s="41">
        <f>IFERROR(ABS(SUMIFS('TRA balance'!G$5:G$40,'TRA balance'!$C$5:$C$40,Assumptions!$BB112,'TRA balance'!$D$5:$D$40,Assumptions!$BC112)),"")</f>
        <v>0</v>
      </c>
      <c r="BG112" s="41">
        <f>IFERROR(ABS(SUMIFS('TRA balance'!H$5:H$40,'TRA balance'!$C$5:$C$40,Assumptions!$BB112,'TRA balance'!$D$5:$D$40,Assumptions!$BC112)),"")</f>
        <v>0</v>
      </c>
      <c r="BH112" s="41">
        <f>IFERROR(ABS(SUMIFS('TRA balance'!I$5:I$40,'TRA balance'!$C$5:$C$40,Assumptions!$BB112,'TRA balance'!$D$5:$D$40,Assumptions!$BC112)),"")</f>
        <v>0</v>
      </c>
      <c r="BI112" s="41">
        <f>IFERROR(ABS(SUMIFS('TRA balance'!J$5:J$40,'TRA balance'!$C$5:$C$40,Assumptions!$BB112,'TRA balance'!$D$5:$D$40,Assumptions!$BC112)),"")</f>
        <v>0</v>
      </c>
      <c r="BJ112" s="41">
        <f>IFERROR(ABS(SUMIFS('TRA balance'!K$5:K$40,'TRA balance'!$C$5:$C$40,Assumptions!$BB112,'TRA balance'!$D$5:$D$40,Assumptions!$BC112)),"")</f>
        <v>0</v>
      </c>
      <c r="BK112" s="41">
        <f>IFERROR(ABS(SUMIFS('TRA balance'!L$5:L$40,'TRA balance'!$C$5:$C$40,Assumptions!$BB112,'TRA balance'!$D$5:$D$40,Assumptions!$BC112)),"")</f>
        <v>0</v>
      </c>
      <c r="BL112" s="41">
        <f>IFERROR(ABS(SUMIFS('TRA balance'!M$5:M$40,'TRA balance'!$C$5:$C$40,Assumptions!$BB112,'TRA balance'!$D$5:$D$40,Assumptions!$BC112)),"")</f>
        <v>0</v>
      </c>
      <c r="BM112" s="41">
        <f>IFERROR(ABS(SUMIFS('TRA balance'!N$5:N$40,'TRA balance'!$C$5:$C$40,Assumptions!$BB112,'TRA balance'!$D$5:$D$40,Assumptions!$BC112)),"")</f>
        <v>0</v>
      </c>
      <c r="BN112" s="41">
        <f>IFERROR(ABS(SUMIFS('TRA balance'!O$5:O$40,'TRA balance'!$C$5:$C$40,Assumptions!$BB112,'TRA balance'!$D$5:$D$40,Assumptions!$BC112)),"")</f>
        <v>0</v>
      </c>
      <c r="BO112" s="41">
        <f>IFERROR(ABS(SUMIFS('TRA balance'!P$5:P$40,'TRA balance'!$C$5:$C$40,Assumptions!$BB112,'TRA balance'!$D$5:$D$40,Assumptions!$BC112)),"")</f>
        <v>0</v>
      </c>
      <c r="BP112" s="41">
        <f>IFERROR(ABS(SUMIFS('TRA balance'!Q$5:Q$40,'TRA balance'!$C$5:$C$40,Assumptions!$BB112,'TRA balance'!$D$5:$D$40,Assumptions!$BC112)),"")</f>
        <v>0</v>
      </c>
      <c r="BQ112" s="41">
        <f>IFERROR(ABS(SUMIFS('TRA balance'!R$5:R$40,'TRA balance'!$C$5:$C$40,Assumptions!$BB112,'TRA balance'!$D$5:$D$40,Assumptions!$BC112)),"")</f>
        <v>0</v>
      </c>
      <c r="BR112" s="41">
        <f>IFERROR(ABS(SUMIFS('TRA balance'!S$5:S$40,'TRA balance'!$C$5:$C$40,Assumptions!$BB112,'TRA balance'!$D$5:$D$40,Assumptions!$BC112)),"")</f>
        <v>0</v>
      </c>
      <c r="BS112" s="41">
        <f>IFERROR(ABS(SUMIFS('TRA balance'!T$5:T$40,'TRA balance'!$C$5:$C$40,Assumptions!$BB112,'TRA balance'!$D$5:$D$40,Assumptions!$BC112)),"")</f>
        <v>0</v>
      </c>
      <c r="BT112" s="41">
        <f>IFERROR(ABS(SUMIFS('TRA balance'!U$5:U$40,'TRA balance'!$C$5:$C$40,Assumptions!$BB112,'TRA balance'!$D$5:$D$40,Assumptions!$BC112)),"")</f>
        <v>0</v>
      </c>
      <c r="BU112" s="41">
        <f>IFERROR(ABS(SUMIFS('TRA balance'!V$5:V$40,'TRA balance'!$C$5:$C$40,Assumptions!$BB112,'TRA balance'!$D$5:$D$40,Assumptions!$BC112)),"")</f>
        <v>0</v>
      </c>
      <c r="BV112" s="41">
        <f>IFERROR(ABS(SUMIFS('TRA balance'!W$5:W$40,'TRA balance'!$C$5:$C$40,Assumptions!$BB112,'TRA balance'!$D$5:$D$40,Assumptions!$BC112)),"")</f>
        <v>0</v>
      </c>
      <c r="BW112" s="41">
        <f>IFERROR(ABS(SUMIFS('TRA balance'!X$5:X$40,'TRA balance'!$C$5:$C$40,Assumptions!$BB112,'TRA balance'!$D$5:$D$40,Assumptions!$BC112)),"")</f>
        <v>0</v>
      </c>
      <c r="BX112" s="41">
        <f>IFERROR(ABS(SUMIFS('TRA balance'!Y$5:Y$40,'TRA balance'!$C$5:$C$40,Assumptions!$BB112,'TRA balance'!$D$5:$D$40,Assumptions!$BC112)),"")</f>
        <v>0</v>
      </c>
      <c r="BY112" s="41">
        <f>IFERROR(ABS(SUMIFS('TRA balance'!Z$5:Z$40,'TRA balance'!$C$5:$C$40,Assumptions!$BB112,'TRA balance'!$D$5:$D$40,Assumptions!$BC112)),"")</f>
        <v>0</v>
      </c>
      <c r="BZ112" s="41">
        <f>IFERROR(ABS(SUMIFS('TRA balance'!AA$5:AA$40,'TRA balance'!$C$5:$C$40,Assumptions!$BB112,'TRA balance'!$D$5:$D$40,Assumptions!$BC112)),"")</f>
        <v>0</v>
      </c>
      <c r="CA112" s="41">
        <f>IFERROR(ABS(SUMIFS('TRA balance'!AB$5:AB$40,'TRA balance'!$C$5:$C$40,Assumptions!$BB112,'TRA balance'!$D$5:$D$40,Assumptions!$BC112)),"")</f>
        <v>0</v>
      </c>
      <c r="CB112" s="41">
        <f>IFERROR(ABS(SUMIFS('TRA balance'!AC$5:AC$40,'TRA balance'!$C$5:$C$40,Assumptions!$BB112,'TRA balance'!$D$5:$D$40,Assumptions!$BC112)),"")</f>
        <v>0.0005945256</v>
      </c>
      <c r="CC112" s="41">
        <f>IFERROR(ABS(SUMIFS('TRA balance'!AD$5:AD$40,'TRA balance'!$C$5:$C$40,Assumptions!$BB112,'TRA balance'!$D$5:$D$40,Assumptions!$BC112)),"")</f>
        <v>0</v>
      </c>
      <c r="CD112" s="41">
        <f>IFERROR(ABS(SUMIFS('TRA balance'!AE$5:AE$40,'TRA balance'!$C$5:$C$40,Assumptions!$BB112,'TRA balance'!$D$5:$D$40,Assumptions!$BC112)),"")</f>
        <v>0</v>
      </c>
      <c r="CE112" s="41">
        <f>IFERROR(ABS(SUMIFS('TRA balance'!AF$5:AF$40,'TRA balance'!$C$5:$C$40,Assumptions!$BB112,'TRA balance'!$D$5:$D$40,Assumptions!$BC112)),"")</f>
        <v>0</v>
      </c>
      <c r="CF112" s="41">
        <f>IFERROR(ABS(SUMIFS('TRA balance'!AG$5:AG$40,'TRA balance'!$C$5:$C$40,Assumptions!$BB112,'TRA balance'!$D$5:$D$40,Assumptions!$BC112)),"")</f>
        <v>0</v>
      </c>
      <c r="CG112" s="41">
        <f>IFERROR(ABS(SUMIFS('TRA balance'!AH$5:AH$40,'TRA balance'!$C$5:$C$40,Assumptions!$BB112,'TRA balance'!$D$5:$D$40,Assumptions!$BC112)),"")</f>
        <v>0</v>
      </c>
      <c r="CH112" s="41">
        <f>IFERROR(ABS(SUMIFS('TRA balance'!AI$5:AI$40,'TRA balance'!$C$5:$C$40,Assumptions!$BB112,'TRA balance'!$D$5:$D$40,Assumptions!$BC112)),"")</f>
        <v>0</v>
      </c>
      <c r="CI112" s="41">
        <f>IFERROR(ABS(SUMIFS('TRA balance'!AJ$5:AJ$40,'TRA balance'!$C$5:$C$40,Assumptions!$BB112,'TRA balance'!$D$5:$D$40,Assumptions!$BC112)),"")</f>
        <v>0</v>
      </c>
      <c r="CJ112" s="41">
        <f>IFERROR(ABS(SUMIFS('TRA balance'!AK$5:AK$40,'TRA balance'!$C$5:$C$40,Assumptions!$BB112,'TRA balance'!$D$5:$D$40,Assumptions!$BC112)),"")</f>
        <v>0</v>
      </c>
      <c r="CK112" s="41">
        <f>IFERROR(ABS(SUMIFS('TRA balance'!AL$5:AL$40,'TRA balance'!$C$5:$C$40,Assumptions!$BB112,'TRA balance'!$D$5:$D$40,Assumptions!$BC112)),"")</f>
        <v>7.6400014644</v>
      </c>
      <c r="CL112" s="41">
        <f>IFERROR(ABS(SUMIFS('TRA balance'!AM$5:AM$40,'TRA balance'!$C$5:$C$40,Assumptions!$BB112,'TRA balance'!$D$5:$D$40,Assumptions!$BC112)),"")</f>
        <v>0</v>
      </c>
      <c r="CM112" s="41">
        <f>IFERROR(ABS(SUMIFS('TRA balance'!AN$5:AN$40,'TRA balance'!$C$5:$C$40,Assumptions!$BB112,'TRA balance'!$D$5:$D$40,Assumptions!$BC112)),"")</f>
        <v>0</v>
      </c>
      <c r="CN112" s="41">
        <f>IFERROR(ABS(SUMIFS('TRA balance'!AO$5:AO$40,'TRA balance'!$C$5:$C$40,Assumptions!$BB112,'TRA balance'!$D$5:$D$40,Assumptions!$BC112)),"")</f>
        <v>0</v>
      </c>
      <c r="CO112" s="41">
        <f>IFERROR(ABS(SUMIFS('TRA balance'!AP$5:AP$40,'TRA balance'!$C$5:$C$40,Assumptions!$BB112,'TRA balance'!$D$5:$D$40,Assumptions!$BC112)),"")</f>
        <v>0</v>
      </c>
      <c r="CP112" s="41">
        <f>IFERROR(ABS(SUMIFS('TRA balance'!AQ$5:AQ$40,'TRA balance'!$C$5:$C$40,Assumptions!$BB112,'TRA balance'!$D$5:$D$40,Assumptions!$BC112)),"")</f>
        <v>0</v>
      </c>
      <c r="CQ112" s="41">
        <f>IFERROR(ABS(SUMIFS('TRA balance'!AR$5:AR$40,'TRA balance'!$C$5:$C$40,Assumptions!$BB112,'TRA balance'!$D$5:$D$40,Assumptions!$BC112)),"")</f>
        <v>0</v>
      </c>
      <c r="CR112" s="41">
        <f>IFERROR(ABS(SUMIFS('TRA balance'!AS$5:AS$40,'TRA balance'!$C$5:$C$40,Assumptions!$BB112,'TRA balance'!$D$5:$D$40,Assumptions!$BC112)),"")</f>
        <v>0</v>
      </c>
      <c r="CS112" s="41">
        <f>IFERROR(ABS(SUMIFS('TRA balance'!AT$5:AT$40,'TRA balance'!$C$5:$C$40,Assumptions!$BB112,'TRA balance'!$D$5:$D$40,Assumptions!$BC112)),"")</f>
        <v>0</v>
      </c>
      <c r="CT112" s="41">
        <f>IFERROR(ABS(SUMIFS('TRA balance'!AU$5:AU$40,'TRA balance'!$C$5:$C$40,Assumptions!$BB112,'TRA balance'!$D$5:$D$40,Assumptions!$BC112)),"")</f>
        <v>0</v>
      </c>
      <c r="CU112" s="41">
        <f>IFERROR(ABS(SUMIFS('TRA balance'!AV$5:AV$40,'TRA balance'!$C$5:$C$40,Assumptions!$BB112,'TRA balance'!$D$5:$D$40,Assumptions!$BC112)),"")</f>
        <v>0</v>
      </c>
      <c r="CV112" s="41">
        <f>IFERROR(ABS(SUMIFS('TRA balance'!AW$5:AW$40,'TRA balance'!$C$5:$C$40,Assumptions!$BB112,'TRA balance'!$D$5:$D$40,Assumptions!$BC112)),"")</f>
        <v>0</v>
      </c>
      <c r="CW112" s="41">
        <f>IFERROR(ABS(SUMIFS('TRA balance'!AX$5:AX$40,'TRA balance'!$C$5:$C$40,Assumptions!$BB112,'TRA balance'!$D$5:$D$40,Assumptions!$BC112)),"")</f>
        <v>0</v>
      </c>
      <c r="CX112" s="39"/>
    </row>
    <row r="113" spans="3:102">
      <c r="C113" t="str">
        <f t="shared" si="151"/>
        <v>MET</v>
      </c>
      <c r="D113" t="str">
        <f t="shared" si="150"/>
        <v>TRB</v>
      </c>
      <c r="E113" t="s">
        <v>243</v>
      </c>
      <c r="F113" s="3">
        <v>0.072</v>
      </c>
      <c r="G113" s="3">
        <v>0.081</v>
      </c>
      <c r="H113" s="3">
        <v>0.081</v>
      </c>
      <c r="I113" s="3">
        <v>0.081</v>
      </c>
      <c r="J113" s="3">
        <v>0.081</v>
      </c>
      <c r="K113" s="3">
        <v>0.081</v>
      </c>
      <c r="L113" s="3">
        <v>0.081</v>
      </c>
      <c r="M113" s="3">
        <v>0.081</v>
      </c>
      <c r="N113" s="3">
        <v>0.081</v>
      </c>
      <c r="O113" s="3">
        <v>0.081</v>
      </c>
      <c r="P113" s="3">
        <v>0.081</v>
      </c>
      <c r="Q113" s="3">
        <v>0.081</v>
      </c>
      <c r="R113" s="3">
        <v>0.081</v>
      </c>
      <c r="S113" s="3">
        <v>0.081</v>
      </c>
      <c r="T113" s="3">
        <v>0.081</v>
      </c>
      <c r="U113" s="3">
        <v>0.081</v>
      </c>
      <c r="V113" s="3">
        <v>0.081</v>
      </c>
      <c r="W113" s="3">
        <v>0.081</v>
      </c>
      <c r="X113" s="3">
        <v>0.081</v>
      </c>
      <c r="Y113" s="3">
        <v>0.081</v>
      </c>
      <c r="Z113" s="3">
        <v>0.081</v>
      </c>
      <c r="AA113" s="3">
        <v>0.081</v>
      </c>
      <c r="AB113" s="3">
        <v>0.081</v>
      </c>
      <c r="AC113" s="3">
        <v>0.081</v>
      </c>
      <c r="AD113" s="3">
        <v>0.081</v>
      </c>
      <c r="AE113" s="3">
        <v>0.081</v>
      </c>
      <c r="AF113" s="3">
        <v>0.081</v>
      </c>
      <c r="AG113" s="3">
        <v>0.081</v>
      </c>
      <c r="AH113" s="3">
        <v>0.081</v>
      </c>
      <c r="AI113" s="3">
        <v>0.081</v>
      </c>
      <c r="AJ113" s="3">
        <v>0.081</v>
      </c>
      <c r="AK113" s="3">
        <v>0.081</v>
      </c>
      <c r="AL113" s="3">
        <v>0.081</v>
      </c>
      <c r="AM113" s="3">
        <v>0.081</v>
      </c>
      <c r="AN113" s="3">
        <v>0.081</v>
      </c>
      <c r="AO113" s="3">
        <v>0.081</v>
      </c>
      <c r="AP113" s="3">
        <v>0.081</v>
      </c>
      <c r="AQ113" s="3">
        <v>0.081</v>
      </c>
      <c r="AR113" s="3">
        <v>0.081</v>
      </c>
      <c r="AS113" s="3">
        <v>0.081</v>
      </c>
      <c r="AT113" s="3">
        <v>0.081</v>
      </c>
      <c r="AU113" s="3">
        <v>0.081</v>
      </c>
      <c r="AV113" s="3">
        <v>0.081</v>
      </c>
      <c r="AW113" s="3">
        <v>0.081</v>
      </c>
      <c r="AX113" s="3">
        <v>0.081</v>
      </c>
      <c r="AY113" s="3">
        <v>0.081</v>
      </c>
      <c r="AZ113" s="3">
        <v>0.081</v>
      </c>
      <c r="BA113" s="3">
        <v>0.081</v>
      </c>
      <c r="BB113" s="39" t="s">
        <v>62</v>
      </c>
      <c r="BC113" s="39" t="s">
        <v>72</v>
      </c>
      <c r="BD113" s="41">
        <f>IFERROR(ABS(SUMIFS('TRA balance'!E$5:E$40,'TRA balance'!$C$5:$C$40,Assumptions!$BB113,'TRA balance'!$D$5:$D$40,Assumptions!$BC113)),"")</f>
        <v>28.892667186</v>
      </c>
      <c r="BE113" s="41">
        <f>IFERROR(ABS(SUMIFS('TRA balance'!F$5:F$40,'TRA balance'!$C$5:$C$40,Assumptions!$BB113,'TRA balance'!$D$5:$D$40,Assumptions!$BC113)),"")</f>
        <v>22.6259235612</v>
      </c>
      <c r="BF113" s="41">
        <f>IFERROR(ABS(SUMIFS('TRA balance'!G$5:G$40,'TRA balance'!$C$5:$C$40,Assumptions!$BB113,'TRA balance'!$D$5:$D$40,Assumptions!$BC113)),"")</f>
        <v>123.7186965204</v>
      </c>
      <c r="BG113" s="41">
        <f>IFERROR(ABS(SUMIFS('TRA balance'!H$5:H$40,'TRA balance'!$C$5:$C$40,Assumptions!$BB113,'TRA balance'!$D$5:$D$40,Assumptions!$BC113)),"")</f>
        <v>1.3079814408</v>
      </c>
      <c r="BH113" s="41">
        <f>IFERROR(ABS(SUMIFS('TRA balance'!I$5:I$40,'TRA balance'!$C$5:$C$40,Assumptions!$BB113,'TRA balance'!$D$5:$D$40,Assumptions!$BC113)),"")</f>
        <v>0.0886638636</v>
      </c>
      <c r="BI113" s="41">
        <f>IFERROR(ABS(SUMIFS('TRA balance'!J$5:J$40,'TRA balance'!$C$5:$C$40,Assumptions!$BB113,'TRA balance'!$D$5:$D$40,Assumptions!$BC113)),"")</f>
        <v>0.552531996</v>
      </c>
      <c r="BJ113" s="41">
        <f>IFERROR(ABS(SUMIFS('TRA balance'!K$5:K$40,'TRA balance'!$C$5:$C$40,Assumptions!$BB113,'TRA balance'!$D$5:$D$40,Assumptions!$BC113)),"")</f>
        <v>140.169186378</v>
      </c>
      <c r="BK113" s="41">
        <f>IFERROR(ABS(SUMIFS('TRA balance'!L$5:L$40,'TRA balance'!$C$5:$C$40,Assumptions!$BB113,'TRA balance'!$D$5:$D$40,Assumptions!$BC113)),"")</f>
        <v>1141.7510237796</v>
      </c>
      <c r="BL113" s="41">
        <f>IFERROR(ABS(SUMIFS('TRA balance'!M$5:M$40,'TRA balance'!$C$5:$C$40,Assumptions!$BB113,'TRA balance'!$D$5:$D$40,Assumptions!$BC113)),"")</f>
        <v>0.469675224</v>
      </c>
      <c r="BM113" s="41">
        <f>IFERROR(ABS(SUMIFS('TRA balance'!N$5:N$40,'TRA balance'!$C$5:$C$40,Assumptions!$BB113,'TRA balance'!$D$5:$D$40,Assumptions!$BC113)),"")</f>
        <v>1.9810011672</v>
      </c>
      <c r="BN113" s="41">
        <f>IFERROR(ABS(SUMIFS('TRA balance'!O$5:O$40,'TRA balance'!$C$5:$C$40,Assumptions!$BB113,'TRA balance'!$D$5:$D$40,Assumptions!$BC113)),"")</f>
        <v>67.7992305024</v>
      </c>
      <c r="BO113" s="41">
        <f>IFERROR(ABS(SUMIFS('TRA balance'!P$5:P$40,'TRA balance'!$C$5:$C$40,Assumptions!$BB113,'TRA balance'!$D$5:$D$40,Assumptions!$BC113)),"")</f>
        <v>30.7530005904</v>
      </c>
      <c r="BP113" s="41">
        <f>IFERROR(ABS(SUMIFS('TRA balance'!Q$5:Q$40,'TRA balance'!$C$5:$C$40,Assumptions!$BB113,'TRA balance'!$D$5:$D$40,Assumptions!$BC113)),"")</f>
        <v>9.4633277436</v>
      </c>
      <c r="BQ113" s="41">
        <f>IFERROR(ABS(SUMIFS('TRA balance'!R$5:R$40,'TRA balance'!$C$5:$C$40,Assumptions!$BB113,'TRA balance'!$D$5:$D$40,Assumptions!$BC113)),"")</f>
        <v>3.19829652</v>
      </c>
      <c r="BR113" s="41">
        <f>IFERROR(ABS(SUMIFS('TRA balance'!S$5:S$40,'TRA balance'!$C$5:$C$40,Assumptions!$BB113,'TRA balance'!$D$5:$D$40,Assumptions!$BC113)),"")</f>
        <v>0.3797260128</v>
      </c>
      <c r="BS113" s="41">
        <f>IFERROR(ABS(SUMIFS('TRA balance'!T$5:T$40,'TRA balance'!$C$5:$C$40,Assumptions!$BB113,'TRA balance'!$D$5:$D$40,Assumptions!$BC113)),"")</f>
        <v>179.286291306</v>
      </c>
      <c r="BT113" s="41">
        <f>IFERROR(ABS(SUMIFS('TRA balance'!U$5:U$40,'TRA balance'!$C$5:$C$40,Assumptions!$BB113,'TRA balance'!$D$5:$D$40,Assumptions!$BC113)),"")</f>
        <v>0.2140962048</v>
      </c>
      <c r="BU113" s="41">
        <f>IFERROR(ABS(SUMIFS('TRA balance'!V$5:V$40,'TRA balance'!$C$5:$C$40,Assumptions!$BB113,'TRA balance'!$D$5:$D$40,Assumptions!$BC113)),"")</f>
        <v>37.9845252864</v>
      </c>
      <c r="BV113" s="41">
        <f>IFERROR(ABS(SUMIFS('TRA balance'!W$5:W$40,'TRA balance'!$C$5:$C$40,Assumptions!$BB113,'TRA balance'!$D$5:$D$40,Assumptions!$BC113)),"")</f>
        <v>147.5997682932</v>
      </c>
      <c r="BW113" s="41">
        <f>IFERROR(ABS(SUMIFS('TRA balance'!X$5:X$40,'TRA balance'!$C$5:$C$40,Assumptions!$BB113,'TRA balance'!$D$5:$D$40,Assumptions!$BC113)),"")</f>
        <v>89.0664621012</v>
      </c>
      <c r="BX113" s="41">
        <f>IFERROR(ABS(SUMIFS('TRA balance'!Y$5:Y$40,'TRA balance'!$C$5:$C$40,Assumptions!$BB113,'TRA balance'!$D$5:$D$40,Assumptions!$BC113)),"")</f>
        <v>60.2006741712</v>
      </c>
      <c r="BY113" s="41">
        <f>IFERROR(ABS(SUMIFS('TRA balance'!Z$5:Z$40,'TRA balance'!$C$5:$C$40,Assumptions!$BB113,'TRA balance'!$D$5:$D$40,Assumptions!$BC113)),"")</f>
        <v>2814.8464867644</v>
      </c>
      <c r="BZ113" s="41">
        <f>IFERROR(ABS(SUMIFS('TRA balance'!AA$5:AA$40,'TRA balance'!$C$5:$C$40,Assumptions!$BB113,'TRA balance'!$D$5:$D$40,Assumptions!$BC113)),"")</f>
        <v>14.7001143816</v>
      </c>
      <c r="CA113" s="41">
        <f>IFERROR(ABS(SUMIFS('TRA balance'!AB$5:AB$40,'TRA balance'!$C$5:$C$40,Assumptions!$BB113,'TRA balance'!$D$5:$D$40,Assumptions!$BC113)),"")</f>
        <v>1.416206034</v>
      </c>
      <c r="CB113" s="41">
        <f>IFERROR(ABS(SUMIFS('TRA balance'!AC$5:AC$40,'TRA balance'!$C$5:$C$40,Assumptions!$BB113,'TRA balance'!$D$5:$D$40,Assumptions!$BC113)),"")</f>
        <v>364.0769141436</v>
      </c>
      <c r="CC113" s="41">
        <f>IFERROR(ABS(SUMIFS('TRA balance'!AD$5:AD$40,'TRA balance'!$C$5:$C$40,Assumptions!$BB113,'TRA balance'!$D$5:$D$40,Assumptions!$BC113)),"")</f>
        <v>245.790197064</v>
      </c>
      <c r="CD113" s="41">
        <f>IFERROR(ABS(SUMIFS('TRA balance'!AE$5:AE$40,'TRA balance'!$C$5:$C$40,Assumptions!$BB113,'TRA balance'!$D$5:$D$40,Assumptions!$BC113)),"")</f>
        <v>40.8475344888</v>
      </c>
      <c r="CE113" s="41">
        <f>IFERROR(ABS(SUMIFS('TRA balance'!AF$5:AF$40,'TRA balance'!$C$5:$C$40,Assumptions!$BB113,'TRA balance'!$D$5:$D$40,Assumptions!$BC113)),"")</f>
        <v>51.9971336136</v>
      </c>
      <c r="CF113" s="41">
        <f>IFERROR(ABS(SUMIFS('TRA balance'!AG$5:AG$40,'TRA balance'!$C$5:$C$40,Assumptions!$BB113,'TRA balance'!$D$5:$D$40,Assumptions!$BC113)),"")</f>
        <v>104.0678460504</v>
      </c>
      <c r="CG113" s="41">
        <f>IFERROR(ABS(SUMIFS('TRA balance'!AH$5:AH$40,'TRA balance'!$C$5:$C$40,Assumptions!$BB113,'TRA balance'!$D$5:$D$40,Assumptions!$BC113)),"")</f>
        <v>10.7713468656</v>
      </c>
      <c r="CH113" s="41">
        <f>IFERROR(ABS(SUMIFS('TRA balance'!AI$5:AI$40,'TRA balance'!$C$5:$C$40,Assumptions!$BB113,'TRA balance'!$D$5:$D$40,Assumptions!$BC113)),"")</f>
        <v>2.769819408</v>
      </c>
      <c r="CI113" s="41">
        <f>IFERROR(ABS(SUMIFS('TRA balance'!AJ$5:AJ$40,'TRA balance'!$C$5:$C$40,Assumptions!$BB113,'TRA balance'!$D$5:$D$40,Assumptions!$BC113)),"")</f>
        <v>50.4389992464</v>
      </c>
      <c r="CJ113" s="41">
        <f>IFERROR(ABS(SUMIFS('TRA balance'!AK$5:AK$40,'TRA balance'!$C$5:$C$40,Assumptions!$BB113,'TRA balance'!$D$5:$D$40,Assumptions!$BC113)),"")</f>
        <v>37.1254944096</v>
      </c>
      <c r="CK113" s="41">
        <f>IFERROR(ABS(SUMIFS('TRA balance'!AL$5:AL$40,'TRA balance'!$C$5:$C$40,Assumptions!$BB113,'TRA balance'!$D$5:$D$40,Assumptions!$BC113)),"")</f>
        <v>0</v>
      </c>
      <c r="CL113" s="41">
        <f>IFERROR(ABS(SUMIFS('TRA balance'!AM$5:AM$40,'TRA balance'!$C$5:$C$40,Assumptions!$BB113,'TRA balance'!$D$5:$D$40,Assumptions!$BC113)),"")</f>
        <v>0</v>
      </c>
      <c r="CM113" s="41">
        <f>IFERROR(ABS(SUMIFS('TRA balance'!AN$5:AN$40,'TRA balance'!$C$5:$C$40,Assumptions!$BB113,'TRA balance'!$D$5:$D$40,Assumptions!$BC113)),"")</f>
        <v>0</v>
      </c>
      <c r="CN113" s="41">
        <f>IFERROR(ABS(SUMIFS('TRA balance'!AO$5:AO$40,'TRA balance'!$C$5:$C$40,Assumptions!$BB113,'TRA balance'!$D$5:$D$40,Assumptions!$BC113)),"")</f>
        <v>0</v>
      </c>
      <c r="CO113" s="41">
        <f>IFERROR(ABS(SUMIFS('TRA balance'!AP$5:AP$40,'TRA balance'!$C$5:$C$40,Assumptions!$BB113,'TRA balance'!$D$5:$D$40,Assumptions!$BC113)),"")</f>
        <v>0</v>
      </c>
      <c r="CP113" s="41">
        <f>IFERROR(ABS(SUMIFS('TRA balance'!AQ$5:AQ$40,'TRA balance'!$C$5:$C$40,Assumptions!$BB113,'TRA balance'!$D$5:$D$40,Assumptions!$BC113)),"")</f>
        <v>0</v>
      </c>
      <c r="CQ113" s="41">
        <f>IFERROR(ABS(SUMIFS('TRA balance'!AR$5:AR$40,'TRA balance'!$C$5:$C$40,Assumptions!$BB113,'TRA balance'!$D$5:$D$40,Assumptions!$BC113)),"")</f>
        <v>0</v>
      </c>
      <c r="CR113" s="41">
        <f>IFERROR(ABS(SUMIFS('TRA balance'!AS$5:AS$40,'TRA balance'!$C$5:$C$40,Assumptions!$BB113,'TRA balance'!$D$5:$D$40,Assumptions!$BC113)),"")</f>
        <v>0</v>
      </c>
      <c r="CS113" s="41">
        <f>IFERROR(ABS(SUMIFS('TRA balance'!AT$5:AT$40,'TRA balance'!$C$5:$C$40,Assumptions!$BB113,'TRA balance'!$D$5:$D$40,Assumptions!$BC113)),"")</f>
        <v>0</v>
      </c>
      <c r="CT113" s="41">
        <f>IFERROR(ABS(SUMIFS('TRA balance'!AU$5:AU$40,'TRA balance'!$C$5:$C$40,Assumptions!$BB113,'TRA balance'!$D$5:$D$40,Assumptions!$BC113)),"")</f>
        <v>0</v>
      </c>
      <c r="CU113" s="41">
        <f>IFERROR(ABS(SUMIFS('TRA balance'!AV$5:AV$40,'TRA balance'!$C$5:$C$40,Assumptions!$BB113,'TRA balance'!$D$5:$D$40,Assumptions!$BC113)),"")</f>
        <v>0</v>
      </c>
      <c r="CV113" s="41">
        <f>IFERROR(ABS(SUMIFS('TRA balance'!AW$5:AW$40,'TRA balance'!$C$5:$C$40,Assumptions!$BB113,'TRA balance'!$D$5:$D$40,Assumptions!$BC113)),"")</f>
        <v>0</v>
      </c>
      <c r="CW113" s="41">
        <f>IFERROR(ABS(SUMIFS('TRA balance'!AX$5:AX$40,'TRA balance'!$C$5:$C$40,Assumptions!$BB113,'TRA balance'!$D$5:$D$40,Assumptions!$BC113)),"")</f>
        <v>0</v>
      </c>
      <c r="CX113" s="39"/>
    </row>
    <row r="114" spans="3:102">
      <c r="C114" t="str">
        <f t="shared" si="151"/>
        <v>NGA</v>
      </c>
      <c r="D114" t="str">
        <f t="shared" si="150"/>
        <v>TRB</v>
      </c>
      <c r="E114" t="s">
        <v>244</v>
      </c>
      <c r="F114" s="3">
        <v>0.072</v>
      </c>
      <c r="G114" s="3">
        <v>0.081</v>
      </c>
      <c r="H114" s="3">
        <v>0.081</v>
      </c>
      <c r="I114" s="3">
        <v>0.081</v>
      </c>
      <c r="J114" s="3">
        <v>0.081</v>
      </c>
      <c r="K114" s="3">
        <v>0.081</v>
      </c>
      <c r="L114" s="3">
        <v>0.081</v>
      </c>
      <c r="M114" s="3">
        <v>0.081</v>
      </c>
      <c r="N114" s="3">
        <v>0.081</v>
      </c>
      <c r="O114" s="3">
        <v>0.081</v>
      </c>
      <c r="P114" s="3">
        <v>0.081</v>
      </c>
      <c r="Q114" s="3">
        <v>0.081</v>
      </c>
      <c r="R114" s="3">
        <v>0.081</v>
      </c>
      <c r="S114" s="3">
        <v>0.081</v>
      </c>
      <c r="T114" s="3">
        <v>0.081</v>
      </c>
      <c r="U114" s="3">
        <v>0.081</v>
      </c>
      <c r="V114" s="3">
        <v>0.081</v>
      </c>
      <c r="W114" s="3">
        <v>0.081</v>
      </c>
      <c r="X114" s="3">
        <v>0.081</v>
      </c>
      <c r="Y114" s="3">
        <v>0.081</v>
      </c>
      <c r="Z114" s="3">
        <v>0.081</v>
      </c>
      <c r="AA114" s="3">
        <v>0.081</v>
      </c>
      <c r="AB114" s="3">
        <v>0.081</v>
      </c>
      <c r="AC114" s="3">
        <v>0.081</v>
      </c>
      <c r="AD114" s="3">
        <v>0.081</v>
      </c>
      <c r="AE114" s="3">
        <v>0.081</v>
      </c>
      <c r="AF114" s="3">
        <v>0.081</v>
      </c>
      <c r="AG114" s="3">
        <v>0.081</v>
      </c>
      <c r="AH114" s="3">
        <v>0.081</v>
      </c>
      <c r="AI114" s="3">
        <v>0.081</v>
      </c>
      <c r="AJ114" s="3">
        <v>0.081</v>
      </c>
      <c r="AK114" s="3">
        <v>0.081</v>
      </c>
      <c r="AL114" s="3">
        <v>0.081</v>
      </c>
      <c r="AM114" s="3">
        <v>0.081</v>
      </c>
      <c r="AN114" s="3">
        <v>0.081</v>
      </c>
      <c r="AO114" s="3">
        <v>0.081</v>
      </c>
      <c r="AP114" s="3">
        <v>0.081</v>
      </c>
      <c r="AQ114" s="3">
        <v>0.081</v>
      </c>
      <c r="AR114" s="3">
        <v>0.081</v>
      </c>
      <c r="AS114" s="3">
        <v>0.081</v>
      </c>
      <c r="AT114" s="3">
        <v>0.081</v>
      </c>
      <c r="AU114" s="3">
        <v>0.081</v>
      </c>
      <c r="AV114" s="3">
        <v>0.081</v>
      </c>
      <c r="AW114" s="3">
        <v>0.081</v>
      </c>
      <c r="AX114" s="3">
        <v>0.081</v>
      </c>
      <c r="AY114" s="3">
        <v>0.081</v>
      </c>
      <c r="AZ114" s="3">
        <v>0.081</v>
      </c>
      <c r="BA114" s="3">
        <v>0.081</v>
      </c>
      <c r="BB114" s="39" t="s">
        <v>87</v>
      </c>
      <c r="BC114" s="39" t="s">
        <v>44</v>
      </c>
      <c r="BD114" s="41">
        <f>IFERROR(ABS(SUMIFS('TRA balance'!E$5:E$40,'TRA balance'!$C$5:$C$40,Assumptions!$BB114,'TRA balance'!$D$5:$D$40,Assumptions!$BC114)),"")</f>
        <v>0</v>
      </c>
      <c r="BE114" s="41">
        <f>IFERROR(ABS(SUMIFS('TRA balance'!F$5:F$40,'TRA balance'!$C$5:$C$40,Assumptions!$BB114,'TRA balance'!$D$5:$D$40,Assumptions!$BC114)),"")</f>
        <v>0</v>
      </c>
      <c r="BF114" s="41">
        <f>IFERROR(ABS(SUMIFS('TRA balance'!G$5:G$40,'TRA balance'!$C$5:$C$40,Assumptions!$BB114,'TRA balance'!$D$5:$D$40,Assumptions!$BC114)),"")</f>
        <v>0</v>
      </c>
      <c r="BG114" s="41">
        <f>IFERROR(ABS(SUMIFS('TRA balance'!H$5:H$40,'TRA balance'!$C$5:$C$40,Assumptions!$BB114,'TRA balance'!$D$5:$D$40,Assumptions!$BC114)),"")</f>
        <v>0</v>
      </c>
      <c r="BH114" s="41">
        <f>IFERROR(ABS(SUMIFS('TRA balance'!I$5:I$40,'TRA balance'!$C$5:$C$40,Assumptions!$BB114,'TRA balance'!$D$5:$D$40,Assumptions!$BC114)),"")</f>
        <v>0</v>
      </c>
      <c r="BI114" s="41">
        <f>IFERROR(ABS(SUMIFS('TRA balance'!J$5:J$40,'TRA balance'!$C$5:$C$40,Assumptions!$BB114,'TRA balance'!$D$5:$D$40,Assumptions!$BC114)),"")</f>
        <v>0.1182477924</v>
      </c>
      <c r="BJ114" s="41">
        <f>IFERROR(ABS(SUMIFS('TRA balance'!K$5:K$40,'TRA balance'!$C$5:$C$40,Assumptions!$BB114,'TRA balance'!$D$5:$D$40,Assumptions!$BC114)),"")</f>
        <v>0</v>
      </c>
      <c r="BK114" s="41">
        <f>IFERROR(ABS(SUMIFS('TRA balance'!L$5:L$40,'TRA balance'!$C$5:$C$40,Assumptions!$BB114,'TRA balance'!$D$5:$D$40,Assumptions!$BC114)),"")</f>
        <v>0</v>
      </c>
      <c r="BL114" s="41">
        <f>IFERROR(ABS(SUMIFS('TRA balance'!M$5:M$40,'TRA balance'!$C$5:$C$40,Assumptions!$BB114,'TRA balance'!$D$5:$D$40,Assumptions!$BC114)),"")</f>
        <v>0</v>
      </c>
      <c r="BM114" s="41">
        <f>IFERROR(ABS(SUMIFS('TRA balance'!N$5:N$40,'TRA balance'!$C$5:$C$40,Assumptions!$BB114,'TRA balance'!$D$5:$D$40,Assumptions!$BC114)),"")</f>
        <v>0</v>
      </c>
      <c r="BN114" s="41">
        <f>IFERROR(ABS(SUMIFS('TRA balance'!O$5:O$40,'TRA balance'!$C$5:$C$40,Assumptions!$BB114,'TRA balance'!$D$5:$D$40,Assumptions!$BC114)),"")</f>
        <v>0.1783828008</v>
      </c>
      <c r="BO114" s="41">
        <f>IFERROR(ABS(SUMIFS('TRA balance'!P$5:P$40,'TRA balance'!$C$5:$C$40,Assumptions!$BB114,'TRA balance'!$D$5:$D$40,Assumptions!$BC114)),"")</f>
        <v>0</v>
      </c>
      <c r="BP114" s="41">
        <f>IFERROR(ABS(SUMIFS('TRA balance'!Q$5:Q$40,'TRA balance'!$C$5:$C$40,Assumptions!$BB114,'TRA balance'!$D$5:$D$40,Assumptions!$BC114)),"")</f>
        <v>0.0169649136</v>
      </c>
      <c r="BQ114" s="41">
        <f>IFERROR(ABS(SUMIFS('TRA balance'!R$5:R$40,'TRA balance'!$C$5:$C$40,Assumptions!$BB114,'TRA balance'!$D$5:$D$40,Assumptions!$BC114)),"")</f>
        <v>0</v>
      </c>
      <c r="BR114" s="41">
        <f>IFERROR(ABS(SUMIFS('TRA balance'!S$5:S$40,'TRA balance'!$C$5:$C$40,Assumptions!$BB114,'TRA balance'!$D$5:$D$40,Assumptions!$BC114)),"")</f>
        <v>4.1868e-5</v>
      </c>
      <c r="BS114" s="41">
        <f>IFERROR(ABS(SUMIFS('TRA balance'!T$5:T$40,'TRA balance'!$C$5:$C$40,Assumptions!$BB114,'TRA balance'!$D$5:$D$40,Assumptions!$BC114)),"")</f>
        <v>0</v>
      </c>
      <c r="BT114" s="41">
        <f>IFERROR(ABS(SUMIFS('TRA balance'!U$5:U$40,'TRA balance'!$C$5:$C$40,Assumptions!$BB114,'TRA balance'!$D$5:$D$40,Assumptions!$BC114)),"")</f>
        <v>0</v>
      </c>
      <c r="BU114" s="41">
        <f>IFERROR(ABS(SUMIFS('TRA balance'!V$5:V$40,'TRA balance'!$C$5:$C$40,Assumptions!$BB114,'TRA balance'!$D$5:$D$40,Assumptions!$BC114)),"")</f>
        <v>0</v>
      </c>
      <c r="BV114" s="41">
        <f>IFERROR(ABS(SUMIFS('TRA balance'!W$5:W$40,'TRA balance'!$C$5:$C$40,Assumptions!$BB114,'TRA balance'!$D$5:$D$40,Assumptions!$BC114)),"")</f>
        <v>0</v>
      </c>
      <c r="BW114" s="41">
        <f>IFERROR(ABS(SUMIFS('TRA balance'!X$5:X$40,'TRA balance'!$C$5:$C$40,Assumptions!$BB114,'TRA balance'!$D$5:$D$40,Assumptions!$BC114)),"")</f>
        <v>0</v>
      </c>
      <c r="BX114" s="41">
        <f>IFERROR(ABS(SUMIFS('TRA balance'!Y$5:Y$40,'TRA balance'!$C$5:$C$40,Assumptions!$BB114,'TRA balance'!$D$5:$D$40,Assumptions!$BC114)),"")</f>
        <v>0</v>
      </c>
      <c r="BY114" s="41">
        <f>IFERROR(ABS(SUMIFS('TRA balance'!Z$5:Z$40,'TRA balance'!$C$5:$C$40,Assumptions!$BB114,'TRA balance'!$D$5:$D$40,Assumptions!$BC114)),"")</f>
        <v>4.5131526864</v>
      </c>
      <c r="BZ114" s="41">
        <f>IFERROR(ABS(SUMIFS('TRA balance'!AA$5:AA$40,'TRA balance'!$C$5:$C$40,Assumptions!$BB114,'TRA balance'!$D$5:$D$40,Assumptions!$BC114)),"")</f>
        <v>0</v>
      </c>
      <c r="CA114" s="41">
        <f>IFERROR(ABS(SUMIFS('TRA balance'!AB$5:AB$40,'TRA balance'!$C$5:$C$40,Assumptions!$BB114,'TRA balance'!$D$5:$D$40,Assumptions!$BC114)),"")</f>
        <v>0</v>
      </c>
      <c r="CB114" s="41">
        <f>IFERROR(ABS(SUMIFS('TRA balance'!AC$5:AC$40,'TRA balance'!$C$5:$C$40,Assumptions!$BB114,'TRA balance'!$D$5:$D$40,Assumptions!$BC114)),"")</f>
        <v>0.2565629172</v>
      </c>
      <c r="CC114" s="41">
        <f>IFERROR(ABS(SUMIFS('TRA balance'!AD$5:AD$40,'TRA balance'!$C$5:$C$40,Assumptions!$BB114,'TRA balance'!$D$5:$D$40,Assumptions!$BC114)),"")</f>
        <v>0</v>
      </c>
      <c r="CD114" s="41">
        <f>IFERROR(ABS(SUMIFS('TRA balance'!AE$5:AE$40,'TRA balance'!$C$5:$C$40,Assumptions!$BB114,'TRA balance'!$D$5:$D$40,Assumptions!$BC114)),"")</f>
        <v>0</v>
      </c>
      <c r="CE114" s="41">
        <f>IFERROR(ABS(SUMIFS('TRA balance'!AF$5:AF$40,'TRA balance'!$C$5:$C$40,Assumptions!$BB114,'TRA balance'!$D$5:$D$40,Assumptions!$BC114)),"")</f>
        <v>0</v>
      </c>
      <c r="CF114" s="41">
        <f>IFERROR(ABS(SUMIFS('TRA balance'!AG$5:AG$40,'TRA balance'!$C$5:$C$40,Assumptions!$BB114,'TRA balance'!$D$5:$D$40,Assumptions!$BC114)),"")</f>
        <v>0.1059637212</v>
      </c>
      <c r="CG114" s="41">
        <f>IFERROR(ABS(SUMIFS('TRA balance'!AH$5:AH$40,'TRA balance'!$C$5:$C$40,Assumptions!$BB114,'TRA balance'!$D$5:$D$40,Assumptions!$BC114)),"")</f>
        <v>0.16820469</v>
      </c>
      <c r="CH114" s="41">
        <f>IFERROR(ABS(SUMIFS('TRA balance'!AI$5:AI$40,'TRA balance'!$C$5:$C$40,Assumptions!$BB114,'TRA balance'!$D$5:$D$40,Assumptions!$BC114)),"")</f>
        <v>0.0289684692</v>
      </c>
      <c r="CI114" s="41">
        <f>IFERROR(ABS(SUMIFS('TRA balance'!AJ$5:AJ$40,'TRA balance'!$C$5:$C$40,Assumptions!$BB114,'TRA balance'!$D$5:$D$40,Assumptions!$BC114)),"")</f>
        <v>0</v>
      </c>
      <c r="CJ114" s="41">
        <f>IFERROR(ABS(SUMIFS('TRA balance'!AK$5:AK$40,'TRA balance'!$C$5:$C$40,Assumptions!$BB114,'TRA balance'!$D$5:$D$40,Assumptions!$BC114)),"")</f>
        <v>0</v>
      </c>
      <c r="CK114" s="41">
        <f>IFERROR(ABS(SUMIFS('TRA balance'!AL$5:AL$40,'TRA balance'!$C$5:$C$40,Assumptions!$BB114,'TRA balance'!$D$5:$D$40,Assumptions!$BC114)),"")</f>
        <v>0</v>
      </c>
      <c r="CL114" s="41">
        <f>IFERROR(ABS(SUMIFS('TRA balance'!AM$5:AM$40,'TRA balance'!$C$5:$C$40,Assumptions!$BB114,'TRA balance'!$D$5:$D$40,Assumptions!$BC114)),"")</f>
        <v>0</v>
      </c>
      <c r="CM114" s="41">
        <f>IFERROR(ABS(SUMIFS('TRA balance'!AN$5:AN$40,'TRA balance'!$C$5:$C$40,Assumptions!$BB114,'TRA balance'!$D$5:$D$40,Assumptions!$BC114)),"")</f>
        <v>0</v>
      </c>
      <c r="CN114" s="41">
        <f>IFERROR(ABS(SUMIFS('TRA balance'!AO$5:AO$40,'TRA balance'!$C$5:$C$40,Assumptions!$BB114,'TRA balance'!$D$5:$D$40,Assumptions!$BC114)),"")</f>
        <v>0</v>
      </c>
      <c r="CO114" s="41">
        <f>IFERROR(ABS(SUMIFS('TRA balance'!AP$5:AP$40,'TRA balance'!$C$5:$C$40,Assumptions!$BB114,'TRA balance'!$D$5:$D$40,Assumptions!$BC114)),"")</f>
        <v>0</v>
      </c>
      <c r="CP114" s="41">
        <f>IFERROR(ABS(SUMIFS('TRA balance'!AQ$5:AQ$40,'TRA balance'!$C$5:$C$40,Assumptions!$BB114,'TRA balance'!$D$5:$D$40,Assumptions!$BC114)),"")</f>
        <v>0</v>
      </c>
      <c r="CQ114" s="41">
        <f>IFERROR(ABS(SUMIFS('TRA balance'!AR$5:AR$40,'TRA balance'!$C$5:$C$40,Assumptions!$BB114,'TRA balance'!$D$5:$D$40,Assumptions!$BC114)),"")</f>
        <v>0</v>
      </c>
      <c r="CR114" s="41">
        <f>IFERROR(ABS(SUMIFS('TRA balance'!AS$5:AS$40,'TRA balance'!$C$5:$C$40,Assumptions!$BB114,'TRA balance'!$D$5:$D$40,Assumptions!$BC114)),"")</f>
        <v>0</v>
      </c>
      <c r="CS114" s="41">
        <f>IFERROR(ABS(SUMIFS('TRA balance'!AT$5:AT$40,'TRA balance'!$C$5:$C$40,Assumptions!$BB114,'TRA balance'!$D$5:$D$40,Assumptions!$BC114)),"")</f>
        <v>0</v>
      </c>
      <c r="CT114" s="41">
        <f>IFERROR(ABS(SUMIFS('TRA balance'!AU$5:AU$40,'TRA balance'!$C$5:$C$40,Assumptions!$BB114,'TRA balance'!$D$5:$D$40,Assumptions!$BC114)),"")</f>
        <v>0</v>
      </c>
      <c r="CU114" s="41">
        <f>IFERROR(ABS(SUMIFS('TRA balance'!AV$5:AV$40,'TRA balance'!$C$5:$C$40,Assumptions!$BB114,'TRA balance'!$D$5:$D$40,Assumptions!$BC114)),"")</f>
        <v>0</v>
      </c>
      <c r="CV114" s="41">
        <f>IFERROR(ABS(SUMIFS('TRA balance'!AW$5:AW$40,'TRA balance'!$C$5:$C$40,Assumptions!$BB114,'TRA balance'!$D$5:$D$40,Assumptions!$BC114)),"")</f>
        <v>0</v>
      </c>
      <c r="CW114" s="41">
        <f>IFERROR(ABS(SUMIFS('TRA balance'!AX$5:AX$40,'TRA balance'!$C$5:$C$40,Assumptions!$BB114,'TRA balance'!$D$5:$D$40,Assumptions!$BC114)),"")</f>
        <v>0</v>
      </c>
      <c r="CX114" s="39"/>
    </row>
    <row r="115" spans="3:102">
      <c r="C115" t="str">
        <f t="shared" si="151"/>
        <v>DST</v>
      </c>
      <c r="D115" t="str">
        <f t="shared" si="150"/>
        <v>TRC</v>
      </c>
      <c r="E115" t="s">
        <v>245</v>
      </c>
      <c r="F115" s="3">
        <v>0.1224</v>
      </c>
      <c r="G115" s="3">
        <v>0.1224</v>
      </c>
      <c r="H115" s="3">
        <v>0.136</v>
      </c>
      <c r="I115" s="3">
        <v>0.136</v>
      </c>
      <c r="J115" s="3">
        <v>0.136</v>
      </c>
      <c r="K115" s="3">
        <v>0.136</v>
      </c>
      <c r="L115" s="3">
        <v>0.136</v>
      </c>
      <c r="M115" s="3">
        <v>0.136</v>
      </c>
      <c r="N115" s="3">
        <v>0.136</v>
      </c>
      <c r="O115" s="3">
        <v>0.136</v>
      </c>
      <c r="P115" s="3">
        <v>0.136</v>
      </c>
      <c r="Q115" s="3">
        <v>0.136</v>
      </c>
      <c r="R115" s="3">
        <v>0.136</v>
      </c>
      <c r="S115" s="3">
        <v>0.136</v>
      </c>
      <c r="T115" s="3">
        <v>0.136</v>
      </c>
      <c r="U115" s="3">
        <v>0.136</v>
      </c>
      <c r="V115" s="3">
        <v>0.136</v>
      </c>
      <c r="W115" s="3">
        <v>0.136</v>
      </c>
      <c r="X115" s="3">
        <v>0.136</v>
      </c>
      <c r="Y115" s="3">
        <v>0.136</v>
      </c>
      <c r="Z115" s="3">
        <v>0.136</v>
      </c>
      <c r="AA115" s="3">
        <v>0.136</v>
      </c>
      <c r="AB115" s="3">
        <v>0.136</v>
      </c>
      <c r="AC115" s="3">
        <v>0.136</v>
      </c>
      <c r="AD115" s="3">
        <v>0.136</v>
      </c>
      <c r="AE115" s="3">
        <v>0.136</v>
      </c>
      <c r="AF115" s="3">
        <v>0.136</v>
      </c>
      <c r="AG115" s="3">
        <v>0.136</v>
      </c>
      <c r="AH115" s="3">
        <v>0.136</v>
      </c>
      <c r="AI115" s="3">
        <v>0.136</v>
      </c>
      <c r="AJ115" s="3">
        <v>0.136</v>
      </c>
      <c r="AK115" s="3">
        <v>0.136</v>
      </c>
      <c r="AL115" s="3">
        <v>0.136</v>
      </c>
      <c r="AM115" s="3">
        <v>0.136</v>
      </c>
      <c r="AN115" s="3">
        <v>0.136</v>
      </c>
      <c r="AO115" s="3">
        <v>0.136</v>
      </c>
      <c r="AP115" s="3">
        <v>0.136</v>
      </c>
      <c r="AQ115" s="3">
        <v>0.136</v>
      </c>
      <c r="AR115" s="3">
        <v>0.136</v>
      </c>
      <c r="AS115" s="3">
        <v>0.136</v>
      </c>
      <c r="AT115" s="3">
        <v>0.136</v>
      </c>
      <c r="AU115" s="3">
        <v>0.136</v>
      </c>
      <c r="AV115" s="3">
        <v>0.136</v>
      </c>
      <c r="AW115" s="3">
        <v>0.136</v>
      </c>
      <c r="AX115" s="3">
        <v>0.136</v>
      </c>
      <c r="AY115" s="3">
        <v>0.136</v>
      </c>
      <c r="AZ115" s="3">
        <v>0.136</v>
      </c>
      <c r="BA115" s="3">
        <v>0.136</v>
      </c>
      <c r="BB115" s="39" t="s">
        <v>87</v>
      </c>
      <c r="BC115" s="39" t="s">
        <v>48</v>
      </c>
      <c r="BD115" s="41">
        <f>IFERROR(ABS(SUMIFS('TRA balance'!E$5:E$40,'TRA balance'!$C$5:$C$40,Assumptions!$BB115,'TRA balance'!$D$5:$D$40,Assumptions!$BC115)),"")</f>
        <v>0</v>
      </c>
      <c r="BE115" s="41">
        <f>IFERROR(ABS(SUMIFS('TRA balance'!F$5:F$40,'TRA balance'!$C$5:$C$40,Assumptions!$BB115,'TRA balance'!$D$5:$D$40,Assumptions!$BC115)),"")</f>
        <v>0</v>
      </c>
      <c r="BF115" s="41">
        <f>IFERROR(ABS(SUMIFS('TRA balance'!G$5:G$40,'TRA balance'!$C$5:$C$40,Assumptions!$BB115,'TRA balance'!$D$5:$D$40,Assumptions!$BC115)),"")</f>
        <v>0</v>
      </c>
      <c r="BG115" s="41">
        <f>IFERROR(ABS(SUMIFS('TRA balance'!H$5:H$40,'TRA balance'!$C$5:$C$40,Assumptions!$BB115,'TRA balance'!$D$5:$D$40,Assumptions!$BC115)),"")</f>
        <v>0</v>
      </c>
      <c r="BH115" s="41">
        <f>IFERROR(ABS(SUMIFS('TRA balance'!I$5:I$40,'TRA balance'!$C$5:$C$40,Assumptions!$BB115,'TRA balance'!$D$5:$D$40,Assumptions!$BC115)),"")</f>
        <v>0</v>
      </c>
      <c r="BI115" s="41">
        <f>IFERROR(ABS(SUMIFS('TRA balance'!J$5:J$40,'TRA balance'!$C$5:$C$40,Assumptions!$BB115,'TRA balance'!$D$5:$D$40,Assumptions!$BC115)),"")</f>
        <v>0</v>
      </c>
      <c r="BJ115" s="41">
        <f>IFERROR(ABS(SUMIFS('TRA balance'!K$5:K$40,'TRA balance'!$C$5:$C$40,Assumptions!$BB115,'TRA balance'!$D$5:$D$40,Assumptions!$BC115)),"")</f>
        <v>0</v>
      </c>
      <c r="BK115" s="41">
        <f>IFERROR(ABS(SUMIFS('TRA balance'!L$5:L$40,'TRA balance'!$C$5:$C$40,Assumptions!$BB115,'TRA balance'!$D$5:$D$40,Assumptions!$BC115)),"")</f>
        <v>0</v>
      </c>
      <c r="BL115" s="41">
        <f>IFERROR(ABS(SUMIFS('TRA balance'!M$5:M$40,'TRA balance'!$C$5:$C$40,Assumptions!$BB115,'TRA balance'!$D$5:$D$40,Assumptions!$BC115)),"")</f>
        <v>0</v>
      </c>
      <c r="BM115" s="41">
        <f>IFERROR(ABS(SUMIFS('TRA balance'!N$5:N$40,'TRA balance'!$C$5:$C$40,Assumptions!$BB115,'TRA balance'!$D$5:$D$40,Assumptions!$BC115)),"")</f>
        <v>0</v>
      </c>
      <c r="BN115" s="41">
        <f>IFERROR(ABS(SUMIFS('TRA balance'!O$5:O$40,'TRA balance'!$C$5:$C$40,Assumptions!$BB115,'TRA balance'!$D$5:$D$40,Assumptions!$BC115)),"")</f>
        <v>0</v>
      </c>
      <c r="BO115" s="41">
        <f>IFERROR(ABS(SUMIFS('TRA balance'!P$5:P$40,'TRA balance'!$C$5:$C$40,Assumptions!$BB115,'TRA balance'!$D$5:$D$40,Assumptions!$BC115)),"")</f>
        <v>0</v>
      </c>
      <c r="BP115" s="41">
        <f>IFERROR(ABS(SUMIFS('TRA balance'!Q$5:Q$40,'TRA balance'!$C$5:$C$40,Assumptions!$BB115,'TRA balance'!$D$5:$D$40,Assumptions!$BC115)),"")</f>
        <v>0</v>
      </c>
      <c r="BQ115" s="41">
        <f>IFERROR(ABS(SUMIFS('TRA balance'!R$5:R$40,'TRA balance'!$C$5:$C$40,Assumptions!$BB115,'TRA balance'!$D$5:$D$40,Assumptions!$BC115)),"")</f>
        <v>0</v>
      </c>
      <c r="BR115" s="41">
        <f>IFERROR(ABS(SUMIFS('TRA balance'!S$5:S$40,'TRA balance'!$C$5:$C$40,Assumptions!$BB115,'TRA balance'!$D$5:$D$40,Assumptions!$BC115)),"")</f>
        <v>0</v>
      </c>
      <c r="BS115" s="41">
        <f>IFERROR(ABS(SUMIFS('TRA balance'!T$5:T$40,'TRA balance'!$C$5:$C$40,Assumptions!$BB115,'TRA balance'!$D$5:$D$40,Assumptions!$BC115)),"")</f>
        <v>0</v>
      </c>
      <c r="BT115" s="41">
        <f>IFERROR(ABS(SUMIFS('TRA balance'!U$5:U$40,'TRA balance'!$C$5:$C$40,Assumptions!$BB115,'TRA balance'!$D$5:$D$40,Assumptions!$BC115)),"")</f>
        <v>0</v>
      </c>
      <c r="BU115" s="41">
        <f>IFERROR(ABS(SUMIFS('TRA balance'!V$5:V$40,'TRA balance'!$C$5:$C$40,Assumptions!$BB115,'TRA balance'!$D$5:$D$40,Assumptions!$BC115)),"")</f>
        <v>0</v>
      </c>
      <c r="BV115" s="41">
        <f>IFERROR(ABS(SUMIFS('TRA balance'!W$5:W$40,'TRA balance'!$C$5:$C$40,Assumptions!$BB115,'TRA balance'!$D$5:$D$40,Assumptions!$BC115)),"")</f>
        <v>0</v>
      </c>
      <c r="BW115" s="41">
        <f>IFERROR(ABS(SUMIFS('TRA balance'!X$5:X$40,'TRA balance'!$C$5:$C$40,Assumptions!$BB115,'TRA balance'!$D$5:$D$40,Assumptions!$BC115)),"")</f>
        <v>0</v>
      </c>
      <c r="BX115" s="41">
        <f>IFERROR(ABS(SUMIFS('TRA balance'!Y$5:Y$40,'TRA balance'!$C$5:$C$40,Assumptions!$BB115,'TRA balance'!$D$5:$D$40,Assumptions!$BC115)),"")</f>
        <v>0</v>
      </c>
      <c r="BY115" s="41">
        <f>IFERROR(ABS(SUMIFS('TRA balance'!Z$5:Z$40,'TRA balance'!$C$5:$C$40,Assumptions!$BB115,'TRA balance'!$D$5:$D$40,Assumptions!$BC115)),"")</f>
        <v>0</v>
      </c>
      <c r="BZ115" s="41">
        <f>IFERROR(ABS(SUMIFS('TRA balance'!AA$5:AA$40,'TRA balance'!$C$5:$C$40,Assumptions!$BB115,'TRA balance'!$D$5:$D$40,Assumptions!$BC115)),"")</f>
        <v>0</v>
      </c>
      <c r="CA115" s="41">
        <f>IFERROR(ABS(SUMIFS('TRA balance'!AB$5:AB$40,'TRA balance'!$C$5:$C$40,Assumptions!$BB115,'TRA balance'!$D$5:$D$40,Assumptions!$BC115)),"")</f>
        <v>0</v>
      </c>
      <c r="CB115" s="41">
        <f>IFERROR(ABS(SUMIFS('TRA balance'!AC$5:AC$40,'TRA balance'!$C$5:$C$40,Assumptions!$BB115,'TRA balance'!$D$5:$D$40,Assumptions!$BC115)),"")</f>
        <v>0</v>
      </c>
      <c r="CC115" s="41">
        <f>IFERROR(ABS(SUMIFS('TRA balance'!AD$5:AD$40,'TRA balance'!$C$5:$C$40,Assumptions!$BB115,'TRA balance'!$D$5:$D$40,Assumptions!$BC115)),"")</f>
        <v>0</v>
      </c>
      <c r="CD115" s="41">
        <f>IFERROR(ABS(SUMIFS('TRA balance'!AE$5:AE$40,'TRA balance'!$C$5:$C$40,Assumptions!$BB115,'TRA balance'!$D$5:$D$40,Assumptions!$BC115)),"")</f>
        <v>0</v>
      </c>
      <c r="CE115" s="41">
        <f>IFERROR(ABS(SUMIFS('TRA balance'!AF$5:AF$40,'TRA balance'!$C$5:$C$40,Assumptions!$BB115,'TRA balance'!$D$5:$D$40,Assumptions!$BC115)),"")</f>
        <v>0</v>
      </c>
      <c r="CF115" s="41">
        <f>IFERROR(ABS(SUMIFS('TRA balance'!AG$5:AG$40,'TRA balance'!$C$5:$C$40,Assumptions!$BB115,'TRA balance'!$D$5:$D$40,Assumptions!$BC115)),"")</f>
        <v>0</v>
      </c>
      <c r="CG115" s="41">
        <f>IFERROR(ABS(SUMIFS('TRA balance'!AH$5:AH$40,'TRA balance'!$C$5:$C$40,Assumptions!$BB115,'TRA balance'!$D$5:$D$40,Assumptions!$BC115)),"")</f>
        <v>0</v>
      </c>
      <c r="CH115" s="41">
        <f>IFERROR(ABS(SUMIFS('TRA balance'!AI$5:AI$40,'TRA balance'!$C$5:$C$40,Assumptions!$BB115,'TRA balance'!$D$5:$D$40,Assumptions!$BC115)),"")</f>
        <v>0</v>
      </c>
      <c r="CI115" s="41">
        <f>IFERROR(ABS(SUMIFS('TRA balance'!AJ$5:AJ$40,'TRA balance'!$C$5:$C$40,Assumptions!$BB115,'TRA balance'!$D$5:$D$40,Assumptions!$BC115)),"")</f>
        <v>0</v>
      </c>
      <c r="CJ115" s="41">
        <f>IFERROR(ABS(SUMIFS('TRA balance'!AK$5:AK$40,'TRA balance'!$C$5:$C$40,Assumptions!$BB115,'TRA balance'!$D$5:$D$40,Assumptions!$BC115)),"")</f>
        <v>0</v>
      </c>
      <c r="CK115" s="41">
        <f>IFERROR(ABS(SUMIFS('TRA balance'!AL$5:AL$40,'TRA balance'!$C$5:$C$40,Assumptions!$BB115,'TRA balance'!$D$5:$D$40,Assumptions!$BC115)),"")</f>
        <v>0</v>
      </c>
      <c r="CL115" s="41">
        <f>IFERROR(ABS(SUMIFS('TRA balance'!AM$5:AM$40,'TRA balance'!$C$5:$C$40,Assumptions!$BB115,'TRA balance'!$D$5:$D$40,Assumptions!$BC115)),"")</f>
        <v>0</v>
      </c>
      <c r="CM115" s="41">
        <f>IFERROR(ABS(SUMIFS('TRA balance'!AN$5:AN$40,'TRA balance'!$C$5:$C$40,Assumptions!$BB115,'TRA balance'!$D$5:$D$40,Assumptions!$BC115)),"")</f>
        <v>0</v>
      </c>
      <c r="CN115" s="41">
        <f>IFERROR(ABS(SUMIFS('TRA balance'!AO$5:AO$40,'TRA balance'!$C$5:$C$40,Assumptions!$BB115,'TRA balance'!$D$5:$D$40,Assumptions!$BC115)),"")</f>
        <v>0</v>
      </c>
      <c r="CO115" s="41">
        <f>IFERROR(ABS(SUMIFS('TRA balance'!AP$5:AP$40,'TRA balance'!$C$5:$C$40,Assumptions!$BB115,'TRA balance'!$D$5:$D$40,Assumptions!$BC115)),"")</f>
        <v>0</v>
      </c>
      <c r="CP115" s="41">
        <f>IFERROR(ABS(SUMIFS('TRA balance'!AQ$5:AQ$40,'TRA balance'!$C$5:$C$40,Assumptions!$BB115,'TRA balance'!$D$5:$D$40,Assumptions!$BC115)),"")</f>
        <v>0</v>
      </c>
      <c r="CQ115" s="41">
        <f>IFERROR(ABS(SUMIFS('TRA balance'!AR$5:AR$40,'TRA balance'!$C$5:$C$40,Assumptions!$BB115,'TRA balance'!$D$5:$D$40,Assumptions!$BC115)),"")</f>
        <v>0</v>
      </c>
      <c r="CR115" s="41">
        <f>IFERROR(ABS(SUMIFS('TRA balance'!AS$5:AS$40,'TRA balance'!$C$5:$C$40,Assumptions!$BB115,'TRA balance'!$D$5:$D$40,Assumptions!$BC115)),"")</f>
        <v>0</v>
      </c>
      <c r="CS115" s="41">
        <f>IFERROR(ABS(SUMIFS('TRA balance'!AT$5:AT$40,'TRA balance'!$C$5:$C$40,Assumptions!$BB115,'TRA balance'!$D$5:$D$40,Assumptions!$BC115)),"")</f>
        <v>0</v>
      </c>
      <c r="CT115" s="41">
        <f>IFERROR(ABS(SUMIFS('TRA balance'!AU$5:AU$40,'TRA balance'!$C$5:$C$40,Assumptions!$BB115,'TRA balance'!$D$5:$D$40,Assumptions!$BC115)),"")</f>
        <v>0</v>
      </c>
      <c r="CU115" s="41">
        <f>IFERROR(ABS(SUMIFS('TRA balance'!AV$5:AV$40,'TRA balance'!$C$5:$C$40,Assumptions!$BB115,'TRA balance'!$D$5:$D$40,Assumptions!$BC115)),"")</f>
        <v>0</v>
      </c>
      <c r="CV115" s="41">
        <f>IFERROR(ABS(SUMIFS('TRA balance'!AW$5:AW$40,'TRA balance'!$C$5:$C$40,Assumptions!$BB115,'TRA balance'!$D$5:$D$40,Assumptions!$BC115)),"")</f>
        <v>0</v>
      </c>
      <c r="CW115" s="41">
        <f>IFERROR(ABS(SUMIFS('TRA balance'!AX$5:AX$40,'TRA balance'!$C$5:$C$40,Assumptions!$BB115,'TRA balance'!$D$5:$D$40,Assumptions!$BC115)),"")</f>
        <v>0</v>
      </c>
      <c r="CX115" s="39"/>
    </row>
    <row r="116" spans="3:102">
      <c r="C116" t="str">
        <f t="shared" si="151"/>
        <v>ETH</v>
      </c>
      <c r="D116" t="str">
        <f t="shared" si="150"/>
        <v>TRC</v>
      </c>
      <c r="E116" t="s">
        <v>246</v>
      </c>
      <c r="F116" s="3">
        <v>0.108</v>
      </c>
      <c r="G116" s="3">
        <v>0.108</v>
      </c>
      <c r="H116" s="3">
        <v>0.12</v>
      </c>
      <c r="I116" s="3">
        <v>0.12</v>
      </c>
      <c r="J116" s="3">
        <v>0.12</v>
      </c>
      <c r="K116" s="3">
        <v>0.12</v>
      </c>
      <c r="L116" s="3">
        <v>0.12</v>
      </c>
      <c r="M116" s="3">
        <v>0.12</v>
      </c>
      <c r="N116" s="3">
        <v>0.12</v>
      </c>
      <c r="O116" s="3">
        <v>0.12</v>
      </c>
      <c r="P116" s="3">
        <v>0.12</v>
      </c>
      <c r="Q116" s="3">
        <v>0.12</v>
      </c>
      <c r="R116" s="3">
        <v>0.12</v>
      </c>
      <c r="S116" s="3">
        <v>0.12</v>
      </c>
      <c r="T116" s="3">
        <v>0.12</v>
      </c>
      <c r="U116" s="3">
        <v>0.12</v>
      </c>
      <c r="V116" s="3">
        <v>0.12</v>
      </c>
      <c r="W116" s="3">
        <v>0.12</v>
      </c>
      <c r="X116" s="3">
        <v>0.12</v>
      </c>
      <c r="Y116" s="3">
        <v>0.12</v>
      </c>
      <c r="Z116" s="3">
        <v>0.12</v>
      </c>
      <c r="AA116" s="3">
        <v>0.12</v>
      </c>
      <c r="AB116" s="3">
        <v>0.12</v>
      </c>
      <c r="AC116" s="3">
        <v>0.12</v>
      </c>
      <c r="AD116" s="3">
        <v>0.12</v>
      </c>
      <c r="AE116" s="3">
        <v>0.12</v>
      </c>
      <c r="AF116" s="3">
        <v>0.12</v>
      </c>
      <c r="AG116" s="3">
        <v>0.12</v>
      </c>
      <c r="AH116" s="3">
        <v>0.12</v>
      </c>
      <c r="AI116" s="3">
        <v>0.12</v>
      </c>
      <c r="AJ116" s="3">
        <v>0.12</v>
      </c>
      <c r="AK116" s="3">
        <v>0.12</v>
      </c>
      <c r="AL116" s="3">
        <v>0.12</v>
      </c>
      <c r="AM116" s="3">
        <v>0.12</v>
      </c>
      <c r="AN116" s="3">
        <v>0.12</v>
      </c>
      <c r="AO116" s="3">
        <v>0.12</v>
      </c>
      <c r="AP116" s="3">
        <v>0.12</v>
      </c>
      <c r="AQ116" s="3">
        <v>0.12</v>
      </c>
      <c r="AR116" s="3">
        <v>0.12</v>
      </c>
      <c r="AS116" s="3">
        <v>0.12</v>
      </c>
      <c r="AT116" s="3">
        <v>0.12</v>
      </c>
      <c r="AU116" s="3">
        <v>0.12</v>
      </c>
      <c r="AV116" s="3">
        <v>0.12</v>
      </c>
      <c r="AW116" s="3">
        <v>0.12</v>
      </c>
      <c r="AX116" s="3">
        <v>0.12</v>
      </c>
      <c r="AY116" s="3">
        <v>0.12</v>
      </c>
      <c r="AZ116" s="3">
        <v>0.12</v>
      </c>
      <c r="BA116" s="3">
        <v>0.12</v>
      </c>
      <c r="BB116" s="39" t="s">
        <v>87</v>
      </c>
      <c r="BC116" s="39" t="s">
        <v>60</v>
      </c>
      <c r="BD116" s="41">
        <f>IFERROR(ABS(SUMIFS('TRA balance'!E$5:E$40,'TRA balance'!$C$5:$C$40,Assumptions!$BB116,'TRA balance'!$D$5:$D$40,Assumptions!$BC116)),"")</f>
        <v>2.251598238</v>
      </c>
      <c r="BE116" s="41">
        <f>IFERROR(ABS(SUMIFS('TRA balance'!F$5:F$40,'TRA balance'!$C$5:$C$40,Assumptions!$BB116,'TRA balance'!$D$5:$D$40,Assumptions!$BC116)),"")</f>
        <v>20.462294178</v>
      </c>
      <c r="BF116" s="41">
        <f>IFERROR(ABS(SUMIFS('TRA balance'!G$5:G$40,'TRA balance'!$C$5:$C$40,Assumptions!$BB116,'TRA balance'!$D$5:$D$40,Assumptions!$BC116)),"")</f>
        <v>12.196211202</v>
      </c>
      <c r="BG116" s="41">
        <f>IFERROR(ABS(SUMIFS('TRA balance'!H$5:H$40,'TRA balance'!$C$5:$C$40,Assumptions!$BB116,'TRA balance'!$D$5:$D$40,Assumptions!$BC116)),"")</f>
        <v>1.039142826</v>
      </c>
      <c r="BH116" s="41">
        <f>IFERROR(ABS(SUMIFS('TRA balance'!I$5:I$40,'TRA balance'!$C$5:$C$40,Assumptions!$BB116,'TRA balance'!$D$5:$D$40,Assumptions!$BC116)),"")</f>
        <v>0.5173754364</v>
      </c>
      <c r="BI116" s="41">
        <f>IFERROR(ABS(SUMIFS('TRA balance'!J$5:J$40,'TRA balance'!$C$5:$C$40,Assumptions!$BB116,'TRA balance'!$D$5:$D$40,Assumptions!$BC116)),"")</f>
        <v>17.810081982</v>
      </c>
      <c r="BJ116" s="41">
        <f>IFERROR(ABS(SUMIFS('TRA balance'!K$5:K$40,'TRA balance'!$C$5:$C$40,Assumptions!$BB116,'TRA balance'!$D$5:$D$40,Assumptions!$BC116)),"")</f>
        <v>13.3221798864</v>
      </c>
      <c r="BK116" s="41">
        <f>IFERROR(ABS(SUMIFS('TRA balance'!L$5:L$40,'TRA balance'!$C$5:$C$40,Assumptions!$BB116,'TRA balance'!$D$5:$D$40,Assumptions!$BC116)),"")</f>
        <v>622.7079095772</v>
      </c>
      <c r="BL116" s="41">
        <f>IFERROR(ABS(SUMIFS('TRA balance'!M$5:M$40,'TRA balance'!$C$5:$C$40,Assumptions!$BB116,'TRA balance'!$D$5:$D$40,Assumptions!$BC116)),"")</f>
        <v>2.0970592632</v>
      </c>
      <c r="BM116" s="41">
        <f>IFERROR(ABS(SUMIFS('TRA balance'!N$5:N$40,'TRA balance'!$C$5:$C$40,Assumptions!$BB116,'TRA balance'!$D$5:$D$40,Assumptions!$BC116)),"")</f>
        <v>0.2129992632</v>
      </c>
      <c r="BN116" s="41">
        <f>IFERROR(ABS(SUMIFS('TRA balance'!O$5:O$40,'TRA balance'!$C$5:$C$40,Assumptions!$BB116,'TRA balance'!$D$5:$D$40,Assumptions!$BC116)),"")</f>
        <v>7.3308230316</v>
      </c>
      <c r="BO116" s="41">
        <f>IFERROR(ABS(SUMIFS('TRA balance'!P$5:P$40,'TRA balance'!$C$5:$C$40,Assumptions!$BB116,'TRA balance'!$D$5:$D$40,Assumptions!$BC116)),"")</f>
        <v>11.2463979408</v>
      </c>
      <c r="BP116" s="41">
        <f>IFERROR(ABS(SUMIFS('TRA balance'!Q$5:Q$40,'TRA balance'!$C$5:$C$40,Assumptions!$BB116,'TRA balance'!$D$5:$D$40,Assumptions!$BC116)),"")</f>
        <v>12.4834633632</v>
      </c>
      <c r="BQ116" s="41">
        <f>IFERROR(ABS(SUMIFS('TRA balance'!R$5:R$40,'TRA balance'!$C$5:$C$40,Assumptions!$BB116,'TRA balance'!$D$5:$D$40,Assumptions!$BC116)),"")</f>
        <v>2.037966768</v>
      </c>
      <c r="BR116" s="41">
        <f>IFERROR(ABS(SUMIFS('TRA balance'!S$5:S$40,'TRA balance'!$C$5:$C$40,Assumptions!$BB116,'TRA balance'!$D$5:$D$40,Assumptions!$BC116)),"")</f>
        <v>0.5060878236</v>
      </c>
      <c r="BS116" s="41">
        <f>IFERROR(ABS(SUMIFS('TRA balance'!T$5:T$40,'TRA balance'!$C$5:$C$40,Assumptions!$BB116,'TRA balance'!$D$5:$D$40,Assumptions!$BC116)),"")</f>
        <v>35.0816619348</v>
      </c>
      <c r="BT116" s="41">
        <f>IFERROR(ABS(SUMIFS('TRA balance'!U$5:U$40,'TRA balance'!$C$5:$C$40,Assumptions!$BB116,'TRA balance'!$D$5:$D$40,Assumptions!$BC116)),"")</f>
        <v>3.6805991328</v>
      </c>
      <c r="BU116" s="41">
        <f>IFERROR(ABS(SUMIFS('TRA balance'!V$5:V$40,'TRA balance'!$C$5:$C$40,Assumptions!$BB116,'TRA balance'!$D$5:$D$40,Assumptions!$BC116)),"")</f>
        <v>10.8362171448</v>
      </c>
      <c r="BV116" s="41">
        <f>IFERROR(ABS(SUMIFS('TRA balance'!W$5:W$40,'TRA balance'!$C$5:$C$40,Assumptions!$BB116,'TRA balance'!$D$5:$D$40,Assumptions!$BC116)),"")</f>
        <v>42.246633258</v>
      </c>
      <c r="BW116" s="41">
        <f>IFERROR(ABS(SUMIFS('TRA balance'!X$5:X$40,'TRA balance'!$C$5:$C$40,Assumptions!$BB116,'TRA balance'!$D$5:$D$40,Assumptions!$BC116)),"")</f>
        <v>34.985403216</v>
      </c>
      <c r="BX116" s="41">
        <f>IFERROR(ABS(SUMIFS('TRA balance'!Y$5:Y$40,'TRA balance'!$C$5:$C$40,Assumptions!$BB116,'TRA balance'!$D$5:$D$40,Assumptions!$BC116)),"")</f>
        <v>0</v>
      </c>
      <c r="BY116" s="41">
        <f>IFERROR(ABS(SUMIFS('TRA balance'!Z$5:Z$40,'TRA balance'!$C$5:$C$40,Assumptions!$BB116,'TRA balance'!$D$5:$D$40,Assumptions!$BC116)),"")</f>
        <v>204.4855812456</v>
      </c>
      <c r="BZ116" s="41">
        <f>IFERROR(ABS(SUMIFS('TRA balance'!AA$5:AA$40,'TRA balance'!$C$5:$C$40,Assumptions!$BB116,'TRA balance'!$D$5:$D$40,Assumptions!$BC116)),"")</f>
        <v>36.077299722</v>
      </c>
      <c r="CA116" s="41">
        <f>IFERROR(ABS(SUMIFS('TRA balance'!AB$5:AB$40,'TRA balance'!$C$5:$C$40,Assumptions!$BB116,'TRA balance'!$D$5:$D$40,Assumptions!$BC116)),"")</f>
        <v>0.077958216</v>
      </c>
      <c r="CB116" s="41">
        <f>IFERROR(ABS(SUMIFS('TRA balance'!AC$5:AC$40,'TRA balance'!$C$5:$C$40,Assumptions!$BB116,'TRA balance'!$D$5:$D$40,Assumptions!$BC116)),"")</f>
        <v>246.6527992812</v>
      </c>
      <c r="CC116" s="41">
        <f>IFERROR(ABS(SUMIFS('TRA balance'!AD$5:AD$40,'TRA balance'!$C$5:$C$40,Assumptions!$BB116,'TRA balance'!$D$5:$D$40,Assumptions!$BC116)),"")</f>
        <v>17.1489569544</v>
      </c>
      <c r="CD116" s="41">
        <f>IFERROR(ABS(SUMIFS('TRA balance'!AE$5:AE$40,'TRA balance'!$C$5:$C$40,Assumptions!$BB116,'TRA balance'!$D$5:$D$40,Assumptions!$BC116)),"")</f>
        <v>0</v>
      </c>
      <c r="CE116" s="41">
        <f>IFERROR(ABS(SUMIFS('TRA balance'!AF$5:AF$40,'TRA balance'!$C$5:$C$40,Assumptions!$BB116,'TRA balance'!$D$5:$D$40,Assumptions!$BC116)),"")</f>
        <v>11.0169654876</v>
      </c>
      <c r="CF116" s="41">
        <f>IFERROR(ABS(SUMIFS('TRA balance'!AG$5:AG$40,'TRA balance'!$C$5:$C$40,Assumptions!$BB116,'TRA balance'!$D$5:$D$40,Assumptions!$BC116)),"")</f>
        <v>20.6911153584</v>
      </c>
      <c r="CG116" s="41">
        <f>IFERROR(ABS(SUMIFS('TRA balance'!AH$5:AH$40,'TRA balance'!$C$5:$C$40,Assumptions!$BB116,'TRA balance'!$D$5:$D$40,Assumptions!$BC116)),"")</f>
        <v>10.993741308</v>
      </c>
      <c r="CH116" s="41">
        <f>IFERROR(ABS(SUMIFS('TRA balance'!AI$5:AI$40,'TRA balance'!$C$5:$C$40,Assumptions!$BB116,'TRA balance'!$D$5:$D$40,Assumptions!$BC116)),"")</f>
        <v>0.9950097672</v>
      </c>
      <c r="CI116" s="41">
        <f>IFERROR(ABS(SUMIFS('TRA balance'!AJ$5:AJ$40,'TRA balance'!$C$5:$C$40,Assumptions!$BB116,'TRA balance'!$D$5:$D$40,Assumptions!$BC116)),"")</f>
        <v>14.8248014724</v>
      </c>
      <c r="CJ116" s="41">
        <f>IFERROR(ABS(SUMIFS('TRA balance'!AK$5:AK$40,'TRA balance'!$C$5:$C$40,Assumptions!$BB116,'TRA balance'!$D$5:$D$40,Assumptions!$BC116)),"")</f>
        <v>36.8485752708</v>
      </c>
      <c r="CK116" s="41">
        <f>IFERROR(ABS(SUMIFS('TRA balance'!AL$5:AL$40,'TRA balance'!$C$5:$C$40,Assumptions!$BB116,'TRA balance'!$D$5:$D$40,Assumptions!$BC116)),"")</f>
        <v>5.6338711236</v>
      </c>
      <c r="CL116" s="41">
        <f>IFERROR(ABS(SUMIFS('TRA balance'!AM$5:AM$40,'TRA balance'!$C$5:$C$40,Assumptions!$BB116,'TRA balance'!$D$5:$D$40,Assumptions!$BC116)),"")</f>
        <v>1.5225465672</v>
      </c>
      <c r="CM116" s="41">
        <f>IFERROR(ABS(SUMIFS('TRA balance'!AN$5:AN$40,'TRA balance'!$C$5:$C$40,Assumptions!$BB116,'TRA balance'!$D$5:$D$40,Assumptions!$BC116)),"")</f>
        <v>0</v>
      </c>
      <c r="CN116" s="41">
        <f>IFERROR(ABS(SUMIFS('TRA balance'!AO$5:AO$40,'TRA balance'!$C$5:$C$40,Assumptions!$BB116,'TRA balance'!$D$5:$D$40,Assumptions!$BC116)),"")</f>
        <v>0</v>
      </c>
      <c r="CO116" s="41">
        <f>IFERROR(ABS(SUMIFS('TRA balance'!AP$5:AP$40,'TRA balance'!$C$5:$C$40,Assumptions!$BB116,'TRA balance'!$D$5:$D$40,Assumptions!$BC116)),"")</f>
        <v>0</v>
      </c>
      <c r="CP116" s="41">
        <f>IFERROR(ABS(SUMIFS('TRA balance'!AQ$5:AQ$40,'TRA balance'!$C$5:$C$40,Assumptions!$BB116,'TRA balance'!$D$5:$D$40,Assumptions!$BC116)),"")</f>
        <v>0</v>
      </c>
      <c r="CQ116" s="41">
        <f>IFERROR(ABS(SUMIFS('TRA balance'!AR$5:AR$40,'TRA balance'!$C$5:$C$40,Assumptions!$BB116,'TRA balance'!$D$5:$D$40,Assumptions!$BC116)),"")</f>
        <v>0</v>
      </c>
      <c r="CR116" s="41">
        <f>IFERROR(ABS(SUMIFS('TRA balance'!AS$5:AS$40,'TRA balance'!$C$5:$C$40,Assumptions!$BB116,'TRA balance'!$D$5:$D$40,Assumptions!$BC116)),"")</f>
        <v>0</v>
      </c>
      <c r="CS116" s="41">
        <f>IFERROR(ABS(SUMIFS('TRA balance'!AT$5:AT$40,'TRA balance'!$C$5:$C$40,Assumptions!$BB116,'TRA balance'!$D$5:$D$40,Assumptions!$BC116)),"")</f>
        <v>0</v>
      </c>
      <c r="CT116" s="41">
        <f>IFERROR(ABS(SUMIFS('TRA balance'!AU$5:AU$40,'TRA balance'!$C$5:$C$40,Assumptions!$BB116,'TRA balance'!$D$5:$D$40,Assumptions!$BC116)),"")</f>
        <v>0</v>
      </c>
      <c r="CU116" s="41">
        <f>IFERROR(ABS(SUMIFS('TRA balance'!AV$5:AV$40,'TRA balance'!$C$5:$C$40,Assumptions!$BB116,'TRA balance'!$D$5:$D$40,Assumptions!$BC116)),"")</f>
        <v>0</v>
      </c>
      <c r="CV116" s="41">
        <f>IFERROR(ABS(SUMIFS('TRA balance'!AW$5:AW$40,'TRA balance'!$C$5:$C$40,Assumptions!$BB116,'TRA balance'!$D$5:$D$40,Assumptions!$BC116)),"")</f>
        <v>0</v>
      </c>
      <c r="CW116" s="41">
        <f>IFERROR(ABS(SUMIFS('TRA balance'!AX$5:AX$40,'TRA balance'!$C$5:$C$40,Assumptions!$BB116,'TRA balance'!$D$5:$D$40,Assumptions!$BC116)),"")</f>
        <v>0</v>
      </c>
      <c r="CX116" s="39"/>
    </row>
    <row r="117" spans="3:102">
      <c r="C117" t="str">
        <f t="shared" si="151"/>
        <v>GAS</v>
      </c>
      <c r="D117" t="str">
        <f t="shared" si="150"/>
        <v>TRC</v>
      </c>
      <c r="E117" t="s">
        <v>247</v>
      </c>
      <c r="F117" s="3">
        <v>0.1152</v>
      </c>
      <c r="G117" s="3">
        <v>0.1152</v>
      </c>
      <c r="H117" s="3">
        <v>0.128</v>
      </c>
      <c r="I117" s="3">
        <v>0.128</v>
      </c>
      <c r="J117" s="3">
        <v>0.128</v>
      </c>
      <c r="K117" s="3">
        <v>0.128</v>
      </c>
      <c r="L117" s="3">
        <v>0.128</v>
      </c>
      <c r="M117" s="3">
        <v>0.128</v>
      </c>
      <c r="N117" s="3">
        <v>0.128</v>
      </c>
      <c r="O117" s="3">
        <v>0.128</v>
      </c>
      <c r="P117" s="3">
        <v>0.128</v>
      </c>
      <c r="Q117" s="3">
        <v>0.128</v>
      </c>
      <c r="R117" s="3">
        <v>0.128</v>
      </c>
      <c r="S117" s="3">
        <v>0.128</v>
      </c>
      <c r="T117" s="3">
        <v>0.128</v>
      </c>
      <c r="U117" s="3">
        <v>0.128</v>
      </c>
      <c r="V117" s="3">
        <v>0.128</v>
      </c>
      <c r="W117" s="3">
        <v>0.128</v>
      </c>
      <c r="X117" s="3">
        <v>0.128</v>
      </c>
      <c r="Y117" s="3">
        <v>0.128</v>
      </c>
      <c r="Z117" s="3">
        <v>0.128</v>
      </c>
      <c r="AA117" s="3">
        <v>0.128</v>
      </c>
      <c r="AB117" s="3">
        <v>0.128</v>
      </c>
      <c r="AC117" s="3">
        <v>0.128</v>
      </c>
      <c r="AD117" s="3">
        <v>0.128</v>
      </c>
      <c r="AE117" s="3">
        <v>0.128</v>
      </c>
      <c r="AF117" s="3">
        <v>0.128</v>
      </c>
      <c r="AG117" s="3">
        <v>0.128</v>
      </c>
      <c r="AH117" s="3">
        <v>0.128</v>
      </c>
      <c r="AI117" s="3">
        <v>0.128</v>
      </c>
      <c r="AJ117" s="3">
        <v>0.128</v>
      </c>
      <c r="AK117" s="3">
        <v>0.128</v>
      </c>
      <c r="AL117" s="3">
        <v>0.128</v>
      </c>
      <c r="AM117" s="3">
        <v>0.128</v>
      </c>
      <c r="AN117" s="3">
        <v>0.128</v>
      </c>
      <c r="AO117" s="3">
        <v>0.128</v>
      </c>
      <c r="AP117" s="3">
        <v>0.128</v>
      </c>
      <c r="AQ117" s="3">
        <v>0.128</v>
      </c>
      <c r="AR117" s="3">
        <v>0.128</v>
      </c>
      <c r="AS117" s="3">
        <v>0.128</v>
      </c>
      <c r="AT117" s="3">
        <v>0.128</v>
      </c>
      <c r="AU117" s="3">
        <v>0.128</v>
      </c>
      <c r="AV117" s="3">
        <v>0.128</v>
      </c>
      <c r="AW117" s="3">
        <v>0.128</v>
      </c>
      <c r="AX117" s="3">
        <v>0.128</v>
      </c>
      <c r="AY117" s="3">
        <v>0.128</v>
      </c>
      <c r="AZ117" s="3">
        <v>0.128</v>
      </c>
      <c r="BA117" s="3">
        <v>0.128</v>
      </c>
      <c r="BB117" s="39" t="s">
        <v>87</v>
      </c>
      <c r="BC117" s="39" t="s">
        <v>66</v>
      </c>
      <c r="BD117" s="41">
        <f>IFERROR(ABS(SUMIFS('TRA balance'!E$5:E$40,'TRA balance'!$C$5:$C$40,Assumptions!$BB117,'TRA balance'!$D$5:$D$40,Assumptions!$BC117)),"")</f>
        <v>0</v>
      </c>
      <c r="BE117" s="41">
        <f>IFERROR(ABS(SUMIFS('TRA balance'!F$5:F$40,'TRA balance'!$C$5:$C$40,Assumptions!$BB117,'TRA balance'!$D$5:$D$40,Assumptions!$BC117)),"")</f>
        <v>2.8287653652</v>
      </c>
      <c r="BF117" s="41">
        <f>IFERROR(ABS(SUMIFS('TRA balance'!G$5:G$40,'TRA balance'!$C$5:$C$40,Assumptions!$BB117,'TRA balance'!$D$5:$D$40,Assumptions!$BC117)),"")</f>
        <v>11.2423199976</v>
      </c>
      <c r="BG117" s="41">
        <f>IFERROR(ABS(SUMIFS('TRA balance'!H$5:H$40,'TRA balance'!$C$5:$C$40,Assumptions!$BB117,'TRA balance'!$D$5:$D$40,Assumptions!$BC117)),"")</f>
        <v>0.0985614588</v>
      </c>
      <c r="BH117" s="41">
        <f>IFERROR(ABS(SUMIFS('TRA balance'!I$5:I$40,'TRA balance'!$C$5:$C$40,Assumptions!$BB117,'TRA balance'!$D$5:$D$40,Assumptions!$BC117)),"")</f>
        <v>0.0038267352</v>
      </c>
      <c r="BI117" s="41">
        <f>IFERROR(ABS(SUMIFS('TRA balance'!J$5:J$40,'TRA balance'!$C$5:$C$40,Assumptions!$BB117,'TRA balance'!$D$5:$D$40,Assumptions!$BC117)),"")</f>
        <v>0.0018463788</v>
      </c>
      <c r="BJ117" s="41">
        <f>IFERROR(ABS(SUMIFS('TRA balance'!K$5:K$40,'TRA balance'!$C$5:$C$40,Assumptions!$BB117,'TRA balance'!$D$5:$D$40,Assumptions!$BC117)),"")</f>
        <v>0</v>
      </c>
      <c r="BK117" s="41">
        <f>IFERROR(ABS(SUMIFS('TRA balance'!L$5:L$40,'TRA balance'!$C$5:$C$40,Assumptions!$BB117,'TRA balance'!$D$5:$D$40,Assumptions!$BC117)),"")</f>
        <v>0</v>
      </c>
      <c r="BL117" s="41">
        <f>IFERROR(ABS(SUMIFS('TRA balance'!M$5:M$40,'TRA balance'!$C$5:$C$40,Assumptions!$BB117,'TRA balance'!$D$5:$D$40,Assumptions!$BC117)),"")</f>
        <v>0</v>
      </c>
      <c r="BM117" s="41">
        <f>IFERROR(ABS(SUMIFS('TRA balance'!N$5:N$40,'TRA balance'!$C$5:$C$40,Assumptions!$BB117,'TRA balance'!$D$5:$D$40,Assumptions!$BC117)),"")</f>
        <v>0</v>
      </c>
      <c r="BN117" s="41">
        <f>IFERROR(ABS(SUMIFS('TRA balance'!O$5:O$40,'TRA balance'!$C$5:$C$40,Assumptions!$BB117,'TRA balance'!$D$5:$D$40,Assumptions!$BC117)),"")</f>
        <v>13.1102859384</v>
      </c>
      <c r="BO117" s="41">
        <f>IFERROR(ABS(SUMIFS('TRA balance'!P$5:P$40,'TRA balance'!$C$5:$C$40,Assumptions!$BB117,'TRA balance'!$D$5:$D$40,Assumptions!$BC117)),"")</f>
        <v>0</v>
      </c>
      <c r="BP117" s="41">
        <f>IFERROR(ABS(SUMIFS('TRA balance'!Q$5:Q$40,'TRA balance'!$C$5:$C$40,Assumptions!$BB117,'TRA balance'!$D$5:$D$40,Assumptions!$BC117)),"")</f>
        <v>0.0027716616</v>
      </c>
      <c r="BQ117" s="41">
        <f>IFERROR(ABS(SUMIFS('TRA balance'!R$5:R$40,'TRA balance'!$C$5:$C$40,Assumptions!$BB117,'TRA balance'!$D$5:$D$40,Assumptions!$BC117)),"")</f>
        <v>0</v>
      </c>
      <c r="BR117" s="41">
        <f>IFERROR(ABS(SUMIFS('TRA balance'!S$5:S$40,'TRA balance'!$C$5:$C$40,Assumptions!$BB117,'TRA balance'!$D$5:$D$40,Assumptions!$BC117)),"")</f>
        <v>0</v>
      </c>
      <c r="BS117" s="41">
        <f>IFERROR(ABS(SUMIFS('TRA balance'!T$5:T$40,'TRA balance'!$C$5:$C$40,Assumptions!$BB117,'TRA balance'!$D$5:$D$40,Assumptions!$BC117)),"")</f>
        <v>0</v>
      </c>
      <c r="BT117" s="41">
        <f>IFERROR(ABS(SUMIFS('TRA balance'!U$5:U$40,'TRA balance'!$C$5:$C$40,Assumptions!$BB117,'TRA balance'!$D$5:$D$40,Assumptions!$BC117)),"")</f>
        <v>0</v>
      </c>
      <c r="BU117" s="41">
        <f>IFERROR(ABS(SUMIFS('TRA balance'!V$5:V$40,'TRA balance'!$C$5:$C$40,Assumptions!$BB117,'TRA balance'!$D$5:$D$40,Assumptions!$BC117)),"")</f>
        <v>0.0174673296</v>
      </c>
      <c r="BV117" s="41">
        <f>IFERROR(ABS(SUMIFS('TRA balance'!W$5:W$40,'TRA balance'!$C$5:$C$40,Assumptions!$BB117,'TRA balance'!$D$5:$D$40,Assumptions!$BC117)),"")</f>
        <v>0</v>
      </c>
      <c r="BW117" s="41">
        <f>IFERROR(ABS(SUMIFS('TRA balance'!X$5:X$40,'TRA balance'!$C$5:$C$40,Assumptions!$BB117,'TRA balance'!$D$5:$D$40,Assumptions!$BC117)),"")</f>
        <v>0.3360283812</v>
      </c>
      <c r="BX117" s="41">
        <f>IFERROR(ABS(SUMIFS('TRA balance'!Y$5:Y$40,'TRA balance'!$C$5:$C$40,Assumptions!$BB117,'TRA balance'!$D$5:$D$40,Assumptions!$BC117)),"")</f>
        <v>0</v>
      </c>
      <c r="BY117" s="41">
        <f>IFERROR(ABS(SUMIFS('TRA balance'!Z$5:Z$40,'TRA balance'!$C$5:$C$40,Assumptions!$BB117,'TRA balance'!$D$5:$D$40,Assumptions!$BC117)),"")</f>
        <v>198.2089986408</v>
      </c>
      <c r="BZ117" s="41">
        <f>IFERROR(ABS(SUMIFS('TRA balance'!AA$5:AA$40,'TRA balance'!$C$5:$C$40,Assumptions!$BB117,'TRA balance'!$D$5:$D$40,Assumptions!$BC117)),"")</f>
        <v>2.637097848</v>
      </c>
      <c r="CA117" s="41">
        <f>IFERROR(ABS(SUMIFS('TRA balance'!AB$5:AB$40,'TRA balance'!$C$5:$C$40,Assumptions!$BB117,'TRA balance'!$D$5:$D$40,Assumptions!$BC117)),"")</f>
        <v>0</v>
      </c>
      <c r="CB117" s="41">
        <f>IFERROR(ABS(SUMIFS('TRA balance'!AC$5:AC$40,'TRA balance'!$C$5:$C$40,Assumptions!$BB117,'TRA balance'!$D$5:$D$40,Assumptions!$BC117)),"")</f>
        <v>9.0982597176</v>
      </c>
      <c r="CC117" s="41">
        <f>IFERROR(ABS(SUMIFS('TRA balance'!AD$5:AD$40,'TRA balance'!$C$5:$C$40,Assumptions!$BB117,'TRA balance'!$D$5:$D$40,Assumptions!$BC117)),"")</f>
        <v>0.5852015964</v>
      </c>
      <c r="CD117" s="41">
        <f>IFERROR(ABS(SUMIFS('TRA balance'!AE$5:AE$40,'TRA balance'!$C$5:$C$40,Assumptions!$BB117,'TRA balance'!$D$5:$D$40,Assumptions!$BC117)),"")</f>
        <v>0</v>
      </c>
      <c r="CE117" s="41">
        <f>IFERROR(ABS(SUMIFS('TRA balance'!AF$5:AF$40,'TRA balance'!$C$5:$C$40,Assumptions!$BB117,'TRA balance'!$D$5:$D$40,Assumptions!$BC117)),"")</f>
        <v>0.0382296708</v>
      </c>
      <c r="CF117" s="41">
        <f>IFERROR(ABS(SUMIFS('TRA balance'!AG$5:AG$40,'TRA balance'!$C$5:$C$40,Assumptions!$BB117,'TRA balance'!$D$5:$D$40,Assumptions!$BC117)),"")</f>
        <v>0</v>
      </c>
      <c r="CG117" s="41">
        <f>IFERROR(ABS(SUMIFS('TRA balance'!AH$5:AH$40,'TRA balance'!$C$5:$C$40,Assumptions!$BB117,'TRA balance'!$D$5:$D$40,Assumptions!$BC117)),"")</f>
        <v>1.3640008248</v>
      </c>
      <c r="CH117" s="41">
        <f>IFERROR(ABS(SUMIFS('TRA balance'!AI$5:AI$40,'TRA balance'!$C$5:$C$40,Assumptions!$BB117,'TRA balance'!$D$5:$D$40,Assumptions!$BC117)),"")</f>
        <v>0.5246981496</v>
      </c>
      <c r="CI117" s="41">
        <f>IFERROR(ABS(SUMIFS('TRA balance'!AJ$5:AJ$40,'TRA balance'!$C$5:$C$40,Assumptions!$BB117,'TRA balance'!$D$5:$D$40,Assumptions!$BC117)),"")</f>
        <v>0</v>
      </c>
      <c r="CJ117" s="41">
        <f>IFERROR(ABS(SUMIFS('TRA balance'!AK$5:AK$40,'TRA balance'!$C$5:$C$40,Assumptions!$BB117,'TRA balance'!$D$5:$D$40,Assumptions!$BC117)),"")</f>
        <v>0</v>
      </c>
      <c r="CK117" s="41">
        <f>IFERROR(ABS(SUMIFS('TRA balance'!AL$5:AL$40,'TRA balance'!$C$5:$C$40,Assumptions!$BB117,'TRA balance'!$D$5:$D$40,Assumptions!$BC117)),"")</f>
        <v>0</v>
      </c>
      <c r="CL117" s="41">
        <f>IFERROR(ABS(SUMIFS('TRA balance'!AM$5:AM$40,'TRA balance'!$C$5:$C$40,Assumptions!$BB117,'TRA balance'!$D$5:$D$40,Assumptions!$BC117)),"")</f>
        <v>0.2992012884</v>
      </c>
      <c r="CM117" s="41">
        <f>IFERROR(ABS(SUMIFS('TRA balance'!AN$5:AN$40,'TRA balance'!$C$5:$C$40,Assumptions!$BB117,'TRA balance'!$D$5:$D$40,Assumptions!$BC117)),"")</f>
        <v>0</v>
      </c>
      <c r="CN117" s="41">
        <f>IFERROR(ABS(SUMIFS('TRA balance'!AO$5:AO$40,'TRA balance'!$C$5:$C$40,Assumptions!$BB117,'TRA balance'!$D$5:$D$40,Assumptions!$BC117)),"")</f>
        <v>0</v>
      </c>
      <c r="CO117" s="41">
        <f>IFERROR(ABS(SUMIFS('TRA balance'!AP$5:AP$40,'TRA balance'!$C$5:$C$40,Assumptions!$BB117,'TRA balance'!$D$5:$D$40,Assumptions!$BC117)),"")</f>
        <v>0</v>
      </c>
      <c r="CP117" s="41">
        <f>IFERROR(ABS(SUMIFS('TRA balance'!AQ$5:AQ$40,'TRA balance'!$C$5:$C$40,Assumptions!$BB117,'TRA balance'!$D$5:$D$40,Assumptions!$BC117)),"")</f>
        <v>0</v>
      </c>
      <c r="CQ117" s="41">
        <f>IFERROR(ABS(SUMIFS('TRA balance'!AR$5:AR$40,'TRA balance'!$C$5:$C$40,Assumptions!$BB117,'TRA balance'!$D$5:$D$40,Assumptions!$BC117)),"")</f>
        <v>0</v>
      </c>
      <c r="CR117" s="41">
        <f>IFERROR(ABS(SUMIFS('TRA balance'!AS$5:AS$40,'TRA balance'!$C$5:$C$40,Assumptions!$BB117,'TRA balance'!$D$5:$D$40,Assumptions!$BC117)),"")</f>
        <v>0</v>
      </c>
      <c r="CS117" s="41">
        <f>IFERROR(ABS(SUMIFS('TRA balance'!AT$5:AT$40,'TRA balance'!$C$5:$C$40,Assumptions!$BB117,'TRA balance'!$D$5:$D$40,Assumptions!$BC117)),"")</f>
        <v>0</v>
      </c>
      <c r="CT117" s="41">
        <f>IFERROR(ABS(SUMIFS('TRA balance'!AU$5:AU$40,'TRA balance'!$C$5:$C$40,Assumptions!$BB117,'TRA balance'!$D$5:$D$40,Assumptions!$BC117)),"")</f>
        <v>0</v>
      </c>
      <c r="CU117" s="41">
        <f>IFERROR(ABS(SUMIFS('TRA balance'!AV$5:AV$40,'TRA balance'!$C$5:$C$40,Assumptions!$BB117,'TRA balance'!$D$5:$D$40,Assumptions!$BC117)),"")</f>
        <v>0</v>
      </c>
      <c r="CV117" s="41">
        <f>IFERROR(ABS(SUMIFS('TRA balance'!AW$5:AW$40,'TRA balance'!$C$5:$C$40,Assumptions!$BB117,'TRA balance'!$D$5:$D$40,Assumptions!$BC117)),"")</f>
        <v>0</v>
      </c>
      <c r="CW117" s="41">
        <f>IFERROR(ABS(SUMIFS('TRA balance'!AX$5:AX$40,'TRA balance'!$C$5:$C$40,Assumptions!$BB117,'TRA balance'!$D$5:$D$40,Assumptions!$BC117)),"")</f>
        <v>0</v>
      </c>
      <c r="CX117" s="39"/>
    </row>
    <row r="118" spans="3:102">
      <c r="C118" t="str">
        <f t="shared" si="151"/>
        <v>LPG</v>
      </c>
      <c r="D118" t="str">
        <f t="shared" si="150"/>
        <v>TRC</v>
      </c>
      <c r="E118" t="s">
        <v>248</v>
      </c>
      <c r="F118" s="3">
        <v>0.108</v>
      </c>
      <c r="G118" s="3">
        <v>0.108</v>
      </c>
      <c r="H118" s="3">
        <v>0.12</v>
      </c>
      <c r="I118" s="3">
        <v>0.12</v>
      </c>
      <c r="J118" s="3">
        <v>0.12</v>
      </c>
      <c r="K118" s="3">
        <v>0.12</v>
      </c>
      <c r="L118" s="3">
        <v>0.12</v>
      </c>
      <c r="M118" s="3">
        <v>0.12</v>
      </c>
      <c r="N118" s="3">
        <v>0.12</v>
      </c>
      <c r="O118" s="3">
        <v>0.12</v>
      </c>
      <c r="P118" s="3">
        <v>0.12</v>
      </c>
      <c r="Q118" s="3">
        <v>0.12</v>
      </c>
      <c r="R118" s="3">
        <v>0.12</v>
      </c>
      <c r="S118" s="3">
        <v>0.12</v>
      </c>
      <c r="T118" s="3">
        <v>0.12</v>
      </c>
      <c r="U118" s="3">
        <v>0.12</v>
      </c>
      <c r="V118" s="3">
        <v>0.12</v>
      </c>
      <c r="W118" s="3">
        <v>0.12</v>
      </c>
      <c r="X118" s="3">
        <v>0.12</v>
      </c>
      <c r="Y118" s="3">
        <v>0.12</v>
      </c>
      <c r="Z118" s="3">
        <v>0.12</v>
      </c>
      <c r="AA118" s="3">
        <v>0.12</v>
      </c>
      <c r="AB118" s="3">
        <v>0.12</v>
      </c>
      <c r="AC118" s="3">
        <v>0.12</v>
      </c>
      <c r="AD118" s="3">
        <v>0.12</v>
      </c>
      <c r="AE118" s="3">
        <v>0.12</v>
      </c>
      <c r="AF118" s="3">
        <v>0.12</v>
      </c>
      <c r="AG118" s="3">
        <v>0.12</v>
      </c>
      <c r="AH118" s="3">
        <v>0.12</v>
      </c>
      <c r="AI118" s="3">
        <v>0.12</v>
      </c>
      <c r="AJ118" s="3">
        <v>0.12</v>
      </c>
      <c r="AK118" s="3">
        <v>0.12</v>
      </c>
      <c r="AL118" s="3">
        <v>0.12</v>
      </c>
      <c r="AM118" s="3">
        <v>0.12</v>
      </c>
      <c r="AN118" s="3">
        <v>0.12</v>
      </c>
      <c r="AO118" s="3">
        <v>0.12</v>
      </c>
      <c r="AP118" s="3">
        <v>0.12</v>
      </c>
      <c r="AQ118" s="3">
        <v>0.12</v>
      </c>
      <c r="AR118" s="3">
        <v>0.12</v>
      </c>
      <c r="AS118" s="3">
        <v>0.12</v>
      </c>
      <c r="AT118" s="3">
        <v>0.12</v>
      </c>
      <c r="AU118" s="3">
        <v>0.12</v>
      </c>
      <c r="AV118" s="3">
        <v>0.12</v>
      </c>
      <c r="AW118" s="3">
        <v>0.12</v>
      </c>
      <c r="AX118" s="3">
        <v>0.12</v>
      </c>
      <c r="AY118" s="3">
        <v>0.12</v>
      </c>
      <c r="AZ118" s="3">
        <v>0.12</v>
      </c>
      <c r="BA118" s="3">
        <v>0.12</v>
      </c>
      <c r="BB118" s="39" t="s">
        <v>87</v>
      </c>
      <c r="BC118" s="39" t="s">
        <v>69</v>
      </c>
      <c r="BD118" s="41">
        <f>IFERROR(ABS(SUMIFS('TRA balance'!E$5:E$40,'TRA balance'!$C$5:$C$40,Assumptions!$BB118,'TRA balance'!$D$5:$D$40,Assumptions!$BC118)),"")</f>
        <v>9.781474302</v>
      </c>
      <c r="BE118" s="41">
        <f>IFERROR(ABS(SUMIFS('TRA balance'!F$5:F$40,'TRA balance'!$C$5:$C$40,Assumptions!$BB118,'TRA balance'!$D$5:$D$40,Assumptions!$BC118)),"")</f>
        <v>0.2633162256</v>
      </c>
      <c r="BF118" s="41">
        <f>IFERROR(ABS(SUMIFS('TRA balance'!G$5:G$40,'TRA balance'!$C$5:$C$40,Assumptions!$BB118,'TRA balance'!$D$5:$D$40,Assumptions!$BC118)),"")</f>
        <v>5.7484010376</v>
      </c>
      <c r="BG118" s="41">
        <f>IFERROR(ABS(SUMIFS('TRA balance'!H$5:H$40,'TRA balance'!$C$5:$C$40,Assumptions!$BB118,'TRA balance'!$D$5:$D$40,Assumptions!$BC118)),"")</f>
        <v>0</v>
      </c>
      <c r="BH118" s="41">
        <f>IFERROR(ABS(SUMIFS('TRA balance'!I$5:I$40,'TRA balance'!$C$5:$C$40,Assumptions!$BB118,'TRA balance'!$D$5:$D$40,Assumptions!$BC118)),"")</f>
        <v>0</v>
      </c>
      <c r="BI118" s="41">
        <f>IFERROR(ABS(SUMIFS('TRA balance'!J$5:J$40,'TRA balance'!$C$5:$C$40,Assumptions!$BB118,'TRA balance'!$D$5:$D$40,Assumptions!$BC118)),"")</f>
        <v>0.0280013184</v>
      </c>
      <c r="BJ118" s="41">
        <f>IFERROR(ABS(SUMIFS('TRA balance'!K$5:K$40,'TRA balance'!$C$5:$C$40,Assumptions!$BB118,'TRA balance'!$D$5:$D$40,Assumptions!$BC118)),"")</f>
        <v>40.9893539652</v>
      </c>
      <c r="BK118" s="41">
        <f>IFERROR(ABS(SUMIFS('TRA balance'!L$5:L$40,'TRA balance'!$C$5:$C$40,Assumptions!$BB118,'TRA balance'!$D$5:$D$40,Assumptions!$BC118)),"")</f>
        <v>395.318158416</v>
      </c>
      <c r="BL118" s="41">
        <f>IFERROR(ABS(SUMIFS('TRA balance'!M$5:M$40,'TRA balance'!$C$5:$C$40,Assumptions!$BB118,'TRA balance'!$D$5:$D$40,Assumptions!$BC118)),"")</f>
        <v>0</v>
      </c>
      <c r="BM118" s="41">
        <f>IFERROR(ABS(SUMIFS('TRA balance'!N$5:N$40,'TRA balance'!$C$5:$C$40,Assumptions!$BB118,'TRA balance'!$D$5:$D$40,Assumptions!$BC118)),"")</f>
        <v>0</v>
      </c>
      <c r="BN118" s="41">
        <f>IFERROR(ABS(SUMIFS('TRA balance'!O$5:O$40,'TRA balance'!$C$5:$C$40,Assumptions!$BB118,'TRA balance'!$D$5:$D$40,Assumptions!$BC118)),"")</f>
        <v>0.4738787712</v>
      </c>
      <c r="BO118" s="41">
        <f>IFERROR(ABS(SUMIFS('TRA balance'!P$5:P$40,'TRA balance'!$C$5:$C$40,Assumptions!$BB118,'TRA balance'!$D$5:$D$40,Assumptions!$BC118)),"")</f>
        <v>0</v>
      </c>
      <c r="BP118" s="41">
        <f>IFERROR(ABS(SUMIFS('TRA balance'!Q$5:Q$40,'TRA balance'!$C$5:$C$40,Assumptions!$BB118,'TRA balance'!$D$5:$D$40,Assumptions!$BC118)),"")</f>
        <v>14.360242518</v>
      </c>
      <c r="BQ118" s="41">
        <f>IFERROR(ABS(SUMIFS('TRA balance'!R$5:R$40,'TRA balance'!$C$5:$C$40,Assumptions!$BB118,'TRA balance'!$D$5:$D$40,Assumptions!$BC118)),"")</f>
        <v>0</v>
      </c>
      <c r="BR118" s="41">
        <f>IFERROR(ABS(SUMIFS('TRA balance'!S$5:S$40,'TRA balance'!$C$5:$C$40,Assumptions!$BB118,'TRA balance'!$D$5:$D$40,Assumptions!$BC118)),"")</f>
        <v>0.1928816892</v>
      </c>
      <c r="BS118" s="41">
        <f>IFERROR(ABS(SUMIFS('TRA balance'!T$5:T$40,'TRA balance'!$C$5:$C$40,Assumptions!$BB118,'TRA balance'!$D$5:$D$40,Assumptions!$BC118)),"")</f>
        <v>29.293741692</v>
      </c>
      <c r="BT118" s="41">
        <f>IFERROR(ABS(SUMIFS('TRA balance'!U$5:U$40,'TRA balance'!$C$5:$C$40,Assumptions!$BB118,'TRA balance'!$D$5:$D$40,Assumptions!$BC118)),"")</f>
        <v>0</v>
      </c>
      <c r="BU118" s="41">
        <f>IFERROR(ABS(SUMIFS('TRA balance'!V$5:V$40,'TRA balance'!$C$5:$C$40,Assumptions!$BB118,'TRA balance'!$D$5:$D$40,Assumptions!$BC118)),"")</f>
        <v>15.0862796928</v>
      </c>
      <c r="BV118" s="41">
        <f>IFERROR(ABS(SUMIFS('TRA balance'!W$5:W$40,'TRA balance'!$C$5:$C$40,Assumptions!$BB118,'TRA balance'!$D$5:$D$40,Assumptions!$BC118)),"")</f>
        <v>88.7551818948</v>
      </c>
      <c r="BW118" s="41">
        <f>IFERROR(ABS(SUMIFS('TRA balance'!X$5:X$40,'TRA balance'!$C$5:$C$40,Assumptions!$BB118,'TRA balance'!$D$5:$D$40,Assumptions!$BC118)),"")</f>
        <v>16.62421275</v>
      </c>
      <c r="BX118" s="41">
        <f>IFERROR(ABS(SUMIFS('TRA balance'!Y$5:Y$40,'TRA balance'!$C$5:$C$40,Assumptions!$BB118,'TRA balance'!$D$5:$D$40,Assumptions!$BC118)),"")</f>
        <v>0</v>
      </c>
      <c r="BY118" s="41">
        <f>IFERROR(ABS(SUMIFS('TRA balance'!Z$5:Z$40,'TRA balance'!$C$5:$C$40,Assumptions!$BB118,'TRA balance'!$D$5:$D$40,Assumptions!$BC118)),"")</f>
        <v>38.4725638152</v>
      </c>
      <c r="BZ118" s="41">
        <f>IFERROR(ABS(SUMIFS('TRA balance'!AA$5:AA$40,'TRA balance'!$C$5:$C$40,Assumptions!$BB118,'TRA balance'!$D$5:$D$40,Assumptions!$BC118)),"")</f>
        <v>0.1321605288</v>
      </c>
      <c r="CA118" s="41">
        <f>IFERROR(ABS(SUMIFS('TRA balance'!AB$5:AB$40,'TRA balance'!$C$5:$C$40,Assumptions!$BB118,'TRA balance'!$D$5:$D$40,Assumptions!$BC118)),"")</f>
        <v>0</v>
      </c>
      <c r="CB118" s="41">
        <f>IFERROR(ABS(SUMIFS('TRA balance'!AC$5:AC$40,'TRA balance'!$C$5:$C$40,Assumptions!$BB118,'TRA balance'!$D$5:$D$40,Assumptions!$BC118)),"")</f>
        <v>24.9210100908</v>
      </c>
      <c r="CC118" s="41">
        <f>IFERROR(ABS(SUMIFS('TRA balance'!AD$5:AD$40,'TRA balance'!$C$5:$C$40,Assumptions!$BB118,'TRA balance'!$D$5:$D$40,Assumptions!$BC118)),"")</f>
        <v>7.8600010572</v>
      </c>
      <c r="CD118" s="41">
        <f>IFERROR(ABS(SUMIFS('TRA balance'!AE$5:AE$40,'TRA balance'!$C$5:$C$40,Assumptions!$BB118,'TRA balance'!$D$5:$D$40,Assumptions!$BC118)),"")</f>
        <v>0</v>
      </c>
      <c r="CE118" s="41">
        <f>IFERROR(ABS(SUMIFS('TRA balance'!AF$5:AF$40,'TRA balance'!$C$5:$C$40,Assumptions!$BB118,'TRA balance'!$D$5:$D$40,Assumptions!$BC118)),"")</f>
        <v>0</v>
      </c>
      <c r="CF118" s="41">
        <f>IFERROR(ABS(SUMIFS('TRA balance'!AG$5:AG$40,'TRA balance'!$C$5:$C$40,Assumptions!$BB118,'TRA balance'!$D$5:$D$40,Assumptions!$BC118)),"")</f>
        <v>25.9033589748</v>
      </c>
      <c r="CG118" s="41">
        <f>IFERROR(ABS(SUMIFS('TRA balance'!AH$5:AH$40,'TRA balance'!$C$5:$C$40,Assumptions!$BB118,'TRA balance'!$D$5:$D$40,Assumptions!$BC118)),"")</f>
        <v>3.920917266</v>
      </c>
      <c r="CH118" s="41">
        <f>IFERROR(ABS(SUMIFS('TRA balance'!AI$5:AI$40,'TRA balance'!$C$5:$C$40,Assumptions!$BB118,'TRA balance'!$D$5:$D$40,Assumptions!$BC118)),"")</f>
        <v>0</v>
      </c>
      <c r="CI118" s="41">
        <f>IFERROR(ABS(SUMIFS('TRA balance'!AJ$5:AJ$40,'TRA balance'!$C$5:$C$40,Assumptions!$BB118,'TRA balance'!$D$5:$D$40,Assumptions!$BC118)),"")</f>
        <v>1.3999989312</v>
      </c>
      <c r="CJ118" s="41">
        <f>IFERROR(ABS(SUMIFS('TRA balance'!AK$5:AK$40,'TRA balance'!$C$5:$C$40,Assumptions!$BB118,'TRA balance'!$D$5:$D$40,Assumptions!$BC118)),"")</f>
        <v>0.330401322</v>
      </c>
      <c r="CK118" s="41">
        <f>IFERROR(ABS(SUMIFS('TRA balance'!AL$5:AL$40,'TRA balance'!$C$5:$C$40,Assumptions!$BB118,'TRA balance'!$D$5:$D$40,Assumptions!$BC118)),"")</f>
        <v>0</v>
      </c>
      <c r="CL118" s="41">
        <f>IFERROR(ABS(SUMIFS('TRA balance'!AM$5:AM$40,'TRA balance'!$C$5:$C$40,Assumptions!$BB118,'TRA balance'!$D$5:$D$40,Assumptions!$BC118)),"")</f>
        <v>0</v>
      </c>
      <c r="CM118" s="41">
        <f>IFERROR(ABS(SUMIFS('TRA balance'!AN$5:AN$40,'TRA balance'!$C$5:$C$40,Assumptions!$BB118,'TRA balance'!$D$5:$D$40,Assumptions!$BC118)),"")</f>
        <v>0</v>
      </c>
      <c r="CN118" s="41">
        <f>IFERROR(ABS(SUMIFS('TRA balance'!AO$5:AO$40,'TRA balance'!$C$5:$C$40,Assumptions!$BB118,'TRA balance'!$D$5:$D$40,Assumptions!$BC118)),"")</f>
        <v>0</v>
      </c>
      <c r="CO118" s="41">
        <f>IFERROR(ABS(SUMIFS('TRA balance'!AP$5:AP$40,'TRA balance'!$C$5:$C$40,Assumptions!$BB118,'TRA balance'!$D$5:$D$40,Assumptions!$BC118)),"")</f>
        <v>0</v>
      </c>
      <c r="CP118" s="41">
        <f>IFERROR(ABS(SUMIFS('TRA balance'!AQ$5:AQ$40,'TRA balance'!$C$5:$C$40,Assumptions!$BB118,'TRA balance'!$D$5:$D$40,Assumptions!$BC118)),"")</f>
        <v>0</v>
      </c>
      <c r="CQ118" s="41">
        <f>IFERROR(ABS(SUMIFS('TRA balance'!AR$5:AR$40,'TRA balance'!$C$5:$C$40,Assumptions!$BB118,'TRA balance'!$D$5:$D$40,Assumptions!$BC118)),"")</f>
        <v>0</v>
      </c>
      <c r="CR118" s="41">
        <f>IFERROR(ABS(SUMIFS('TRA balance'!AS$5:AS$40,'TRA balance'!$C$5:$C$40,Assumptions!$BB118,'TRA balance'!$D$5:$D$40,Assumptions!$BC118)),"")</f>
        <v>0</v>
      </c>
      <c r="CS118" s="41">
        <f>IFERROR(ABS(SUMIFS('TRA balance'!AT$5:AT$40,'TRA balance'!$C$5:$C$40,Assumptions!$BB118,'TRA balance'!$D$5:$D$40,Assumptions!$BC118)),"")</f>
        <v>0</v>
      </c>
      <c r="CT118" s="41">
        <f>IFERROR(ABS(SUMIFS('TRA balance'!AU$5:AU$40,'TRA balance'!$C$5:$C$40,Assumptions!$BB118,'TRA balance'!$D$5:$D$40,Assumptions!$BC118)),"")</f>
        <v>0</v>
      </c>
      <c r="CU118" s="41">
        <f>IFERROR(ABS(SUMIFS('TRA balance'!AV$5:AV$40,'TRA balance'!$C$5:$C$40,Assumptions!$BB118,'TRA balance'!$D$5:$D$40,Assumptions!$BC118)),"")</f>
        <v>0</v>
      </c>
      <c r="CV118" s="41">
        <f>IFERROR(ABS(SUMIFS('TRA balance'!AW$5:AW$40,'TRA balance'!$C$5:$C$40,Assumptions!$BB118,'TRA balance'!$D$5:$D$40,Assumptions!$BC118)),"")</f>
        <v>0</v>
      </c>
      <c r="CW118" s="41">
        <f>IFERROR(ABS(SUMIFS('TRA balance'!AX$5:AX$40,'TRA balance'!$C$5:$C$40,Assumptions!$BB118,'TRA balance'!$D$5:$D$40,Assumptions!$BC118)),"")</f>
        <v>0</v>
      </c>
      <c r="CX118" s="39"/>
    </row>
    <row r="119" spans="3:102">
      <c r="C119" t="str">
        <f t="shared" si="151"/>
        <v>MET</v>
      </c>
      <c r="D119" t="str">
        <f t="shared" si="150"/>
        <v>TRC</v>
      </c>
      <c r="E119" t="s">
        <v>249</v>
      </c>
      <c r="F119" s="3">
        <v>0.108</v>
      </c>
      <c r="G119" s="3">
        <v>0.108</v>
      </c>
      <c r="H119" s="3">
        <v>0.12</v>
      </c>
      <c r="I119" s="3">
        <v>0.12</v>
      </c>
      <c r="J119" s="3">
        <v>0.12</v>
      </c>
      <c r="K119" s="3">
        <v>0.12</v>
      </c>
      <c r="L119" s="3">
        <v>0.12</v>
      </c>
      <c r="M119" s="3">
        <v>0.12</v>
      </c>
      <c r="N119" s="3">
        <v>0.12</v>
      </c>
      <c r="O119" s="3">
        <v>0.12</v>
      </c>
      <c r="P119" s="3">
        <v>0.12</v>
      </c>
      <c r="Q119" s="3">
        <v>0.12</v>
      </c>
      <c r="R119" s="3">
        <v>0.12</v>
      </c>
      <c r="S119" s="3">
        <v>0.12</v>
      </c>
      <c r="T119" s="3">
        <v>0.12</v>
      </c>
      <c r="U119" s="3">
        <v>0.12</v>
      </c>
      <c r="V119" s="3">
        <v>0.12</v>
      </c>
      <c r="W119" s="3">
        <v>0.12</v>
      </c>
      <c r="X119" s="3">
        <v>0.12</v>
      </c>
      <c r="Y119" s="3">
        <v>0.12</v>
      </c>
      <c r="Z119" s="3">
        <v>0.12</v>
      </c>
      <c r="AA119" s="3">
        <v>0.12</v>
      </c>
      <c r="AB119" s="3">
        <v>0.12</v>
      </c>
      <c r="AC119" s="3">
        <v>0.12</v>
      </c>
      <c r="AD119" s="3">
        <v>0.12</v>
      </c>
      <c r="AE119" s="3">
        <v>0.12</v>
      </c>
      <c r="AF119" s="3">
        <v>0.12</v>
      </c>
      <c r="AG119" s="3">
        <v>0.12</v>
      </c>
      <c r="AH119" s="3">
        <v>0.12</v>
      </c>
      <c r="AI119" s="3">
        <v>0.12</v>
      </c>
      <c r="AJ119" s="3">
        <v>0.12</v>
      </c>
      <c r="AK119" s="3">
        <v>0.12</v>
      </c>
      <c r="AL119" s="3">
        <v>0.12</v>
      </c>
      <c r="AM119" s="3">
        <v>0.12</v>
      </c>
      <c r="AN119" s="3">
        <v>0.12</v>
      </c>
      <c r="AO119" s="3">
        <v>0.12</v>
      </c>
      <c r="AP119" s="3">
        <v>0.12</v>
      </c>
      <c r="AQ119" s="3">
        <v>0.12</v>
      </c>
      <c r="AR119" s="3">
        <v>0.12</v>
      </c>
      <c r="AS119" s="3">
        <v>0.12</v>
      </c>
      <c r="AT119" s="3">
        <v>0.12</v>
      </c>
      <c r="AU119" s="3">
        <v>0.12</v>
      </c>
      <c r="AV119" s="3">
        <v>0.12</v>
      </c>
      <c r="AW119" s="3">
        <v>0.12</v>
      </c>
      <c r="AX119" s="3">
        <v>0.12</v>
      </c>
      <c r="AY119" s="3">
        <v>0.12</v>
      </c>
      <c r="AZ119" s="3">
        <v>0.12</v>
      </c>
      <c r="BA119" s="3">
        <v>0.12</v>
      </c>
      <c r="BB119" s="39" t="s">
        <v>87</v>
      </c>
      <c r="BC119" s="39" t="s">
        <v>72</v>
      </c>
      <c r="BD119" s="41">
        <f>IFERROR(ABS(SUMIFS('TRA balance'!E$5:E$40,'TRA balance'!$C$5:$C$40,Assumptions!$BB119,'TRA balance'!$D$5:$D$40,Assumptions!$BC119)),"")</f>
        <v>0</v>
      </c>
      <c r="BE119" s="41">
        <f>IFERROR(ABS(SUMIFS('TRA balance'!F$5:F$40,'TRA balance'!$C$5:$C$40,Assumptions!$BB119,'TRA balance'!$D$5:$D$40,Assumptions!$BC119)),"")</f>
        <v>0</v>
      </c>
      <c r="BF119" s="41">
        <f>IFERROR(ABS(SUMIFS('TRA balance'!G$5:G$40,'TRA balance'!$C$5:$C$40,Assumptions!$BB119,'TRA balance'!$D$5:$D$40,Assumptions!$BC119)),"")</f>
        <v>0</v>
      </c>
      <c r="BG119" s="41">
        <f>IFERROR(ABS(SUMIFS('TRA balance'!H$5:H$40,'TRA balance'!$C$5:$C$40,Assumptions!$BB119,'TRA balance'!$D$5:$D$40,Assumptions!$BC119)),"")</f>
        <v>0</v>
      </c>
      <c r="BH119" s="41">
        <f>IFERROR(ABS(SUMIFS('TRA balance'!I$5:I$40,'TRA balance'!$C$5:$C$40,Assumptions!$BB119,'TRA balance'!$D$5:$D$40,Assumptions!$BC119)),"")</f>
        <v>0</v>
      </c>
      <c r="BI119" s="41">
        <f>IFERROR(ABS(SUMIFS('TRA balance'!J$5:J$40,'TRA balance'!$C$5:$C$40,Assumptions!$BB119,'TRA balance'!$D$5:$D$40,Assumptions!$BC119)),"")</f>
        <v>0</v>
      </c>
      <c r="BJ119" s="41">
        <f>IFERROR(ABS(SUMIFS('TRA balance'!K$5:K$40,'TRA balance'!$C$5:$C$40,Assumptions!$BB119,'TRA balance'!$D$5:$D$40,Assumptions!$BC119)),"")</f>
        <v>0</v>
      </c>
      <c r="BK119" s="41">
        <f>IFERROR(ABS(SUMIFS('TRA balance'!L$5:L$40,'TRA balance'!$C$5:$C$40,Assumptions!$BB119,'TRA balance'!$D$5:$D$40,Assumptions!$BC119)),"")</f>
        <v>0</v>
      </c>
      <c r="BL119" s="41">
        <f>IFERROR(ABS(SUMIFS('TRA balance'!M$5:M$40,'TRA balance'!$C$5:$C$40,Assumptions!$BB119,'TRA balance'!$D$5:$D$40,Assumptions!$BC119)),"")</f>
        <v>0</v>
      </c>
      <c r="BM119" s="41">
        <f>IFERROR(ABS(SUMIFS('TRA balance'!N$5:N$40,'TRA balance'!$C$5:$C$40,Assumptions!$BB119,'TRA balance'!$D$5:$D$40,Assumptions!$BC119)),"")</f>
        <v>0</v>
      </c>
      <c r="BN119" s="41">
        <f>IFERROR(ABS(SUMIFS('TRA balance'!O$5:O$40,'TRA balance'!$C$5:$C$40,Assumptions!$BB119,'TRA balance'!$D$5:$D$40,Assumptions!$BC119)),"")</f>
        <v>0</v>
      </c>
      <c r="BO119" s="41">
        <f>IFERROR(ABS(SUMIFS('TRA balance'!P$5:P$40,'TRA balance'!$C$5:$C$40,Assumptions!$BB119,'TRA balance'!$D$5:$D$40,Assumptions!$BC119)),"")</f>
        <v>0</v>
      </c>
      <c r="BP119" s="41">
        <f>IFERROR(ABS(SUMIFS('TRA balance'!Q$5:Q$40,'TRA balance'!$C$5:$C$40,Assumptions!$BB119,'TRA balance'!$D$5:$D$40,Assumptions!$BC119)),"")</f>
        <v>0</v>
      </c>
      <c r="BQ119" s="41">
        <f>IFERROR(ABS(SUMIFS('TRA balance'!R$5:R$40,'TRA balance'!$C$5:$C$40,Assumptions!$BB119,'TRA balance'!$D$5:$D$40,Assumptions!$BC119)),"")</f>
        <v>0</v>
      </c>
      <c r="BR119" s="41">
        <f>IFERROR(ABS(SUMIFS('TRA balance'!S$5:S$40,'TRA balance'!$C$5:$C$40,Assumptions!$BB119,'TRA balance'!$D$5:$D$40,Assumptions!$BC119)),"")</f>
        <v>0</v>
      </c>
      <c r="BS119" s="41">
        <f>IFERROR(ABS(SUMIFS('TRA balance'!T$5:T$40,'TRA balance'!$C$5:$C$40,Assumptions!$BB119,'TRA balance'!$D$5:$D$40,Assumptions!$BC119)),"")</f>
        <v>0</v>
      </c>
      <c r="BT119" s="41">
        <f>IFERROR(ABS(SUMIFS('TRA balance'!U$5:U$40,'TRA balance'!$C$5:$C$40,Assumptions!$BB119,'TRA balance'!$D$5:$D$40,Assumptions!$BC119)),"")</f>
        <v>0</v>
      </c>
      <c r="BU119" s="41">
        <f>IFERROR(ABS(SUMIFS('TRA balance'!V$5:V$40,'TRA balance'!$C$5:$C$40,Assumptions!$BB119,'TRA balance'!$D$5:$D$40,Assumptions!$BC119)),"")</f>
        <v>0</v>
      </c>
      <c r="BV119" s="41">
        <f>IFERROR(ABS(SUMIFS('TRA balance'!W$5:W$40,'TRA balance'!$C$5:$C$40,Assumptions!$BB119,'TRA balance'!$D$5:$D$40,Assumptions!$BC119)),"")</f>
        <v>0</v>
      </c>
      <c r="BW119" s="41">
        <f>IFERROR(ABS(SUMIFS('TRA balance'!X$5:X$40,'TRA balance'!$C$5:$C$40,Assumptions!$BB119,'TRA balance'!$D$5:$D$40,Assumptions!$BC119)),"")</f>
        <v>0</v>
      </c>
      <c r="BX119" s="41">
        <f>IFERROR(ABS(SUMIFS('TRA balance'!Y$5:Y$40,'TRA balance'!$C$5:$C$40,Assumptions!$BB119,'TRA balance'!$D$5:$D$40,Assumptions!$BC119)),"")</f>
        <v>0</v>
      </c>
      <c r="BY119" s="41">
        <f>IFERROR(ABS(SUMIFS('TRA balance'!Z$5:Z$40,'TRA balance'!$C$5:$C$40,Assumptions!$BB119,'TRA balance'!$D$5:$D$40,Assumptions!$BC119)),"")</f>
        <v>0</v>
      </c>
      <c r="BZ119" s="41">
        <f>IFERROR(ABS(SUMIFS('TRA balance'!AA$5:AA$40,'TRA balance'!$C$5:$C$40,Assumptions!$BB119,'TRA balance'!$D$5:$D$40,Assumptions!$BC119)),"")</f>
        <v>0</v>
      </c>
      <c r="CA119" s="41">
        <f>IFERROR(ABS(SUMIFS('TRA balance'!AB$5:AB$40,'TRA balance'!$C$5:$C$40,Assumptions!$BB119,'TRA balance'!$D$5:$D$40,Assumptions!$BC119)),"")</f>
        <v>0</v>
      </c>
      <c r="CB119" s="41">
        <f>IFERROR(ABS(SUMIFS('TRA balance'!AC$5:AC$40,'TRA balance'!$C$5:$C$40,Assumptions!$BB119,'TRA balance'!$D$5:$D$40,Assumptions!$BC119)),"")</f>
        <v>0</v>
      </c>
      <c r="CC119" s="41">
        <f>IFERROR(ABS(SUMIFS('TRA balance'!AD$5:AD$40,'TRA balance'!$C$5:$C$40,Assumptions!$BB119,'TRA balance'!$D$5:$D$40,Assumptions!$BC119)),"")</f>
        <v>0</v>
      </c>
      <c r="CD119" s="41">
        <f>IFERROR(ABS(SUMIFS('TRA balance'!AE$5:AE$40,'TRA balance'!$C$5:$C$40,Assumptions!$BB119,'TRA balance'!$D$5:$D$40,Assumptions!$BC119)),"")</f>
        <v>0</v>
      </c>
      <c r="CE119" s="41">
        <f>IFERROR(ABS(SUMIFS('TRA balance'!AF$5:AF$40,'TRA balance'!$C$5:$C$40,Assumptions!$BB119,'TRA balance'!$D$5:$D$40,Assumptions!$BC119)),"")</f>
        <v>0</v>
      </c>
      <c r="CF119" s="41">
        <f>IFERROR(ABS(SUMIFS('TRA balance'!AG$5:AG$40,'TRA balance'!$C$5:$C$40,Assumptions!$BB119,'TRA balance'!$D$5:$D$40,Assumptions!$BC119)),"")</f>
        <v>0</v>
      </c>
      <c r="CG119" s="41">
        <f>IFERROR(ABS(SUMIFS('TRA balance'!AH$5:AH$40,'TRA balance'!$C$5:$C$40,Assumptions!$BB119,'TRA balance'!$D$5:$D$40,Assumptions!$BC119)),"")</f>
        <v>0</v>
      </c>
      <c r="CH119" s="41">
        <f>IFERROR(ABS(SUMIFS('TRA balance'!AI$5:AI$40,'TRA balance'!$C$5:$C$40,Assumptions!$BB119,'TRA balance'!$D$5:$D$40,Assumptions!$BC119)),"")</f>
        <v>0</v>
      </c>
      <c r="CI119" s="41">
        <f>IFERROR(ABS(SUMIFS('TRA balance'!AJ$5:AJ$40,'TRA balance'!$C$5:$C$40,Assumptions!$BB119,'TRA balance'!$D$5:$D$40,Assumptions!$BC119)),"")</f>
        <v>0</v>
      </c>
      <c r="CJ119" s="41">
        <f>IFERROR(ABS(SUMIFS('TRA balance'!AK$5:AK$40,'TRA balance'!$C$5:$C$40,Assumptions!$BB119,'TRA balance'!$D$5:$D$40,Assumptions!$BC119)),"")</f>
        <v>0</v>
      </c>
      <c r="CK119" s="41">
        <f>IFERROR(ABS(SUMIFS('TRA balance'!AL$5:AL$40,'TRA balance'!$C$5:$C$40,Assumptions!$BB119,'TRA balance'!$D$5:$D$40,Assumptions!$BC119)),"")</f>
        <v>0</v>
      </c>
      <c r="CL119" s="41">
        <f>IFERROR(ABS(SUMIFS('TRA balance'!AM$5:AM$40,'TRA balance'!$C$5:$C$40,Assumptions!$BB119,'TRA balance'!$D$5:$D$40,Assumptions!$BC119)),"")</f>
        <v>0</v>
      </c>
      <c r="CM119" s="41">
        <f>IFERROR(ABS(SUMIFS('TRA balance'!AN$5:AN$40,'TRA balance'!$C$5:$C$40,Assumptions!$BB119,'TRA balance'!$D$5:$D$40,Assumptions!$BC119)),"")</f>
        <v>0</v>
      </c>
      <c r="CN119" s="41">
        <f>IFERROR(ABS(SUMIFS('TRA balance'!AO$5:AO$40,'TRA balance'!$C$5:$C$40,Assumptions!$BB119,'TRA balance'!$D$5:$D$40,Assumptions!$BC119)),"")</f>
        <v>0</v>
      </c>
      <c r="CO119" s="41">
        <f>IFERROR(ABS(SUMIFS('TRA balance'!AP$5:AP$40,'TRA balance'!$C$5:$C$40,Assumptions!$BB119,'TRA balance'!$D$5:$D$40,Assumptions!$BC119)),"")</f>
        <v>0</v>
      </c>
      <c r="CP119" s="41">
        <f>IFERROR(ABS(SUMIFS('TRA balance'!AQ$5:AQ$40,'TRA balance'!$C$5:$C$40,Assumptions!$BB119,'TRA balance'!$D$5:$D$40,Assumptions!$BC119)),"")</f>
        <v>0</v>
      </c>
      <c r="CQ119" s="41">
        <f>IFERROR(ABS(SUMIFS('TRA balance'!AR$5:AR$40,'TRA balance'!$C$5:$C$40,Assumptions!$BB119,'TRA balance'!$D$5:$D$40,Assumptions!$BC119)),"")</f>
        <v>0</v>
      </c>
      <c r="CR119" s="41">
        <f>IFERROR(ABS(SUMIFS('TRA balance'!AS$5:AS$40,'TRA balance'!$C$5:$C$40,Assumptions!$BB119,'TRA balance'!$D$5:$D$40,Assumptions!$BC119)),"")</f>
        <v>0</v>
      </c>
      <c r="CS119" s="41">
        <f>IFERROR(ABS(SUMIFS('TRA balance'!AT$5:AT$40,'TRA balance'!$C$5:$C$40,Assumptions!$BB119,'TRA balance'!$D$5:$D$40,Assumptions!$BC119)),"")</f>
        <v>0</v>
      </c>
      <c r="CT119" s="41">
        <f>IFERROR(ABS(SUMIFS('TRA balance'!AU$5:AU$40,'TRA balance'!$C$5:$C$40,Assumptions!$BB119,'TRA balance'!$D$5:$D$40,Assumptions!$BC119)),"")</f>
        <v>0</v>
      </c>
      <c r="CU119" s="41">
        <f>IFERROR(ABS(SUMIFS('TRA balance'!AV$5:AV$40,'TRA balance'!$C$5:$C$40,Assumptions!$BB119,'TRA balance'!$D$5:$D$40,Assumptions!$BC119)),"")</f>
        <v>0</v>
      </c>
      <c r="CV119" s="41">
        <f>IFERROR(ABS(SUMIFS('TRA balance'!AW$5:AW$40,'TRA balance'!$C$5:$C$40,Assumptions!$BB119,'TRA balance'!$D$5:$D$40,Assumptions!$BC119)),"")</f>
        <v>0</v>
      </c>
      <c r="CW119" s="41">
        <f>IFERROR(ABS(SUMIFS('TRA balance'!AX$5:AX$40,'TRA balance'!$C$5:$C$40,Assumptions!$BB119,'TRA balance'!$D$5:$D$40,Assumptions!$BC119)),"")</f>
        <v>0</v>
      </c>
      <c r="CX119" s="39"/>
    </row>
    <row r="120" spans="3:102">
      <c r="C120" t="str">
        <f t="shared" si="151"/>
        <v>NGA</v>
      </c>
      <c r="D120" t="str">
        <f t="shared" si="150"/>
        <v>TRC</v>
      </c>
      <c r="E120" t="s">
        <v>250</v>
      </c>
      <c r="F120" s="3">
        <v>0.108</v>
      </c>
      <c r="G120" s="3">
        <v>0.108</v>
      </c>
      <c r="H120" s="3">
        <v>0.12</v>
      </c>
      <c r="I120" s="3">
        <v>0.12</v>
      </c>
      <c r="J120" s="3">
        <v>0.12</v>
      </c>
      <c r="K120" s="3">
        <v>0.12</v>
      </c>
      <c r="L120" s="3">
        <v>0.12</v>
      </c>
      <c r="M120" s="3">
        <v>0.12</v>
      </c>
      <c r="N120" s="3">
        <v>0.12</v>
      </c>
      <c r="O120" s="3">
        <v>0.12</v>
      </c>
      <c r="P120" s="3">
        <v>0.12</v>
      </c>
      <c r="Q120" s="3">
        <v>0.12</v>
      </c>
      <c r="R120" s="3">
        <v>0.12</v>
      </c>
      <c r="S120" s="3">
        <v>0.12</v>
      </c>
      <c r="T120" s="3">
        <v>0.12</v>
      </c>
      <c r="U120" s="3">
        <v>0.12</v>
      </c>
      <c r="V120" s="3">
        <v>0.12</v>
      </c>
      <c r="W120" s="3">
        <v>0.12</v>
      </c>
      <c r="X120" s="3">
        <v>0.12</v>
      </c>
      <c r="Y120" s="3">
        <v>0.12</v>
      </c>
      <c r="Z120" s="3">
        <v>0.12</v>
      </c>
      <c r="AA120" s="3">
        <v>0.12</v>
      </c>
      <c r="AB120" s="3">
        <v>0.12</v>
      </c>
      <c r="AC120" s="3">
        <v>0.12</v>
      </c>
      <c r="AD120" s="3">
        <v>0.12</v>
      </c>
      <c r="AE120" s="3">
        <v>0.12</v>
      </c>
      <c r="AF120" s="3">
        <v>0.12</v>
      </c>
      <c r="AG120" s="3">
        <v>0.12</v>
      </c>
      <c r="AH120" s="3">
        <v>0.12</v>
      </c>
      <c r="AI120" s="3">
        <v>0.12</v>
      </c>
      <c r="AJ120" s="3">
        <v>0.12</v>
      </c>
      <c r="AK120" s="3">
        <v>0.12</v>
      </c>
      <c r="AL120" s="3">
        <v>0.12</v>
      </c>
      <c r="AM120" s="3">
        <v>0.12</v>
      </c>
      <c r="AN120" s="3">
        <v>0.12</v>
      </c>
      <c r="AO120" s="3">
        <v>0.12</v>
      </c>
      <c r="AP120" s="3">
        <v>0.12</v>
      </c>
      <c r="AQ120" s="3">
        <v>0.12</v>
      </c>
      <c r="AR120" s="3">
        <v>0.12</v>
      </c>
      <c r="AS120" s="3">
        <v>0.12</v>
      </c>
      <c r="AT120" s="3">
        <v>0.12</v>
      </c>
      <c r="AU120" s="3">
        <v>0.12</v>
      </c>
      <c r="AV120" s="3">
        <v>0.12</v>
      </c>
      <c r="AW120" s="3">
        <v>0.12</v>
      </c>
      <c r="AX120" s="3">
        <v>0.12</v>
      </c>
      <c r="AY120" s="3">
        <v>0.12</v>
      </c>
      <c r="AZ120" s="3">
        <v>0.12</v>
      </c>
      <c r="BA120" s="3">
        <v>0.12</v>
      </c>
      <c r="BB120" s="39" t="s">
        <v>87</v>
      </c>
      <c r="BC120" s="39" t="s">
        <v>74</v>
      </c>
      <c r="BD120" s="41">
        <f>IFERROR(ABS(SUMIFS('TRA balance'!E$5:E$40,'TRA balance'!$C$5:$C$40,Assumptions!$BB120,'TRA balance'!$D$5:$D$40,Assumptions!$BC120)),"")</f>
        <v>0</v>
      </c>
      <c r="BE120" s="41">
        <f>IFERROR(ABS(SUMIFS('TRA balance'!F$5:F$40,'TRA balance'!$C$5:$C$40,Assumptions!$BB120,'TRA balance'!$D$5:$D$40,Assumptions!$BC120)),"")</f>
        <v>0</v>
      </c>
      <c r="BF120" s="41">
        <f>IFERROR(ABS(SUMIFS('TRA balance'!G$5:G$40,'TRA balance'!$C$5:$C$40,Assumptions!$BB120,'TRA balance'!$D$5:$D$40,Assumptions!$BC120)),"")</f>
        <v>0</v>
      </c>
      <c r="BG120" s="41">
        <f>IFERROR(ABS(SUMIFS('TRA balance'!H$5:H$40,'TRA balance'!$C$5:$C$40,Assumptions!$BB120,'TRA balance'!$D$5:$D$40,Assumptions!$BC120)),"")</f>
        <v>0</v>
      </c>
      <c r="BH120" s="41">
        <f>IFERROR(ABS(SUMIFS('TRA balance'!I$5:I$40,'TRA balance'!$C$5:$C$40,Assumptions!$BB120,'TRA balance'!$D$5:$D$40,Assumptions!$BC120)),"")</f>
        <v>0</v>
      </c>
      <c r="BI120" s="41">
        <f>IFERROR(ABS(SUMIFS('TRA balance'!J$5:J$40,'TRA balance'!$C$5:$C$40,Assumptions!$BB120,'TRA balance'!$D$5:$D$40,Assumptions!$BC120)),"")</f>
        <v>0</v>
      </c>
      <c r="BJ120" s="41">
        <f>IFERROR(ABS(SUMIFS('TRA balance'!K$5:K$40,'TRA balance'!$C$5:$C$40,Assumptions!$BB120,'TRA balance'!$D$5:$D$40,Assumptions!$BC120)),"")</f>
        <v>0</v>
      </c>
      <c r="BK120" s="41">
        <f>IFERROR(ABS(SUMIFS('TRA balance'!L$5:L$40,'TRA balance'!$C$5:$C$40,Assumptions!$BB120,'TRA balance'!$D$5:$D$40,Assumptions!$BC120)),"")</f>
        <v>0</v>
      </c>
      <c r="BL120" s="41">
        <f>IFERROR(ABS(SUMIFS('TRA balance'!M$5:M$40,'TRA balance'!$C$5:$C$40,Assumptions!$BB120,'TRA balance'!$D$5:$D$40,Assumptions!$BC120)),"")</f>
        <v>0</v>
      </c>
      <c r="BM120" s="41">
        <f>IFERROR(ABS(SUMIFS('TRA balance'!N$5:N$40,'TRA balance'!$C$5:$C$40,Assumptions!$BB120,'TRA balance'!$D$5:$D$40,Assumptions!$BC120)),"")</f>
        <v>0</v>
      </c>
      <c r="BN120" s="41">
        <f>IFERROR(ABS(SUMIFS('TRA balance'!O$5:O$40,'TRA balance'!$C$5:$C$40,Assumptions!$BB120,'TRA balance'!$D$5:$D$40,Assumptions!$BC120)),"")</f>
        <v>0</v>
      </c>
      <c r="BO120" s="41">
        <f>IFERROR(ABS(SUMIFS('TRA balance'!P$5:P$40,'TRA balance'!$C$5:$C$40,Assumptions!$BB120,'TRA balance'!$D$5:$D$40,Assumptions!$BC120)),"")</f>
        <v>0</v>
      </c>
      <c r="BP120" s="41">
        <f>IFERROR(ABS(SUMIFS('TRA balance'!Q$5:Q$40,'TRA balance'!$C$5:$C$40,Assumptions!$BB120,'TRA balance'!$D$5:$D$40,Assumptions!$BC120)),"")</f>
        <v>0</v>
      </c>
      <c r="BQ120" s="41">
        <f>IFERROR(ABS(SUMIFS('TRA balance'!R$5:R$40,'TRA balance'!$C$5:$C$40,Assumptions!$BB120,'TRA balance'!$D$5:$D$40,Assumptions!$BC120)),"")</f>
        <v>0</v>
      </c>
      <c r="BR120" s="41">
        <f>IFERROR(ABS(SUMIFS('TRA balance'!S$5:S$40,'TRA balance'!$C$5:$C$40,Assumptions!$BB120,'TRA balance'!$D$5:$D$40,Assumptions!$BC120)),"")</f>
        <v>0</v>
      </c>
      <c r="BS120" s="41">
        <f>IFERROR(ABS(SUMIFS('TRA balance'!T$5:T$40,'TRA balance'!$C$5:$C$40,Assumptions!$BB120,'TRA balance'!$D$5:$D$40,Assumptions!$BC120)),"")</f>
        <v>0</v>
      </c>
      <c r="BT120" s="41">
        <f>IFERROR(ABS(SUMIFS('TRA balance'!U$5:U$40,'TRA balance'!$C$5:$C$40,Assumptions!$BB120,'TRA balance'!$D$5:$D$40,Assumptions!$BC120)),"")</f>
        <v>0</v>
      </c>
      <c r="BU120" s="41">
        <f>IFERROR(ABS(SUMIFS('TRA balance'!V$5:V$40,'TRA balance'!$C$5:$C$40,Assumptions!$BB120,'TRA balance'!$D$5:$D$40,Assumptions!$BC120)),"")</f>
        <v>0</v>
      </c>
      <c r="BV120" s="41">
        <f>IFERROR(ABS(SUMIFS('TRA balance'!W$5:W$40,'TRA balance'!$C$5:$C$40,Assumptions!$BB120,'TRA balance'!$D$5:$D$40,Assumptions!$BC120)),"")</f>
        <v>0</v>
      </c>
      <c r="BW120" s="41">
        <f>IFERROR(ABS(SUMIFS('TRA balance'!X$5:X$40,'TRA balance'!$C$5:$C$40,Assumptions!$BB120,'TRA balance'!$D$5:$D$40,Assumptions!$BC120)),"")</f>
        <v>0</v>
      </c>
      <c r="BX120" s="41">
        <f>IFERROR(ABS(SUMIFS('TRA balance'!Y$5:Y$40,'TRA balance'!$C$5:$C$40,Assumptions!$BB120,'TRA balance'!$D$5:$D$40,Assumptions!$BC120)),"")</f>
        <v>0</v>
      </c>
      <c r="BY120" s="41">
        <f>IFERROR(ABS(SUMIFS('TRA balance'!Z$5:Z$40,'TRA balance'!$C$5:$C$40,Assumptions!$BB120,'TRA balance'!$D$5:$D$40,Assumptions!$BC120)),"")</f>
        <v>0</v>
      </c>
      <c r="BZ120" s="41">
        <f>IFERROR(ABS(SUMIFS('TRA balance'!AA$5:AA$40,'TRA balance'!$C$5:$C$40,Assumptions!$BB120,'TRA balance'!$D$5:$D$40,Assumptions!$BC120)),"")</f>
        <v>0</v>
      </c>
      <c r="CA120" s="41">
        <f>IFERROR(ABS(SUMIFS('TRA balance'!AB$5:AB$40,'TRA balance'!$C$5:$C$40,Assumptions!$BB120,'TRA balance'!$D$5:$D$40,Assumptions!$BC120)),"")</f>
        <v>0</v>
      </c>
      <c r="CB120" s="41">
        <f>IFERROR(ABS(SUMIFS('TRA balance'!AC$5:AC$40,'TRA balance'!$C$5:$C$40,Assumptions!$BB120,'TRA balance'!$D$5:$D$40,Assumptions!$BC120)),"")</f>
        <v>0</v>
      </c>
      <c r="CC120" s="41">
        <f>IFERROR(ABS(SUMIFS('TRA balance'!AD$5:AD$40,'TRA balance'!$C$5:$C$40,Assumptions!$BB120,'TRA balance'!$D$5:$D$40,Assumptions!$BC120)),"")</f>
        <v>0</v>
      </c>
      <c r="CD120" s="41">
        <f>IFERROR(ABS(SUMIFS('TRA balance'!AE$5:AE$40,'TRA balance'!$C$5:$C$40,Assumptions!$BB120,'TRA balance'!$D$5:$D$40,Assumptions!$BC120)),"")</f>
        <v>0</v>
      </c>
      <c r="CE120" s="41">
        <f>IFERROR(ABS(SUMIFS('TRA balance'!AF$5:AF$40,'TRA balance'!$C$5:$C$40,Assumptions!$BB120,'TRA balance'!$D$5:$D$40,Assumptions!$BC120)),"")</f>
        <v>0</v>
      </c>
      <c r="CF120" s="41">
        <f>IFERROR(ABS(SUMIFS('TRA balance'!AG$5:AG$40,'TRA balance'!$C$5:$C$40,Assumptions!$BB120,'TRA balance'!$D$5:$D$40,Assumptions!$BC120)),"")</f>
        <v>0</v>
      </c>
      <c r="CG120" s="41">
        <f>IFERROR(ABS(SUMIFS('TRA balance'!AH$5:AH$40,'TRA balance'!$C$5:$C$40,Assumptions!$BB120,'TRA balance'!$D$5:$D$40,Assumptions!$BC120)),"")</f>
        <v>0</v>
      </c>
      <c r="CH120" s="41">
        <f>IFERROR(ABS(SUMIFS('TRA balance'!AI$5:AI$40,'TRA balance'!$C$5:$C$40,Assumptions!$BB120,'TRA balance'!$D$5:$D$40,Assumptions!$BC120)),"")</f>
        <v>0</v>
      </c>
      <c r="CI120" s="41">
        <f>IFERROR(ABS(SUMIFS('TRA balance'!AJ$5:AJ$40,'TRA balance'!$C$5:$C$40,Assumptions!$BB120,'TRA balance'!$D$5:$D$40,Assumptions!$BC120)),"")</f>
        <v>0</v>
      </c>
      <c r="CJ120" s="41">
        <f>IFERROR(ABS(SUMIFS('TRA balance'!AK$5:AK$40,'TRA balance'!$C$5:$C$40,Assumptions!$BB120,'TRA balance'!$D$5:$D$40,Assumptions!$BC120)),"")</f>
        <v>0</v>
      </c>
      <c r="CK120" s="41">
        <f>IFERROR(ABS(SUMIFS('TRA balance'!AL$5:AL$40,'TRA balance'!$C$5:$C$40,Assumptions!$BB120,'TRA balance'!$D$5:$D$40,Assumptions!$BC120)),"")</f>
        <v>0</v>
      </c>
      <c r="CL120" s="41">
        <f>IFERROR(ABS(SUMIFS('TRA balance'!AM$5:AM$40,'TRA balance'!$C$5:$C$40,Assumptions!$BB120,'TRA balance'!$D$5:$D$40,Assumptions!$BC120)),"")</f>
        <v>0</v>
      </c>
      <c r="CM120" s="41">
        <f>IFERROR(ABS(SUMIFS('TRA balance'!AN$5:AN$40,'TRA balance'!$C$5:$C$40,Assumptions!$BB120,'TRA balance'!$D$5:$D$40,Assumptions!$BC120)),"")</f>
        <v>0</v>
      </c>
      <c r="CN120" s="41">
        <f>IFERROR(ABS(SUMIFS('TRA balance'!AO$5:AO$40,'TRA balance'!$C$5:$C$40,Assumptions!$BB120,'TRA balance'!$D$5:$D$40,Assumptions!$BC120)),"")</f>
        <v>0</v>
      </c>
      <c r="CO120" s="41">
        <f>IFERROR(ABS(SUMIFS('TRA balance'!AP$5:AP$40,'TRA balance'!$C$5:$C$40,Assumptions!$BB120,'TRA balance'!$D$5:$D$40,Assumptions!$BC120)),"")</f>
        <v>0</v>
      </c>
      <c r="CP120" s="41">
        <f>IFERROR(ABS(SUMIFS('TRA balance'!AQ$5:AQ$40,'TRA balance'!$C$5:$C$40,Assumptions!$BB120,'TRA balance'!$D$5:$D$40,Assumptions!$BC120)),"")</f>
        <v>0</v>
      </c>
      <c r="CQ120" s="41">
        <f>IFERROR(ABS(SUMIFS('TRA balance'!AR$5:AR$40,'TRA balance'!$C$5:$C$40,Assumptions!$BB120,'TRA balance'!$D$5:$D$40,Assumptions!$BC120)),"")</f>
        <v>0</v>
      </c>
      <c r="CR120" s="41">
        <f>IFERROR(ABS(SUMIFS('TRA balance'!AS$5:AS$40,'TRA balance'!$C$5:$C$40,Assumptions!$BB120,'TRA balance'!$D$5:$D$40,Assumptions!$BC120)),"")</f>
        <v>0</v>
      </c>
      <c r="CS120" s="41">
        <f>IFERROR(ABS(SUMIFS('TRA balance'!AT$5:AT$40,'TRA balance'!$C$5:$C$40,Assumptions!$BB120,'TRA balance'!$D$5:$D$40,Assumptions!$BC120)),"")</f>
        <v>0</v>
      </c>
      <c r="CT120" s="41">
        <f>IFERROR(ABS(SUMIFS('TRA balance'!AU$5:AU$40,'TRA balance'!$C$5:$C$40,Assumptions!$BB120,'TRA balance'!$D$5:$D$40,Assumptions!$BC120)),"")</f>
        <v>0</v>
      </c>
      <c r="CU120" s="41">
        <f>IFERROR(ABS(SUMIFS('TRA balance'!AV$5:AV$40,'TRA balance'!$C$5:$C$40,Assumptions!$BB120,'TRA balance'!$D$5:$D$40,Assumptions!$BC120)),"")</f>
        <v>0</v>
      </c>
      <c r="CV120" s="41">
        <f>IFERROR(ABS(SUMIFS('TRA balance'!AW$5:AW$40,'TRA balance'!$C$5:$C$40,Assumptions!$BB120,'TRA balance'!$D$5:$D$40,Assumptions!$BC120)),"")</f>
        <v>0</v>
      </c>
      <c r="CW120" s="41">
        <f>IFERROR(ABS(SUMIFS('TRA balance'!AX$5:AX$40,'TRA balance'!$C$5:$C$40,Assumptions!$BB120,'TRA balance'!$D$5:$D$40,Assumptions!$BC120)),"")</f>
        <v>0</v>
      </c>
      <c r="CX120" s="39"/>
    </row>
    <row r="121" spans="3:102">
      <c r="C121" t="str">
        <f t="shared" si="151"/>
        <v>DST</v>
      </c>
      <c r="D121" t="str">
        <f t="shared" si="150"/>
        <v>TRE</v>
      </c>
      <c r="E121" t="s">
        <v>251</v>
      </c>
      <c r="F121" s="3">
        <v>0.28</v>
      </c>
      <c r="G121" s="3">
        <v>0.28</v>
      </c>
      <c r="H121" s="3">
        <v>0.28</v>
      </c>
      <c r="I121" s="3">
        <v>0.28</v>
      </c>
      <c r="J121" s="3">
        <v>0.28</v>
      </c>
      <c r="K121" s="3">
        <v>0.28</v>
      </c>
      <c r="L121" s="3">
        <v>0.28</v>
      </c>
      <c r="M121" s="3">
        <v>0.28</v>
      </c>
      <c r="N121" s="3">
        <v>0.28</v>
      </c>
      <c r="O121" s="3">
        <v>0.28</v>
      </c>
      <c r="P121" s="3">
        <v>0.28</v>
      </c>
      <c r="Q121" s="3">
        <v>0.28</v>
      </c>
      <c r="R121" s="3">
        <v>0.28</v>
      </c>
      <c r="S121" s="3">
        <v>0.28</v>
      </c>
      <c r="T121" s="3">
        <v>0.28</v>
      </c>
      <c r="U121" s="3">
        <v>0.28</v>
      </c>
      <c r="V121" s="3">
        <v>0.28</v>
      </c>
      <c r="W121" s="3">
        <v>0.28</v>
      </c>
      <c r="X121" s="3">
        <v>0.28</v>
      </c>
      <c r="Y121" s="3">
        <v>0.28</v>
      </c>
      <c r="Z121" s="3">
        <v>0.28</v>
      </c>
      <c r="AA121" s="3">
        <v>0.28</v>
      </c>
      <c r="AB121" s="3">
        <v>0.28</v>
      </c>
      <c r="AC121" s="3">
        <v>0.28</v>
      </c>
      <c r="AD121" s="3">
        <v>0.28</v>
      </c>
      <c r="AE121" s="3">
        <v>0.28</v>
      </c>
      <c r="AF121" s="3">
        <v>0.28</v>
      </c>
      <c r="AG121" s="3">
        <v>0.28</v>
      </c>
      <c r="AH121" s="3">
        <v>0.28</v>
      </c>
      <c r="AI121" s="3">
        <v>0.28</v>
      </c>
      <c r="AJ121" s="3">
        <v>0.28</v>
      </c>
      <c r="AK121" s="3">
        <v>0.28</v>
      </c>
      <c r="AL121" s="3">
        <v>0.28</v>
      </c>
      <c r="AM121" s="3">
        <v>0.28</v>
      </c>
      <c r="AN121" s="3">
        <v>0.28</v>
      </c>
      <c r="AO121" s="3">
        <v>0.28</v>
      </c>
      <c r="AP121" s="3">
        <v>0.28</v>
      </c>
      <c r="AQ121" s="3">
        <v>0.28</v>
      </c>
      <c r="AR121" s="3">
        <v>0.28</v>
      </c>
      <c r="AS121" s="3">
        <v>0.28</v>
      </c>
      <c r="AT121" s="3">
        <v>0.28</v>
      </c>
      <c r="AU121" s="3">
        <v>0.28</v>
      </c>
      <c r="AV121" s="3">
        <v>0.28</v>
      </c>
      <c r="AW121" s="3">
        <v>0.28</v>
      </c>
      <c r="AX121" s="3">
        <v>0.28</v>
      </c>
      <c r="AY121" s="3">
        <v>0.28</v>
      </c>
      <c r="AZ121" s="3">
        <v>0.28</v>
      </c>
      <c r="BA121" s="3">
        <v>0.28</v>
      </c>
      <c r="BB121" s="39" t="s">
        <v>87</v>
      </c>
      <c r="BC121" s="39" t="s">
        <v>52</v>
      </c>
      <c r="BD121" s="41">
        <f>IFERROR(ABS(SUMIFS('TRA balance'!E$5:E$40,'TRA balance'!$C$5:$C$40,Assumptions!$BB121,'TRA balance'!$D$5:$D$40,Assumptions!$BC121)),"")</f>
        <v>0</v>
      </c>
      <c r="BE121" s="41">
        <f>IFERROR(ABS(SUMIFS('TRA balance'!F$5:F$40,'TRA balance'!$C$5:$C$40,Assumptions!$BB121,'TRA balance'!$D$5:$D$40,Assumptions!$BC121)),"")</f>
        <v>0</v>
      </c>
      <c r="BF121" s="41">
        <f>IFERROR(ABS(SUMIFS('TRA balance'!G$5:G$40,'TRA balance'!$C$5:$C$40,Assumptions!$BB121,'TRA balance'!$D$5:$D$40,Assumptions!$BC121)),"")</f>
        <v>0</v>
      </c>
      <c r="BG121" s="41">
        <f>IFERROR(ABS(SUMIFS('TRA balance'!H$5:H$40,'TRA balance'!$C$5:$C$40,Assumptions!$BB121,'TRA balance'!$D$5:$D$40,Assumptions!$BC121)),"")</f>
        <v>0</v>
      </c>
      <c r="BH121" s="41">
        <f>IFERROR(ABS(SUMIFS('TRA balance'!I$5:I$40,'TRA balance'!$C$5:$C$40,Assumptions!$BB121,'TRA balance'!$D$5:$D$40,Assumptions!$BC121)),"")</f>
        <v>0</v>
      </c>
      <c r="BI121" s="41">
        <f>IFERROR(ABS(SUMIFS('TRA balance'!J$5:J$40,'TRA balance'!$C$5:$C$40,Assumptions!$BB121,'TRA balance'!$D$5:$D$40,Assumptions!$BC121)),"")</f>
        <v>0</v>
      </c>
      <c r="BJ121" s="41">
        <f>IFERROR(ABS(SUMIFS('TRA balance'!K$5:K$40,'TRA balance'!$C$5:$C$40,Assumptions!$BB121,'TRA balance'!$D$5:$D$40,Assumptions!$BC121)),"")</f>
        <v>0</v>
      </c>
      <c r="BK121" s="41">
        <f>IFERROR(ABS(SUMIFS('TRA balance'!L$5:L$40,'TRA balance'!$C$5:$C$40,Assumptions!$BB121,'TRA balance'!$D$5:$D$40,Assumptions!$BC121)),"")</f>
        <v>0</v>
      </c>
      <c r="BL121" s="41">
        <f>IFERROR(ABS(SUMIFS('TRA balance'!M$5:M$40,'TRA balance'!$C$5:$C$40,Assumptions!$BB121,'TRA balance'!$D$5:$D$40,Assumptions!$BC121)),"")</f>
        <v>0</v>
      </c>
      <c r="BM121" s="41">
        <f>IFERROR(ABS(SUMIFS('TRA balance'!N$5:N$40,'TRA balance'!$C$5:$C$40,Assumptions!$BB121,'TRA balance'!$D$5:$D$40,Assumptions!$BC121)),"")</f>
        <v>0</v>
      </c>
      <c r="BN121" s="41">
        <f>IFERROR(ABS(SUMIFS('TRA balance'!O$5:O$40,'TRA balance'!$C$5:$C$40,Assumptions!$BB121,'TRA balance'!$D$5:$D$40,Assumptions!$BC121)),"")</f>
        <v>0</v>
      </c>
      <c r="BO121" s="41">
        <f>IFERROR(ABS(SUMIFS('TRA balance'!P$5:P$40,'TRA balance'!$C$5:$C$40,Assumptions!$BB121,'TRA balance'!$D$5:$D$40,Assumptions!$BC121)),"")</f>
        <v>0</v>
      </c>
      <c r="BP121" s="41">
        <f>IFERROR(ABS(SUMIFS('TRA balance'!Q$5:Q$40,'TRA balance'!$C$5:$C$40,Assumptions!$BB121,'TRA balance'!$D$5:$D$40,Assumptions!$BC121)),"")</f>
        <v>0</v>
      </c>
      <c r="BQ121" s="41">
        <f>IFERROR(ABS(SUMIFS('TRA balance'!R$5:R$40,'TRA balance'!$C$5:$C$40,Assumptions!$BB121,'TRA balance'!$D$5:$D$40,Assumptions!$BC121)),"")</f>
        <v>0</v>
      </c>
      <c r="BR121" s="41">
        <f>IFERROR(ABS(SUMIFS('TRA balance'!S$5:S$40,'TRA balance'!$C$5:$C$40,Assumptions!$BB121,'TRA balance'!$D$5:$D$40,Assumptions!$BC121)),"")</f>
        <v>0</v>
      </c>
      <c r="BS121" s="41">
        <f>IFERROR(ABS(SUMIFS('TRA balance'!T$5:T$40,'TRA balance'!$C$5:$C$40,Assumptions!$BB121,'TRA balance'!$D$5:$D$40,Assumptions!$BC121)),"")</f>
        <v>0</v>
      </c>
      <c r="BT121" s="41">
        <f>IFERROR(ABS(SUMIFS('TRA balance'!U$5:U$40,'TRA balance'!$C$5:$C$40,Assumptions!$BB121,'TRA balance'!$D$5:$D$40,Assumptions!$BC121)),"")</f>
        <v>0</v>
      </c>
      <c r="BU121" s="41">
        <f>IFERROR(ABS(SUMIFS('TRA balance'!V$5:V$40,'TRA balance'!$C$5:$C$40,Assumptions!$BB121,'TRA balance'!$D$5:$D$40,Assumptions!$BC121)),"")</f>
        <v>0</v>
      </c>
      <c r="BV121" s="41">
        <f>IFERROR(ABS(SUMIFS('TRA balance'!W$5:W$40,'TRA balance'!$C$5:$C$40,Assumptions!$BB121,'TRA balance'!$D$5:$D$40,Assumptions!$BC121)),"")</f>
        <v>0</v>
      </c>
      <c r="BW121" s="41">
        <f>IFERROR(ABS(SUMIFS('TRA balance'!X$5:X$40,'TRA balance'!$C$5:$C$40,Assumptions!$BB121,'TRA balance'!$D$5:$D$40,Assumptions!$BC121)),"")</f>
        <v>0</v>
      </c>
      <c r="BX121" s="41">
        <f>IFERROR(ABS(SUMIFS('TRA balance'!Y$5:Y$40,'TRA balance'!$C$5:$C$40,Assumptions!$BB121,'TRA balance'!$D$5:$D$40,Assumptions!$BC121)),"")</f>
        <v>0</v>
      </c>
      <c r="BY121" s="41">
        <f>IFERROR(ABS(SUMIFS('TRA balance'!Z$5:Z$40,'TRA balance'!$C$5:$C$40,Assumptions!$BB121,'TRA balance'!$D$5:$D$40,Assumptions!$BC121)),"")</f>
        <v>0</v>
      </c>
      <c r="BZ121" s="41">
        <f>IFERROR(ABS(SUMIFS('TRA balance'!AA$5:AA$40,'TRA balance'!$C$5:$C$40,Assumptions!$BB121,'TRA balance'!$D$5:$D$40,Assumptions!$BC121)),"")</f>
        <v>3.1542220764</v>
      </c>
      <c r="CA121" s="41">
        <f>IFERROR(ABS(SUMIFS('TRA balance'!AB$5:AB$40,'TRA balance'!$C$5:$C$40,Assumptions!$BB121,'TRA balance'!$D$5:$D$40,Assumptions!$BC121)),"")</f>
        <v>0</v>
      </c>
      <c r="CB121" s="41">
        <f>IFERROR(ABS(SUMIFS('TRA balance'!AC$5:AC$40,'TRA balance'!$C$5:$C$40,Assumptions!$BB121,'TRA balance'!$D$5:$D$40,Assumptions!$BC121)),"")</f>
        <v>0</v>
      </c>
      <c r="CC121" s="41">
        <f>IFERROR(ABS(SUMIFS('TRA balance'!AD$5:AD$40,'TRA balance'!$C$5:$C$40,Assumptions!$BB121,'TRA balance'!$D$5:$D$40,Assumptions!$BC121)),"")</f>
        <v>0</v>
      </c>
      <c r="CD121" s="41">
        <f>IFERROR(ABS(SUMIFS('TRA balance'!AE$5:AE$40,'TRA balance'!$C$5:$C$40,Assumptions!$BB121,'TRA balance'!$D$5:$D$40,Assumptions!$BC121)),"")</f>
        <v>0</v>
      </c>
      <c r="CE121" s="41">
        <f>IFERROR(ABS(SUMIFS('TRA balance'!AF$5:AF$40,'TRA balance'!$C$5:$C$40,Assumptions!$BB121,'TRA balance'!$D$5:$D$40,Assumptions!$BC121)),"")</f>
        <v>0</v>
      </c>
      <c r="CF121" s="41">
        <f>IFERROR(ABS(SUMIFS('TRA balance'!AG$5:AG$40,'TRA balance'!$C$5:$C$40,Assumptions!$BB121,'TRA balance'!$D$5:$D$40,Assumptions!$BC121)),"")</f>
        <v>0</v>
      </c>
      <c r="CG121" s="41">
        <f>IFERROR(ABS(SUMIFS('TRA balance'!AH$5:AH$40,'TRA balance'!$C$5:$C$40,Assumptions!$BB121,'TRA balance'!$D$5:$D$40,Assumptions!$BC121)),"")</f>
        <v>0</v>
      </c>
      <c r="CH121" s="41">
        <f>IFERROR(ABS(SUMIFS('TRA balance'!AI$5:AI$40,'TRA balance'!$C$5:$C$40,Assumptions!$BB121,'TRA balance'!$D$5:$D$40,Assumptions!$BC121)),"")</f>
        <v>0</v>
      </c>
      <c r="CI121" s="41">
        <f>IFERROR(ABS(SUMIFS('TRA balance'!AJ$5:AJ$40,'TRA balance'!$C$5:$C$40,Assumptions!$BB121,'TRA balance'!$D$5:$D$40,Assumptions!$BC121)),"")</f>
        <v>0</v>
      </c>
      <c r="CJ121" s="41">
        <f>IFERROR(ABS(SUMIFS('TRA balance'!AK$5:AK$40,'TRA balance'!$C$5:$C$40,Assumptions!$BB121,'TRA balance'!$D$5:$D$40,Assumptions!$BC121)),"")</f>
        <v>0</v>
      </c>
      <c r="CK121" s="41">
        <f>IFERROR(ABS(SUMIFS('TRA balance'!AL$5:AL$40,'TRA balance'!$C$5:$C$40,Assumptions!$BB121,'TRA balance'!$D$5:$D$40,Assumptions!$BC121)),"")</f>
        <v>0</v>
      </c>
      <c r="CL121" s="41">
        <f>IFERROR(ABS(SUMIFS('TRA balance'!AM$5:AM$40,'TRA balance'!$C$5:$C$40,Assumptions!$BB121,'TRA balance'!$D$5:$D$40,Assumptions!$BC121)),"")</f>
        <v>0</v>
      </c>
      <c r="CM121" s="41">
        <f>IFERROR(ABS(SUMIFS('TRA balance'!AN$5:AN$40,'TRA balance'!$C$5:$C$40,Assumptions!$BB121,'TRA balance'!$D$5:$D$40,Assumptions!$BC121)),"")</f>
        <v>0</v>
      </c>
      <c r="CN121" s="41">
        <f>IFERROR(ABS(SUMIFS('TRA balance'!AO$5:AO$40,'TRA balance'!$C$5:$C$40,Assumptions!$BB121,'TRA balance'!$D$5:$D$40,Assumptions!$BC121)),"")</f>
        <v>0</v>
      </c>
      <c r="CO121" s="41">
        <f>IFERROR(ABS(SUMIFS('TRA balance'!AP$5:AP$40,'TRA balance'!$C$5:$C$40,Assumptions!$BB121,'TRA balance'!$D$5:$D$40,Assumptions!$BC121)),"")</f>
        <v>0</v>
      </c>
      <c r="CP121" s="41">
        <f>IFERROR(ABS(SUMIFS('TRA balance'!AQ$5:AQ$40,'TRA balance'!$C$5:$C$40,Assumptions!$BB121,'TRA balance'!$D$5:$D$40,Assumptions!$BC121)),"")</f>
        <v>0</v>
      </c>
      <c r="CQ121" s="41">
        <f>IFERROR(ABS(SUMIFS('TRA balance'!AR$5:AR$40,'TRA balance'!$C$5:$C$40,Assumptions!$BB121,'TRA balance'!$D$5:$D$40,Assumptions!$BC121)),"")</f>
        <v>0</v>
      </c>
      <c r="CR121" s="41">
        <f>IFERROR(ABS(SUMIFS('TRA balance'!AS$5:AS$40,'TRA balance'!$C$5:$C$40,Assumptions!$BB121,'TRA balance'!$D$5:$D$40,Assumptions!$BC121)),"")</f>
        <v>0</v>
      </c>
      <c r="CS121" s="41">
        <f>IFERROR(ABS(SUMIFS('TRA balance'!AT$5:AT$40,'TRA balance'!$C$5:$C$40,Assumptions!$BB121,'TRA balance'!$D$5:$D$40,Assumptions!$BC121)),"")</f>
        <v>0</v>
      </c>
      <c r="CT121" s="41">
        <f>IFERROR(ABS(SUMIFS('TRA balance'!AU$5:AU$40,'TRA balance'!$C$5:$C$40,Assumptions!$BB121,'TRA balance'!$D$5:$D$40,Assumptions!$BC121)),"")</f>
        <v>0</v>
      </c>
      <c r="CU121" s="41">
        <f>IFERROR(ABS(SUMIFS('TRA balance'!AV$5:AV$40,'TRA balance'!$C$5:$C$40,Assumptions!$BB121,'TRA balance'!$D$5:$D$40,Assumptions!$BC121)),"")</f>
        <v>0</v>
      </c>
      <c r="CV121" s="41">
        <f>IFERROR(ABS(SUMIFS('TRA balance'!AW$5:AW$40,'TRA balance'!$C$5:$C$40,Assumptions!$BB121,'TRA balance'!$D$5:$D$40,Assumptions!$BC121)),"")</f>
        <v>0</v>
      </c>
      <c r="CW121" s="41">
        <f>IFERROR(ABS(SUMIFS('TRA balance'!AX$5:AX$40,'TRA balance'!$C$5:$C$40,Assumptions!$BB121,'TRA balance'!$D$5:$D$40,Assumptions!$BC121)),"")</f>
        <v>0</v>
      </c>
      <c r="CX121" s="39"/>
    </row>
    <row r="122" spans="3:102">
      <c r="C122" t="str">
        <f t="shared" si="151"/>
        <v>GSL</v>
      </c>
      <c r="D122" t="str">
        <f t="shared" si="150"/>
        <v>TRE</v>
      </c>
      <c r="E122" t="s">
        <v>252</v>
      </c>
      <c r="F122" s="3">
        <v>0.35</v>
      </c>
      <c r="G122" s="3">
        <v>0.35</v>
      </c>
      <c r="H122" s="3">
        <v>0.35</v>
      </c>
      <c r="I122" s="3">
        <v>0.35</v>
      </c>
      <c r="J122" s="3">
        <v>0.35</v>
      </c>
      <c r="K122" s="3">
        <v>0.35</v>
      </c>
      <c r="L122" s="3">
        <v>0.35</v>
      </c>
      <c r="M122" s="3">
        <v>0.35</v>
      </c>
      <c r="N122" s="3">
        <v>0.35</v>
      </c>
      <c r="O122" s="3">
        <v>0.35</v>
      </c>
      <c r="P122" s="3">
        <v>0.35</v>
      </c>
      <c r="Q122" s="3">
        <v>0.35</v>
      </c>
      <c r="R122" s="3">
        <v>0.35</v>
      </c>
      <c r="S122" s="3">
        <v>0.35</v>
      </c>
      <c r="T122" s="3">
        <v>0.35</v>
      </c>
      <c r="U122" s="3">
        <v>0.35</v>
      </c>
      <c r="V122" s="3">
        <v>0.35</v>
      </c>
      <c r="W122" s="3">
        <v>0.35</v>
      </c>
      <c r="X122" s="3">
        <v>0.35</v>
      </c>
      <c r="Y122" s="3">
        <v>0.35</v>
      </c>
      <c r="Z122" s="3">
        <v>0.35</v>
      </c>
      <c r="AA122" s="3">
        <v>0.35</v>
      </c>
      <c r="AB122" s="3">
        <v>0.35</v>
      </c>
      <c r="AC122" s="3">
        <v>0.35</v>
      </c>
      <c r="AD122" s="3">
        <v>0.35</v>
      </c>
      <c r="AE122" s="3">
        <v>0.35</v>
      </c>
      <c r="AF122" s="3">
        <v>0.35</v>
      </c>
      <c r="AG122" s="3">
        <v>0.35</v>
      </c>
      <c r="AH122" s="3">
        <v>0.35</v>
      </c>
      <c r="AI122" s="3">
        <v>0.35</v>
      </c>
      <c r="AJ122" s="3">
        <v>0.35</v>
      </c>
      <c r="AK122" s="3">
        <v>0.35</v>
      </c>
      <c r="AL122" s="3">
        <v>0.35</v>
      </c>
      <c r="AM122" s="3">
        <v>0.35</v>
      </c>
      <c r="AN122" s="3">
        <v>0.35</v>
      </c>
      <c r="AO122" s="3">
        <v>0.35</v>
      </c>
      <c r="AP122" s="3">
        <v>0.35</v>
      </c>
      <c r="AQ122" s="3">
        <v>0.35</v>
      </c>
      <c r="AR122" s="3">
        <v>0.35</v>
      </c>
      <c r="AS122" s="3">
        <v>0.35</v>
      </c>
      <c r="AT122" s="3">
        <v>0.35</v>
      </c>
      <c r="AU122" s="3">
        <v>0.35</v>
      </c>
      <c r="AV122" s="3">
        <v>0.35</v>
      </c>
      <c r="AW122" s="3">
        <v>0.35</v>
      </c>
      <c r="AX122" s="3">
        <v>0.35</v>
      </c>
      <c r="AY122" s="3">
        <v>0.35</v>
      </c>
      <c r="AZ122" s="3">
        <v>0.35</v>
      </c>
      <c r="BA122" s="3">
        <v>0.35</v>
      </c>
      <c r="BB122" s="39" t="s">
        <v>88</v>
      </c>
      <c r="BC122" s="39" t="s">
        <v>44</v>
      </c>
      <c r="BD122" s="41">
        <f>IFERROR(ABS(SUMIFS('TRA balance'!E$5:E$40,'TRA balance'!$C$5:$C$40,Assumptions!$BB122,'TRA balance'!$D$5:$D$40,Assumptions!$BC122)),"")</f>
        <v>0</v>
      </c>
      <c r="BE122" s="41">
        <f>IFERROR(ABS(SUMIFS('TRA balance'!F$5:F$40,'TRA balance'!$C$5:$C$40,Assumptions!$BB122,'TRA balance'!$D$5:$D$40,Assumptions!$BC122)),"")</f>
        <v>0</v>
      </c>
      <c r="BF122" s="41">
        <f>IFERROR(ABS(SUMIFS('TRA balance'!G$5:G$40,'TRA balance'!$C$5:$C$40,Assumptions!$BB122,'TRA balance'!$D$5:$D$40,Assumptions!$BC122)),"")</f>
        <v>0</v>
      </c>
      <c r="BG122" s="41">
        <f>IFERROR(ABS(SUMIFS('TRA balance'!H$5:H$40,'TRA balance'!$C$5:$C$40,Assumptions!$BB122,'TRA balance'!$D$5:$D$40,Assumptions!$BC122)),"")</f>
        <v>0</v>
      </c>
      <c r="BH122" s="41">
        <f>IFERROR(ABS(SUMIFS('TRA balance'!I$5:I$40,'TRA balance'!$C$5:$C$40,Assumptions!$BB122,'TRA balance'!$D$5:$D$40,Assumptions!$BC122)),"")</f>
        <v>0</v>
      </c>
      <c r="BI122" s="41">
        <f>IFERROR(ABS(SUMIFS('TRA balance'!J$5:J$40,'TRA balance'!$C$5:$C$40,Assumptions!$BB122,'TRA balance'!$D$5:$D$40,Assumptions!$BC122)),"")</f>
        <v>1.9816836156</v>
      </c>
      <c r="BJ122" s="41">
        <f>IFERROR(ABS(SUMIFS('TRA balance'!K$5:K$40,'TRA balance'!$C$5:$C$40,Assumptions!$BB122,'TRA balance'!$D$5:$D$40,Assumptions!$BC122)),"")</f>
        <v>0</v>
      </c>
      <c r="BK122" s="41">
        <f>IFERROR(ABS(SUMIFS('TRA balance'!L$5:L$40,'TRA balance'!$C$5:$C$40,Assumptions!$BB122,'TRA balance'!$D$5:$D$40,Assumptions!$BC122)),"")</f>
        <v>0</v>
      </c>
      <c r="BL122" s="41">
        <f>IFERROR(ABS(SUMIFS('TRA balance'!M$5:M$40,'TRA balance'!$C$5:$C$40,Assumptions!$BB122,'TRA balance'!$D$5:$D$40,Assumptions!$BC122)),"")</f>
        <v>0</v>
      </c>
      <c r="BM122" s="41">
        <f>IFERROR(ABS(SUMIFS('TRA balance'!N$5:N$40,'TRA balance'!$C$5:$C$40,Assumptions!$BB122,'TRA balance'!$D$5:$D$40,Assumptions!$BC122)),"")</f>
        <v>0</v>
      </c>
      <c r="BN122" s="41">
        <f>IFERROR(ABS(SUMIFS('TRA balance'!O$5:O$40,'TRA balance'!$C$5:$C$40,Assumptions!$BB122,'TRA balance'!$D$5:$D$40,Assumptions!$BC122)),"")</f>
        <v>0</v>
      </c>
      <c r="BO122" s="41">
        <f>IFERROR(ABS(SUMIFS('TRA balance'!P$5:P$40,'TRA balance'!$C$5:$C$40,Assumptions!$BB122,'TRA balance'!$D$5:$D$40,Assumptions!$BC122)),"")</f>
        <v>0</v>
      </c>
      <c r="BP122" s="41">
        <f>IFERROR(ABS(SUMIFS('TRA balance'!Q$5:Q$40,'TRA balance'!$C$5:$C$40,Assumptions!$BB122,'TRA balance'!$D$5:$D$40,Assumptions!$BC122)),"")</f>
        <v>0.0015449292</v>
      </c>
      <c r="BQ122" s="41">
        <f>IFERROR(ABS(SUMIFS('TRA balance'!R$5:R$40,'TRA balance'!$C$5:$C$40,Assumptions!$BB122,'TRA balance'!$D$5:$D$40,Assumptions!$BC122)),"")</f>
        <v>0</v>
      </c>
      <c r="BR122" s="41">
        <f>IFERROR(ABS(SUMIFS('TRA balance'!S$5:S$40,'TRA balance'!$C$5:$C$40,Assumptions!$BB122,'TRA balance'!$D$5:$D$40,Assumptions!$BC122)),"")</f>
        <v>0</v>
      </c>
      <c r="BS122" s="41">
        <f>IFERROR(ABS(SUMIFS('TRA balance'!T$5:T$40,'TRA balance'!$C$5:$C$40,Assumptions!$BB122,'TRA balance'!$D$5:$D$40,Assumptions!$BC122)),"")</f>
        <v>0</v>
      </c>
      <c r="BT122" s="41">
        <f>IFERROR(ABS(SUMIFS('TRA balance'!U$5:U$40,'TRA balance'!$C$5:$C$40,Assumptions!$BB122,'TRA balance'!$D$5:$D$40,Assumptions!$BC122)),"")</f>
        <v>0</v>
      </c>
      <c r="BU122" s="41">
        <f>IFERROR(ABS(SUMIFS('TRA balance'!V$5:V$40,'TRA balance'!$C$5:$C$40,Assumptions!$BB122,'TRA balance'!$D$5:$D$40,Assumptions!$BC122)),"")</f>
        <v>0</v>
      </c>
      <c r="BV122" s="41">
        <f>IFERROR(ABS(SUMIFS('TRA balance'!W$5:W$40,'TRA balance'!$C$5:$C$40,Assumptions!$BB122,'TRA balance'!$D$5:$D$40,Assumptions!$BC122)),"")</f>
        <v>0</v>
      </c>
      <c r="BW122" s="41">
        <f>IFERROR(ABS(SUMIFS('TRA balance'!X$5:X$40,'TRA balance'!$C$5:$C$40,Assumptions!$BB122,'TRA balance'!$D$5:$D$40,Assumptions!$BC122)),"")</f>
        <v>0</v>
      </c>
      <c r="BX122" s="41">
        <f>IFERROR(ABS(SUMIFS('TRA balance'!Y$5:Y$40,'TRA balance'!$C$5:$C$40,Assumptions!$BB122,'TRA balance'!$D$5:$D$40,Assumptions!$BC122)),"")</f>
        <v>0</v>
      </c>
      <c r="BY122" s="41">
        <f>IFERROR(ABS(SUMIFS('TRA balance'!Z$5:Z$40,'TRA balance'!$C$5:$C$40,Assumptions!$BB122,'TRA balance'!$D$5:$D$40,Assumptions!$BC122)),"")</f>
        <v>8.568746748</v>
      </c>
      <c r="BZ122" s="41">
        <f>IFERROR(ABS(SUMIFS('TRA balance'!AA$5:AA$40,'TRA balance'!$C$5:$C$40,Assumptions!$BB122,'TRA balance'!$D$5:$D$40,Assumptions!$BC122)),"")</f>
        <v>0</v>
      </c>
      <c r="CA122" s="41">
        <f>IFERROR(ABS(SUMIFS('TRA balance'!AB$5:AB$40,'TRA balance'!$C$5:$C$40,Assumptions!$BB122,'TRA balance'!$D$5:$D$40,Assumptions!$BC122)),"")</f>
        <v>0</v>
      </c>
      <c r="CB122" s="41">
        <f>IFERROR(ABS(SUMIFS('TRA balance'!AC$5:AC$40,'TRA balance'!$C$5:$C$40,Assumptions!$BB122,'TRA balance'!$D$5:$D$40,Assumptions!$BC122)),"")</f>
        <v>0</v>
      </c>
      <c r="CC122" s="41">
        <f>IFERROR(ABS(SUMIFS('TRA balance'!AD$5:AD$40,'TRA balance'!$C$5:$C$40,Assumptions!$BB122,'TRA balance'!$D$5:$D$40,Assumptions!$BC122)),"")</f>
        <v>0</v>
      </c>
      <c r="CD122" s="41">
        <f>IFERROR(ABS(SUMIFS('TRA balance'!AE$5:AE$40,'TRA balance'!$C$5:$C$40,Assumptions!$BB122,'TRA balance'!$D$5:$D$40,Assumptions!$BC122)),"")</f>
        <v>0</v>
      </c>
      <c r="CE122" s="41">
        <f>IFERROR(ABS(SUMIFS('TRA balance'!AF$5:AF$40,'TRA balance'!$C$5:$C$40,Assumptions!$BB122,'TRA balance'!$D$5:$D$40,Assumptions!$BC122)),"")</f>
        <v>0</v>
      </c>
      <c r="CF122" s="41">
        <f>IFERROR(ABS(SUMIFS('TRA balance'!AG$5:AG$40,'TRA balance'!$C$5:$C$40,Assumptions!$BB122,'TRA balance'!$D$5:$D$40,Assumptions!$BC122)),"")</f>
        <v>0</v>
      </c>
      <c r="CG122" s="41">
        <f>IFERROR(ABS(SUMIFS('TRA balance'!AH$5:AH$40,'TRA balance'!$C$5:$C$40,Assumptions!$BB122,'TRA balance'!$D$5:$D$40,Assumptions!$BC122)),"")</f>
        <v>0</v>
      </c>
      <c r="CH122" s="41">
        <f>IFERROR(ABS(SUMIFS('TRA balance'!AI$5:AI$40,'TRA balance'!$C$5:$C$40,Assumptions!$BB122,'TRA balance'!$D$5:$D$40,Assumptions!$BC122)),"")</f>
        <v>0</v>
      </c>
      <c r="CI122" s="41">
        <f>IFERROR(ABS(SUMIFS('TRA balance'!AJ$5:AJ$40,'TRA balance'!$C$5:$C$40,Assumptions!$BB122,'TRA balance'!$D$5:$D$40,Assumptions!$BC122)),"")</f>
        <v>0</v>
      </c>
      <c r="CJ122" s="41">
        <f>IFERROR(ABS(SUMIFS('TRA balance'!AK$5:AK$40,'TRA balance'!$C$5:$C$40,Assumptions!$BB122,'TRA balance'!$D$5:$D$40,Assumptions!$BC122)),"")</f>
        <v>0</v>
      </c>
      <c r="CK122" s="41">
        <f>IFERROR(ABS(SUMIFS('TRA balance'!AL$5:AL$40,'TRA balance'!$C$5:$C$40,Assumptions!$BB122,'TRA balance'!$D$5:$D$40,Assumptions!$BC122)),"")</f>
        <v>0</v>
      </c>
      <c r="CL122" s="41">
        <f>IFERROR(ABS(SUMIFS('TRA balance'!AM$5:AM$40,'TRA balance'!$C$5:$C$40,Assumptions!$BB122,'TRA balance'!$D$5:$D$40,Assumptions!$BC122)),"")</f>
        <v>0</v>
      </c>
      <c r="CM122" s="41">
        <f>IFERROR(ABS(SUMIFS('TRA balance'!AN$5:AN$40,'TRA balance'!$C$5:$C$40,Assumptions!$BB122,'TRA balance'!$D$5:$D$40,Assumptions!$BC122)),"")</f>
        <v>0</v>
      </c>
      <c r="CN122" s="41">
        <f>IFERROR(ABS(SUMIFS('TRA balance'!AO$5:AO$40,'TRA balance'!$C$5:$C$40,Assumptions!$BB122,'TRA balance'!$D$5:$D$40,Assumptions!$BC122)),"")</f>
        <v>0</v>
      </c>
      <c r="CO122" s="41">
        <f>IFERROR(ABS(SUMIFS('TRA balance'!AP$5:AP$40,'TRA balance'!$C$5:$C$40,Assumptions!$BB122,'TRA balance'!$D$5:$D$40,Assumptions!$BC122)),"")</f>
        <v>0</v>
      </c>
      <c r="CP122" s="41">
        <f>IFERROR(ABS(SUMIFS('TRA balance'!AQ$5:AQ$40,'TRA balance'!$C$5:$C$40,Assumptions!$BB122,'TRA balance'!$D$5:$D$40,Assumptions!$BC122)),"")</f>
        <v>0</v>
      </c>
      <c r="CQ122" s="41">
        <f>IFERROR(ABS(SUMIFS('TRA balance'!AR$5:AR$40,'TRA balance'!$C$5:$C$40,Assumptions!$BB122,'TRA balance'!$D$5:$D$40,Assumptions!$BC122)),"")</f>
        <v>0</v>
      </c>
      <c r="CR122" s="41">
        <f>IFERROR(ABS(SUMIFS('TRA balance'!AS$5:AS$40,'TRA balance'!$C$5:$C$40,Assumptions!$BB122,'TRA balance'!$D$5:$D$40,Assumptions!$BC122)),"")</f>
        <v>0</v>
      </c>
      <c r="CS122" s="41">
        <f>IFERROR(ABS(SUMIFS('TRA balance'!AT$5:AT$40,'TRA balance'!$C$5:$C$40,Assumptions!$BB122,'TRA balance'!$D$5:$D$40,Assumptions!$BC122)),"")</f>
        <v>0</v>
      </c>
      <c r="CT122" s="41">
        <f>IFERROR(ABS(SUMIFS('TRA balance'!AU$5:AU$40,'TRA balance'!$C$5:$C$40,Assumptions!$BB122,'TRA balance'!$D$5:$D$40,Assumptions!$BC122)),"")</f>
        <v>0</v>
      </c>
      <c r="CU122" s="41">
        <f>IFERROR(ABS(SUMIFS('TRA balance'!AV$5:AV$40,'TRA balance'!$C$5:$C$40,Assumptions!$BB122,'TRA balance'!$D$5:$D$40,Assumptions!$BC122)),"")</f>
        <v>0</v>
      </c>
      <c r="CV122" s="41">
        <f>IFERROR(ABS(SUMIFS('TRA balance'!AW$5:AW$40,'TRA balance'!$C$5:$C$40,Assumptions!$BB122,'TRA balance'!$D$5:$D$40,Assumptions!$BC122)),"")</f>
        <v>0</v>
      </c>
      <c r="CW122" s="41">
        <f>IFERROR(ABS(SUMIFS('TRA balance'!AX$5:AX$40,'TRA balance'!$C$5:$C$40,Assumptions!$BB122,'TRA balance'!$D$5:$D$40,Assumptions!$BC122)),"")</f>
        <v>0</v>
      </c>
      <c r="CX122" s="39"/>
    </row>
    <row r="123" spans="3:102">
      <c r="C123" t="str">
        <f t="shared" si="151"/>
        <v>DST</v>
      </c>
      <c r="D123" t="str">
        <f t="shared" si="150"/>
        <v>TRH</v>
      </c>
      <c r="E123" t="s">
        <v>253</v>
      </c>
      <c r="F123" s="3">
        <v>0.052</v>
      </c>
      <c r="G123" s="3">
        <v>0.0585</v>
      </c>
      <c r="H123" s="3">
        <v>0.061425</v>
      </c>
      <c r="I123" s="3">
        <v>0.061425</v>
      </c>
      <c r="J123" s="3">
        <v>0.061425</v>
      </c>
      <c r="K123" s="3">
        <v>0.061425</v>
      </c>
      <c r="L123" s="3">
        <v>0.061425</v>
      </c>
      <c r="M123" s="3">
        <v>0.061425</v>
      </c>
      <c r="N123" s="3">
        <v>0.061425</v>
      </c>
      <c r="O123" s="3">
        <v>0.061425</v>
      </c>
      <c r="P123" s="3">
        <v>0.061425</v>
      </c>
      <c r="Q123" s="3">
        <v>0.061425</v>
      </c>
      <c r="R123" s="3">
        <v>0.061425</v>
      </c>
      <c r="S123" s="3">
        <v>0.061425</v>
      </c>
      <c r="T123" s="3">
        <v>0.061425</v>
      </c>
      <c r="U123" s="3">
        <v>0.061425</v>
      </c>
      <c r="V123" s="3">
        <v>0.061425</v>
      </c>
      <c r="W123" s="3">
        <v>0.061425</v>
      </c>
      <c r="X123" s="3">
        <v>0.061425</v>
      </c>
      <c r="Y123" s="3">
        <v>0.061425</v>
      </c>
      <c r="Z123" s="3">
        <v>0.061425</v>
      </c>
      <c r="AA123" s="3">
        <v>0.061425</v>
      </c>
      <c r="AB123" s="3">
        <v>0.061425</v>
      </c>
      <c r="AC123" s="3">
        <v>0.061425</v>
      </c>
      <c r="AD123" s="3">
        <v>0.061425</v>
      </c>
      <c r="AE123" s="3">
        <v>0.061425</v>
      </c>
      <c r="AF123" s="3">
        <v>0.061425</v>
      </c>
      <c r="AG123" s="3">
        <v>0.061425</v>
      </c>
      <c r="AH123" s="3">
        <v>0.061425</v>
      </c>
      <c r="AI123" s="3">
        <v>0.061425</v>
      </c>
      <c r="AJ123" s="3">
        <v>0.061425</v>
      </c>
      <c r="AK123" s="3">
        <v>0.061425</v>
      </c>
      <c r="AL123" s="3">
        <v>0.061425</v>
      </c>
      <c r="AM123" s="3">
        <v>0.061425</v>
      </c>
      <c r="AN123" s="3">
        <v>0.061425</v>
      </c>
      <c r="AO123" s="3">
        <v>0.061425</v>
      </c>
      <c r="AP123" s="3">
        <v>0.061425</v>
      </c>
      <c r="AQ123" s="3">
        <v>0.061425</v>
      </c>
      <c r="AR123" s="3">
        <v>0.061425</v>
      </c>
      <c r="AS123" s="3">
        <v>0.061425</v>
      </c>
      <c r="AT123" s="3">
        <v>0.061425</v>
      </c>
      <c r="AU123" s="3">
        <v>0.061425</v>
      </c>
      <c r="AV123" s="3">
        <v>0.061425</v>
      </c>
      <c r="AW123" s="3">
        <v>0.061425</v>
      </c>
      <c r="AX123" s="3">
        <v>0.061425</v>
      </c>
      <c r="AY123" s="3">
        <v>0.061425</v>
      </c>
      <c r="AZ123" s="3">
        <v>0.061425</v>
      </c>
      <c r="BA123" s="3">
        <v>0.061425</v>
      </c>
      <c r="BB123" s="39" t="s">
        <v>88</v>
      </c>
      <c r="BC123" s="39" t="s">
        <v>60</v>
      </c>
      <c r="BD123" s="41">
        <f>IFERROR(ABS(SUMIFS('TRA balance'!E$5:E$40,'TRA balance'!$C$5:$C$40,Assumptions!$BB123,'TRA balance'!$D$5:$D$40,Assumptions!$BC123)),"")</f>
        <v>9.1431003456</v>
      </c>
      <c r="BE123" s="41">
        <f>IFERROR(ABS(SUMIFS('TRA balance'!F$5:F$40,'TRA balance'!$C$5:$C$40,Assumptions!$BB123,'TRA balance'!$D$5:$D$40,Assumptions!$BC123)),"")</f>
        <v>35.0189646048</v>
      </c>
      <c r="BF123" s="41">
        <f>IFERROR(ABS(SUMIFS('TRA balance'!G$5:G$40,'TRA balance'!$C$5:$C$40,Assumptions!$BB123,'TRA balance'!$D$5:$D$40,Assumptions!$BC123)),"")</f>
        <v>3.261370662</v>
      </c>
      <c r="BG123" s="41">
        <f>IFERROR(ABS(SUMIFS('TRA balance'!H$5:H$40,'TRA balance'!$C$5:$C$40,Assumptions!$BB123,'TRA balance'!$D$5:$D$40,Assumptions!$BC123)),"")</f>
        <v>0.6130145088</v>
      </c>
      <c r="BH123" s="41">
        <f>IFERROR(ABS(SUMIFS('TRA balance'!I$5:I$40,'TRA balance'!$C$5:$C$40,Assumptions!$BB123,'TRA balance'!$D$5:$D$40,Assumptions!$BC123)),"")</f>
        <v>16.5952987092</v>
      </c>
      <c r="BI123" s="41">
        <f>IFERROR(ABS(SUMIFS('TRA balance'!J$5:J$40,'TRA balance'!$C$5:$C$40,Assumptions!$BB123,'TRA balance'!$D$5:$D$40,Assumptions!$BC123)),"")</f>
        <v>133.0551809712</v>
      </c>
      <c r="BJ123" s="41">
        <f>IFERROR(ABS(SUMIFS('TRA balance'!K$5:K$40,'TRA balance'!$C$5:$C$40,Assumptions!$BB123,'TRA balance'!$D$5:$D$40,Assumptions!$BC123)),"")</f>
        <v>19.718090478</v>
      </c>
      <c r="BK123" s="41">
        <f>IFERROR(ABS(SUMIFS('TRA balance'!L$5:L$40,'TRA balance'!$C$5:$C$40,Assumptions!$BB123,'TRA balance'!$D$5:$D$40,Assumptions!$BC123)),"")</f>
        <v>32.5625606712</v>
      </c>
      <c r="BL123" s="41">
        <f>IFERROR(ABS(SUMIFS('TRA balance'!M$5:M$40,'TRA balance'!$C$5:$C$40,Assumptions!$BB123,'TRA balance'!$D$5:$D$40,Assumptions!$BC123)),"")</f>
        <v>2.0533783788</v>
      </c>
      <c r="BM123" s="41">
        <f>IFERROR(ABS(SUMIFS('TRA balance'!N$5:N$40,'TRA balance'!$C$5:$C$40,Assumptions!$BB123,'TRA balance'!$D$5:$D$40,Assumptions!$BC123)),"")</f>
        <v>0</v>
      </c>
      <c r="BN123" s="41">
        <f>IFERROR(ABS(SUMIFS('TRA balance'!O$5:O$40,'TRA balance'!$C$5:$C$40,Assumptions!$BB123,'TRA balance'!$D$5:$D$40,Assumptions!$BC123)),"")</f>
        <v>5.9298778836</v>
      </c>
      <c r="BO123" s="41">
        <f>IFERROR(ABS(SUMIFS('TRA balance'!P$5:P$40,'TRA balance'!$C$5:$C$40,Assumptions!$BB123,'TRA balance'!$D$5:$D$40,Assumptions!$BC123)),"")</f>
        <v>30.0756014712</v>
      </c>
      <c r="BP123" s="41">
        <f>IFERROR(ABS(SUMIFS('TRA balance'!Q$5:Q$40,'TRA balance'!$C$5:$C$40,Assumptions!$BB123,'TRA balance'!$D$5:$D$40,Assumptions!$BC123)),"")</f>
        <v>21.6378806292</v>
      </c>
      <c r="BQ123" s="41">
        <f>IFERROR(ABS(SUMIFS('TRA balance'!R$5:R$40,'TRA balance'!$C$5:$C$40,Assumptions!$BB123,'TRA balance'!$D$5:$D$40,Assumptions!$BC123)),"")</f>
        <v>3.9072557376</v>
      </c>
      <c r="BR123" s="41">
        <f>IFERROR(ABS(SUMIFS('TRA balance'!S$5:S$40,'TRA balance'!$C$5:$C$40,Assumptions!$BB123,'TRA balance'!$D$5:$D$40,Assumptions!$BC123)),"")</f>
        <v>1.9252204308</v>
      </c>
      <c r="BS123" s="41">
        <f>IFERROR(ABS(SUMIFS('TRA balance'!T$5:T$40,'TRA balance'!$C$5:$C$40,Assumptions!$BB123,'TRA balance'!$D$5:$D$40,Assumptions!$BC123)),"")</f>
        <v>2.3815020816</v>
      </c>
      <c r="BT123" s="41">
        <f>IFERROR(ABS(SUMIFS('TRA balance'!U$5:U$40,'TRA balance'!$C$5:$C$40,Assumptions!$BB123,'TRA balance'!$D$5:$D$40,Assumptions!$BC123)),"")</f>
        <v>5.431033224</v>
      </c>
      <c r="BU123" s="41">
        <f>IFERROR(ABS(SUMIFS('TRA balance'!V$5:V$40,'TRA balance'!$C$5:$C$40,Assumptions!$BB123,'TRA balance'!$D$5:$D$40,Assumptions!$BC123)),"")</f>
        <v>38.059728588</v>
      </c>
      <c r="BV123" s="41">
        <f>IFERROR(ABS(SUMIFS('TRA balance'!W$5:W$40,'TRA balance'!$C$5:$C$40,Assumptions!$BB123,'TRA balance'!$D$5:$D$40,Assumptions!$BC123)),"")</f>
        <v>5.2803126108</v>
      </c>
      <c r="BW123" s="41">
        <f>IFERROR(ABS(SUMIFS('TRA balance'!X$5:X$40,'TRA balance'!$C$5:$C$40,Assumptions!$BB123,'TRA balance'!$D$5:$D$40,Assumptions!$BC123)),"")</f>
        <v>69.3036021708</v>
      </c>
      <c r="BX123" s="41">
        <f>IFERROR(ABS(SUMIFS('TRA balance'!Y$5:Y$40,'TRA balance'!$C$5:$C$40,Assumptions!$BB123,'TRA balance'!$D$5:$D$40,Assumptions!$BC123)),"")</f>
        <v>35.6048737704</v>
      </c>
      <c r="BY123" s="41">
        <f>IFERROR(ABS(SUMIFS('TRA balance'!Z$5:Z$40,'TRA balance'!$C$5:$C$40,Assumptions!$BB123,'TRA balance'!$D$5:$D$40,Assumptions!$BC123)),"")</f>
        <v>461.7399526524</v>
      </c>
      <c r="BZ123" s="41">
        <f>IFERROR(ABS(SUMIFS('TRA balance'!AA$5:AA$40,'TRA balance'!$C$5:$C$40,Assumptions!$BB123,'TRA balance'!$D$5:$D$40,Assumptions!$BC123)),"")</f>
        <v>10.1505993372</v>
      </c>
      <c r="CA123" s="41">
        <f>IFERROR(ABS(SUMIFS('TRA balance'!AB$5:AB$40,'TRA balance'!$C$5:$C$40,Assumptions!$BB123,'TRA balance'!$D$5:$D$40,Assumptions!$BC123)),"")</f>
        <v>8.1779215284</v>
      </c>
      <c r="CB123" s="41">
        <f>IFERROR(ABS(SUMIFS('TRA balance'!AC$5:AC$40,'TRA balance'!$C$5:$C$40,Assumptions!$BB123,'TRA balance'!$D$5:$D$40,Assumptions!$BC123)),"")</f>
        <v>407.6181896976</v>
      </c>
      <c r="CC123" s="41">
        <f>IFERROR(ABS(SUMIFS('TRA balance'!AD$5:AD$40,'TRA balance'!$C$5:$C$40,Assumptions!$BB123,'TRA balance'!$D$5:$D$40,Assumptions!$BC123)),"")</f>
        <v>364.0144429008</v>
      </c>
      <c r="CD123" s="41">
        <f>IFERROR(ABS(SUMIFS('TRA balance'!AE$5:AE$40,'TRA balance'!$C$5:$C$40,Assumptions!$BB123,'TRA balance'!$D$5:$D$40,Assumptions!$BC123)),"")</f>
        <v>0</v>
      </c>
      <c r="CE123" s="41">
        <f>IFERROR(ABS(SUMIFS('TRA balance'!AF$5:AF$40,'TRA balance'!$C$5:$C$40,Assumptions!$BB123,'TRA balance'!$D$5:$D$40,Assumptions!$BC123)),"")</f>
        <v>68.6750295132</v>
      </c>
      <c r="CF123" s="41">
        <f>IFERROR(ABS(SUMIFS('TRA balance'!AG$5:AG$40,'TRA balance'!$C$5:$C$40,Assumptions!$BB123,'TRA balance'!$D$5:$D$40,Assumptions!$BC123)),"")</f>
        <v>74.4356183256</v>
      </c>
      <c r="CG123" s="41">
        <f>IFERROR(ABS(SUMIFS('TRA balance'!AH$5:AH$40,'TRA balance'!$C$5:$C$40,Assumptions!$BB123,'TRA balance'!$D$5:$D$40,Assumptions!$BC123)),"")</f>
        <v>38.8497903084</v>
      </c>
      <c r="CH123" s="41">
        <f>IFERROR(ABS(SUMIFS('TRA balance'!AI$5:AI$40,'TRA balance'!$C$5:$C$40,Assumptions!$BB123,'TRA balance'!$D$5:$D$40,Assumptions!$BC123)),"")</f>
        <v>0.1114861104</v>
      </c>
      <c r="CI123" s="41">
        <f>IFERROR(ABS(SUMIFS('TRA balance'!AJ$5:AJ$40,'TRA balance'!$C$5:$C$40,Assumptions!$BB123,'TRA balance'!$D$5:$D$40,Assumptions!$BC123)),"")</f>
        <v>6.1769995668</v>
      </c>
      <c r="CJ123" s="41">
        <f>IFERROR(ABS(SUMIFS('TRA balance'!AK$5:AK$40,'TRA balance'!$C$5:$C$40,Assumptions!$BB123,'TRA balance'!$D$5:$D$40,Assumptions!$BC123)),"")</f>
        <v>67.5705014316</v>
      </c>
      <c r="CK123" s="41">
        <f>IFERROR(ABS(SUMIFS('TRA balance'!AL$5:AL$40,'TRA balance'!$C$5:$C$40,Assumptions!$BB123,'TRA balance'!$D$5:$D$40,Assumptions!$BC123)),"")</f>
        <v>0</v>
      </c>
      <c r="CL123" s="41">
        <f>IFERROR(ABS(SUMIFS('TRA balance'!AM$5:AM$40,'TRA balance'!$C$5:$C$40,Assumptions!$BB123,'TRA balance'!$D$5:$D$40,Assumptions!$BC123)),"")</f>
        <v>2.0118118284</v>
      </c>
      <c r="CM123" s="41">
        <f>IFERROR(ABS(SUMIFS('TRA balance'!AN$5:AN$40,'TRA balance'!$C$5:$C$40,Assumptions!$BB123,'TRA balance'!$D$5:$D$40,Assumptions!$BC123)),"")</f>
        <v>0</v>
      </c>
      <c r="CN123" s="41">
        <f>IFERROR(ABS(SUMIFS('TRA balance'!AO$5:AO$40,'TRA balance'!$C$5:$C$40,Assumptions!$BB123,'TRA balance'!$D$5:$D$40,Assumptions!$BC123)),"")</f>
        <v>0</v>
      </c>
      <c r="CO123" s="41">
        <f>IFERROR(ABS(SUMIFS('TRA balance'!AP$5:AP$40,'TRA balance'!$C$5:$C$40,Assumptions!$BB123,'TRA balance'!$D$5:$D$40,Assumptions!$BC123)),"")</f>
        <v>0</v>
      </c>
      <c r="CP123" s="41">
        <f>IFERROR(ABS(SUMIFS('TRA balance'!AQ$5:AQ$40,'TRA balance'!$C$5:$C$40,Assumptions!$BB123,'TRA balance'!$D$5:$D$40,Assumptions!$BC123)),"")</f>
        <v>0</v>
      </c>
      <c r="CQ123" s="41">
        <f>IFERROR(ABS(SUMIFS('TRA balance'!AR$5:AR$40,'TRA balance'!$C$5:$C$40,Assumptions!$BB123,'TRA balance'!$D$5:$D$40,Assumptions!$BC123)),"")</f>
        <v>0</v>
      </c>
      <c r="CR123" s="41">
        <f>IFERROR(ABS(SUMIFS('TRA balance'!AS$5:AS$40,'TRA balance'!$C$5:$C$40,Assumptions!$BB123,'TRA balance'!$D$5:$D$40,Assumptions!$BC123)),"")</f>
        <v>0</v>
      </c>
      <c r="CS123" s="41">
        <f>IFERROR(ABS(SUMIFS('TRA balance'!AT$5:AT$40,'TRA balance'!$C$5:$C$40,Assumptions!$BB123,'TRA balance'!$D$5:$D$40,Assumptions!$BC123)),"")</f>
        <v>0</v>
      </c>
      <c r="CT123" s="41">
        <f>IFERROR(ABS(SUMIFS('TRA balance'!AU$5:AU$40,'TRA balance'!$C$5:$C$40,Assumptions!$BB123,'TRA balance'!$D$5:$D$40,Assumptions!$BC123)),"")</f>
        <v>0</v>
      </c>
      <c r="CU123" s="41">
        <f>IFERROR(ABS(SUMIFS('TRA balance'!AV$5:AV$40,'TRA balance'!$C$5:$C$40,Assumptions!$BB123,'TRA balance'!$D$5:$D$40,Assumptions!$BC123)),"")</f>
        <v>0</v>
      </c>
      <c r="CV123" s="41">
        <f>IFERROR(ABS(SUMIFS('TRA balance'!AW$5:AW$40,'TRA balance'!$C$5:$C$40,Assumptions!$BB123,'TRA balance'!$D$5:$D$40,Assumptions!$BC123)),"")</f>
        <v>0</v>
      </c>
      <c r="CW123" s="41">
        <f>IFERROR(ABS(SUMIFS('TRA balance'!AX$5:AX$40,'TRA balance'!$C$5:$C$40,Assumptions!$BB123,'TRA balance'!$D$5:$D$40,Assumptions!$BC123)),"")</f>
        <v>0</v>
      </c>
      <c r="CX123" s="39"/>
    </row>
    <row r="124" spans="3:102">
      <c r="C124" t="str">
        <f t="shared" si="151"/>
        <v>ETH</v>
      </c>
      <c r="D124" t="str">
        <f t="shared" si="150"/>
        <v>TRH</v>
      </c>
      <c r="E124" t="s">
        <v>254</v>
      </c>
      <c r="F124" s="3">
        <v>0.0464</v>
      </c>
      <c r="G124" s="3">
        <v>0.0522</v>
      </c>
      <c r="H124" s="3">
        <v>0.05481</v>
      </c>
      <c r="I124" s="3">
        <v>0.05481</v>
      </c>
      <c r="J124" s="3">
        <v>0.05481</v>
      </c>
      <c r="K124" s="3">
        <v>0.05481</v>
      </c>
      <c r="L124" s="3">
        <v>0.05481</v>
      </c>
      <c r="M124" s="3">
        <v>0.05481</v>
      </c>
      <c r="N124" s="3">
        <v>0.05481</v>
      </c>
      <c r="O124" s="3">
        <v>0.05481</v>
      </c>
      <c r="P124" s="3">
        <v>0.05481</v>
      </c>
      <c r="Q124" s="3">
        <v>0.05481</v>
      </c>
      <c r="R124" s="3">
        <v>0.05481</v>
      </c>
      <c r="S124" s="3">
        <v>0.05481</v>
      </c>
      <c r="T124" s="3">
        <v>0.05481</v>
      </c>
      <c r="U124" s="3">
        <v>0.05481</v>
      </c>
      <c r="V124" s="3">
        <v>0.05481</v>
      </c>
      <c r="W124" s="3">
        <v>0.05481</v>
      </c>
      <c r="X124" s="3">
        <v>0.05481</v>
      </c>
      <c r="Y124" s="3">
        <v>0.05481</v>
      </c>
      <c r="Z124" s="3">
        <v>0.05481</v>
      </c>
      <c r="AA124" s="3">
        <v>0.05481</v>
      </c>
      <c r="AB124" s="3">
        <v>0.05481</v>
      </c>
      <c r="AC124" s="3">
        <v>0.05481</v>
      </c>
      <c r="AD124" s="3">
        <v>0.05481</v>
      </c>
      <c r="AE124" s="3">
        <v>0.05481</v>
      </c>
      <c r="AF124" s="3">
        <v>0.05481</v>
      </c>
      <c r="AG124" s="3">
        <v>0.05481</v>
      </c>
      <c r="AH124" s="3">
        <v>0.05481</v>
      </c>
      <c r="AI124" s="3">
        <v>0.05481</v>
      </c>
      <c r="AJ124" s="3">
        <v>0.05481</v>
      </c>
      <c r="AK124" s="3">
        <v>0.05481</v>
      </c>
      <c r="AL124" s="3">
        <v>0.05481</v>
      </c>
      <c r="AM124" s="3">
        <v>0.05481</v>
      </c>
      <c r="AN124" s="3">
        <v>0.05481</v>
      </c>
      <c r="AO124" s="3">
        <v>0.05481</v>
      </c>
      <c r="AP124" s="3">
        <v>0.05481</v>
      </c>
      <c r="AQ124" s="3">
        <v>0.05481</v>
      </c>
      <c r="AR124" s="3">
        <v>0.05481</v>
      </c>
      <c r="AS124" s="3">
        <v>0.05481</v>
      </c>
      <c r="AT124" s="3">
        <v>0.05481</v>
      </c>
      <c r="AU124" s="3">
        <v>0.05481</v>
      </c>
      <c r="AV124" s="3">
        <v>0.05481</v>
      </c>
      <c r="AW124" s="3">
        <v>0.05481</v>
      </c>
      <c r="AX124" s="3">
        <v>0.05481</v>
      </c>
      <c r="AY124" s="3">
        <v>0.05481</v>
      </c>
      <c r="AZ124" s="3">
        <v>0.05481</v>
      </c>
      <c r="BA124" s="3">
        <v>0.05481</v>
      </c>
      <c r="BB124" s="39" t="s">
        <v>88</v>
      </c>
      <c r="BC124" s="39" t="s">
        <v>66</v>
      </c>
      <c r="BD124" s="41">
        <f>IFERROR(ABS(SUMIFS('TRA balance'!E$5:E$40,'TRA balance'!$C$5:$C$40,Assumptions!$BB124,'TRA balance'!$D$5:$D$40,Assumptions!$BC124)),"")</f>
        <v>0</v>
      </c>
      <c r="BE124" s="41">
        <f>IFERROR(ABS(SUMIFS('TRA balance'!F$5:F$40,'TRA balance'!$C$5:$C$40,Assumptions!$BB124,'TRA balance'!$D$5:$D$40,Assumptions!$BC124)),"")</f>
        <v>0</v>
      </c>
      <c r="BF124" s="41">
        <f>IFERROR(ABS(SUMIFS('TRA balance'!G$5:G$40,'TRA balance'!$C$5:$C$40,Assumptions!$BB124,'TRA balance'!$D$5:$D$40,Assumptions!$BC124)),"")</f>
        <v>0</v>
      </c>
      <c r="BG124" s="41">
        <f>IFERROR(ABS(SUMIFS('TRA balance'!H$5:H$40,'TRA balance'!$C$5:$C$40,Assumptions!$BB124,'TRA balance'!$D$5:$D$40,Assumptions!$BC124)),"")</f>
        <v>0</v>
      </c>
      <c r="BH124" s="41">
        <f>IFERROR(ABS(SUMIFS('TRA balance'!I$5:I$40,'TRA balance'!$C$5:$C$40,Assumptions!$BB124,'TRA balance'!$D$5:$D$40,Assumptions!$BC124)),"")</f>
        <v>0</v>
      </c>
      <c r="BI124" s="41">
        <f>IFERROR(ABS(SUMIFS('TRA balance'!J$5:J$40,'TRA balance'!$C$5:$C$40,Assumptions!$BB124,'TRA balance'!$D$5:$D$40,Assumptions!$BC124)),"")</f>
        <v>0</v>
      </c>
      <c r="BJ124" s="41">
        <f>IFERROR(ABS(SUMIFS('TRA balance'!K$5:K$40,'TRA balance'!$C$5:$C$40,Assumptions!$BB124,'TRA balance'!$D$5:$D$40,Assumptions!$BC124)),"")</f>
        <v>0</v>
      </c>
      <c r="BK124" s="41">
        <f>IFERROR(ABS(SUMIFS('TRA balance'!L$5:L$40,'TRA balance'!$C$5:$C$40,Assumptions!$BB124,'TRA balance'!$D$5:$D$40,Assumptions!$BC124)),"")</f>
        <v>0</v>
      </c>
      <c r="BL124" s="41">
        <f>IFERROR(ABS(SUMIFS('TRA balance'!M$5:M$40,'TRA balance'!$C$5:$C$40,Assumptions!$BB124,'TRA balance'!$D$5:$D$40,Assumptions!$BC124)),"")</f>
        <v>0</v>
      </c>
      <c r="BM124" s="41">
        <f>IFERROR(ABS(SUMIFS('TRA balance'!N$5:N$40,'TRA balance'!$C$5:$C$40,Assumptions!$BB124,'TRA balance'!$D$5:$D$40,Assumptions!$BC124)),"")</f>
        <v>0</v>
      </c>
      <c r="BN124" s="41">
        <f>IFERROR(ABS(SUMIFS('TRA balance'!O$5:O$40,'TRA balance'!$C$5:$C$40,Assumptions!$BB124,'TRA balance'!$D$5:$D$40,Assumptions!$BC124)),"")</f>
        <v>0</v>
      </c>
      <c r="BO124" s="41">
        <f>IFERROR(ABS(SUMIFS('TRA balance'!P$5:P$40,'TRA balance'!$C$5:$C$40,Assumptions!$BB124,'TRA balance'!$D$5:$D$40,Assumptions!$BC124)),"")</f>
        <v>0</v>
      </c>
      <c r="BP124" s="41">
        <f>IFERROR(ABS(SUMIFS('TRA balance'!Q$5:Q$40,'TRA balance'!$C$5:$C$40,Assumptions!$BB124,'TRA balance'!$D$5:$D$40,Assumptions!$BC124)),"")</f>
        <v>0</v>
      </c>
      <c r="BQ124" s="41">
        <f>IFERROR(ABS(SUMIFS('TRA balance'!R$5:R$40,'TRA balance'!$C$5:$C$40,Assumptions!$BB124,'TRA balance'!$D$5:$D$40,Assumptions!$BC124)),"")</f>
        <v>0</v>
      </c>
      <c r="BR124" s="41">
        <f>IFERROR(ABS(SUMIFS('TRA balance'!S$5:S$40,'TRA balance'!$C$5:$C$40,Assumptions!$BB124,'TRA balance'!$D$5:$D$40,Assumptions!$BC124)),"")</f>
        <v>0</v>
      </c>
      <c r="BS124" s="41">
        <f>IFERROR(ABS(SUMIFS('TRA balance'!T$5:T$40,'TRA balance'!$C$5:$C$40,Assumptions!$BB124,'TRA balance'!$D$5:$D$40,Assumptions!$BC124)),"")</f>
        <v>0</v>
      </c>
      <c r="BT124" s="41">
        <f>IFERROR(ABS(SUMIFS('TRA balance'!U$5:U$40,'TRA balance'!$C$5:$C$40,Assumptions!$BB124,'TRA balance'!$D$5:$D$40,Assumptions!$BC124)),"")</f>
        <v>0</v>
      </c>
      <c r="BU124" s="41">
        <f>IFERROR(ABS(SUMIFS('TRA balance'!V$5:V$40,'TRA balance'!$C$5:$C$40,Assumptions!$BB124,'TRA balance'!$D$5:$D$40,Assumptions!$BC124)),"")</f>
        <v>0</v>
      </c>
      <c r="BV124" s="41">
        <f>IFERROR(ABS(SUMIFS('TRA balance'!W$5:W$40,'TRA balance'!$C$5:$C$40,Assumptions!$BB124,'TRA balance'!$D$5:$D$40,Assumptions!$BC124)),"")</f>
        <v>0</v>
      </c>
      <c r="BW124" s="41">
        <f>IFERROR(ABS(SUMIFS('TRA balance'!X$5:X$40,'TRA balance'!$C$5:$C$40,Assumptions!$BB124,'TRA balance'!$D$5:$D$40,Assumptions!$BC124)),"")</f>
        <v>0</v>
      </c>
      <c r="BX124" s="41">
        <f>IFERROR(ABS(SUMIFS('TRA balance'!Y$5:Y$40,'TRA balance'!$C$5:$C$40,Assumptions!$BB124,'TRA balance'!$D$5:$D$40,Assumptions!$BC124)),"")</f>
        <v>0</v>
      </c>
      <c r="BY124" s="41">
        <f>IFERROR(ABS(SUMIFS('TRA balance'!Z$5:Z$40,'TRA balance'!$C$5:$C$40,Assumptions!$BB124,'TRA balance'!$D$5:$D$40,Assumptions!$BC124)),"")</f>
        <v>0</v>
      </c>
      <c r="BZ124" s="41">
        <f>IFERROR(ABS(SUMIFS('TRA balance'!AA$5:AA$40,'TRA balance'!$C$5:$C$40,Assumptions!$BB124,'TRA balance'!$D$5:$D$40,Assumptions!$BC124)),"")</f>
        <v>0</v>
      </c>
      <c r="CA124" s="41">
        <f>IFERROR(ABS(SUMIFS('TRA balance'!AB$5:AB$40,'TRA balance'!$C$5:$C$40,Assumptions!$BB124,'TRA balance'!$D$5:$D$40,Assumptions!$BC124)),"")</f>
        <v>0</v>
      </c>
      <c r="CB124" s="41">
        <f>IFERROR(ABS(SUMIFS('TRA balance'!AC$5:AC$40,'TRA balance'!$C$5:$C$40,Assumptions!$BB124,'TRA balance'!$D$5:$D$40,Assumptions!$BC124)),"")</f>
        <v>0</v>
      </c>
      <c r="CC124" s="41">
        <f>IFERROR(ABS(SUMIFS('TRA balance'!AD$5:AD$40,'TRA balance'!$C$5:$C$40,Assumptions!$BB124,'TRA balance'!$D$5:$D$40,Assumptions!$BC124)),"")</f>
        <v>0</v>
      </c>
      <c r="CD124" s="41">
        <f>IFERROR(ABS(SUMIFS('TRA balance'!AE$5:AE$40,'TRA balance'!$C$5:$C$40,Assumptions!$BB124,'TRA balance'!$D$5:$D$40,Assumptions!$BC124)),"")</f>
        <v>0</v>
      </c>
      <c r="CE124" s="41">
        <f>IFERROR(ABS(SUMIFS('TRA balance'!AF$5:AF$40,'TRA balance'!$C$5:$C$40,Assumptions!$BB124,'TRA balance'!$D$5:$D$40,Assumptions!$BC124)),"")</f>
        <v>0</v>
      </c>
      <c r="CF124" s="41">
        <f>IFERROR(ABS(SUMIFS('TRA balance'!AG$5:AG$40,'TRA balance'!$C$5:$C$40,Assumptions!$BB124,'TRA balance'!$D$5:$D$40,Assumptions!$BC124)),"")</f>
        <v>0</v>
      </c>
      <c r="CG124" s="41">
        <f>IFERROR(ABS(SUMIFS('TRA balance'!AH$5:AH$40,'TRA balance'!$C$5:$C$40,Assumptions!$BB124,'TRA balance'!$D$5:$D$40,Assumptions!$BC124)),"")</f>
        <v>0</v>
      </c>
      <c r="CH124" s="41">
        <f>IFERROR(ABS(SUMIFS('TRA balance'!AI$5:AI$40,'TRA balance'!$C$5:$C$40,Assumptions!$BB124,'TRA balance'!$D$5:$D$40,Assumptions!$BC124)),"")</f>
        <v>0</v>
      </c>
      <c r="CI124" s="41">
        <f>IFERROR(ABS(SUMIFS('TRA balance'!AJ$5:AJ$40,'TRA balance'!$C$5:$C$40,Assumptions!$BB124,'TRA balance'!$D$5:$D$40,Assumptions!$BC124)),"")</f>
        <v>0</v>
      </c>
      <c r="CJ124" s="41">
        <f>IFERROR(ABS(SUMIFS('TRA balance'!AK$5:AK$40,'TRA balance'!$C$5:$C$40,Assumptions!$BB124,'TRA balance'!$D$5:$D$40,Assumptions!$BC124)),"")</f>
        <v>0</v>
      </c>
      <c r="CK124" s="41">
        <f>IFERROR(ABS(SUMIFS('TRA balance'!AL$5:AL$40,'TRA balance'!$C$5:$C$40,Assumptions!$BB124,'TRA balance'!$D$5:$D$40,Assumptions!$BC124)),"")</f>
        <v>0</v>
      </c>
      <c r="CL124" s="41">
        <f>IFERROR(ABS(SUMIFS('TRA balance'!AM$5:AM$40,'TRA balance'!$C$5:$C$40,Assumptions!$BB124,'TRA balance'!$D$5:$D$40,Assumptions!$BC124)),"")</f>
        <v>0</v>
      </c>
      <c r="CM124" s="41">
        <f>IFERROR(ABS(SUMIFS('TRA balance'!AN$5:AN$40,'TRA balance'!$C$5:$C$40,Assumptions!$BB124,'TRA balance'!$D$5:$D$40,Assumptions!$BC124)),"")</f>
        <v>0</v>
      </c>
      <c r="CN124" s="41">
        <f>IFERROR(ABS(SUMIFS('TRA balance'!AO$5:AO$40,'TRA balance'!$C$5:$C$40,Assumptions!$BB124,'TRA balance'!$D$5:$D$40,Assumptions!$BC124)),"")</f>
        <v>0</v>
      </c>
      <c r="CO124" s="41">
        <f>IFERROR(ABS(SUMIFS('TRA balance'!AP$5:AP$40,'TRA balance'!$C$5:$C$40,Assumptions!$BB124,'TRA balance'!$D$5:$D$40,Assumptions!$BC124)),"")</f>
        <v>0</v>
      </c>
      <c r="CP124" s="41">
        <f>IFERROR(ABS(SUMIFS('TRA balance'!AQ$5:AQ$40,'TRA balance'!$C$5:$C$40,Assumptions!$BB124,'TRA balance'!$D$5:$D$40,Assumptions!$BC124)),"")</f>
        <v>0</v>
      </c>
      <c r="CQ124" s="41">
        <f>IFERROR(ABS(SUMIFS('TRA balance'!AR$5:AR$40,'TRA balance'!$C$5:$C$40,Assumptions!$BB124,'TRA balance'!$D$5:$D$40,Assumptions!$BC124)),"")</f>
        <v>0</v>
      </c>
      <c r="CR124" s="41">
        <f>IFERROR(ABS(SUMIFS('TRA balance'!AS$5:AS$40,'TRA balance'!$C$5:$C$40,Assumptions!$BB124,'TRA balance'!$D$5:$D$40,Assumptions!$BC124)),"")</f>
        <v>0</v>
      </c>
      <c r="CS124" s="41">
        <f>IFERROR(ABS(SUMIFS('TRA balance'!AT$5:AT$40,'TRA balance'!$C$5:$C$40,Assumptions!$BB124,'TRA balance'!$D$5:$D$40,Assumptions!$BC124)),"")</f>
        <v>0</v>
      </c>
      <c r="CT124" s="41">
        <f>IFERROR(ABS(SUMIFS('TRA balance'!AU$5:AU$40,'TRA balance'!$C$5:$C$40,Assumptions!$BB124,'TRA balance'!$D$5:$D$40,Assumptions!$BC124)),"")</f>
        <v>0</v>
      </c>
      <c r="CU124" s="41">
        <f>IFERROR(ABS(SUMIFS('TRA balance'!AV$5:AV$40,'TRA balance'!$C$5:$C$40,Assumptions!$BB124,'TRA balance'!$D$5:$D$40,Assumptions!$BC124)),"")</f>
        <v>0</v>
      </c>
      <c r="CV124" s="41">
        <f>IFERROR(ABS(SUMIFS('TRA balance'!AW$5:AW$40,'TRA balance'!$C$5:$C$40,Assumptions!$BB124,'TRA balance'!$D$5:$D$40,Assumptions!$BC124)),"")</f>
        <v>0</v>
      </c>
      <c r="CW124" s="41">
        <f>IFERROR(ABS(SUMIFS('TRA balance'!AX$5:AX$40,'TRA balance'!$C$5:$C$40,Assumptions!$BB124,'TRA balance'!$D$5:$D$40,Assumptions!$BC124)),"")</f>
        <v>0</v>
      </c>
      <c r="CX124" s="39"/>
    </row>
    <row r="125" spans="3:102">
      <c r="C125" t="str">
        <f t="shared" si="151"/>
        <v>GAS</v>
      </c>
      <c r="D125" t="str">
        <f t="shared" si="150"/>
        <v>TRH</v>
      </c>
      <c r="E125" t="s">
        <v>255</v>
      </c>
      <c r="F125" s="3">
        <v>0.0504</v>
      </c>
      <c r="G125" s="3">
        <v>0.0567</v>
      </c>
      <c r="H125" s="3">
        <v>0.059535</v>
      </c>
      <c r="I125" s="3">
        <v>0.059535</v>
      </c>
      <c r="J125" s="3">
        <v>0.059535</v>
      </c>
      <c r="K125" s="3">
        <v>0.059535</v>
      </c>
      <c r="L125" s="3">
        <v>0.059535</v>
      </c>
      <c r="M125" s="3">
        <v>0.059535</v>
      </c>
      <c r="N125" s="3">
        <v>0.059535</v>
      </c>
      <c r="O125" s="3">
        <v>0.059535</v>
      </c>
      <c r="P125" s="3">
        <v>0.059535</v>
      </c>
      <c r="Q125" s="3">
        <v>0.059535</v>
      </c>
      <c r="R125" s="3">
        <v>0.059535</v>
      </c>
      <c r="S125" s="3">
        <v>0.059535</v>
      </c>
      <c r="T125" s="3">
        <v>0.059535</v>
      </c>
      <c r="U125" s="3">
        <v>0.059535</v>
      </c>
      <c r="V125" s="3">
        <v>0.059535</v>
      </c>
      <c r="W125" s="3">
        <v>0.059535</v>
      </c>
      <c r="X125" s="3">
        <v>0.059535</v>
      </c>
      <c r="Y125" s="3">
        <v>0.059535</v>
      </c>
      <c r="Z125" s="3">
        <v>0.059535</v>
      </c>
      <c r="AA125" s="3">
        <v>0.059535</v>
      </c>
      <c r="AB125" s="3">
        <v>0.059535</v>
      </c>
      <c r="AC125" s="3">
        <v>0.059535</v>
      </c>
      <c r="AD125" s="3">
        <v>0.059535</v>
      </c>
      <c r="AE125" s="3">
        <v>0.059535</v>
      </c>
      <c r="AF125" s="3">
        <v>0.059535</v>
      </c>
      <c r="AG125" s="3">
        <v>0.059535</v>
      </c>
      <c r="AH125" s="3">
        <v>0.059535</v>
      </c>
      <c r="AI125" s="3">
        <v>0.059535</v>
      </c>
      <c r="AJ125" s="3">
        <v>0.059535</v>
      </c>
      <c r="AK125" s="3">
        <v>0.059535</v>
      </c>
      <c r="AL125" s="3">
        <v>0.059535</v>
      </c>
      <c r="AM125" s="3">
        <v>0.059535</v>
      </c>
      <c r="AN125" s="3">
        <v>0.059535</v>
      </c>
      <c r="AO125" s="3">
        <v>0.059535</v>
      </c>
      <c r="AP125" s="3">
        <v>0.059535</v>
      </c>
      <c r="AQ125" s="3">
        <v>0.059535</v>
      </c>
      <c r="AR125" s="3">
        <v>0.059535</v>
      </c>
      <c r="AS125" s="3">
        <v>0.059535</v>
      </c>
      <c r="AT125" s="3">
        <v>0.059535</v>
      </c>
      <c r="AU125" s="3">
        <v>0.059535</v>
      </c>
      <c r="AV125" s="3">
        <v>0.059535</v>
      </c>
      <c r="AW125" s="3">
        <v>0.059535</v>
      </c>
      <c r="AX125" s="3">
        <v>0.059535</v>
      </c>
      <c r="AY125" s="3">
        <v>0.059535</v>
      </c>
      <c r="AZ125" s="3">
        <v>0.059535</v>
      </c>
      <c r="BA125" s="3">
        <v>0.059535</v>
      </c>
      <c r="BB125" s="39" t="s">
        <v>88</v>
      </c>
      <c r="BC125" s="39" t="s">
        <v>69</v>
      </c>
      <c r="BD125" s="41">
        <f>IFERROR(ABS(SUMIFS('TRA balance'!E$5:E$40,'TRA balance'!$C$5:$C$40,Assumptions!$BB125,'TRA balance'!$D$5:$D$40,Assumptions!$BC125)),"")</f>
        <v>26.7034690152</v>
      </c>
      <c r="BE125" s="41">
        <f>IFERROR(ABS(SUMIFS('TRA balance'!F$5:F$40,'TRA balance'!$C$5:$C$40,Assumptions!$BB125,'TRA balance'!$D$5:$D$40,Assumptions!$BC125)),"")</f>
        <v>53.4079177416</v>
      </c>
      <c r="BF125" s="41">
        <f>IFERROR(ABS(SUMIFS('TRA balance'!G$5:G$40,'TRA balance'!$C$5:$C$40,Assumptions!$BB125,'TRA balance'!$D$5:$D$40,Assumptions!$BC125)),"")</f>
        <v>28.8359402328</v>
      </c>
      <c r="BG125" s="41">
        <f>IFERROR(ABS(SUMIFS('TRA balance'!H$5:H$40,'TRA balance'!$C$5:$C$40,Assumptions!$BB125,'TRA balance'!$D$5:$D$40,Assumptions!$BC125)),"")</f>
        <v>0</v>
      </c>
      <c r="BH125" s="41">
        <f>IFERROR(ABS(SUMIFS('TRA balance'!I$5:I$40,'TRA balance'!$C$5:$C$40,Assumptions!$BB125,'TRA balance'!$D$5:$D$40,Assumptions!$BC125)),"")</f>
        <v>10.7372411928</v>
      </c>
      <c r="BI125" s="41">
        <f>IFERROR(ABS(SUMIFS('TRA balance'!J$5:J$40,'TRA balance'!$C$5:$C$40,Assumptions!$BB125,'TRA balance'!$D$5:$D$40,Assumptions!$BC125)),"")</f>
        <v>673.11487143</v>
      </c>
      <c r="BJ125" s="41">
        <f>IFERROR(ABS(SUMIFS('TRA balance'!K$5:K$40,'TRA balance'!$C$5:$C$40,Assumptions!$BB125,'TRA balance'!$D$5:$D$40,Assumptions!$BC125)),"")</f>
        <v>119.4358555152</v>
      </c>
      <c r="BK125" s="41">
        <f>IFERROR(ABS(SUMIFS('TRA balance'!L$5:L$40,'TRA balance'!$C$5:$C$40,Assumptions!$BB125,'TRA balance'!$D$5:$D$40,Assumptions!$BC125)),"")</f>
        <v>443.043952164</v>
      </c>
      <c r="BL125" s="41">
        <f>IFERROR(ABS(SUMIFS('TRA balance'!M$5:M$40,'TRA balance'!$C$5:$C$40,Assumptions!$BB125,'TRA balance'!$D$5:$D$40,Assumptions!$BC125)),"")</f>
        <v>6.7915506312</v>
      </c>
      <c r="BM125" s="41">
        <f>IFERROR(ABS(SUMIFS('TRA balance'!N$5:N$40,'TRA balance'!$C$5:$C$40,Assumptions!$BB125,'TRA balance'!$D$5:$D$40,Assumptions!$BC125)),"")</f>
        <v>0</v>
      </c>
      <c r="BN125" s="41">
        <f>IFERROR(ABS(SUMIFS('TRA balance'!O$5:O$40,'TRA balance'!$C$5:$C$40,Assumptions!$BB125,'TRA balance'!$D$5:$D$40,Assumptions!$BC125)),"")</f>
        <v>65.1582389304</v>
      </c>
      <c r="BO125" s="41">
        <f>IFERROR(ABS(SUMIFS('TRA balance'!P$5:P$40,'TRA balance'!$C$5:$C$40,Assumptions!$BB125,'TRA balance'!$D$5:$D$40,Assumptions!$BC125)),"")</f>
        <v>26.7199985016</v>
      </c>
      <c r="BP125" s="41">
        <f>IFERROR(ABS(SUMIFS('TRA balance'!Q$5:Q$40,'TRA balance'!$C$5:$C$40,Assumptions!$BB125,'TRA balance'!$D$5:$D$40,Assumptions!$BC125)),"")</f>
        <v>95.4450184068</v>
      </c>
      <c r="BQ125" s="41">
        <f>IFERROR(ABS(SUMIFS('TRA balance'!R$5:R$40,'TRA balance'!$C$5:$C$40,Assumptions!$BB125,'TRA balance'!$D$5:$D$40,Assumptions!$BC125)),"")</f>
        <v>0.7002171792</v>
      </c>
      <c r="BR125" s="41">
        <f>IFERROR(ABS(SUMIFS('TRA balance'!S$5:S$40,'TRA balance'!$C$5:$C$40,Assumptions!$BB125,'TRA balance'!$D$5:$D$40,Assumptions!$BC125)),"")</f>
        <v>0.7731596088</v>
      </c>
      <c r="BS125" s="41">
        <f>IFERROR(ABS(SUMIFS('TRA balance'!T$5:T$40,'TRA balance'!$C$5:$C$40,Assumptions!$BB125,'TRA balance'!$D$5:$D$40,Assumptions!$BC125)),"")</f>
        <v>65.7674392644</v>
      </c>
      <c r="BT125" s="41">
        <f>IFERROR(ABS(SUMIFS('TRA balance'!U$5:U$40,'TRA balance'!$C$5:$C$40,Assumptions!$BB125,'TRA balance'!$D$5:$D$40,Assumptions!$BC125)),"")</f>
        <v>0.4159208988</v>
      </c>
      <c r="BU125" s="41">
        <f>IFERROR(ABS(SUMIFS('TRA balance'!V$5:V$40,'TRA balance'!$C$5:$C$40,Assumptions!$BB125,'TRA balance'!$D$5:$D$40,Assumptions!$BC125)),"")</f>
        <v>167.7687896916</v>
      </c>
      <c r="BV125" s="41">
        <f>IFERROR(ABS(SUMIFS('TRA balance'!W$5:W$40,'TRA balance'!$C$5:$C$40,Assumptions!$BB125,'TRA balance'!$D$5:$D$40,Assumptions!$BC125)),"")</f>
        <v>182.8881785988</v>
      </c>
      <c r="BW125" s="41">
        <f>IFERROR(ABS(SUMIFS('TRA balance'!X$5:X$40,'TRA balance'!$C$5:$C$40,Assumptions!$BB125,'TRA balance'!$D$5:$D$40,Assumptions!$BC125)),"")</f>
        <v>291.7926034488</v>
      </c>
      <c r="BX125" s="41">
        <f>IFERROR(ABS(SUMIFS('TRA balance'!Y$5:Y$40,'TRA balance'!$C$5:$C$40,Assumptions!$BB125,'TRA balance'!$D$5:$D$40,Assumptions!$BC125)),"")</f>
        <v>833.7040485588</v>
      </c>
      <c r="BY125" s="41">
        <f>IFERROR(ABS(SUMIFS('TRA balance'!Z$5:Z$40,'TRA balance'!$C$5:$C$40,Assumptions!$BB125,'TRA balance'!$D$5:$D$40,Assumptions!$BC125)),"")</f>
        <v>544.7975487012</v>
      </c>
      <c r="BZ125" s="41">
        <f>IFERROR(ABS(SUMIFS('TRA balance'!AA$5:AA$40,'TRA balance'!$C$5:$C$40,Assumptions!$BB125,'TRA balance'!$D$5:$D$40,Assumptions!$BC125)),"")</f>
        <v>1.4256012132</v>
      </c>
      <c r="CA125" s="41">
        <f>IFERROR(ABS(SUMIFS('TRA balance'!AB$5:AB$40,'TRA balance'!$C$5:$C$40,Assumptions!$BB125,'TRA balance'!$D$5:$D$40,Assumptions!$BC125)),"")</f>
        <v>3.2242002516</v>
      </c>
      <c r="CB125" s="41">
        <f>IFERROR(ABS(SUMIFS('TRA balance'!AC$5:AC$40,'TRA balance'!$C$5:$C$40,Assumptions!$BB125,'TRA balance'!$D$5:$D$40,Assumptions!$BC125)),"")</f>
        <v>2460.6435793896</v>
      </c>
      <c r="CC125" s="41">
        <f>IFERROR(ABS(SUMIFS('TRA balance'!AD$5:AD$40,'TRA balance'!$C$5:$C$40,Assumptions!$BB125,'TRA balance'!$D$5:$D$40,Assumptions!$BC125)),"")</f>
        <v>88.480000278</v>
      </c>
      <c r="CD125" s="41">
        <f>IFERROR(ABS(SUMIFS('TRA balance'!AE$5:AE$40,'TRA balance'!$C$5:$C$40,Assumptions!$BB125,'TRA balance'!$D$5:$D$40,Assumptions!$BC125)),"")</f>
        <v>135.0102909672</v>
      </c>
      <c r="CE125" s="41">
        <f>IFERROR(ABS(SUMIFS('TRA balance'!AF$5:AF$40,'TRA balance'!$C$5:$C$40,Assumptions!$BB125,'TRA balance'!$D$5:$D$40,Assumptions!$BC125)),"")</f>
        <v>57.6899339472</v>
      </c>
      <c r="CF125" s="41">
        <f>IFERROR(ABS(SUMIFS('TRA balance'!AG$5:AG$40,'TRA balance'!$C$5:$C$40,Assumptions!$BB125,'TRA balance'!$D$5:$D$40,Assumptions!$BC125)),"")</f>
        <v>261.79840593</v>
      </c>
      <c r="CG125" s="41">
        <f>IFERROR(ABS(SUMIFS('TRA balance'!AH$5:AH$40,'TRA balance'!$C$5:$C$40,Assumptions!$BB125,'TRA balance'!$D$5:$D$40,Assumptions!$BC125)),"")</f>
        <v>88.967678742</v>
      </c>
      <c r="CH125" s="41">
        <f>IFERROR(ABS(SUMIFS('TRA balance'!AI$5:AI$40,'TRA balance'!$C$5:$C$40,Assumptions!$BB125,'TRA balance'!$D$5:$D$40,Assumptions!$BC125)),"")</f>
        <v>0</v>
      </c>
      <c r="CI125" s="41">
        <f>IFERROR(ABS(SUMIFS('TRA balance'!AJ$5:AJ$40,'TRA balance'!$C$5:$C$40,Assumptions!$BB125,'TRA balance'!$D$5:$D$40,Assumptions!$BC125)),"")</f>
        <v>30.7200002328</v>
      </c>
      <c r="CJ125" s="41">
        <f>IFERROR(ABS(SUMIFS('TRA balance'!AK$5:AK$40,'TRA balance'!$C$5:$C$40,Assumptions!$BB125,'TRA balance'!$D$5:$D$40,Assumptions!$BC125)),"")</f>
        <v>27.6513186672</v>
      </c>
      <c r="CK125" s="41">
        <f>IFERROR(ABS(SUMIFS('TRA balance'!AL$5:AL$40,'TRA balance'!$C$5:$C$40,Assumptions!$BB125,'TRA balance'!$D$5:$D$40,Assumptions!$BC125)),"")</f>
        <v>0</v>
      </c>
      <c r="CL125" s="41">
        <f>IFERROR(ABS(SUMIFS('TRA balance'!AM$5:AM$40,'TRA balance'!$C$5:$C$40,Assumptions!$BB125,'TRA balance'!$D$5:$D$40,Assumptions!$BC125)),"")</f>
        <v>0</v>
      </c>
      <c r="CM125" s="41">
        <f>IFERROR(ABS(SUMIFS('TRA balance'!AN$5:AN$40,'TRA balance'!$C$5:$C$40,Assumptions!$BB125,'TRA balance'!$D$5:$D$40,Assumptions!$BC125)),"")</f>
        <v>0</v>
      </c>
      <c r="CN125" s="41">
        <f>IFERROR(ABS(SUMIFS('TRA balance'!AO$5:AO$40,'TRA balance'!$C$5:$C$40,Assumptions!$BB125,'TRA balance'!$D$5:$D$40,Assumptions!$BC125)),"")</f>
        <v>0</v>
      </c>
      <c r="CO125" s="41">
        <f>IFERROR(ABS(SUMIFS('TRA balance'!AP$5:AP$40,'TRA balance'!$C$5:$C$40,Assumptions!$BB125,'TRA balance'!$D$5:$D$40,Assumptions!$BC125)),"")</f>
        <v>0</v>
      </c>
      <c r="CP125" s="41">
        <f>IFERROR(ABS(SUMIFS('TRA balance'!AQ$5:AQ$40,'TRA balance'!$C$5:$C$40,Assumptions!$BB125,'TRA balance'!$D$5:$D$40,Assumptions!$BC125)),"")</f>
        <v>0</v>
      </c>
      <c r="CQ125" s="41">
        <f>IFERROR(ABS(SUMIFS('TRA balance'!AR$5:AR$40,'TRA balance'!$C$5:$C$40,Assumptions!$BB125,'TRA balance'!$D$5:$D$40,Assumptions!$BC125)),"")</f>
        <v>0</v>
      </c>
      <c r="CR125" s="41">
        <f>IFERROR(ABS(SUMIFS('TRA balance'!AS$5:AS$40,'TRA balance'!$C$5:$C$40,Assumptions!$BB125,'TRA balance'!$D$5:$D$40,Assumptions!$BC125)),"")</f>
        <v>0</v>
      </c>
      <c r="CS125" s="41">
        <f>IFERROR(ABS(SUMIFS('TRA balance'!AT$5:AT$40,'TRA balance'!$C$5:$C$40,Assumptions!$BB125,'TRA balance'!$D$5:$D$40,Assumptions!$BC125)),"")</f>
        <v>0</v>
      </c>
      <c r="CT125" s="41">
        <f>IFERROR(ABS(SUMIFS('TRA balance'!AU$5:AU$40,'TRA balance'!$C$5:$C$40,Assumptions!$BB125,'TRA balance'!$D$5:$D$40,Assumptions!$BC125)),"")</f>
        <v>0</v>
      </c>
      <c r="CU125" s="41">
        <f>IFERROR(ABS(SUMIFS('TRA balance'!AV$5:AV$40,'TRA balance'!$C$5:$C$40,Assumptions!$BB125,'TRA balance'!$D$5:$D$40,Assumptions!$BC125)),"")</f>
        <v>0</v>
      </c>
      <c r="CV125" s="41">
        <f>IFERROR(ABS(SUMIFS('TRA balance'!AW$5:AW$40,'TRA balance'!$C$5:$C$40,Assumptions!$BB125,'TRA balance'!$D$5:$D$40,Assumptions!$BC125)),"")</f>
        <v>0</v>
      </c>
      <c r="CW125" s="41">
        <f>IFERROR(ABS(SUMIFS('TRA balance'!AX$5:AX$40,'TRA balance'!$C$5:$C$40,Assumptions!$BB125,'TRA balance'!$D$5:$D$40,Assumptions!$BC125)),"")</f>
        <v>0</v>
      </c>
      <c r="CX125" s="39"/>
    </row>
    <row r="126" spans="3:102">
      <c r="C126" t="str">
        <f t="shared" si="151"/>
        <v>LPG</v>
      </c>
      <c r="D126" t="str">
        <f t="shared" si="150"/>
        <v>TRH</v>
      </c>
      <c r="E126" t="s">
        <v>256</v>
      </c>
      <c r="F126" s="3">
        <v>0.0464</v>
      </c>
      <c r="G126" s="3">
        <v>0.0522</v>
      </c>
      <c r="H126" s="3">
        <v>0.05481</v>
      </c>
      <c r="I126" s="3">
        <v>0.05481</v>
      </c>
      <c r="J126" s="3">
        <v>0.05481</v>
      </c>
      <c r="K126" s="3">
        <v>0.05481</v>
      </c>
      <c r="L126" s="3">
        <v>0.05481</v>
      </c>
      <c r="M126" s="3">
        <v>0.05481</v>
      </c>
      <c r="N126" s="3">
        <v>0.05481</v>
      </c>
      <c r="O126" s="3">
        <v>0.05481</v>
      </c>
      <c r="P126" s="3">
        <v>0.05481</v>
      </c>
      <c r="Q126" s="3">
        <v>0.05481</v>
      </c>
      <c r="R126" s="3">
        <v>0.05481</v>
      </c>
      <c r="S126" s="3">
        <v>0.05481</v>
      </c>
      <c r="T126" s="3">
        <v>0.05481</v>
      </c>
      <c r="U126" s="3">
        <v>0.05481</v>
      </c>
      <c r="V126" s="3">
        <v>0.05481</v>
      </c>
      <c r="W126" s="3">
        <v>0.05481</v>
      </c>
      <c r="X126" s="3">
        <v>0.05481</v>
      </c>
      <c r="Y126" s="3">
        <v>0.05481</v>
      </c>
      <c r="Z126" s="3">
        <v>0.05481</v>
      </c>
      <c r="AA126" s="3">
        <v>0.05481</v>
      </c>
      <c r="AB126" s="3">
        <v>0.05481</v>
      </c>
      <c r="AC126" s="3">
        <v>0.05481</v>
      </c>
      <c r="AD126" s="3">
        <v>0.05481</v>
      </c>
      <c r="AE126" s="3">
        <v>0.05481</v>
      </c>
      <c r="AF126" s="3">
        <v>0.05481</v>
      </c>
      <c r="AG126" s="3">
        <v>0.05481</v>
      </c>
      <c r="AH126" s="3">
        <v>0.05481</v>
      </c>
      <c r="AI126" s="3">
        <v>0.05481</v>
      </c>
      <c r="AJ126" s="3">
        <v>0.05481</v>
      </c>
      <c r="AK126" s="3">
        <v>0.05481</v>
      </c>
      <c r="AL126" s="3">
        <v>0.05481</v>
      </c>
      <c r="AM126" s="3">
        <v>0.05481</v>
      </c>
      <c r="AN126" s="3">
        <v>0.05481</v>
      </c>
      <c r="AO126" s="3">
        <v>0.05481</v>
      </c>
      <c r="AP126" s="3">
        <v>0.05481</v>
      </c>
      <c r="AQ126" s="3">
        <v>0.05481</v>
      </c>
      <c r="AR126" s="3">
        <v>0.05481</v>
      </c>
      <c r="AS126" s="3">
        <v>0.05481</v>
      </c>
      <c r="AT126" s="3">
        <v>0.05481</v>
      </c>
      <c r="AU126" s="3">
        <v>0.05481</v>
      </c>
      <c r="AV126" s="3">
        <v>0.05481</v>
      </c>
      <c r="AW126" s="3">
        <v>0.05481</v>
      </c>
      <c r="AX126" s="3">
        <v>0.05481</v>
      </c>
      <c r="AY126" s="3">
        <v>0.05481</v>
      </c>
      <c r="AZ126" s="3">
        <v>0.05481</v>
      </c>
      <c r="BA126" s="3">
        <v>0.05481</v>
      </c>
      <c r="BB126" s="39" t="s">
        <v>88</v>
      </c>
      <c r="BC126" s="39" t="s">
        <v>72</v>
      </c>
      <c r="BD126" s="41">
        <f>IFERROR(ABS(SUMIFS('TRA balance'!E$5:E$40,'TRA balance'!$C$5:$C$40,Assumptions!$BB126,'TRA balance'!$D$5:$D$40,Assumptions!$BC126)),"")</f>
        <v>0</v>
      </c>
      <c r="BE126" s="41">
        <f>IFERROR(ABS(SUMIFS('TRA balance'!F$5:F$40,'TRA balance'!$C$5:$C$40,Assumptions!$BB126,'TRA balance'!$D$5:$D$40,Assumptions!$BC126)),"")</f>
        <v>0</v>
      </c>
      <c r="BF126" s="41">
        <f>IFERROR(ABS(SUMIFS('TRA balance'!G$5:G$40,'TRA balance'!$C$5:$C$40,Assumptions!$BB126,'TRA balance'!$D$5:$D$40,Assumptions!$BC126)),"")</f>
        <v>0</v>
      </c>
      <c r="BG126" s="41">
        <f>IFERROR(ABS(SUMIFS('TRA balance'!H$5:H$40,'TRA balance'!$C$5:$C$40,Assumptions!$BB126,'TRA balance'!$D$5:$D$40,Assumptions!$BC126)),"")</f>
        <v>0</v>
      </c>
      <c r="BH126" s="41">
        <f>IFERROR(ABS(SUMIFS('TRA balance'!I$5:I$40,'TRA balance'!$C$5:$C$40,Assumptions!$BB126,'TRA balance'!$D$5:$D$40,Assumptions!$BC126)),"")</f>
        <v>0</v>
      </c>
      <c r="BI126" s="41">
        <f>IFERROR(ABS(SUMIFS('TRA balance'!J$5:J$40,'TRA balance'!$C$5:$C$40,Assumptions!$BB126,'TRA balance'!$D$5:$D$40,Assumptions!$BC126)),"")</f>
        <v>0</v>
      </c>
      <c r="BJ126" s="41">
        <f>IFERROR(ABS(SUMIFS('TRA balance'!K$5:K$40,'TRA balance'!$C$5:$C$40,Assumptions!$BB126,'TRA balance'!$D$5:$D$40,Assumptions!$BC126)),"")</f>
        <v>0</v>
      </c>
      <c r="BK126" s="41">
        <f>IFERROR(ABS(SUMIFS('TRA balance'!L$5:L$40,'TRA balance'!$C$5:$C$40,Assumptions!$BB126,'TRA balance'!$D$5:$D$40,Assumptions!$BC126)),"")</f>
        <v>0</v>
      </c>
      <c r="BL126" s="41">
        <f>IFERROR(ABS(SUMIFS('TRA balance'!M$5:M$40,'TRA balance'!$C$5:$C$40,Assumptions!$BB126,'TRA balance'!$D$5:$D$40,Assumptions!$BC126)),"")</f>
        <v>0</v>
      </c>
      <c r="BM126" s="41">
        <f>IFERROR(ABS(SUMIFS('TRA balance'!N$5:N$40,'TRA balance'!$C$5:$C$40,Assumptions!$BB126,'TRA balance'!$D$5:$D$40,Assumptions!$BC126)),"")</f>
        <v>0</v>
      </c>
      <c r="BN126" s="41">
        <f>IFERROR(ABS(SUMIFS('TRA balance'!O$5:O$40,'TRA balance'!$C$5:$C$40,Assumptions!$BB126,'TRA balance'!$D$5:$D$40,Assumptions!$BC126)),"")</f>
        <v>0</v>
      </c>
      <c r="BO126" s="41">
        <f>IFERROR(ABS(SUMIFS('TRA balance'!P$5:P$40,'TRA balance'!$C$5:$C$40,Assumptions!$BB126,'TRA balance'!$D$5:$D$40,Assumptions!$BC126)),"")</f>
        <v>0</v>
      </c>
      <c r="BP126" s="41">
        <f>IFERROR(ABS(SUMIFS('TRA balance'!Q$5:Q$40,'TRA balance'!$C$5:$C$40,Assumptions!$BB126,'TRA balance'!$D$5:$D$40,Assumptions!$BC126)),"")</f>
        <v>0</v>
      </c>
      <c r="BQ126" s="41">
        <f>IFERROR(ABS(SUMIFS('TRA balance'!R$5:R$40,'TRA balance'!$C$5:$C$40,Assumptions!$BB126,'TRA balance'!$D$5:$D$40,Assumptions!$BC126)),"")</f>
        <v>0</v>
      </c>
      <c r="BR126" s="41">
        <f>IFERROR(ABS(SUMIFS('TRA balance'!S$5:S$40,'TRA balance'!$C$5:$C$40,Assumptions!$BB126,'TRA balance'!$D$5:$D$40,Assumptions!$BC126)),"")</f>
        <v>0</v>
      </c>
      <c r="BS126" s="41">
        <f>IFERROR(ABS(SUMIFS('TRA balance'!T$5:T$40,'TRA balance'!$C$5:$C$40,Assumptions!$BB126,'TRA balance'!$D$5:$D$40,Assumptions!$BC126)),"")</f>
        <v>0</v>
      </c>
      <c r="BT126" s="41">
        <f>IFERROR(ABS(SUMIFS('TRA balance'!U$5:U$40,'TRA balance'!$C$5:$C$40,Assumptions!$BB126,'TRA balance'!$D$5:$D$40,Assumptions!$BC126)),"")</f>
        <v>0</v>
      </c>
      <c r="BU126" s="41">
        <f>IFERROR(ABS(SUMIFS('TRA balance'!V$5:V$40,'TRA balance'!$C$5:$C$40,Assumptions!$BB126,'TRA balance'!$D$5:$D$40,Assumptions!$BC126)),"")</f>
        <v>0</v>
      </c>
      <c r="BV126" s="41">
        <f>IFERROR(ABS(SUMIFS('TRA balance'!W$5:W$40,'TRA balance'!$C$5:$C$40,Assumptions!$BB126,'TRA balance'!$D$5:$D$40,Assumptions!$BC126)),"")</f>
        <v>0</v>
      </c>
      <c r="BW126" s="41">
        <f>IFERROR(ABS(SUMIFS('TRA balance'!X$5:X$40,'TRA balance'!$C$5:$C$40,Assumptions!$BB126,'TRA balance'!$D$5:$D$40,Assumptions!$BC126)),"")</f>
        <v>0</v>
      </c>
      <c r="BX126" s="41">
        <f>IFERROR(ABS(SUMIFS('TRA balance'!Y$5:Y$40,'TRA balance'!$C$5:$C$40,Assumptions!$BB126,'TRA balance'!$D$5:$D$40,Assumptions!$BC126)),"")</f>
        <v>0</v>
      </c>
      <c r="BY126" s="41">
        <f>IFERROR(ABS(SUMIFS('TRA balance'!Z$5:Z$40,'TRA balance'!$C$5:$C$40,Assumptions!$BB126,'TRA balance'!$D$5:$D$40,Assumptions!$BC126)),"")</f>
        <v>0</v>
      </c>
      <c r="BZ126" s="41">
        <f>IFERROR(ABS(SUMIFS('TRA balance'!AA$5:AA$40,'TRA balance'!$C$5:$C$40,Assumptions!$BB126,'TRA balance'!$D$5:$D$40,Assumptions!$BC126)),"")</f>
        <v>0</v>
      </c>
      <c r="CA126" s="41">
        <f>IFERROR(ABS(SUMIFS('TRA balance'!AB$5:AB$40,'TRA balance'!$C$5:$C$40,Assumptions!$BB126,'TRA balance'!$D$5:$D$40,Assumptions!$BC126)),"")</f>
        <v>0</v>
      </c>
      <c r="CB126" s="41">
        <f>IFERROR(ABS(SUMIFS('TRA balance'!AC$5:AC$40,'TRA balance'!$C$5:$C$40,Assumptions!$BB126,'TRA balance'!$D$5:$D$40,Assumptions!$BC126)),"")</f>
        <v>6.9025133916</v>
      </c>
      <c r="CC126" s="41">
        <f>IFERROR(ABS(SUMIFS('TRA balance'!AD$5:AD$40,'TRA balance'!$C$5:$C$40,Assumptions!$BB126,'TRA balance'!$D$5:$D$40,Assumptions!$BC126)),"")</f>
        <v>0</v>
      </c>
      <c r="CD126" s="41">
        <f>IFERROR(ABS(SUMIFS('TRA balance'!AE$5:AE$40,'TRA balance'!$C$5:$C$40,Assumptions!$BB126,'TRA balance'!$D$5:$D$40,Assumptions!$BC126)),"")</f>
        <v>0</v>
      </c>
      <c r="CE126" s="41">
        <f>IFERROR(ABS(SUMIFS('TRA balance'!AF$5:AF$40,'TRA balance'!$C$5:$C$40,Assumptions!$BB126,'TRA balance'!$D$5:$D$40,Assumptions!$BC126)),"")</f>
        <v>0</v>
      </c>
      <c r="CF126" s="41">
        <f>IFERROR(ABS(SUMIFS('TRA balance'!AG$5:AG$40,'TRA balance'!$C$5:$C$40,Assumptions!$BB126,'TRA balance'!$D$5:$D$40,Assumptions!$BC126)),"")</f>
        <v>0</v>
      </c>
      <c r="CG126" s="41">
        <f>IFERROR(ABS(SUMIFS('TRA balance'!AH$5:AH$40,'TRA balance'!$C$5:$C$40,Assumptions!$BB126,'TRA balance'!$D$5:$D$40,Assumptions!$BC126)),"")</f>
        <v>0</v>
      </c>
      <c r="CH126" s="41">
        <f>IFERROR(ABS(SUMIFS('TRA balance'!AI$5:AI$40,'TRA balance'!$C$5:$C$40,Assumptions!$BB126,'TRA balance'!$D$5:$D$40,Assumptions!$BC126)),"")</f>
        <v>0</v>
      </c>
      <c r="CI126" s="41">
        <f>IFERROR(ABS(SUMIFS('TRA balance'!AJ$5:AJ$40,'TRA balance'!$C$5:$C$40,Assumptions!$BB126,'TRA balance'!$D$5:$D$40,Assumptions!$BC126)),"")</f>
        <v>0</v>
      </c>
      <c r="CJ126" s="41">
        <f>IFERROR(ABS(SUMIFS('TRA balance'!AK$5:AK$40,'TRA balance'!$C$5:$C$40,Assumptions!$BB126,'TRA balance'!$D$5:$D$40,Assumptions!$BC126)),"")</f>
        <v>0</v>
      </c>
      <c r="CK126" s="41">
        <f>IFERROR(ABS(SUMIFS('TRA balance'!AL$5:AL$40,'TRA balance'!$C$5:$C$40,Assumptions!$BB126,'TRA balance'!$D$5:$D$40,Assumptions!$BC126)),"")</f>
        <v>0</v>
      </c>
      <c r="CL126" s="41">
        <f>IFERROR(ABS(SUMIFS('TRA balance'!AM$5:AM$40,'TRA balance'!$C$5:$C$40,Assumptions!$BB126,'TRA balance'!$D$5:$D$40,Assumptions!$BC126)),"")</f>
        <v>0</v>
      </c>
      <c r="CM126" s="41">
        <f>IFERROR(ABS(SUMIFS('TRA balance'!AN$5:AN$40,'TRA balance'!$C$5:$C$40,Assumptions!$BB126,'TRA balance'!$D$5:$D$40,Assumptions!$BC126)),"")</f>
        <v>0</v>
      </c>
      <c r="CN126" s="41">
        <f>IFERROR(ABS(SUMIFS('TRA balance'!AO$5:AO$40,'TRA balance'!$C$5:$C$40,Assumptions!$BB126,'TRA balance'!$D$5:$D$40,Assumptions!$BC126)),"")</f>
        <v>0</v>
      </c>
      <c r="CO126" s="41">
        <f>IFERROR(ABS(SUMIFS('TRA balance'!AP$5:AP$40,'TRA balance'!$C$5:$C$40,Assumptions!$BB126,'TRA balance'!$D$5:$D$40,Assumptions!$BC126)),"")</f>
        <v>0</v>
      </c>
      <c r="CP126" s="41">
        <f>IFERROR(ABS(SUMIFS('TRA balance'!AQ$5:AQ$40,'TRA balance'!$C$5:$C$40,Assumptions!$BB126,'TRA balance'!$D$5:$D$40,Assumptions!$BC126)),"")</f>
        <v>0</v>
      </c>
      <c r="CQ126" s="41">
        <f>IFERROR(ABS(SUMIFS('TRA balance'!AR$5:AR$40,'TRA balance'!$C$5:$C$40,Assumptions!$BB126,'TRA balance'!$D$5:$D$40,Assumptions!$BC126)),"")</f>
        <v>0</v>
      </c>
      <c r="CR126" s="41">
        <f>IFERROR(ABS(SUMIFS('TRA balance'!AS$5:AS$40,'TRA balance'!$C$5:$C$40,Assumptions!$BB126,'TRA balance'!$D$5:$D$40,Assumptions!$BC126)),"")</f>
        <v>0</v>
      </c>
      <c r="CS126" s="41">
        <f>IFERROR(ABS(SUMIFS('TRA balance'!AT$5:AT$40,'TRA balance'!$C$5:$C$40,Assumptions!$BB126,'TRA balance'!$D$5:$D$40,Assumptions!$BC126)),"")</f>
        <v>0</v>
      </c>
      <c r="CT126" s="41">
        <f>IFERROR(ABS(SUMIFS('TRA balance'!AU$5:AU$40,'TRA balance'!$C$5:$C$40,Assumptions!$BB126,'TRA balance'!$D$5:$D$40,Assumptions!$BC126)),"")</f>
        <v>0</v>
      </c>
      <c r="CU126" s="41">
        <f>IFERROR(ABS(SUMIFS('TRA balance'!AV$5:AV$40,'TRA balance'!$C$5:$C$40,Assumptions!$BB126,'TRA balance'!$D$5:$D$40,Assumptions!$BC126)),"")</f>
        <v>0</v>
      </c>
      <c r="CV126" s="41">
        <f>IFERROR(ABS(SUMIFS('TRA balance'!AW$5:AW$40,'TRA balance'!$C$5:$C$40,Assumptions!$BB126,'TRA balance'!$D$5:$D$40,Assumptions!$BC126)),"")</f>
        <v>0</v>
      </c>
      <c r="CW126" s="41">
        <f>IFERROR(ABS(SUMIFS('TRA balance'!AX$5:AX$40,'TRA balance'!$C$5:$C$40,Assumptions!$BB126,'TRA balance'!$D$5:$D$40,Assumptions!$BC126)),"")</f>
        <v>0</v>
      </c>
      <c r="CX126" s="39"/>
    </row>
    <row r="127" spans="3:102">
      <c r="C127" t="str">
        <f t="shared" si="151"/>
        <v>MET</v>
      </c>
      <c r="D127" t="str">
        <f t="shared" si="150"/>
        <v>TRH</v>
      </c>
      <c r="E127" t="s">
        <v>257</v>
      </c>
      <c r="F127" s="3">
        <v>0.0464</v>
      </c>
      <c r="G127" s="3">
        <v>0.0522</v>
      </c>
      <c r="H127" s="3">
        <v>0.05481</v>
      </c>
      <c r="I127" s="3">
        <v>0.05481</v>
      </c>
      <c r="J127" s="3">
        <v>0.05481</v>
      </c>
      <c r="K127" s="3">
        <v>0.05481</v>
      </c>
      <c r="L127" s="3">
        <v>0.05481</v>
      </c>
      <c r="M127" s="3">
        <v>0.05481</v>
      </c>
      <c r="N127" s="3">
        <v>0.05481</v>
      </c>
      <c r="O127" s="3">
        <v>0.05481</v>
      </c>
      <c r="P127" s="3">
        <v>0.05481</v>
      </c>
      <c r="Q127" s="3">
        <v>0.05481</v>
      </c>
      <c r="R127" s="3">
        <v>0.05481</v>
      </c>
      <c r="S127" s="3">
        <v>0.05481</v>
      </c>
      <c r="T127" s="3">
        <v>0.05481</v>
      </c>
      <c r="U127" s="3">
        <v>0.05481</v>
      </c>
      <c r="V127" s="3">
        <v>0.05481</v>
      </c>
      <c r="W127" s="3">
        <v>0.05481</v>
      </c>
      <c r="X127" s="3">
        <v>0.05481</v>
      </c>
      <c r="Y127" s="3">
        <v>0.05481</v>
      </c>
      <c r="Z127" s="3">
        <v>0.05481</v>
      </c>
      <c r="AA127" s="3">
        <v>0.05481</v>
      </c>
      <c r="AB127" s="3">
        <v>0.05481</v>
      </c>
      <c r="AC127" s="3">
        <v>0.05481</v>
      </c>
      <c r="AD127" s="3">
        <v>0.05481</v>
      </c>
      <c r="AE127" s="3">
        <v>0.05481</v>
      </c>
      <c r="AF127" s="3">
        <v>0.05481</v>
      </c>
      <c r="AG127" s="3">
        <v>0.05481</v>
      </c>
      <c r="AH127" s="3">
        <v>0.05481</v>
      </c>
      <c r="AI127" s="3">
        <v>0.05481</v>
      </c>
      <c r="AJ127" s="3">
        <v>0.05481</v>
      </c>
      <c r="AK127" s="3">
        <v>0.05481</v>
      </c>
      <c r="AL127" s="3">
        <v>0.05481</v>
      </c>
      <c r="AM127" s="3">
        <v>0.05481</v>
      </c>
      <c r="AN127" s="3">
        <v>0.05481</v>
      </c>
      <c r="AO127" s="3">
        <v>0.05481</v>
      </c>
      <c r="AP127" s="3">
        <v>0.05481</v>
      </c>
      <c r="AQ127" s="3">
        <v>0.05481</v>
      </c>
      <c r="AR127" s="3">
        <v>0.05481</v>
      </c>
      <c r="AS127" s="3">
        <v>0.05481</v>
      </c>
      <c r="AT127" s="3">
        <v>0.05481</v>
      </c>
      <c r="AU127" s="3">
        <v>0.05481</v>
      </c>
      <c r="AV127" s="3">
        <v>0.05481</v>
      </c>
      <c r="AW127" s="3">
        <v>0.05481</v>
      </c>
      <c r="AX127" s="3">
        <v>0.05481</v>
      </c>
      <c r="AY127" s="3">
        <v>0.05481</v>
      </c>
      <c r="AZ127" s="3">
        <v>0.05481</v>
      </c>
      <c r="BA127" s="3">
        <v>0.05481</v>
      </c>
      <c r="BB127" s="39" t="s">
        <v>88</v>
      </c>
      <c r="BC127" s="39" t="s">
        <v>52</v>
      </c>
      <c r="BD127" s="41">
        <f>IFERROR(ABS(SUMIFS('TRA balance'!E$5:E$40,'TRA balance'!$C$5:$C$40,Assumptions!$BB127,'TRA balance'!$D$5:$D$40,Assumptions!$BC127)),"")</f>
        <v>0</v>
      </c>
      <c r="BE127" s="41">
        <f>IFERROR(ABS(SUMIFS('TRA balance'!F$5:F$40,'TRA balance'!$C$5:$C$40,Assumptions!$BB127,'TRA balance'!$D$5:$D$40,Assumptions!$BC127)),"")</f>
        <v>0</v>
      </c>
      <c r="BF127" s="41">
        <f>IFERROR(ABS(SUMIFS('TRA balance'!G$5:G$40,'TRA balance'!$C$5:$C$40,Assumptions!$BB127,'TRA balance'!$D$5:$D$40,Assumptions!$BC127)),"")</f>
        <v>0</v>
      </c>
      <c r="BG127" s="41">
        <f>IFERROR(ABS(SUMIFS('TRA balance'!H$5:H$40,'TRA balance'!$C$5:$C$40,Assumptions!$BB127,'TRA balance'!$D$5:$D$40,Assumptions!$BC127)),"")</f>
        <v>0</v>
      </c>
      <c r="BH127" s="41">
        <f>IFERROR(ABS(SUMIFS('TRA balance'!I$5:I$40,'TRA balance'!$C$5:$C$40,Assumptions!$BB127,'TRA balance'!$D$5:$D$40,Assumptions!$BC127)),"")</f>
        <v>0.8522985024</v>
      </c>
      <c r="BI127" s="41">
        <f>IFERROR(ABS(SUMIFS('TRA balance'!J$5:J$40,'TRA balance'!$C$5:$C$40,Assumptions!$BB127,'TRA balance'!$D$5:$D$40,Assumptions!$BC127)),"")</f>
        <v>2.8695364236</v>
      </c>
      <c r="BJ127" s="41">
        <f>IFERROR(ABS(SUMIFS('TRA balance'!K$5:K$40,'TRA balance'!$C$5:$C$40,Assumptions!$BB127,'TRA balance'!$D$5:$D$40,Assumptions!$BC127)),"")</f>
        <v>0</v>
      </c>
      <c r="BK127" s="41">
        <f>IFERROR(ABS(SUMIFS('TRA balance'!L$5:L$40,'TRA balance'!$C$5:$C$40,Assumptions!$BB127,'TRA balance'!$D$5:$D$40,Assumptions!$BC127)),"")</f>
        <v>0</v>
      </c>
      <c r="BL127" s="41">
        <f>IFERROR(ABS(SUMIFS('TRA balance'!M$5:M$40,'TRA balance'!$C$5:$C$40,Assumptions!$BB127,'TRA balance'!$D$5:$D$40,Assumptions!$BC127)),"")</f>
        <v>0</v>
      </c>
      <c r="BM127" s="41">
        <f>IFERROR(ABS(SUMIFS('TRA balance'!N$5:N$40,'TRA balance'!$C$5:$C$40,Assumptions!$BB127,'TRA balance'!$D$5:$D$40,Assumptions!$BC127)),"")</f>
        <v>0</v>
      </c>
      <c r="BN127" s="41">
        <f>IFERROR(ABS(SUMIFS('TRA balance'!O$5:O$40,'TRA balance'!$C$5:$C$40,Assumptions!$BB127,'TRA balance'!$D$5:$D$40,Assumptions!$BC127)),"")</f>
        <v>0</v>
      </c>
      <c r="BO127" s="41">
        <f>IFERROR(ABS(SUMIFS('TRA balance'!P$5:P$40,'TRA balance'!$C$5:$C$40,Assumptions!$BB127,'TRA balance'!$D$5:$D$40,Assumptions!$BC127)),"")</f>
        <v>0</v>
      </c>
      <c r="BP127" s="41">
        <f>IFERROR(ABS(SUMIFS('TRA balance'!Q$5:Q$40,'TRA balance'!$C$5:$C$40,Assumptions!$BB127,'TRA balance'!$D$5:$D$40,Assumptions!$BC127)),"")</f>
        <v>0</v>
      </c>
      <c r="BQ127" s="41">
        <f>IFERROR(ABS(SUMIFS('TRA balance'!R$5:R$40,'TRA balance'!$C$5:$C$40,Assumptions!$BB127,'TRA balance'!$D$5:$D$40,Assumptions!$BC127)),"")</f>
        <v>0</v>
      </c>
      <c r="BR127" s="41">
        <f>IFERROR(ABS(SUMIFS('TRA balance'!S$5:S$40,'TRA balance'!$C$5:$C$40,Assumptions!$BB127,'TRA balance'!$D$5:$D$40,Assumptions!$BC127)),"")</f>
        <v>0</v>
      </c>
      <c r="BS127" s="41">
        <f>IFERROR(ABS(SUMIFS('TRA balance'!T$5:T$40,'TRA balance'!$C$5:$C$40,Assumptions!$BB127,'TRA balance'!$D$5:$D$40,Assumptions!$BC127)),"")</f>
        <v>0</v>
      </c>
      <c r="BT127" s="41">
        <f>IFERROR(ABS(SUMIFS('TRA balance'!U$5:U$40,'TRA balance'!$C$5:$C$40,Assumptions!$BB127,'TRA balance'!$D$5:$D$40,Assumptions!$BC127)),"")</f>
        <v>0</v>
      </c>
      <c r="BU127" s="41">
        <f>IFERROR(ABS(SUMIFS('TRA balance'!V$5:V$40,'TRA balance'!$C$5:$C$40,Assumptions!$BB127,'TRA balance'!$D$5:$D$40,Assumptions!$BC127)),"")</f>
        <v>0</v>
      </c>
      <c r="BV127" s="41">
        <f>IFERROR(ABS(SUMIFS('TRA balance'!W$5:W$40,'TRA balance'!$C$5:$C$40,Assumptions!$BB127,'TRA balance'!$D$5:$D$40,Assumptions!$BC127)),"")</f>
        <v>0</v>
      </c>
      <c r="BW127" s="41">
        <f>IFERROR(ABS(SUMIFS('TRA balance'!X$5:X$40,'TRA balance'!$C$5:$C$40,Assumptions!$BB127,'TRA balance'!$D$5:$D$40,Assumptions!$BC127)),"")</f>
        <v>0</v>
      </c>
      <c r="BX127" s="41">
        <f>IFERROR(ABS(SUMIFS('TRA balance'!Y$5:Y$40,'TRA balance'!$C$5:$C$40,Assumptions!$BB127,'TRA balance'!$D$5:$D$40,Assumptions!$BC127)),"")</f>
        <v>0</v>
      </c>
      <c r="BY127" s="41">
        <f>IFERROR(ABS(SUMIFS('TRA balance'!Z$5:Z$40,'TRA balance'!$C$5:$C$40,Assumptions!$BB127,'TRA balance'!$D$5:$D$40,Assumptions!$BC127)),"")</f>
        <v>0</v>
      </c>
      <c r="BZ127" s="41">
        <f>IFERROR(ABS(SUMIFS('TRA balance'!AA$5:AA$40,'TRA balance'!$C$5:$C$40,Assumptions!$BB127,'TRA balance'!$D$5:$D$40,Assumptions!$BC127)),"")</f>
        <v>2.2015199232</v>
      </c>
      <c r="CA127" s="41">
        <f>IFERROR(ABS(SUMIFS('TRA balance'!AB$5:AB$40,'TRA balance'!$C$5:$C$40,Assumptions!$BB127,'TRA balance'!$D$5:$D$40,Assumptions!$BC127)),"")</f>
        <v>0</v>
      </c>
      <c r="CB127" s="41">
        <f>IFERROR(ABS(SUMIFS('TRA balance'!AC$5:AC$40,'TRA balance'!$C$5:$C$40,Assumptions!$BB127,'TRA balance'!$D$5:$D$40,Assumptions!$BC127)),"")</f>
        <v>0</v>
      </c>
      <c r="CC127" s="41">
        <f>IFERROR(ABS(SUMIFS('TRA balance'!AD$5:AD$40,'TRA balance'!$C$5:$C$40,Assumptions!$BB127,'TRA balance'!$D$5:$D$40,Assumptions!$BC127)),"")</f>
        <v>0</v>
      </c>
      <c r="CD127" s="41">
        <f>IFERROR(ABS(SUMIFS('TRA balance'!AE$5:AE$40,'TRA balance'!$C$5:$C$40,Assumptions!$BB127,'TRA balance'!$D$5:$D$40,Assumptions!$BC127)),"")</f>
        <v>0</v>
      </c>
      <c r="CE127" s="41">
        <f>IFERROR(ABS(SUMIFS('TRA balance'!AF$5:AF$40,'TRA balance'!$C$5:$C$40,Assumptions!$BB127,'TRA balance'!$D$5:$D$40,Assumptions!$BC127)),"")</f>
        <v>0</v>
      </c>
      <c r="CF127" s="41">
        <f>IFERROR(ABS(SUMIFS('TRA balance'!AG$5:AG$40,'TRA balance'!$C$5:$C$40,Assumptions!$BB127,'TRA balance'!$D$5:$D$40,Assumptions!$BC127)),"")</f>
        <v>1.4913004788</v>
      </c>
      <c r="CG127" s="41">
        <f>IFERROR(ABS(SUMIFS('TRA balance'!AH$5:AH$40,'TRA balance'!$C$5:$C$40,Assumptions!$BB127,'TRA balance'!$D$5:$D$40,Assumptions!$BC127)),"")</f>
        <v>0.74190096</v>
      </c>
      <c r="CH127" s="41">
        <f>IFERROR(ABS(SUMIFS('TRA balance'!AI$5:AI$40,'TRA balance'!$C$5:$C$40,Assumptions!$BB127,'TRA balance'!$D$5:$D$40,Assumptions!$BC127)),"")</f>
        <v>0</v>
      </c>
      <c r="CI127" s="41">
        <f>IFERROR(ABS(SUMIFS('TRA balance'!AJ$5:AJ$40,'TRA balance'!$C$5:$C$40,Assumptions!$BB127,'TRA balance'!$D$5:$D$40,Assumptions!$BC127)),"")</f>
        <v>0</v>
      </c>
      <c r="CJ127" s="41">
        <f>IFERROR(ABS(SUMIFS('TRA balance'!AK$5:AK$40,'TRA balance'!$C$5:$C$40,Assumptions!$BB127,'TRA balance'!$D$5:$D$40,Assumptions!$BC127)),"")</f>
        <v>0</v>
      </c>
      <c r="CK127" s="41">
        <f>IFERROR(ABS(SUMIFS('TRA balance'!AL$5:AL$40,'TRA balance'!$C$5:$C$40,Assumptions!$BB127,'TRA balance'!$D$5:$D$40,Assumptions!$BC127)),"")</f>
        <v>0</v>
      </c>
      <c r="CL127" s="41">
        <f>IFERROR(ABS(SUMIFS('TRA balance'!AM$5:AM$40,'TRA balance'!$C$5:$C$40,Assumptions!$BB127,'TRA balance'!$D$5:$D$40,Assumptions!$BC127)),"")</f>
        <v>0</v>
      </c>
      <c r="CM127" s="41">
        <f>IFERROR(ABS(SUMIFS('TRA balance'!AN$5:AN$40,'TRA balance'!$C$5:$C$40,Assumptions!$BB127,'TRA balance'!$D$5:$D$40,Assumptions!$BC127)),"")</f>
        <v>0</v>
      </c>
      <c r="CN127" s="41">
        <f>IFERROR(ABS(SUMIFS('TRA balance'!AO$5:AO$40,'TRA balance'!$C$5:$C$40,Assumptions!$BB127,'TRA balance'!$D$5:$D$40,Assumptions!$BC127)),"")</f>
        <v>0</v>
      </c>
      <c r="CO127" s="41">
        <f>IFERROR(ABS(SUMIFS('TRA balance'!AP$5:AP$40,'TRA balance'!$C$5:$C$40,Assumptions!$BB127,'TRA balance'!$D$5:$D$40,Assumptions!$BC127)),"")</f>
        <v>0</v>
      </c>
      <c r="CP127" s="41">
        <f>IFERROR(ABS(SUMIFS('TRA balance'!AQ$5:AQ$40,'TRA balance'!$C$5:$C$40,Assumptions!$BB127,'TRA balance'!$D$5:$D$40,Assumptions!$BC127)),"")</f>
        <v>0</v>
      </c>
      <c r="CQ127" s="41">
        <f>IFERROR(ABS(SUMIFS('TRA balance'!AR$5:AR$40,'TRA balance'!$C$5:$C$40,Assumptions!$BB127,'TRA balance'!$D$5:$D$40,Assumptions!$BC127)),"")</f>
        <v>0</v>
      </c>
      <c r="CR127" s="41">
        <f>IFERROR(ABS(SUMIFS('TRA balance'!AS$5:AS$40,'TRA balance'!$C$5:$C$40,Assumptions!$BB127,'TRA balance'!$D$5:$D$40,Assumptions!$BC127)),"")</f>
        <v>0</v>
      </c>
      <c r="CS127" s="41">
        <f>IFERROR(ABS(SUMIFS('TRA balance'!AT$5:AT$40,'TRA balance'!$C$5:$C$40,Assumptions!$BB127,'TRA balance'!$D$5:$D$40,Assumptions!$BC127)),"")</f>
        <v>0</v>
      </c>
      <c r="CT127" s="41">
        <f>IFERROR(ABS(SUMIFS('TRA balance'!AU$5:AU$40,'TRA balance'!$C$5:$C$40,Assumptions!$BB127,'TRA balance'!$D$5:$D$40,Assumptions!$BC127)),"")</f>
        <v>0</v>
      </c>
      <c r="CU127" s="41">
        <f>IFERROR(ABS(SUMIFS('TRA balance'!AV$5:AV$40,'TRA balance'!$C$5:$C$40,Assumptions!$BB127,'TRA balance'!$D$5:$D$40,Assumptions!$BC127)),"")</f>
        <v>0</v>
      </c>
      <c r="CV127" s="41">
        <f>IFERROR(ABS(SUMIFS('TRA balance'!AW$5:AW$40,'TRA balance'!$C$5:$C$40,Assumptions!$BB127,'TRA balance'!$D$5:$D$40,Assumptions!$BC127)),"")</f>
        <v>0</v>
      </c>
      <c r="CW127" s="41">
        <f>IFERROR(ABS(SUMIFS('TRA balance'!AX$5:AX$40,'TRA balance'!$C$5:$C$40,Assumptions!$BB127,'TRA balance'!$D$5:$D$40,Assumptions!$BC127)),"")</f>
        <v>0</v>
      </c>
      <c r="CX127" s="39"/>
    </row>
    <row r="128" spans="3:102">
      <c r="C128" t="str">
        <f t="shared" si="151"/>
        <v>NGA</v>
      </c>
      <c r="D128" t="str">
        <f t="shared" si="150"/>
        <v>TRH</v>
      </c>
      <c r="E128" t="s">
        <v>258</v>
      </c>
      <c r="F128" s="3">
        <v>0.0464</v>
      </c>
      <c r="G128" s="3">
        <v>0.0522</v>
      </c>
      <c r="H128" s="3">
        <v>0.05481</v>
      </c>
      <c r="I128" s="3">
        <v>0.05481</v>
      </c>
      <c r="J128" s="3">
        <v>0.05481</v>
      </c>
      <c r="K128" s="3">
        <v>0.05481</v>
      </c>
      <c r="L128" s="3">
        <v>0.05481</v>
      </c>
      <c r="M128" s="3">
        <v>0.05481</v>
      </c>
      <c r="N128" s="3">
        <v>0.05481</v>
      </c>
      <c r="O128" s="3">
        <v>0.05481</v>
      </c>
      <c r="P128" s="3">
        <v>0.05481</v>
      </c>
      <c r="Q128" s="3">
        <v>0.05481</v>
      </c>
      <c r="R128" s="3">
        <v>0.05481</v>
      </c>
      <c r="S128" s="3">
        <v>0.05481</v>
      </c>
      <c r="T128" s="3">
        <v>0.05481</v>
      </c>
      <c r="U128" s="3">
        <v>0.05481</v>
      </c>
      <c r="V128" s="3">
        <v>0.05481</v>
      </c>
      <c r="W128" s="3">
        <v>0.05481</v>
      </c>
      <c r="X128" s="3">
        <v>0.05481</v>
      </c>
      <c r="Y128" s="3">
        <v>0.05481</v>
      </c>
      <c r="Z128" s="3">
        <v>0.05481</v>
      </c>
      <c r="AA128" s="3">
        <v>0.05481</v>
      </c>
      <c r="AB128" s="3">
        <v>0.05481</v>
      </c>
      <c r="AC128" s="3">
        <v>0.05481</v>
      </c>
      <c r="AD128" s="3">
        <v>0.05481</v>
      </c>
      <c r="AE128" s="3">
        <v>0.05481</v>
      </c>
      <c r="AF128" s="3">
        <v>0.05481</v>
      </c>
      <c r="AG128" s="3">
        <v>0.05481</v>
      </c>
      <c r="AH128" s="3">
        <v>0.05481</v>
      </c>
      <c r="AI128" s="3">
        <v>0.05481</v>
      </c>
      <c r="AJ128" s="3">
        <v>0.05481</v>
      </c>
      <c r="AK128" s="3">
        <v>0.05481</v>
      </c>
      <c r="AL128" s="3">
        <v>0.05481</v>
      </c>
      <c r="AM128" s="3">
        <v>0.05481</v>
      </c>
      <c r="AN128" s="3">
        <v>0.05481</v>
      </c>
      <c r="AO128" s="3">
        <v>0.05481</v>
      </c>
      <c r="AP128" s="3">
        <v>0.05481</v>
      </c>
      <c r="AQ128" s="3">
        <v>0.05481</v>
      </c>
      <c r="AR128" s="3">
        <v>0.05481</v>
      </c>
      <c r="AS128" s="3">
        <v>0.05481</v>
      </c>
      <c r="AT128" s="3">
        <v>0.05481</v>
      </c>
      <c r="AU128" s="3">
        <v>0.05481</v>
      </c>
      <c r="AV128" s="3">
        <v>0.05481</v>
      </c>
      <c r="AW128" s="3">
        <v>0.05481</v>
      </c>
      <c r="AX128" s="3">
        <v>0.05481</v>
      </c>
      <c r="AY128" s="3">
        <v>0.05481</v>
      </c>
      <c r="AZ128" s="3">
        <v>0.05481</v>
      </c>
      <c r="BA128" s="3">
        <v>0.05481</v>
      </c>
      <c r="BB128" s="39" t="s">
        <v>41</v>
      </c>
      <c r="BC128" s="39" t="s">
        <v>42</v>
      </c>
      <c r="BD128" s="41">
        <f>IFERROR(ABS(SUMIFS('TRA balance'!E$5:E$40,'TRA balance'!$C$5:$C$40,Assumptions!$BB128,'TRA balance'!$D$5:$D$40,Assumptions!$BC128)),"")</f>
        <v>0</v>
      </c>
      <c r="BE128" s="41">
        <f>IFERROR(ABS(SUMIFS('TRA balance'!F$5:F$40,'TRA balance'!$C$5:$C$40,Assumptions!$BB128,'TRA balance'!$D$5:$D$40,Assumptions!$BC128)),"")</f>
        <v>0</v>
      </c>
      <c r="BF128" s="41">
        <f>IFERROR(ABS(SUMIFS('TRA balance'!G$5:G$40,'TRA balance'!$C$5:$C$40,Assumptions!$BB128,'TRA balance'!$D$5:$D$40,Assumptions!$BC128)),"")</f>
        <v>0</v>
      </c>
      <c r="BG128" s="41">
        <f>IFERROR(ABS(SUMIFS('TRA balance'!H$5:H$40,'TRA balance'!$C$5:$C$40,Assumptions!$BB128,'TRA balance'!$D$5:$D$40,Assumptions!$BC128)),"")</f>
        <v>0</v>
      </c>
      <c r="BH128" s="41">
        <f>IFERROR(ABS(SUMIFS('TRA balance'!I$5:I$40,'TRA balance'!$C$5:$C$40,Assumptions!$BB128,'TRA balance'!$D$5:$D$40,Assumptions!$BC128)),"")</f>
        <v>0</v>
      </c>
      <c r="BI128" s="41">
        <f>IFERROR(ABS(SUMIFS('TRA balance'!J$5:J$40,'TRA balance'!$C$5:$C$40,Assumptions!$BB128,'TRA balance'!$D$5:$D$40,Assumptions!$BC128)),"")</f>
        <v>0</v>
      </c>
      <c r="BJ128" s="41">
        <f>IFERROR(ABS(SUMIFS('TRA balance'!K$5:K$40,'TRA balance'!$C$5:$C$40,Assumptions!$BB128,'TRA balance'!$D$5:$D$40,Assumptions!$BC128)),"")</f>
        <v>6.1607003544</v>
      </c>
      <c r="BK128" s="41">
        <f>IFERROR(ABS(SUMIFS('TRA balance'!L$5:L$40,'TRA balance'!$C$5:$C$40,Assumptions!$BB128,'TRA balance'!$D$5:$D$40,Assumptions!$BC128)),"")</f>
        <v>0</v>
      </c>
      <c r="BL128" s="41">
        <f>IFERROR(ABS(SUMIFS('TRA balance'!M$5:M$40,'TRA balance'!$C$5:$C$40,Assumptions!$BB128,'TRA balance'!$D$5:$D$40,Assumptions!$BC128)),"")</f>
        <v>0</v>
      </c>
      <c r="BM128" s="41">
        <f>IFERROR(ABS(SUMIFS('TRA balance'!N$5:N$40,'TRA balance'!$C$5:$C$40,Assumptions!$BB128,'TRA balance'!$D$5:$D$40,Assumptions!$BC128)),"")</f>
        <v>0</v>
      </c>
      <c r="BN128" s="41">
        <f>IFERROR(ABS(SUMIFS('TRA balance'!O$5:O$40,'TRA balance'!$C$5:$C$40,Assumptions!$BB128,'TRA balance'!$D$5:$D$40,Assumptions!$BC128)),"")</f>
        <v>0</v>
      </c>
      <c r="BO128" s="41">
        <f>IFERROR(ABS(SUMIFS('TRA balance'!P$5:P$40,'TRA balance'!$C$5:$C$40,Assumptions!$BB128,'TRA balance'!$D$5:$D$40,Assumptions!$BC128)),"")</f>
        <v>0</v>
      </c>
      <c r="BP128" s="41">
        <f>IFERROR(ABS(SUMIFS('TRA balance'!Q$5:Q$40,'TRA balance'!$C$5:$C$40,Assumptions!$BB128,'TRA balance'!$D$5:$D$40,Assumptions!$BC128)),"")</f>
        <v>0</v>
      </c>
      <c r="BQ128" s="41">
        <f>IFERROR(ABS(SUMIFS('TRA balance'!R$5:R$40,'TRA balance'!$C$5:$C$40,Assumptions!$BB128,'TRA balance'!$D$5:$D$40,Assumptions!$BC128)),"")</f>
        <v>0</v>
      </c>
      <c r="BR128" s="41">
        <f>IFERROR(ABS(SUMIFS('TRA balance'!S$5:S$40,'TRA balance'!$C$5:$C$40,Assumptions!$BB128,'TRA balance'!$D$5:$D$40,Assumptions!$BC128)),"")</f>
        <v>0</v>
      </c>
      <c r="BS128" s="41">
        <f>IFERROR(ABS(SUMIFS('TRA balance'!T$5:T$40,'TRA balance'!$C$5:$C$40,Assumptions!$BB128,'TRA balance'!$D$5:$D$40,Assumptions!$BC128)),"")</f>
        <v>0</v>
      </c>
      <c r="BT128" s="41">
        <f>IFERROR(ABS(SUMIFS('TRA balance'!U$5:U$40,'TRA balance'!$C$5:$C$40,Assumptions!$BB128,'TRA balance'!$D$5:$D$40,Assumptions!$BC128)),"")</f>
        <v>0</v>
      </c>
      <c r="BU128" s="41">
        <f>IFERROR(ABS(SUMIFS('TRA balance'!V$5:V$40,'TRA balance'!$C$5:$C$40,Assumptions!$BB128,'TRA balance'!$D$5:$D$40,Assumptions!$BC128)),"")</f>
        <v>0</v>
      </c>
      <c r="BV128" s="41">
        <f>IFERROR(ABS(SUMIFS('TRA balance'!W$5:W$40,'TRA balance'!$C$5:$C$40,Assumptions!$BB128,'TRA balance'!$D$5:$D$40,Assumptions!$BC128)),"")</f>
        <v>0</v>
      </c>
      <c r="BW128" s="41">
        <f>IFERROR(ABS(SUMIFS('TRA balance'!X$5:X$40,'TRA balance'!$C$5:$C$40,Assumptions!$BB128,'TRA balance'!$D$5:$D$40,Assumptions!$BC128)),"")</f>
        <v>0</v>
      </c>
      <c r="BX128" s="41">
        <f>IFERROR(ABS(SUMIFS('TRA balance'!Y$5:Y$40,'TRA balance'!$C$5:$C$40,Assumptions!$BB128,'TRA balance'!$D$5:$D$40,Assumptions!$BC128)),"")</f>
        <v>0</v>
      </c>
      <c r="BY128" s="41">
        <f>IFERROR(ABS(SUMIFS('TRA balance'!Z$5:Z$40,'TRA balance'!$C$5:$C$40,Assumptions!$BB128,'TRA balance'!$D$5:$D$40,Assumptions!$BC128)),"")</f>
        <v>2.5819618788</v>
      </c>
      <c r="BZ128" s="41">
        <f>IFERROR(ABS(SUMIFS('TRA balance'!AA$5:AA$40,'TRA balance'!$C$5:$C$40,Assumptions!$BB128,'TRA balance'!$D$5:$D$40,Assumptions!$BC128)),"")</f>
        <v>0</v>
      </c>
      <c r="CA128" s="41">
        <f>IFERROR(ABS(SUMIFS('TRA balance'!AB$5:AB$40,'TRA balance'!$C$5:$C$40,Assumptions!$BB128,'TRA balance'!$D$5:$D$40,Assumptions!$BC128)),"")</f>
        <v>0.023990364</v>
      </c>
      <c r="CB128" s="41">
        <f>IFERROR(ABS(SUMIFS('TRA balance'!AC$5:AC$40,'TRA balance'!$C$5:$C$40,Assumptions!$BB128,'TRA balance'!$D$5:$D$40,Assumptions!$BC128)),"")</f>
        <v>0</v>
      </c>
      <c r="CC128" s="41">
        <f>IFERROR(ABS(SUMIFS('TRA balance'!AD$5:AD$40,'TRA balance'!$C$5:$C$40,Assumptions!$BB128,'TRA balance'!$D$5:$D$40,Assumptions!$BC128)),"")</f>
        <v>0</v>
      </c>
      <c r="CD128" s="41">
        <f>IFERROR(ABS(SUMIFS('TRA balance'!AE$5:AE$40,'TRA balance'!$C$5:$C$40,Assumptions!$BB128,'TRA balance'!$D$5:$D$40,Assumptions!$BC128)),"")</f>
        <v>0</v>
      </c>
      <c r="CE128" s="41">
        <f>IFERROR(ABS(SUMIFS('TRA balance'!AF$5:AF$40,'TRA balance'!$C$5:$C$40,Assumptions!$BB128,'TRA balance'!$D$5:$D$40,Assumptions!$BC128)),"")</f>
        <v>0</v>
      </c>
      <c r="CF128" s="41">
        <f>IFERROR(ABS(SUMIFS('TRA balance'!AG$5:AG$40,'TRA balance'!$C$5:$C$40,Assumptions!$BB128,'TRA balance'!$D$5:$D$40,Assumptions!$BC128)),"")</f>
        <v>0</v>
      </c>
      <c r="CG128" s="41">
        <f>IFERROR(ABS(SUMIFS('TRA balance'!AH$5:AH$40,'TRA balance'!$C$5:$C$40,Assumptions!$BB128,'TRA balance'!$D$5:$D$40,Assumptions!$BC128)),"")</f>
        <v>0</v>
      </c>
      <c r="CH128" s="41">
        <f>IFERROR(ABS(SUMIFS('TRA balance'!AI$5:AI$40,'TRA balance'!$C$5:$C$40,Assumptions!$BB128,'TRA balance'!$D$5:$D$40,Assumptions!$BC128)),"")</f>
        <v>0</v>
      </c>
      <c r="CI128" s="41">
        <f>IFERROR(ABS(SUMIFS('TRA balance'!AJ$5:AJ$40,'TRA balance'!$C$5:$C$40,Assumptions!$BB128,'TRA balance'!$D$5:$D$40,Assumptions!$BC128)),"")</f>
        <v>0</v>
      </c>
      <c r="CJ128" s="41">
        <f>IFERROR(ABS(SUMIFS('TRA balance'!AK$5:AK$40,'TRA balance'!$C$5:$C$40,Assumptions!$BB128,'TRA balance'!$D$5:$D$40,Assumptions!$BC128)),"")</f>
        <v>0</v>
      </c>
      <c r="CK128" s="41">
        <f>IFERROR(ABS(SUMIFS('TRA balance'!AL$5:AL$40,'TRA balance'!$C$5:$C$40,Assumptions!$BB128,'TRA balance'!$D$5:$D$40,Assumptions!$BC128)),"")</f>
        <v>0</v>
      </c>
      <c r="CL128" s="41">
        <f>IFERROR(ABS(SUMIFS('TRA balance'!AM$5:AM$40,'TRA balance'!$C$5:$C$40,Assumptions!$BB128,'TRA balance'!$D$5:$D$40,Assumptions!$BC128)),"")</f>
        <v>0</v>
      </c>
      <c r="CM128" s="41">
        <f>IFERROR(ABS(SUMIFS('TRA balance'!AN$5:AN$40,'TRA balance'!$C$5:$C$40,Assumptions!$BB128,'TRA balance'!$D$5:$D$40,Assumptions!$BC128)),"")</f>
        <v>0</v>
      </c>
      <c r="CN128" s="41">
        <f>IFERROR(ABS(SUMIFS('TRA balance'!AO$5:AO$40,'TRA balance'!$C$5:$C$40,Assumptions!$BB128,'TRA balance'!$D$5:$D$40,Assumptions!$BC128)),"")</f>
        <v>0</v>
      </c>
      <c r="CO128" s="41">
        <f>IFERROR(ABS(SUMIFS('TRA balance'!AP$5:AP$40,'TRA balance'!$C$5:$C$40,Assumptions!$BB128,'TRA balance'!$D$5:$D$40,Assumptions!$BC128)),"")</f>
        <v>0</v>
      </c>
      <c r="CP128" s="41">
        <f>IFERROR(ABS(SUMIFS('TRA balance'!AQ$5:AQ$40,'TRA balance'!$C$5:$C$40,Assumptions!$BB128,'TRA balance'!$D$5:$D$40,Assumptions!$BC128)),"")</f>
        <v>0</v>
      </c>
      <c r="CQ128" s="41">
        <f>IFERROR(ABS(SUMIFS('TRA balance'!AR$5:AR$40,'TRA balance'!$C$5:$C$40,Assumptions!$BB128,'TRA balance'!$D$5:$D$40,Assumptions!$BC128)),"")</f>
        <v>0</v>
      </c>
      <c r="CR128" s="41">
        <f>IFERROR(ABS(SUMIFS('TRA balance'!AS$5:AS$40,'TRA balance'!$C$5:$C$40,Assumptions!$BB128,'TRA balance'!$D$5:$D$40,Assumptions!$BC128)),"")</f>
        <v>0</v>
      </c>
      <c r="CS128" s="41">
        <f>IFERROR(ABS(SUMIFS('TRA balance'!AT$5:AT$40,'TRA balance'!$C$5:$C$40,Assumptions!$BB128,'TRA balance'!$D$5:$D$40,Assumptions!$BC128)),"")</f>
        <v>0</v>
      </c>
      <c r="CT128" s="41">
        <f>IFERROR(ABS(SUMIFS('TRA balance'!AU$5:AU$40,'TRA balance'!$C$5:$C$40,Assumptions!$BB128,'TRA balance'!$D$5:$D$40,Assumptions!$BC128)),"")</f>
        <v>0</v>
      </c>
      <c r="CU128" s="41">
        <f>IFERROR(ABS(SUMIFS('TRA balance'!AV$5:AV$40,'TRA balance'!$C$5:$C$40,Assumptions!$BB128,'TRA balance'!$D$5:$D$40,Assumptions!$BC128)),"")</f>
        <v>0</v>
      </c>
      <c r="CV128" s="41">
        <f>IFERROR(ABS(SUMIFS('TRA balance'!AW$5:AW$40,'TRA balance'!$C$5:$C$40,Assumptions!$BB128,'TRA balance'!$D$5:$D$40,Assumptions!$BC128)),"")</f>
        <v>0</v>
      </c>
      <c r="CW128" s="41">
        <f>IFERROR(ABS(SUMIFS('TRA balance'!AX$5:AX$40,'TRA balance'!$C$5:$C$40,Assumptions!$BB128,'TRA balance'!$D$5:$D$40,Assumptions!$BC128)),"")</f>
        <v>0</v>
      </c>
      <c r="CX128" s="39"/>
    </row>
    <row r="129" spans="3:101">
      <c r="C129" t="str">
        <f t="shared" si="151"/>
        <v>DST</v>
      </c>
      <c r="D129" t="str">
        <f t="shared" si="150"/>
        <v>TRL</v>
      </c>
      <c r="E129" t="s">
        <v>259</v>
      </c>
      <c r="F129" s="3">
        <v>0.18304</v>
      </c>
      <c r="G129" s="3">
        <v>0.21736</v>
      </c>
      <c r="H129" s="3">
        <v>0.20748</v>
      </c>
      <c r="I129" s="3">
        <v>0.20748</v>
      </c>
      <c r="J129" s="3">
        <v>0.20748</v>
      </c>
      <c r="K129" s="3">
        <v>0.20748</v>
      </c>
      <c r="L129" s="3">
        <v>0.20748</v>
      </c>
      <c r="M129" s="3">
        <v>0.20748</v>
      </c>
      <c r="N129" s="3">
        <v>0.20748</v>
      </c>
      <c r="O129" s="3">
        <v>0.20748</v>
      </c>
      <c r="P129" s="3">
        <v>0.20748</v>
      </c>
      <c r="Q129" s="3">
        <v>0.20748</v>
      </c>
      <c r="R129" s="3">
        <v>0.20748</v>
      </c>
      <c r="S129" s="3">
        <v>0.20748</v>
      </c>
      <c r="T129" s="3">
        <v>0.20748</v>
      </c>
      <c r="U129" s="3">
        <v>0.20748</v>
      </c>
      <c r="V129" s="3">
        <v>0.20748</v>
      </c>
      <c r="W129" s="3">
        <v>0.20748</v>
      </c>
      <c r="X129" s="3">
        <v>0.20748</v>
      </c>
      <c r="Y129" s="3">
        <v>0.20748</v>
      </c>
      <c r="Z129" s="3">
        <v>0.20748</v>
      </c>
      <c r="AA129" s="3">
        <v>0.20748</v>
      </c>
      <c r="AB129" s="3">
        <v>0.20748</v>
      </c>
      <c r="AC129" s="3">
        <v>0.20748</v>
      </c>
      <c r="AD129" s="3">
        <v>0.20748</v>
      </c>
      <c r="AE129" s="3">
        <v>0.20748</v>
      </c>
      <c r="AF129" s="3">
        <v>0.20748</v>
      </c>
      <c r="AG129" s="3">
        <v>0.20748</v>
      </c>
      <c r="AH129" s="3">
        <v>0.20748</v>
      </c>
      <c r="AI129" s="3">
        <v>0.20748</v>
      </c>
      <c r="AJ129" s="3">
        <v>0.20748</v>
      </c>
      <c r="AK129" s="3">
        <v>0.20748</v>
      </c>
      <c r="AL129" s="3">
        <v>0.20748</v>
      </c>
      <c r="AM129" s="3">
        <v>0.20748</v>
      </c>
      <c r="AN129" s="3">
        <v>0.20748</v>
      </c>
      <c r="AO129" s="3">
        <v>0.20748</v>
      </c>
      <c r="AP129" s="3">
        <v>0.20748</v>
      </c>
      <c r="AQ129" s="3">
        <v>0.20748</v>
      </c>
      <c r="AR129" s="3">
        <v>0.20748</v>
      </c>
      <c r="AS129" s="3">
        <v>0.20748</v>
      </c>
      <c r="AT129" s="3">
        <v>0.20748</v>
      </c>
      <c r="AU129" s="3">
        <v>0.20748</v>
      </c>
      <c r="AV129" s="3">
        <v>0.20748</v>
      </c>
      <c r="AW129" s="3">
        <v>0.20748</v>
      </c>
      <c r="AX129" s="3">
        <v>0.20748</v>
      </c>
      <c r="AY129" s="3">
        <v>0.20748</v>
      </c>
      <c r="AZ129" s="3">
        <v>0.20748</v>
      </c>
      <c r="BA129" s="3">
        <v>0.20748</v>
      </c>
      <c r="BB129" s="39" t="s">
        <v>41</v>
      </c>
      <c r="BC129" s="39" t="s">
        <v>260</v>
      </c>
      <c r="BD129" s="41">
        <f>IFERROR(ABS(SUMIFS('TRA balance'!E$5:E$40,'TRA balance'!$C$5:$C$40,Assumptions!$BB129,'TRA balance'!$D$5:$D$40,Assumptions!$BC129)),"")</f>
        <v>0</v>
      </c>
      <c r="BE129" s="41">
        <f>IFERROR(ABS(SUMIFS('TRA balance'!F$5:F$40,'TRA balance'!$C$5:$C$40,Assumptions!$BB129,'TRA balance'!$D$5:$D$40,Assumptions!$BC129)),"")</f>
        <v>0</v>
      </c>
      <c r="BF129" s="41">
        <f>IFERROR(ABS(SUMIFS('TRA balance'!G$5:G$40,'TRA balance'!$C$5:$C$40,Assumptions!$BB129,'TRA balance'!$D$5:$D$40,Assumptions!$BC129)),"")</f>
        <v>0</v>
      </c>
      <c r="BG129" s="41">
        <f>IFERROR(ABS(SUMIFS('TRA balance'!H$5:H$40,'TRA balance'!$C$5:$C$40,Assumptions!$BB129,'TRA balance'!$D$5:$D$40,Assumptions!$BC129)),"")</f>
        <v>0</v>
      </c>
      <c r="BH129" s="41">
        <f>IFERROR(ABS(SUMIFS('TRA balance'!I$5:I$40,'TRA balance'!$C$5:$C$40,Assumptions!$BB129,'TRA balance'!$D$5:$D$40,Assumptions!$BC129)),"")</f>
        <v>0</v>
      </c>
      <c r="BI129" s="41">
        <f>IFERROR(ABS(SUMIFS('TRA balance'!J$5:J$40,'TRA balance'!$C$5:$C$40,Assumptions!$BB129,'TRA balance'!$D$5:$D$40,Assumptions!$BC129)),"")</f>
        <v>0</v>
      </c>
      <c r="BJ129" s="41">
        <f>IFERROR(ABS(SUMIFS('TRA balance'!K$5:K$40,'TRA balance'!$C$5:$C$40,Assumptions!$BB129,'TRA balance'!$D$5:$D$40,Assumptions!$BC129)),"")</f>
        <v>0</v>
      </c>
      <c r="BK129" s="41">
        <f>IFERROR(ABS(SUMIFS('TRA balance'!L$5:L$40,'TRA balance'!$C$5:$C$40,Assumptions!$BB129,'TRA balance'!$D$5:$D$40,Assumptions!$BC129)),"")</f>
        <v>0</v>
      </c>
      <c r="BL129" s="41">
        <f>IFERROR(ABS(SUMIFS('TRA balance'!M$5:M$40,'TRA balance'!$C$5:$C$40,Assumptions!$BB129,'TRA balance'!$D$5:$D$40,Assumptions!$BC129)),"")</f>
        <v>0</v>
      </c>
      <c r="BM129" s="41">
        <f>IFERROR(ABS(SUMIFS('TRA balance'!N$5:N$40,'TRA balance'!$C$5:$C$40,Assumptions!$BB129,'TRA balance'!$D$5:$D$40,Assumptions!$BC129)),"")</f>
        <v>0</v>
      </c>
      <c r="BN129" s="41">
        <f>IFERROR(ABS(SUMIFS('TRA balance'!O$5:O$40,'TRA balance'!$C$5:$C$40,Assumptions!$BB129,'TRA balance'!$D$5:$D$40,Assumptions!$BC129)),"")</f>
        <v>0</v>
      </c>
      <c r="BO129" s="41">
        <f>IFERROR(ABS(SUMIFS('TRA balance'!P$5:P$40,'TRA balance'!$C$5:$C$40,Assumptions!$BB129,'TRA balance'!$D$5:$D$40,Assumptions!$BC129)),"")</f>
        <v>0</v>
      </c>
      <c r="BP129" s="41">
        <f>IFERROR(ABS(SUMIFS('TRA balance'!Q$5:Q$40,'TRA balance'!$C$5:$C$40,Assumptions!$BB129,'TRA balance'!$D$5:$D$40,Assumptions!$BC129)),"")</f>
        <v>0</v>
      </c>
      <c r="BQ129" s="41">
        <f>IFERROR(ABS(SUMIFS('TRA balance'!R$5:R$40,'TRA balance'!$C$5:$C$40,Assumptions!$BB129,'TRA balance'!$D$5:$D$40,Assumptions!$BC129)),"")</f>
        <v>0</v>
      </c>
      <c r="BR129" s="41">
        <f>IFERROR(ABS(SUMIFS('TRA balance'!S$5:S$40,'TRA balance'!$C$5:$C$40,Assumptions!$BB129,'TRA balance'!$D$5:$D$40,Assumptions!$BC129)),"")</f>
        <v>0</v>
      </c>
      <c r="BS129" s="41">
        <f>IFERROR(ABS(SUMIFS('TRA balance'!T$5:T$40,'TRA balance'!$C$5:$C$40,Assumptions!$BB129,'TRA balance'!$D$5:$D$40,Assumptions!$BC129)),"")</f>
        <v>0</v>
      </c>
      <c r="BT129" s="41">
        <f>IFERROR(ABS(SUMIFS('TRA balance'!U$5:U$40,'TRA balance'!$C$5:$C$40,Assumptions!$BB129,'TRA balance'!$D$5:$D$40,Assumptions!$BC129)),"")</f>
        <v>0</v>
      </c>
      <c r="BU129" s="41">
        <f>IFERROR(ABS(SUMIFS('TRA balance'!V$5:V$40,'TRA balance'!$C$5:$C$40,Assumptions!$BB129,'TRA balance'!$D$5:$D$40,Assumptions!$BC129)),"")</f>
        <v>0</v>
      </c>
      <c r="BV129" s="41">
        <f>IFERROR(ABS(SUMIFS('TRA balance'!W$5:W$40,'TRA balance'!$C$5:$C$40,Assumptions!$BB129,'TRA balance'!$D$5:$D$40,Assumptions!$BC129)),"")</f>
        <v>0</v>
      </c>
      <c r="BW129" s="41">
        <f>IFERROR(ABS(SUMIFS('TRA balance'!X$5:X$40,'TRA balance'!$C$5:$C$40,Assumptions!$BB129,'TRA balance'!$D$5:$D$40,Assumptions!$BC129)),"")</f>
        <v>0</v>
      </c>
      <c r="BX129" s="41">
        <f>IFERROR(ABS(SUMIFS('TRA balance'!Y$5:Y$40,'TRA balance'!$C$5:$C$40,Assumptions!$BB129,'TRA balance'!$D$5:$D$40,Assumptions!$BC129)),"")</f>
        <v>0</v>
      </c>
      <c r="BY129" s="41">
        <f>IFERROR(ABS(SUMIFS('TRA balance'!Z$5:Z$40,'TRA balance'!$C$5:$C$40,Assumptions!$BB129,'TRA balance'!$D$5:$D$40,Assumptions!$BC129)),"")</f>
        <v>0</v>
      </c>
      <c r="BZ129" s="41">
        <f>IFERROR(ABS(SUMIFS('TRA balance'!AA$5:AA$40,'TRA balance'!$C$5:$C$40,Assumptions!$BB129,'TRA balance'!$D$5:$D$40,Assumptions!$BC129)),"")</f>
        <v>0</v>
      </c>
      <c r="CA129" s="41">
        <f>IFERROR(ABS(SUMIFS('TRA balance'!AB$5:AB$40,'TRA balance'!$C$5:$C$40,Assumptions!$BB129,'TRA balance'!$D$5:$D$40,Assumptions!$BC129)),"")</f>
        <v>0</v>
      </c>
      <c r="CB129" s="41">
        <f>IFERROR(ABS(SUMIFS('TRA balance'!AC$5:AC$40,'TRA balance'!$C$5:$C$40,Assumptions!$BB129,'TRA balance'!$D$5:$D$40,Assumptions!$BC129)),"")</f>
        <v>0</v>
      </c>
      <c r="CC129" s="41">
        <f>IFERROR(ABS(SUMIFS('TRA balance'!AD$5:AD$40,'TRA balance'!$C$5:$C$40,Assumptions!$BB129,'TRA balance'!$D$5:$D$40,Assumptions!$BC129)),"")</f>
        <v>0</v>
      </c>
      <c r="CD129" s="41">
        <f>IFERROR(ABS(SUMIFS('TRA balance'!AE$5:AE$40,'TRA balance'!$C$5:$C$40,Assumptions!$BB129,'TRA balance'!$D$5:$D$40,Assumptions!$BC129)),"")</f>
        <v>0</v>
      </c>
      <c r="CE129" s="41">
        <f>IFERROR(ABS(SUMIFS('TRA balance'!AF$5:AF$40,'TRA balance'!$C$5:$C$40,Assumptions!$BB129,'TRA balance'!$D$5:$D$40,Assumptions!$BC129)),"")</f>
        <v>0</v>
      </c>
      <c r="CF129" s="41">
        <f>IFERROR(ABS(SUMIFS('TRA balance'!AG$5:AG$40,'TRA balance'!$C$5:$C$40,Assumptions!$BB129,'TRA balance'!$D$5:$D$40,Assumptions!$BC129)),"")</f>
        <v>0</v>
      </c>
      <c r="CG129" s="41">
        <f>IFERROR(ABS(SUMIFS('TRA balance'!AH$5:AH$40,'TRA balance'!$C$5:$C$40,Assumptions!$BB129,'TRA balance'!$D$5:$D$40,Assumptions!$BC129)),"")</f>
        <v>0</v>
      </c>
      <c r="CH129" s="41">
        <f>IFERROR(ABS(SUMIFS('TRA balance'!AI$5:AI$40,'TRA balance'!$C$5:$C$40,Assumptions!$BB129,'TRA balance'!$D$5:$D$40,Assumptions!$BC129)),"")</f>
        <v>0</v>
      </c>
      <c r="CI129" s="41">
        <f>IFERROR(ABS(SUMIFS('TRA balance'!AJ$5:AJ$40,'TRA balance'!$C$5:$C$40,Assumptions!$BB129,'TRA balance'!$D$5:$D$40,Assumptions!$BC129)),"")</f>
        <v>0</v>
      </c>
      <c r="CJ129" s="41">
        <f>IFERROR(ABS(SUMIFS('TRA balance'!AK$5:AK$40,'TRA balance'!$C$5:$C$40,Assumptions!$BB129,'TRA balance'!$D$5:$D$40,Assumptions!$BC129)),"")</f>
        <v>0</v>
      </c>
      <c r="CK129" s="41">
        <f>IFERROR(ABS(SUMIFS('TRA balance'!AL$5:AL$40,'TRA balance'!$C$5:$C$40,Assumptions!$BB129,'TRA balance'!$D$5:$D$40,Assumptions!$BC129)),"")</f>
        <v>0</v>
      </c>
      <c r="CL129" s="41">
        <f>IFERROR(ABS(SUMIFS('TRA balance'!AM$5:AM$40,'TRA balance'!$C$5:$C$40,Assumptions!$BB129,'TRA balance'!$D$5:$D$40,Assumptions!$BC129)),"")</f>
        <v>0</v>
      </c>
      <c r="CM129" s="41">
        <f>IFERROR(ABS(SUMIFS('TRA balance'!AN$5:AN$40,'TRA balance'!$C$5:$C$40,Assumptions!$BB129,'TRA balance'!$D$5:$D$40,Assumptions!$BC129)),"")</f>
        <v>0</v>
      </c>
      <c r="CN129" s="41">
        <f>IFERROR(ABS(SUMIFS('TRA balance'!AO$5:AO$40,'TRA balance'!$C$5:$C$40,Assumptions!$BB129,'TRA balance'!$D$5:$D$40,Assumptions!$BC129)),"")</f>
        <v>0</v>
      </c>
      <c r="CO129" s="41">
        <f>IFERROR(ABS(SUMIFS('TRA balance'!AP$5:AP$40,'TRA balance'!$C$5:$C$40,Assumptions!$BB129,'TRA balance'!$D$5:$D$40,Assumptions!$BC129)),"")</f>
        <v>0</v>
      </c>
      <c r="CP129" s="41">
        <f>IFERROR(ABS(SUMIFS('TRA balance'!AQ$5:AQ$40,'TRA balance'!$C$5:$C$40,Assumptions!$BB129,'TRA balance'!$D$5:$D$40,Assumptions!$BC129)),"")</f>
        <v>0</v>
      </c>
      <c r="CQ129" s="41">
        <f>IFERROR(ABS(SUMIFS('TRA balance'!AR$5:AR$40,'TRA balance'!$C$5:$C$40,Assumptions!$BB129,'TRA balance'!$D$5:$D$40,Assumptions!$BC129)),"")</f>
        <v>0</v>
      </c>
      <c r="CR129" s="41">
        <f>IFERROR(ABS(SUMIFS('TRA balance'!AS$5:AS$40,'TRA balance'!$C$5:$C$40,Assumptions!$BB129,'TRA balance'!$D$5:$D$40,Assumptions!$BC129)),"")</f>
        <v>0</v>
      </c>
      <c r="CS129" s="41">
        <f>IFERROR(ABS(SUMIFS('TRA balance'!AT$5:AT$40,'TRA balance'!$C$5:$C$40,Assumptions!$BB129,'TRA balance'!$D$5:$D$40,Assumptions!$BC129)),"")</f>
        <v>0</v>
      </c>
      <c r="CT129" s="41">
        <f>IFERROR(ABS(SUMIFS('TRA balance'!AU$5:AU$40,'TRA balance'!$C$5:$C$40,Assumptions!$BB129,'TRA balance'!$D$5:$D$40,Assumptions!$BC129)),"")</f>
        <v>0</v>
      </c>
      <c r="CU129" s="41">
        <f>IFERROR(ABS(SUMIFS('TRA balance'!AV$5:AV$40,'TRA balance'!$C$5:$C$40,Assumptions!$BB129,'TRA balance'!$D$5:$D$40,Assumptions!$BC129)),"")</f>
        <v>0</v>
      </c>
      <c r="CV129" s="41">
        <f>IFERROR(ABS(SUMIFS('TRA balance'!AW$5:AW$40,'TRA balance'!$C$5:$C$40,Assumptions!$BB129,'TRA balance'!$D$5:$D$40,Assumptions!$BC129)),"")</f>
        <v>0</v>
      </c>
      <c r="CW129" s="41">
        <f>IFERROR(ABS(SUMIFS('TRA balance'!AX$5:AX$40,'TRA balance'!$C$5:$C$40,Assumptions!$BB129,'TRA balance'!$D$5:$D$40,Assumptions!$BC129)),"")</f>
        <v>0</v>
      </c>
    </row>
    <row r="130" spans="3:101">
      <c r="C130" t="str">
        <f t="shared" si="151"/>
        <v>ELC</v>
      </c>
      <c r="D130" t="str">
        <f t="shared" si="150"/>
        <v>TRL</v>
      </c>
      <c r="E130" t="s">
        <v>261</v>
      </c>
      <c r="F130" s="3">
        <v>0.4224</v>
      </c>
      <c r="G130" s="3">
        <v>0.5016</v>
      </c>
      <c r="H130" s="3">
        <v>0.4788</v>
      </c>
      <c r="I130" s="3">
        <v>0.4788</v>
      </c>
      <c r="J130" s="3">
        <v>0.4788</v>
      </c>
      <c r="K130" s="3">
        <v>0.4788</v>
      </c>
      <c r="L130" s="3">
        <v>0.4788</v>
      </c>
      <c r="M130" s="3">
        <v>0.4788</v>
      </c>
      <c r="N130" s="3">
        <v>0.4788</v>
      </c>
      <c r="O130" s="3">
        <v>0.4788</v>
      </c>
      <c r="P130" s="3">
        <v>0.4788</v>
      </c>
      <c r="Q130" s="3">
        <v>0.4788</v>
      </c>
      <c r="R130" s="3">
        <v>0.4788</v>
      </c>
      <c r="S130" s="3">
        <v>0.4788</v>
      </c>
      <c r="T130" s="3">
        <v>0.4788</v>
      </c>
      <c r="U130" s="3">
        <v>0.4788</v>
      </c>
      <c r="V130" s="3">
        <v>0.4788</v>
      </c>
      <c r="W130" s="3">
        <v>0.4788</v>
      </c>
      <c r="X130" s="3">
        <v>0.4788</v>
      </c>
      <c r="Y130" s="3">
        <v>0.4788</v>
      </c>
      <c r="Z130" s="3">
        <v>0.4788</v>
      </c>
      <c r="AA130" s="3">
        <v>0.4788</v>
      </c>
      <c r="AB130" s="3">
        <v>0.4788</v>
      </c>
      <c r="AC130" s="3">
        <v>0.4788</v>
      </c>
      <c r="AD130" s="3">
        <v>0.4788</v>
      </c>
      <c r="AE130" s="3">
        <v>0.4788</v>
      </c>
      <c r="AF130" s="3">
        <v>0.4788</v>
      </c>
      <c r="AG130" s="3">
        <v>0.4788</v>
      </c>
      <c r="AH130" s="3">
        <v>0.4788</v>
      </c>
      <c r="AI130" s="3">
        <v>0.4788</v>
      </c>
      <c r="AJ130" s="3">
        <v>0.4788</v>
      </c>
      <c r="AK130" s="3">
        <v>0.4788</v>
      </c>
      <c r="AL130" s="3">
        <v>0.4788</v>
      </c>
      <c r="AM130" s="3">
        <v>0.4788</v>
      </c>
      <c r="AN130" s="3">
        <v>0.4788</v>
      </c>
      <c r="AO130" s="3">
        <v>0.4788</v>
      </c>
      <c r="AP130" s="3">
        <v>0.4788</v>
      </c>
      <c r="AQ130" s="3">
        <v>0.4788</v>
      </c>
      <c r="AR130" s="3">
        <v>0.4788</v>
      </c>
      <c r="AS130" s="3">
        <v>0.4788</v>
      </c>
      <c r="AT130" s="3">
        <v>0.4788</v>
      </c>
      <c r="AU130" s="3">
        <v>0.4788</v>
      </c>
      <c r="AV130" s="3">
        <v>0.4788</v>
      </c>
      <c r="AW130" s="3">
        <v>0.4788</v>
      </c>
      <c r="AX130" s="3">
        <v>0.4788</v>
      </c>
      <c r="AY130" s="3">
        <v>0.4788</v>
      </c>
      <c r="AZ130" s="3">
        <v>0.4788</v>
      </c>
      <c r="BA130" s="3">
        <v>0.4788</v>
      </c>
      <c r="BB130" s="39" t="s">
        <v>41</v>
      </c>
      <c r="BC130" s="39" t="s">
        <v>46</v>
      </c>
      <c r="BD130" s="41">
        <f>IFERROR(ABS(SUMIFS('TRA balance'!E$5:E$40,'TRA balance'!$C$5:$C$40,Assumptions!$BB130,'TRA balance'!$D$5:$D$40,Assumptions!$BC130)),"")</f>
        <v>0</v>
      </c>
      <c r="BE130" s="41">
        <f>IFERROR(ABS(SUMIFS('TRA balance'!F$5:F$40,'TRA balance'!$C$5:$C$40,Assumptions!$BB130,'TRA balance'!$D$5:$D$40,Assumptions!$BC130)),"")</f>
        <v>2.370189348</v>
      </c>
      <c r="BF130" s="41">
        <f>IFERROR(ABS(SUMIFS('TRA balance'!G$5:G$40,'TRA balance'!$C$5:$C$40,Assumptions!$BB130,'TRA balance'!$D$5:$D$40,Assumptions!$BC130)),"")</f>
        <v>0</v>
      </c>
      <c r="BG130" s="41">
        <f>IFERROR(ABS(SUMIFS('TRA balance'!H$5:H$40,'TRA balance'!$C$5:$C$40,Assumptions!$BB130,'TRA balance'!$D$5:$D$40,Assumptions!$BC130)),"")</f>
        <v>0</v>
      </c>
      <c r="BH130" s="41">
        <f>IFERROR(ABS(SUMIFS('TRA balance'!I$5:I$40,'TRA balance'!$C$5:$C$40,Assumptions!$BB130,'TRA balance'!$D$5:$D$40,Assumptions!$BC130)),"")</f>
        <v>0</v>
      </c>
      <c r="BI130" s="41">
        <f>IFERROR(ABS(SUMIFS('TRA balance'!J$5:J$40,'TRA balance'!$C$5:$C$40,Assumptions!$BB130,'TRA balance'!$D$5:$D$40,Assumptions!$BC130)),"")</f>
        <v>0</v>
      </c>
      <c r="BJ130" s="41">
        <f>IFERROR(ABS(SUMIFS('TRA balance'!K$5:K$40,'TRA balance'!$C$5:$C$40,Assumptions!$BB130,'TRA balance'!$D$5:$D$40,Assumptions!$BC130)),"")</f>
        <v>0</v>
      </c>
      <c r="BK130" s="41">
        <f>IFERROR(ABS(SUMIFS('TRA balance'!L$5:L$40,'TRA balance'!$C$5:$C$40,Assumptions!$BB130,'TRA balance'!$D$5:$D$40,Assumptions!$BC130)),"")</f>
        <v>1314.7580152476</v>
      </c>
      <c r="BL130" s="41">
        <f>IFERROR(ABS(SUMIFS('TRA balance'!M$5:M$40,'TRA balance'!$C$5:$C$40,Assumptions!$BB130,'TRA balance'!$D$5:$D$40,Assumptions!$BC130)),"")</f>
        <v>0</v>
      </c>
      <c r="BM130" s="41">
        <f>IFERROR(ABS(SUMIFS('TRA balance'!N$5:N$40,'TRA balance'!$C$5:$C$40,Assumptions!$BB130,'TRA balance'!$D$5:$D$40,Assumptions!$BC130)),"")</f>
        <v>0</v>
      </c>
      <c r="BN130" s="41">
        <f>IFERROR(ABS(SUMIFS('TRA balance'!O$5:O$40,'TRA balance'!$C$5:$C$40,Assumptions!$BB130,'TRA balance'!$D$5:$D$40,Assumptions!$BC130)),"")</f>
        <v>0</v>
      </c>
      <c r="BO130" s="41">
        <f>IFERROR(ABS(SUMIFS('TRA balance'!P$5:P$40,'TRA balance'!$C$5:$C$40,Assumptions!$BB130,'TRA balance'!$D$5:$D$40,Assumptions!$BC130)),"")</f>
        <v>0</v>
      </c>
      <c r="BP130" s="41">
        <f>IFERROR(ABS(SUMIFS('TRA balance'!Q$5:Q$40,'TRA balance'!$C$5:$C$40,Assumptions!$BB130,'TRA balance'!$D$5:$D$40,Assumptions!$BC130)),"")</f>
        <v>0.011388096</v>
      </c>
      <c r="BQ130" s="41">
        <f>IFERROR(ABS(SUMIFS('TRA balance'!R$5:R$40,'TRA balance'!$C$5:$C$40,Assumptions!$BB130,'TRA balance'!$D$5:$D$40,Assumptions!$BC130)),"")</f>
        <v>0.0471140604</v>
      </c>
      <c r="BR130" s="41">
        <f>IFERROR(ABS(SUMIFS('TRA balance'!S$5:S$40,'TRA balance'!$C$5:$C$40,Assumptions!$BB130,'TRA balance'!$D$5:$D$40,Assumptions!$BC130)),"")</f>
        <v>0</v>
      </c>
      <c r="BS130" s="41">
        <f>IFERROR(ABS(SUMIFS('TRA balance'!T$5:T$40,'TRA balance'!$C$5:$C$40,Assumptions!$BB130,'TRA balance'!$D$5:$D$40,Assumptions!$BC130)),"")</f>
        <v>0</v>
      </c>
      <c r="BT130" s="41">
        <f>IFERROR(ABS(SUMIFS('TRA balance'!U$5:U$40,'TRA balance'!$C$5:$C$40,Assumptions!$BB130,'TRA balance'!$D$5:$D$40,Assumptions!$BC130)),"")</f>
        <v>0</v>
      </c>
      <c r="BU130" s="41">
        <f>IFERROR(ABS(SUMIFS('TRA balance'!V$5:V$40,'TRA balance'!$C$5:$C$40,Assumptions!$BB130,'TRA balance'!$D$5:$D$40,Assumptions!$BC130)),"")</f>
        <v>0</v>
      </c>
      <c r="BV130" s="41">
        <f>IFERROR(ABS(SUMIFS('TRA balance'!W$5:W$40,'TRA balance'!$C$5:$C$40,Assumptions!$BB130,'TRA balance'!$D$5:$D$40,Assumptions!$BC130)),"")</f>
        <v>0</v>
      </c>
      <c r="BW130" s="41">
        <f>IFERROR(ABS(SUMIFS('TRA balance'!X$5:X$40,'TRA balance'!$C$5:$C$40,Assumptions!$BB130,'TRA balance'!$D$5:$D$40,Assumptions!$BC130)),"")</f>
        <v>0.3742454916</v>
      </c>
      <c r="BX130" s="41">
        <f>IFERROR(ABS(SUMIFS('TRA balance'!Y$5:Y$40,'TRA balance'!$C$5:$C$40,Assumptions!$BB130,'TRA balance'!$D$5:$D$40,Assumptions!$BC130)),"")</f>
        <v>1.7316018648</v>
      </c>
      <c r="BY130" s="41">
        <f>IFERROR(ABS(SUMIFS('TRA balance'!Z$5:Z$40,'TRA balance'!$C$5:$C$40,Assumptions!$BB130,'TRA balance'!$D$5:$D$40,Assumptions!$BC130)),"")</f>
        <v>22.4800010208</v>
      </c>
      <c r="BZ130" s="41">
        <f>IFERROR(ABS(SUMIFS('TRA balance'!AA$5:AA$40,'TRA balance'!$C$5:$C$40,Assumptions!$BB130,'TRA balance'!$D$5:$D$40,Assumptions!$BC130)),"")</f>
        <v>0.0794403432</v>
      </c>
      <c r="CA130" s="41">
        <f>IFERROR(ABS(SUMIFS('TRA balance'!AB$5:AB$40,'TRA balance'!$C$5:$C$40,Assumptions!$BB130,'TRA balance'!$D$5:$D$40,Assumptions!$BC130)),"")</f>
        <v>0.0110364048</v>
      </c>
      <c r="CB130" s="41">
        <f>IFERROR(ABS(SUMIFS('TRA balance'!AC$5:AC$40,'TRA balance'!$C$5:$C$40,Assumptions!$BB130,'TRA balance'!$D$5:$D$40,Assumptions!$BC130)),"")</f>
        <v>0.5005277532</v>
      </c>
      <c r="CC130" s="41">
        <f>IFERROR(ABS(SUMIFS('TRA balance'!AD$5:AD$40,'TRA balance'!$C$5:$C$40,Assumptions!$BB130,'TRA balance'!$D$5:$D$40,Assumptions!$BC130)),"")</f>
        <v>0</v>
      </c>
      <c r="CD130" s="41">
        <f>IFERROR(ABS(SUMIFS('TRA balance'!AE$5:AE$40,'TRA balance'!$C$5:$C$40,Assumptions!$BB130,'TRA balance'!$D$5:$D$40,Assumptions!$BC130)),"")</f>
        <v>0</v>
      </c>
      <c r="CE130" s="41">
        <f>IFERROR(ABS(SUMIFS('TRA balance'!AF$5:AF$40,'TRA balance'!$C$5:$C$40,Assumptions!$BB130,'TRA balance'!$D$5:$D$40,Assumptions!$BC130)),"")</f>
        <v>3.601924974</v>
      </c>
      <c r="CF130" s="41">
        <f>IFERROR(ABS(SUMIFS('TRA balance'!AG$5:AG$40,'TRA balance'!$C$5:$C$40,Assumptions!$BB130,'TRA balance'!$D$5:$D$40,Assumptions!$BC130)),"")</f>
        <v>0</v>
      </c>
      <c r="CG130" s="41">
        <f>IFERROR(ABS(SUMIFS('TRA balance'!AH$5:AH$40,'TRA balance'!$C$5:$C$40,Assumptions!$BB130,'TRA balance'!$D$5:$D$40,Assumptions!$BC130)),"")</f>
        <v>0</v>
      </c>
      <c r="CH130" s="41">
        <f>IFERROR(ABS(SUMIFS('TRA balance'!AI$5:AI$40,'TRA balance'!$C$5:$C$40,Assumptions!$BB130,'TRA balance'!$D$5:$D$40,Assumptions!$BC130)),"")</f>
        <v>0</v>
      </c>
      <c r="CI130" s="41">
        <f>IFERROR(ABS(SUMIFS('TRA balance'!AJ$5:AJ$40,'TRA balance'!$C$5:$C$40,Assumptions!$BB130,'TRA balance'!$D$5:$D$40,Assumptions!$BC130)),"")</f>
        <v>0</v>
      </c>
      <c r="CJ130" s="41">
        <f>IFERROR(ABS(SUMIFS('TRA balance'!AK$5:AK$40,'TRA balance'!$C$5:$C$40,Assumptions!$BB130,'TRA balance'!$D$5:$D$40,Assumptions!$BC130)),"")</f>
        <v>0</v>
      </c>
      <c r="CK130" s="41">
        <f>IFERROR(ABS(SUMIFS('TRA balance'!AL$5:AL$40,'TRA balance'!$C$5:$C$40,Assumptions!$BB130,'TRA balance'!$D$5:$D$40,Assumptions!$BC130)),"")</f>
        <v>15.3699018984</v>
      </c>
      <c r="CL130" s="41">
        <f>IFERROR(ABS(SUMIFS('TRA balance'!AM$5:AM$40,'TRA balance'!$C$5:$C$40,Assumptions!$BB130,'TRA balance'!$D$5:$D$40,Assumptions!$BC130)),"")</f>
        <v>0</v>
      </c>
      <c r="CM130" s="41">
        <f>IFERROR(ABS(SUMIFS('TRA balance'!AN$5:AN$40,'TRA balance'!$C$5:$C$40,Assumptions!$BB130,'TRA balance'!$D$5:$D$40,Assumptions!$BC130)),"")</f>
        <v>0</v>
      </c>
      <c r="CN130" s="41">
        <f>IFERROR(ABS(SUMIFS('TRA balance'!AO$5:AO$40,'TRA balance'!$C$5:$C$40,Assumptions!$BB130,'TRA balance'!$D$5:$D$40,Assumptions!$BC130)),"")</f>
        <v>0</v>
      </c>
      <c r="CO130" s="41">
        <f>IFERROR(ABS(SUMIFS('TRA balance'!AP$5:AP$40,'TRA balance'!$C$5:$C$40,Assumptions!$BB130,'TRA balance'!$D$5:$D$40,Assumptions!$BC130)),"")</f>
        <v>0</v>
      </c>
      <c r="CP130" s="41">
        <f>IFERROR(ABS(SUMIFS('TRA balance'!AQ$5:AQ$40,'TRA balance'!$C$5:$C$40,Assumptions!$BB130,'TRA balance'!$D$5:$D$40,Assumptions!$BC130)),"")</f>
        <v>0</v>
      </c>
      <c r="CQ130" s="41">
        <f>IFERROR(ABS(SUMIFS('TRA balance'!AR$5:AR$40,'TRA balance'!$C$5:$C$40,Assumptions!$BB130,'TRA balance'!$D$5:$D$40,Assumptions!$BC130)),"")</f>
        <v>0</v>
      </c>
      <c r="CR130" s="41">
        <f>IFERROR(ABS(SUMIFS('TRA balance'!AS$5:AS$40,'TRA balance'!$C$5:$C$40,Assumptions!$BB130,'TRA balance'!$D$5:$D$40,Assumptions!$BC130)),"")</f>
        <v>0</v>
      </c>
      <c r="CS130" s="41">
        <f>IFERROR(ABS(SUMIFS('TRA balance'!AT$5:AT$40,'TRA balance'!$C$5:$C$40,Assumptions!$BB130,'TRA balance'!$D$5:$D$40,Assumptions!$BC130)),"")</f>
        <v>0</v>
      </c>
      <c r="CT130" s="41">
        <f>IFERROR(ABS(SUMIFS('TRA balance'!AU$5:AU$40,'TRA balance'!$C$5:$C$40,Assumptions!$BB130,'TRA balance'!$D$5:$D$40,Assumptions!$BC130)),"")</f>
        <v>0</v>
      </c>
      <c r="CU130" s="41">
        <f>IFERROR(ABS(SUMIFS('TRA balance'!AV$5:AV$40,'TRA balance'!$C$5:$C$40,Assumptions!$BB130,'TRA balance'!$D$5:$D$40,Assumptions!$BC130)),"")</f>
        <v>0</v>
      </c>
      <c r="CV130" s="41">
        <f>IFERROR(ABS(SUMIFS('TRA balance'!AW$5:AW$40,'TRA balance'!$C$5:$C$40,Assumptions!$BB130,'TRA balance'!$D$5:$D$40,Assumptions!$BC130)),"")</f>
        <v>0</v>
      </c>
      <c r="CW130" s="41">
        <f>IFERROR(ABS(SUMIFS('TRA balance'!AX$5:AX$40,'TRA balance'!$C$5:$C$40,Assumptions!$BB130,'TRA balance'!$D$5:$D$40,Assumptions!$BC130)),"")</f>
        <v>0</v>
      </c>
    </row>
    <row r="131" spans="3:101">
      <c r="C131" t="str">
        <f t="shared" si="151"/>
        <v>ETH</v>
      </c>
      <c r="D131" t="str">
        <f t="shared" si="150"/>
        <v>TRL</v>
      </c>
      <c r="E131" t="s">
        <v>262</v>
      </c>
      <c r="F131" s="3">
        <v>0.14784</v>
      </c>
      <c r="G131" s="3">
        <v>0.17556</v>
      </c>
      <c r="H131" s="3">
        <v>0.16758</v>
      </c>
      <c r="I131" s="3">
        <v>0.16758</v>
      </c>
      <c r="J131" s="3">
        <v>0.16758</v>
      </c>
      <c r="K131" s="3">
        <v>0.16758</v>
      </c>
      <c r="L131" s="3">
        <v>0.16758</v>
      </c>
      <c r="M131" s="3">
        <v>0.16758</v>
      </c>
      <c r="N131" s="3">
        <v>0.16758</v>
      </c>
      <c r="O131" s="3">
        <v>0.16758</v>
      </c>
      <c r="P131" s="3">
        <v>0.16758</v>
      </c>
      <c r="Q131" s="3">
        <v>0.16758</v>
      </c>
      <c r="R131" s="3">
        <v>0.16758</v>
      </c>
      <c r="S131" s="3">
        <v>0.16758</v>
      </c>
      <c r="T131" s="3">
        <v>0.16758</v>
      </c>
      <c r="U131" s="3">
        <v>0.16758</v>
      </c>
      <c r="V131" s="3">
        <v>0.16758</v>
      </c>
      <c r="W131" s="3">
        <v>0.16758</v>
      </c>
      <c r="X131" s="3">
        <v>0.16758</v>
      </c>
      <c r="Y131" s="3">
        <v>0.16758</v>
      </c>
      <c r="Z131" s="3">
        <v>0.16758</v>
      </c>
      <c r="AA131" s="3">
        <v>0.16758</v>
      </c>
      <c r="AB131" s="3">
        <v>0.16758</v>
      </c>
      <c r="AC131" s="3">
        <v>0.16758</v>
      </c>
      <c r="AD131" s="3">
        <v>0.16758</v>
      </c>
      <c r="AE131" s="3">
        <v>0.16758</v>
      </c>
      <c r="AF131" s="3">
        <v>0.16758</v>
      </c>
      <c r="AG131" s="3">
        <v>0.16758</v>
      </c>
      <c r="AH131" s="3">
        <v>0.16758</v>
      </c>
      <c r="AI131" s="3">
        <v>0.16758</v>
      </c>
      <c r="AJ131" s="3">
        <v>0.16758</v>
      </c>
      <c r="AK131" s="3">
        <v>0.16758</v>
      </c>
      <c r="AL131" s="3">
        <v>0.16758</v>
      </c>
      <c r="AM131" s="3">
        <v>0.16758</v>
      </c>
      <c r="AN131" s="3">
        <v>0.16758</v>
      </c>
      <c r="AO131" s="3">
        <v>0.16758</v>
      </c>
      <c r="AP131" s="3">
        <v>0.16758</v>
      </c>
      <c r="AQ131" s="3">
        <v>0.16758</v>
      </c>
      <c r="AR131" s="3">
        <v>0.16758</v>
      </c>
      <c r="AS131" s="3">
        <v>0.16758</v>
      </c>
      <c r="AT131" s="3">
        <v>0.16758</v>
      </c>
      <c r="AU131" s="3">
        <v>0.16758</v>
      </c>
      <c r="AV131" s="3">
        <v>0.16758</v>
      </c>
      <c r="AW131" s="3">
        <v>0.16758</v>
      </c>
      <c r="AX131" s="3">
        <v>0.16758</v>
      </c>
      <c r="AY131" s="3">
        <v>0.16758</v>
      </c>
      <c r="AZ131" s="3">
        <v>0.16758</v>
      </c>
      <c r="BA131" s="3">
        <v>0.16758</v>
      </c>
      <c r="BB131" s="39" t="s">
        <v>41</v>
      </c>
      <c r="BC131" s="39" t="s">
        <v>263</v>
      </c>
      <c r="BD131" s="41">
        <f>IFERROR(ABS(SUMIFS('TRA balance'!E$5:E$40,'TRA balance'!$C$5:$C$40,Assumptions!$BB131,'TRA balance'!$D$5:$D$40,Assumptions!$BC131)),"")</f>
        <v>0</v>
      </c>
      <c r="BE131" s="41">
        <f>IFERROR(ABS(SUMIFS('TRA balance'!F$5:F$40,'TRA balance'!$C$5:$C$40,Assumptions!$BB131,'TRA balance'!$D$5:$D$40,Assumptions!$BC131)),"")</f>
        <v>0</v>
      </c>
      <c r="BF131" s="41">
        <f>IFERROR(ABS(SUMIFS('TRA balance'!G$5:G$40,'TRA balance'!$C$5:$C$40,Assumptions!$BB131,'TRA balance'!$D$5:$D$40,Assumptions!$BC131)),"")</f>
        <v>0</v>
      </c>
      <c r="BG131" s="41">
        <f>IFERROR(ABS(SUMIFS('TRA balance'!H$5:H$40,'TRA balance'!$C$5:$C$40,Assumptions!$BB131,'TRA balance'!$D$5:$D$40,Assumptions!$BC131)),"")</f>
        <v>0</v>
      </c>
      <c r="BH131" s="41">
        <f>IFERROR(ABS(SUMIFS('TRA balance'!I$5:I$40,'TRA balance'!$C$5:$C$40,Assumptions!$BB131,'TRA balance'!$D$5:$D$40,Assumptions!$BC131)),"")</f>
        <v>0</v>
      </c>
      <c r="BI131" s="41">
        <f>IFERROR(ABS(SUMIFS('TRA balance'!J$5:J$40,'TRA balance'!$C$5:$C$40,Assumptions!$BB131,'TRA balance'!$D$5:$D$40,Assumptions!$BC131)),"")</f>
        <v>0</v>
      </c>
      <c r="BJ131" s="41">
        <f>IFERROR(ABS(SUMIFS('TRA balance'!K$5:K$40,'TRA balance'!$C$5:$C$40,Assumptions!$BB131,'TRA balance'!$D$5:$D$40,Assumptions!$BC131)),"")</f>
        <v>0</v>
      </c>
      <c r="BK131" s="41">
        <f>IFERROR(ABS(SUMIFS('TRA balance'!L$5:L$40,'TRA balance'!$C$5:$C$40,Assumptions!$BB131,'TRA balance'!$D$5:$D$40,Assumptions!$BC131)),"")</f>
        <v>0</v>
      </c>
      <c r="BL131" s="41">
        <f>IFERROR(ABS(SUMIFS('TRA balance'!M$5:M$40,'TRA balance'!$C$5:$C$40,Assumptions!$BB131,'TRA balance'!$D$5:$D$40,Assumptions!$BC131)),"")</f>
        <v>0</v>
      </c>
      <c r="BM131" s="41">
        <f>IFERROR(ABS(SUMIFS('TRA balance'!N$5:N$40,'TRA balance'!$C$5:$C$40,Assumptions!$BB131,'TRA balance'!$D$5:$D$40,Assumptions!$BC131)),"")</f>
        <v>0</v>
      </c>
      <c r="BN131" s="41">
        <f>IFERROR(ABS(SUMIFS('TRA balance'!O$5:O$40,'TRA balance'!$C$5:$C$40,Assumptions!$BB131,'TRA balance'!$D$5:$D$40,Assumptions!$BC131)),"")</f>
        <v>0</v>
      </c>
      <c r="BO131" s="41">
        <f>IFERROR(ABS(SUMIFS('TRA balance'!P$5:P$40,'TRA balance'!$C$5:$C$40,Assumptions!$BB131,'TRA balance'!$D$5:$D$40,Assumptions!$BC131)),"")</f>
        <v>0</v>
      </c>
      <c r="BP131" s="41">
        <f>IFERROR(ABS(SUMIFS('TRA balance'!Q$5:Q$40,'TRA balance'!$C$5:$C$40,Assumptions!$BB131,'TRA balance'!$D$5:$D$40,Assumptions!$BC131)),"")</f>
        <v>0</v>
      </c>
      <c r="BQ131" s="41">
        <f>IFERROR(ABS(SUMIFS('TRA balance'!R$5:R$40,'TRA balance'!$C$5:$C$40,Assumptions!$BB131,'TRA balance'!$D$5:$D$40,Assumptions!$BC131)),"")</f>
        <v>0</v>
      </c>
      <c r="BR131" s="41">
        <f>IFERROR(ABS(SUMIFS('TRA balance'!S$5:S$40,'TRA balance'!$C$5:$C$40,Assumptions!$BB131,'TRA balance'!$D$5:$D$40,Assumptions!$BC131)),"")</f>
        <v>0</v>
      </c>
      <c r="BS131" s="41">
        <f>IFERROR(ABS(SUMIFS('TRA balance'!T$5:T$40,'TRA balance'!$C$5:$C$40,Assumptions!$BB131,'TRA balance'!$D$5:$D$40,Assumptions!$BC131)),"")</f>
        <v>0</v>
      </c>
      <c r="BT131" s="41">
        <f>IFERROR(ABS(SUMIFS('TRA balance'!U$5:U$40,'TRA balance'!$C$5:$C$40,Assumptions!$BB131,'TRA balance'!$D$5:$D$40,Assumptions!$BC131)),"")</f>
        <v>0</v>
      </c>
      <c r="BU131" s="41">
        <f>IFERROR(ABS(SUMIFS('TRA balance'!V$5:V$40,'TRA balance'!$C$5:$C$40,Assumptions!$BB131,'TRA balance'!$D$5:$D$40,Assumptions!$BC131)),"")</f>
        <v>0</v>
      </c>
      <c r="BV131" s="41">
        <f>IFERROR(ABS(SUMIFS('TRA balance'!W$5:W$40,'TRA balance'!$C$5:$C$40,Assumptions!$BB131,'TRA balance'!$D$5:$D$40,Assumptions!$BC131)),"")</f>
        <v>0</v>
      </c>
      <c r="BW131" s="41">
        <f>IFERROR(ABS(SUMIFS('TRA balance'!X$5:X$40,'TRA balance'!$C$5:$C$40,Assumptions!$BB131,'TRA balance'!$D$5:$D$40,Assumptions!$BC131)),"")</f>
        <v>0</v>
      </c>
      <c r="BX131" s="41">
        <f>IFERROR(ABS(SUMIFS('TRA balance'!Y$5:Y$40,'TRA balance'!$C$5:$C$40,Assumptions!$BB131,'TRA balance'!$D$5:$D$40,Assumptions!$BC131)),"")</f>
        <v>0</v>
      </c>
      <c r="BY131" s="41">
        <f>IFERROR(ABS(SUMIFS('TRA balance'!Z$5:Z$40,'TRA balance'!$C$5:$C$40,Assumptions!$BB131,'TRA balance'!$D$5:$D$40,Assumptions!$BC131)),"")</f>
        <v>0</v>
      </c>
      <c r="BZ131" s="41">
        <f>IFERROR(ABS(SUMIFS('TRA balance'!AA$5:AA$40,'TRA balance'!$C$5:$C$40,Assumptions!$BB131,'TRA balance'!$D$5:$D$40,Assumptions!$BC131)),"")</f>
        <v>0</v>
      </c>
      <c r="CA131" s="41">
        <f>IFERROR(ABS(SUMIFS('TRA balance'!AB$5:AB$40,'TRA balance'!$C$5:$C$40,Assumptions!$BB131,'TRA balance'!$D$5:$D$40,Assumptions!$BC131)),"")</f>
        <v>0</v>
      </c>
      <c r="CB131" s="41">
        <f>IFERROR(ABS(SUMIFS('TRA balance'!AC$5:AC$40,'TRA balance'!$C$5:$C$40,Assumptions!$BB131,'TRA balance'!$D$5:$D$40,Assumptions!$BC131)),"")</f>
        <v>0</v>
      </c>
      <c r="CC131" s="41">
        <f>IFERROR(ABS(SUMIFS('TRA balance'!AD$5:AD$40,'TRA balance'!$C$5:$C$40,Assumptions!$BB131,'TRA balance'!$D$5:$D$40,Assumptions!$BC131)),"")</f>
        <v>0</v>
      </c>
      <c r="CD131" s="41">
        <f>IFERROR(ABS(SUMIFS('TRA balance'!AE$5:AE$40,'TRA balance'!$C$5:$C$40,Assumptions!$BB131,'TRA balance'!$D$5:$D$40,Assumptions!$BC131)),"")</f>
        <v>0</v>
      </c>
      <c r="CE131" s="41">
        <f>IFERROR(ABS(SUMIFS('TRA balance'!AF$5:AF$40,'TRA balance'!$C$5:$C$40,Assumptions!$BB131,'TRA balance'!$D$5:$D$40,Assumptions!$BC131)),"")</f>
        <v>0</v>
      </c>
      <c r="CF131" s="41">
        <f>IFERROR(ABS(SUMIFS('TRA balance'!AG$5:AG$40,'TRA balance'!$C$5:$C$40,Assumptions!$BB131,'TRA balance'!$D$5:$D$40,Assumptions!$BC131)),"")</f>
        <v>0</v>
      </c>
      <c r="CG131" s="41">
        <f>IFERROR(ABS(SUMIFS('TRA balance'!AH$5:AH$40,'TRA balance'!$C$5:$C$40,Assumptions!$BB131,'TRA balance'!$D$5:$D$40,Assumptions!$BC131)),"")</f>
        <v>0</v>
      </c>
      <c r="CH131" s="41">
        <f>IFERROR(ABS(SUMIFS('TRA balance'!AI$5:AI$40,'TRA balance'!$C$5:$C$40,Assumptions!$BB131,'TRA balance'!$D$5:$D$40,Assumptions!$BC131)),"")</f>
        <v>0</v>
      </c>
      <c r="CI131" s="41">
        <f>IFERROR(ABS(SUMIFS('TRA balance'!AJ$5:AJ$40,'TRA balance'!$C$5:$C$40,Assumptions!$BB131,'TRA balance'!$D$5:$D$40,Assumptions!$BC131)),"")</f>
        <v>0</v>
      </c>
      <c r="CJ131" s="41">
        <f>IFERROR(ABS(SUMIFS('TRA balance'!AK$5:AK$40,'TRA balance'!$C$5:$C$40,Assumptions!$BB131,'TRA balance'!$D$5:$D$40,Assumptions!$BC131)),"")</f>
        <v>0</v>
      </c>
      <c r="CK131" s="41">
        <f>IFERROR(ABS(SUMIFS('TRA balance'!AL$5:AL$40,'TRA balance'!$C$5:$C$40,Assumptions!$BB131,'TRA balance'!$D$5:$D$40,Assumptions!$BC131)),"")</f>
        <v>0</v>
      </c>
      <c r="CL131" s="41">
        <f>IFERROR(ABS(SUMIFS('TRA balance'!AM$5:AM$40,'TRA balance'!$C$5:$C$40,Assumptions!$BB131,'TRA balance'!$D$5:$D$40,Assumptions!$BC131)),"")</f>
        <v>0</v>
      </c>
      <c r="CM131" s="41">
        <f>IFERROR(ABS(SUMIFS('TRA balance'!AN$5:AN$40,'TRA balance'!$C$5:$C$40,Assumptions!$BB131,'TRA balance'!$D$5:$D$40,Assumptions!$BC131)),"")</f>
        <v>0</v>
      </c>
      <c r="CN131" s="41">
        <f>IFERROR(ABS(SUMIFS('TRA balance'!AO$5:AO$40,'TRA balance'!$C$5:$C$40,Assumptions!$BB131,'TRA balance'!$D$5:$D$40,Assumptions!$BC131)),"")</f>
        <v>0</v>
      </c>
      <c r="CO131" s="41">
        <f>IFERROR(ABS(SUMIFS('TRA balance'!AP$5:AP$40,'TRA balance'!$C$5:$C$40,Assumptions!$BB131,'TRA balance'!$D$5:$D$40,Assumptions!$BC131)),"")</f>
        <v>0</v>
      </c>
      <c r="CP131" s="41">
        <f>IFERROR(ABS(SUMIFS('TRA balance'!AQ$5:AQ$40,'TRA balance'!$C$5:$C$40,Assumptions!$BB131,'TRA balance'!$D$5:$D$40,Assumptions!$BC131)),"")</f>
        <v>0</v>
      </c>
      <c r="CQ131" s="41">
        <f>IFERROR(ABS(SUMIFS('TRA balance'!AR$5:AR$40,'TRA balance'!$C$5:$C$40,Assumptions!$BB131,'TRA balance'!$D$5:$D$40,Assumptions!$BC131)),"")</f>
        <v>0</v>
      </c>
      <c r="CR131" s="41">
        <f>IFERROR(ABS(SUMIFS('TRA balance'!AS$5:AS$40,'TRA balance'!$C$5:$C$40,Assumptions!$BB131,'TRA balance'!$D$5:$D$40,Assumptions!$BC131)),"")</f>
        <v>0</v>
      </c>
      <c r="CS131" s="41">
        <f>IFERROR(ABS(SUMIFS('TRA balance'!AT$5:AT$40,'TRA balance'!$C$5:$C$40,Assumptions!$BB131,'TRA balance'!$D$5:$D$40,Assumptions!$BC131)),"")</f>
        <v>0</v>
      </c>
      <c r="CT131" s="41">
        <f>IFERROR(ABS(SUMIFS('TRA balance'!AU$5:AU$40,'TRA balance'!$C$5:$C$40,Assumptions!$BB131,'TRA balance'!$D$5:$D$40,Assumptions!$BC131)),"")</f>
        <v>0</v>
      </c>
      <c r="CU131" s="41">
        <f>IFERROR(ABS(SUMIFS('TRA balance'!AV$5:AV$40,'TRA balance'!$C$5:$C$40,Assumptions!$BB131,'TRA balance'!$D$5:$D$40,Assumptions!$BC131)),"")</f>
        <v>0</v>
      </c>
      <c r="CV131" s="41">
        <f>IFERROR(ABS(SUMIFS('TRA balance'!AW$5:AW$40,'TRA balance'!$C$5:$C$40,Assumptions!$BB131,'TRA balance'!$D$5:$D$40,Assumptions!$BC131)),"")</f>
        <v>0</v>
      </c>
      <c r="CW131" s="41">
        <f>IFERROR(ABS(SUMIFS('TRA balance'!AX$5:AX$40,'TRA balance'!$C$5:$C$40,Assumptions!$BB131,'TRA balance'!$D$5:$D$40,Assumptions!$BC131)),"")</f>
        <v>0</v>
      </c>
    </row>
    <row r="132" spans="3:101">
      <c r="C132" t="str">
        <f t="shared" si="151"/>
        <v>GAS</v>
      </c>
      <c r="D132" t="str">
        <f t="shared" si="150"/>
        <v>TRL</v>
      </c>
      <c r="E132" t="s">
        <v>264</v>
      </c>
      <c r="F132" s="3">
        <v>0.19008</v>
      </c>
      <c r="G132" s="3">
        <v>0.22572</v>
      </c>
      <c r="H132" s="3">
        <v>0.21546</v>
      </c>
      <c r="I132" s="3">
        <v>0.21546</v>
      </c>
      <c r="J132" s="3">
        <v>0.21546</v>
      </c>
      <c r="K132" s="3">
        <v>0.21546</v>
      </c>
      <c r="L132" s="3">
        <v>0.21546</v>
      </c>
      <c r="M132" s="3">
        <v>0.21546</v>
      </c>
      <c r="N132" s="3">
        <v>0.21546</v>
      </c>
      <c r="O132" s="3">
        <v>0.21546</v>
      </c>
      <c r="P132" s="3">
        <v>0.21546</v>
      </c>
      <c r="Q132" s="3">
        <v>0.21546</v>
      </c>
      <c r="R132" s="3">
        <v>0.21546</v>
      </c>
      <c r="S132" s="3">
        <v>0.21546</v>
      </c>
      <c r="T132" s="3">
        <v>0.21546</v>
      </c>
      <c r="U132" s="3">
        <v>0.21546</v>
      </c>
      <c r="V132" s="3">
        <v>0.21546</v>
      </c>
      <c r="W132" s="3">
        <v>0.21546</v>
      </c>
      <c r="X132" s="3">
        <v>0.21546</v>
      </c>
      <c r="Y132" s="3">
        <v>0.21546</v>
      </c>
      <c r="Z132" s="3">
        <v>0.21546</v>
      </c>
      <c r="AA132" s="3">
        <v>0.21546</v>
      </c>
      <c r="AB132" s="3">
        <v>0.21546</v>
      </c>
      <c r="AC132" s="3">
        <v>0.21546</v>
      </c>
      <c r="AD132" s="3">
        <v>0.21546</v>
      </c>
      <c r="AE132" s="3">
        <v>0.21546</v>
      </c>
      <c r="AF132" s="3">
        <v>0.21546</v>
      </c>
      <c r="AG132" s="3">
        <v>0.21546</v>
      </c>
      <c r="AH132" s="3">
        <v>0.21546</v>
      </c>
      <c r="AI132" s="3">
        <v>0.21546</v>
      </c>
      <c r="AJ132" s="3">
        <v>0.21546</v>
      </c>
      <c r="AK132" s="3">
        <v>0.21546</v>
      </c>
      <c r="AL132" s="3">
        <v>0.21546</v>
      </c>
      <c r="AM132" s="3">
        <v>0.21546</v>
      </c>
      <c r="AN132" s="3">
        <v>0.21546</v>
      </c>
      <c r="AO132" s="3">
        <v>0.21546</v>
      </c>
      <c r="AP132" s="3">
        <v>0.21546</v>
      </c>
      <c r="AQ132" s="3">
        <v>0.21546</v>
      </c>
      <c r="AR132" s="3">
        <v>0.21546</v>
      </c>
      <c r="AS132" s="3">
        <v>0.21546</v>
      </c>
      <c r="AT132" s="3">
        <v>0.21546</v>
      </c>
      <c r="AU132" s="3">
        <v>0.21546</v>
      </c>
      <c r="AV132" s="3">
        <v>0.21546</v>
      </c>
      <c r="AW132" s="3">
        <v>0.21546</v>
      </c>
      <c r="AX132" s="3">
        <v>0.21546</v>
      </c>
      <c r="AY132" s="3">
        <v>0.21546</v>
      </c>
      <c r="AZ132" s="3">
        <v>0.21546</v>
      </c>
      <c r="BA132" s="3">
        <v>0.21546</v>
      </c>
      <c r="BB132" s="39" t="s">
        <v>41</v>
      </c>
      <c r="BC132" s="39" t="s">
        <v>50</v>
      </c>
      <c r="BD132" s="41">
        <f>IFERROR(ABS(SUMIFS('TRA balance'!E$5:E$40,'TRA balance'!$C$5:$C$40,Assumptions!$BB132,'TRA balance'!$D$5:$D$40,Assumptions!$BC132)),"")</f>
        <v>0.2772205884</v>
      </c>
      <c r="BE132" s="41">
        <f>IFERROR(ABS(SUMIFS('TRA balance'!F$5:F$40,'TRA balance'!$C$5:$C$40,Assumptions!$BB132,'TRA balance'!$D$5:$D$40,Assumptions!$BC132)),"")</f>
        <v>0</v>
      </c>
      <c r="BF132" s="41">
        <f>IFERROR(ABS(SUMIFS('TRA balance'!G$5:G$40,'TRA balance'!$C$5:$C$40,Assumptions!$BB132,'TRA balance'!$D$5:$D$40,Assumptions!$BC132)),"")</f>
        <v>0</v>
      </c>
      <c r="BG132" s="41">
        <f>IFERROR(ABS(SUMIFS('TRA balance'!H$5:H$40,'TRA balance'!$C$5:$C$40,Assumptions!$BB132,'TRA balance'!$D$5:$D$40,Assumptions!$BC132)),"")</f>
        <v>0</v>
      </c>
      <c r="BH132" s="41">
        <f>IFERROR(ABS(SUMIFS('TRA balance'!I$5:I$40,'TRA balance'!$C$5:$C$40,Assumptions!$BB132,'TRA balance'!$D$5:$D$40,Assumptions!$BC132)),"")</f>
        <v>0</v>
      </c>
      <c r="BI132" s="41">
        <f>IFERROR(ABS(SUMIFS('TRA balance'!J$5:J$40,'TRA balance'!$C$5:$C$40,Assumptions!$BB132,'TRA balance'!$D$5:$D$40,Assumptions!$BC132)),"")</f>
        <v>0.0753791472</v>
      </c>
      <c r="BJ132" s="41">
        <f>IFERROR(ABS(SUMIFS('TRA balance'!K$5:K$40,'TRA balance'!$C$5:$C$40,Assumptions!$BB132,'TRA balance'!$D$5:$D$40,Assumptions!$BC132)),"")</f>
        <v>0</v>
      </c>
      <c r="BK132" s="41">
        <f>IFERROR(ABS(SUMIFS('TRA balance'!L$5:L$40,'TRA balance'!$C$5:$C$40,Assumptions!$BB132,'TRA balance'!$D$5:$D$40,Assumptions!$BC132)),"")</f>
        <v>0</v>
      </c>
      <c r="BL132" s="41">
        <f>IFERROR(ABS(SUMIFS('TRA balance'!M$5:M$40,'TRA balance'!$C$5:$C$40,Assumptions!$BB132,'TRA balance'!$D$5:$D$40,Assumptions!$BC132)),"")</f>
        <v>0</v>
      </c>
      <c r="BM132" s="41">
        <f>IFERROR(ABS(SUMIFS('TRA balance'!N$5:N$40,'TRA balance'!$C$5:$C$40,Assumptions!$BB132,'TRA balance'!$D$5:$D$40,Assumptions!$BC132)),"")</f>
        <v>0</v>
      </c>
      <c r="BN132" s="41">
        <f>IFERROR(ABS(SUMIFS('TRA balance'!O$5:O$40,'TRA balance'!$C$5:$C$40,Assumptions!$BB132,'TRA balance'!$D$5:$D$40,Assumptions!$BC132)),"")</f>
        <v>0</v>
      </c>
      <c r="BO132" s="41">
        <f>IFERROR(ABS(SUMIFS('TRA balance'!P$5:P$40,'TRA balance'!$C$5:$C$40,Assumptions!$BB132,'TRA balance'!$D$5:$D$40,Assumptions!$BC132)),"")</f>
        <v>0</v>
      </c>
      <c r="BP132" s="41">
        <f>IFERROR(ABS(SUMIFS('TRA balance'!Q$5:Q$40,'TRA balance'!$C$5:$C$40,Assumptions!$BB132,'TRA balance'!$D$5:$D$40,Assumptions!$BC132)),"")</f>
        <v>0</v>
      </c>
      <c r="BQ132" s="41">
        <f>IFERROR(ABS(SUMIFS('TRA balance'!R$5:R$40,'TRA balance'!$C$5:$C$40,Assumptions!$BB132,'TRA balance'!$D$5:$D$40,Assumptions!$BC132)),"")</f>
        <v>0.0033159456</v>
      </c>
      <c r="BR132" s="41">
        <f>IFERROR(ABS(SUMIFS('TRA balance'!S$5:S$40,'TRA balance'!$C$5:$C$40,Assumptions!$BB132,'TRA balance'!$D$5:$D$40,Assumptions!$BC132)),"")</f>
        <v>0</v>
      </c>
      <c r="BS132" s="41">
        <f>IFERROR(ABS(SUMIFS('TRA balance'!T$5:T$40,'TRA balance'!$C$5:$C$40,Assumptions!$BB132,'TRA balance'!$D$5:$D$40,Assumptions!$BC132)),"")</f>
        <v>0</v>
      </c>
      <c r="BT132" s="41">
        <f>IFERROR(ABS(SUMIFS('TRA balance'!U$5:U$40,'TRA balance'!$C$5:$C$40,Assumptions!$BB132,'TRA balance'!$D$5:$D$40,Assumptions!$BC132)),"")</f>
        <v>0</v>
      </c>
      <c r="BU132" s="41">
        <f>IFERROR(ABS(SUMIFS('TRA balance'!V$5:V$40,'TRA balance'!$C$5:$C$40,Assumptions!$BB132,'TRA balance'!$D$5:$D$40,Assumptions!$BC132)),"")</f>
        <v>0</v>
      </c>
      <c r="BV132" s="41">
        <f>IFERROR(ABS(SUMIFS('TRA balance'!W$5:W$40,'TRA balance'!$C$5:$C$40,Assumptions!$BB132,'TRA balance'!$D$5:$D$40,Assumptions!$BC132)),"")</f>
        <v>0</v>
      </c>
      <c r="BW132" s="41">
        <f>IFERROR(ABS(SUMIFS('TRA balance'!X$5:X$40,'TRA balance'!$C$5:$C$40,Assumptions!$BB132,'TRA balance'!$D$5:$D$40,Assumptions!$BC132)),"")</f>
        <v>0.2399496948</v>
      </c>
      <c r="BX132" s="41">
        <f>IFERROR(ABS(SUMIFS('TRA balance'!Y$5:Y$40,'TRA balance'!$C$5:$C$40,Assumptions!$BB132,'TRA balance'!$D$5:$D$40,Assumptions!$BC132)),"")</f>
        <v>0</v>
      </c>
      <c r="BY132" s="41">
        <f>IFERROR(ABS(SUMIFS('TRA balance'!Z$5:Z$40,'TRA balance'!$C$5:$C$40,Assumptions!$BB132,'TRA balance'!$D$5:$D$40,Assumptions!$BC132)),"")</f>
        <v>0</v>
      </c>
      <c r="BZ132" s="41">
        <f>IFERROR(ABS(SUMIFS('TRA balance'!AA$5:AA$40,'TRA balance'!$C$5:$C$40,Assumptions!$BB132,'TRA balance'!$D$5:$D$40,Assumptions!$BC132)),"")</f>
        <v>0</v>
      </c>
      <c r="CA132" s="41">
        <f>IFERROR(ABS(SUMIFS('TRA balance'!AB$5:AB$40,'TRA balance'!$C$5:$C$40,Assumptions!$BB132,'TRA balance'!$D$5:$D$40,Assumptions!$BC132)),"")</f>
        <v>0</v>
      </c>
      <c r="CB132" s="41">
        <f>IFERROR(ABS(SUMIFS('TRA balance'!AC$5:AC$40,'TRA balance'!$C$5:$C$40,Assumptions!$BB132,'TRA balance'!$D$5:$D$40,Assumptions!$BC132)),"")</f>
        <v>0.691198812</v>
      </c>
      <c r="CC132" s="41">
        <f>IFERROR(ABS(SUMIFS('TRA balance'!AD$5:AD$40,'TRA balance'!$C$5:$C$40,Assumptions!$BB132,'TRA balance'!$D$5:$D$40,Assumptions!$BC132)),"")</f>
        <v>0</v>
      </c>
      <c r="CD132" s="41">
        <f>IFERROR(ABS(SUMIFS('TRA balance'!AE$5:AE$40,'TRA balance'!$C$5:$C$40,Assumptions!$BB132,'TRA balance'!$D$5:$D$40,Assumptions!$BC132)),"")</f>
        <v>0</v>
      </c>
      <c r="CE132" s="41">
        <f>IFERROR(ABS(SUMIFS('TRA balance'!AF$5:AF$40,'TRA balance'!$C$5:$C$40,Assumptions!$BB132,'TRA balance'!$D$5:$D$40,Assumptions!$BC132)),"")</f>
        <v>0</v>
      </c>
      <c r="CF132" s="41">
        <f>IFERROR(ABS(SUMIFS('TRA balance'!AG$5:AG$40,'TRA balance'!$C$5:$C$40,Assumptions!$BB132,'TRA balance'!$D$5:$D$40,Assumptions!$BC132)),"")</f>
        <v>0</v>
      </c>
      <c r="CG132" s="41">
        <f>IFERROR(ABS(SUMIFS('TRA balance'!AH$5:AH$40,'TRA balance'!$C$5:$C$40,Assumptions!$BB132,'TRA balance'!$D$5:$D$40,Assumptions!$BC132)),"")</f>
        <v>0</v>
      </c>
      <c r="CH132" s="41">
        <f>IFERROR(ABS(SUMIFS('TRA balance'!AI$5:AI$40,'TRA balance'!$C$5:$C$40,Assumptions!$BB132,'TRA balance'!$D$5:$D$40,Assumptions!$BC132)),"")</f>
        <v>0</v>
      </c>
      <c r="CI132" s="41">
        <f>IFERROR(ABS(SUMIFS('TRA balance'!AJ$5:AJ$40,'TRA balance'!$C$5:$C$40,Assumptions!$BB132,'TRA balance'!$D$5:$D$40,Assumptions!$BC132)),"")</f>
        <v>0</v>
      </c>
      <c r="CJ132" s="41">
        <f>IFERROR(ABS(SUMIFS('TRA balance'!AK$5:AK$40,'TRA balance'!$C$5:$C$40,Assumptions!$BB132,'TRA balance'!$D$5:$D$40,Assumptions!$BC132)),"")</f>
        <v>0</v>
      </c>
      <c r="CK132" s="41">
        <f>IFERROR(ABS(SUMIFS('TRA balance'!AL$5:AL$40,'TRA balance'!$C$5:$C$40,Assumptions!$BB132,'TRA balance'!$D$5:$D$40,Assumptions!$BC132)),"")</f>
        <v>0</v>
      </c>
      <c r="CL132" s="41">
        <f>IFERROR(ABS(SUMIFS('TRA balance'!AM$5:AM$40,'TRA balance'!$C$5:$C$40,Assumptions!$BB132,'TRA balance'!$D$5:$D$40,Assumptions!$BC132)),"")</f>
        <v>0</v>
      </c>
      <c r="CM132" s="41">
        <f>IFERROR(ABS(SUMIFS('TRA balance'!AN$5:AN$40,'TRA balance'!$C$5:$C$40,Assumptions!$BB132,'TRA balance'!$D$5:$D$40,Assumptions!$BC132)),"")</f>
        <v>0</v>
      </c>
      <c r="CN132" s="41">
        <f>IFERROR(ABS(SUMIFS('TRA balance'!AO$5:AO$40,'TRA balance'!$C$5:$C$40,Assumptions!$BB132,'TRA balance'!$D$5:$D$40,Assumptions!$BC132)),"")</f>
        <v>0</v>
      </c>
      <c r="CO132" s="41">
        <f>IFERROR(ABS(SUMIFS('TRA balance'!AP$5:AP$40,'TRA balance'!$C$5:$C$40,Assumptions!$BB132,'TRA balance'!$D$5:$D$40,Assumptions!$BC132)),"")</f>
        <v>0</v>
      </c>
      <c r="CP132" s="41">
        <f>IFERROR(ABS(SUMIFS('TRA balance'!AQ$5:AQ$40,'TRA balance'!$C$5:$C$40,Assumptions!$BB132,'TRA balance'!$D$5:$D$40,Assumptions!$BC132)),"")</f>
        <v>0</v>
      </c>
      <c r="CQ132" s="41">
        <f>IFERROR(ABS(SUMIFS('TRA balance'!AR$5:AR$40,'TRA balance'!$C$5:$C$40,Assumptions!$BB132,'TRA balance'!$D$5:$D$40,Assumptions!$BC132)),"")</f>
        <v>0</v>
      </c>
      <c r="CR132" s="41">
        <f>IFERROR(ABS(SUMIFS('TRA balance'!AS$5:AS$40,'TRA balance'!$C$5:$C$40,Assumptions!$BB132,'TRA balance'!$D$5:$D$40,Assumptions!$BC132)),"")</f>
        <v>0</v>
      </c>
      <c r="CS132" s="41">
        <f>IFERROR(ABS(SUMIFS('TRA balance'!AT$5:AT$40,'TRA balance'!$C$5:$C$40,Assumptions!$BB132,'TRA balance'!$D$5:$D$40,Assumptions!$BC132)),"")</f>
        <v>0</v>
      </c>
      <c r="CT132" s="41">
        <f>IFERROR(ABS(SUMIFS('TRA balance'!AU$5:AU$40,'TRA balance'!$C$5:$C$40,Assumptions!$BB132,'TRA balance'!$D$5:$D$40,Assumptions!$BC132)),"")</f>
        <v>0</v>
      </c>
      <c r="CU132" s="41">
        <f>IFERROR(ABS(SUMIFS('TRA balance'!AV$5:AV$40,'TRA balance'!$C$5:$C$40,Assumptions!$BB132,'TRA balance'!$D$5:$D$40,Assumptions!$BC132)),"")</f>
        <v>0</v>
      </c>
      <c r="CV132" s="41">
        <f>IFERROR(ABS(SUMIFS('TRA balance'!AW$5:AW$40,'TRA balance'!$C$5:$C$40,Assumptions!$BB132,'TRA balance'!$D$5:$D$40,Assumptions!$BC132)),"")</f>
        <v>0</v>
      </c>
      <c r="CW132" s="41">
        <f>IFERROR(ABS(SUMIFS('TRA balance'!AX$5:AX$40,'TRA balance'!$C$5:$C$40,Assumptions!$BB132,'TRA balance'!$D$5:$D$40,Assumptions!$BC132)),"")</f>
        <v>0</v>
      </c>
    </row>
    <row r="133" spans="3:101">
      <c r="C133" t="str">
        <f t="shared" si="151"/>
        <v>LPG</v>
      </c>
      <c r="D133" t="str">
        <f t="shared" si="150"/>
        <v>TRL</v>
      </c>
      <c r="E133" t="s">
        <v>265</v>
      </c>
      <c r="F133" s="3">
        <v>0.14784</v>
      </c>
      <c r="G133" s="3">
        <v>0.17556</v>
      </c>
      <c r="H133" s="3">
        <v>0.16758</v>
      </c>
      <c r="I133" s="3">
        <v>0.16758</v>
      </c>
      <c r="J133" s="3">
        <v>0.16758</v>
      </c>
      <c r="K133" s="3">
        <v>0.16758</v>
      </c>
      <c r="L133" s="3">
        <v>0.16758</v>
      </c>
      <c r="M133" s="3">
        <v>0.16758</v>
      </c>
      <c r="N133" s="3">
        <v>0.16758</v>
      </c>
      <c r="O133" s="3">
        <v>0.16758</v>
      </c>
      <c r="P133" s="3">
        <v>0.16758</v>
      </c>
      <c r="Q133" s="3">
        <v>0.16758</v>
      </c>
      <c r="R133" s="3">
        <v>0.16758</v>
      </c>
      <c r="S133" s="3">
        <v>0.16758</v>
      </c>
      <c r="T133" s="3">
        <v>0.16758</v>
      </c>
      <c r="U133" s="3">
        <v>0.16758</v>
      </c>
      <c r="V133" s="3">
        <v>0.16758</v>
      </c>
      <c r="W133" s="3">
        <v>0.16758</v>
      </c>
      <c r="X133" s="3">
        <v>0.16758</v>
      </c>
      <c r="Y133" s="3">
        <v>0.16758</v>
      </c>
      <c r="Z133" s="3">
        <v>0.16758</v>
      </c>
      <c r="AA133" s="3">
        <v>0.16758</v>
      </c>
      <c r="AB133" s="3">
        <v>0.16758</v>
      </c>
      <c r="AC133" s="3">
        <v>0.16758</v>
      </c>
      <c r="AD133" s="3">
        <v>0.16758</v>
      </c>
      <c r="AE133" s="3">
        <v>0.16758</v>
      </c>
      <c r="AF133" s="3">
        <v>0.16758</v>
      </c>
      <c r="AG133" s="3">
        <v>0.16758</v>
      </c>
      <c r="AH133" s="3">
        <v>0.16758</v>
      </c>
      <c r="AI133" s="3">
        <v>0.16758</v>
      </c>
      <c r="AJ133" s="3">
        <v>0.16758</v>
      </c>
      <c r="AK133" s="3">
        <v>0.16758</v>
      </c>
      <c r="AL133" s="3">
        <v>0.16758</v>
      </c>
      <c r="AM133" s="3">
        <v>0.16758</v>
      </c>
      <c r="AN133" s="3">
        <v>0.16758</v>
      </c>
      <c r="AO133" s="3">
        <v>0.16758</v>
      </c>
      <c r="AP133" s="3">
        <v>0.16758</v>
      </c>
      <c r="AQ133" s="3">
        <v>0.16758</v>
      </c>
      <c r="AR133" s="3">
        <v>0.16758</v>
      </c>
      <c r="AS133" s="3">
        <v>0.16758</v>
      </c>
      <c r="AT133" s="3">
        <v>0.16758</v>
      </c>
      <c r="AU133" s="3">
        <v>0.16758</v>
      </c>
      <c r="AV133" s="3">
        <v>0.16758</v>
      </c>
      <c r="AW133" s="3">
        <v>0.16758</v>
      </c>
      <c r="AX133" s="3">
        <v>0.16758</v>
      </c>
      <c r="AY133" s="3">
        <v>0.16758</v>
      </c>
      <c r="AZ133" s="3">
        <v>0.16758</v>
      </c>
      <c r="BA133" s="3">
        <v>0.16758</v>
      </c>
      <c r="BB133" s="39" t="s">
        <v>41</v>
      </c>
      <c r="BC133" s="39" t="s">
        <v>54</v>
      </c>
      <c r="BD133" s="41">
        <f>IFERROR(ABS(SUMIFS('TRA balance'!E$5:E$40,'TRA balance'!$C$5:$C$40,Assumptions!$BB133,'TRA balance'!$D$5:$D$40,Assumptions!$BC133)),"")</f>
        <v>2.5678104948</v>
      </c>
      <c r="BE133" s="41">
        <f>IFERROR(ABS(SUMIFS('TRA balance'!F$5:F$40,'TRA balance'!$C$5:$C$40,Assumptions!$BB133,'TRA balance'!$D$5:$D$40,Assumptions!$BC133)),"")</f>
        <v>2.118478932</v>
      </c>
      <c r="BF133" s="41">
        <f>IFERROR(ABS(SUMIFS('TRA balance'!G$5:G$40,'TRA balance'!$C$5:$C$40,Assumptions!$BB133,'TRA balance'!$D$5:$D$40,Assumptions!$BC133)),"")</f>
        <v>0</v>
      </c>
      <c r="BG133" s="41">
        <f>IFERROR(ABS(SUMIFS('TRA balance'!H$5:H$40,'TRA balance'!$C$5:$C$40,Assumptions!$BB133,'TRA balance'!$D$5:$D$40,Assumptions!$BC133)),"")</f>
        <v>0.6179423724</v>
      </c>
      <c r="BH133" s="41">
        <f>IFERROR(ABS(SUMIFS('TRA balance'!I$5:I$40,'TRA balance'!$C$5:$C$40,Assumptions!$BB133,'TRA balance'!$D$5:$D$40,Assumptions!$BC133)),"")</f>
        <v>2.251409832</v>
      </c>
      <c r="BI133" s="41">
        <f>IFERROR(ABS(SUMIFS('TRA balance'!J$5:J$40,'TRA balance'!$C$5:$C$40,Assumptions!$BB133,'TRA balance'!$D$5:$D$40,Assumptions!$BC133)),"")</f>
        <v>5.7442561056</v>
      </c>
      <c r="BJ133" s="41">
        <f>IFERROR(ABS(SUMIFS('TRA balance'!K$5:K$40,'TRA balance'!$C$5:$C$40,Assumptions!$BB133,'TRA balance'!$D$5:$D$40,Assumptions!$BC133)),"")</f>
        <v>0</v>
      </c>
      <c r="BK133" s="41">
        <f>IFERROR(ABS(SUMIFS('TRA balance'!L$5:L$40,'TRA balance'!$C$5:$C$40,Assumptions!$BB133,'TRA balance'!$D$5:$D$40,Assumptions!$BC133)),"")</f>
        <v>99.0935550252</v>
      </c>
      <c r="BL133" s="41">
        <f>IFERROR(ABS(SUMIFS('TRA balance'!M$5:M$40,'TRA balance'!$C$5:$C$40,Assumptions!$BB133,'TRA balance'!$D$5:$D$40,Assumptions!$BC133)),"")</f>
        <v>0.7771998708</v>
      </c>
      <c r="BM133" s="41">
        <f>IFERROR(ABS(SUMIFS('TRA balance'!N$5:N$40,'TRA balance'!$C$5:$C$40,Assumptions!$BB133,'TRA balance'!$D$5:$D$40,Assumptions!$BC133)),"")</f>
        <v>8.4419997516</v>
      </c>
      <c r="BN133" s="41">
        <f>IFERROR(ABS(SUMIFS('TRA balance'!O$5:O$40,'TRA balance'!$C$5:$C$40,Assumptions!$BB133,'TRA balance'!$D$5:$D$40,Assumptions!$BC133)),"")</f>
        <v>12.396298374</v>
      </c>
      <c r="BO133" s="41">
        <f>IFERROR(ABS(SUMIFS('TRA balance'!P$5:P$40,'TRA balance'!$C$5:$C$40,Assumptions!$BB133,'TRA balance'!$D$5:$D$40,Assumptions!$BC133)),"")</f>
        <v>13.18800132</v>
      </c>
      <c r="BP133" s="41">
        <f>IFERROR(ABS(SUMIFS('TRA balance'!Q$5:Q$40,'TRA balance'!$C$5:$C$40,Assumptions!$BB133,'TRA balance'!$D$5:$D$40,Assumptions!$BC133)),"")</f>
        <v>0.845252118</v>
      </c>
      <c r="BQ133" s="41">
        <f>IFERROR(ABS(SUMIFS('TRA balance'!R$5:R$40,'TRA balance'!$C$5:$C$40,Assumptions!$BB133,'TRA balance'!$D$5:$D$40,Assumptions!$BC133)),"")</f>
        <v>5.9773855032</v>
      </c>
      <c r="BR133" s="41">
        <f>IFERROR(ABS(SUMIFS('TRA balance'!S$5:S$40,'TRA balance'!$C$5:$C$40,Assumptions!$BB133,'TRA balance'!$D$5:$D$40,Assumptions!$BC133)),"")</f>
        <v>0.1489830912</v>
      </c>
      <c r="BS133" s="41">
        <f>IFERROR(ABS(SUMIFS('TRA balance'!T$5:T$40,'TRA balance'!$C$5:$C$40,Assumptions!$BB133,'TRA balance'!$D$5:$D$40,Assumptions!$BC133)),"")</f>
        <v>0</v>
      </c>
      <c r="BT133" s="41">
        <f>IFERROR(ABS(SUMIFS('TRA balance'!U$5:U$40,'TRA balance'!$C$5:$C$40,Assumptions!$BB133,'TRA balance'!$D$5:$D$40,Assumptions!$BC133)),"")</f>
        <v>1.2904513092</v>
      </c>
      <c r="BU133" s="41">
        <f>IFERROR(ABS(SUMIFS('TRA balance'!V$5:V$40,'TRA balance'!$C$5:$C$40,Assumptions!$BB133,'TRA balance'!$D$5:$D$40,Assumptions!$BC133)),"")</f>
        <v>9.231600924</v>
      </c>
      <c r="BV133" s="41">
        <f>IFERROR(ABS(SUMIFS('TRA balance'!W$5:W$40,'TRA balance'!$C$5:$C$40,Assumptions!$BB133,'TRA balance'!$D$5:$D$40,Assumptions!$BC133)),"")</f>
        <v>56.6852275512</v>
      </c>
      <c r="BW133" s="41">
        <f>IFERROR(ABS(SUMIFS('TRA balance'!X$5:X$40,'TRA balance'!$C$5:$C$40,Assumptions!$BB133,'TRA balance'!$D$5:$D$40,Assumptions!$BC133)),"")</f>
        <v>2.2883667156</v>
      </c>
      <c r="BX133" s="41">
        <f>IFERROR(ABS(SUMIFS('TRA balance'!Y$5:Y$40,'TRA balance'!$C$5:$C$40,Assumptions!$BB133,'TRA balance'!$D$5:$D$40,Assumptions!$BC133)),"")</f>
        <v>8.2227202884</v>
      </c>
      <c r="BY133" s="41">
        <f>IFERROR(ABS(SUMIFS('TRA balance'!Z$5:Z$40,'TRA balance'!$C$5:$C$40,Assumptions!$BB133,'TRA balance'!$D$5:$D$40,Assumptions!$BC133)),"")</f>
        <v>126.7059950676</v>
      </c>
      <c r="BZ133" s="41">
        <f>IFERROR(ABS(SUMIFS('TRA balance'!AA$5:AA$40,'TRA balance'!$C$5:$C$40,Assumptions!$BB133,'TRA balance'!$D$5:$D$40,Assumptions!$BC133)),"")</f>
        <v>1.8940329576</v>
      </c>
      <c r="CA133" s="41">
        <f>IFERROR(ABS(SUMIFS('TRA balance'!AB$5:AB$40,'TRA balance'!$C$5:$C$40,Assumptions!$BB133,'TRA balance'!$D$5:$D$40,Assumptions!$BC133)),"")</f>
        <v>16.8218548308</v>
      </c>
      <c r="CB133" s="41">
        <f>IFERROR(ABS(SUMIFS('TRA balance'!AC$5:AC$40,'TRA balance'!$C$5:$C$40,Assumptions!$BB133,'TRA balance'!$D$5:$D$40,Assumptions!$BC133)),"")</f>
        <v>41.8178672568</v>
      </c>
      <c r="CC133" s="41">
        <f>IFERROR(ABS(SUMIFS('TRA balance'!AD$5:AD$40,'TRA balance'!$C$5:$C$40,Assumptions!$BB133,'TRA balance'!$D$5:$D$40,Assumptions!$BC133)),"")</f>
        <v>0</v>
      </c>
      <c r="CD133" s="41">
        <f>IFERROR(ABS(SUMIFS('TRA balance'!AE$5:AE$40,'TRA balance'!$C$5:$C$40,Assumptions!$BB133,'TRA balance'!$D$5:$D$40,Assumptions!$BC133)),"")</f>
        <v>0</v>
      </c>
      <c r="CE133" s="41">
        <f>IFERROR(ABS(SUMIFS('TRA balance'!AF$5:AF$40,'TRA balance'!$C$5:$C$40,Assumptions!$BB133,'TRA balance'!$D$5:$D$40,Assumptions!$BC133)),"")</f>
        <v>6.0861250728</v>
      </c>
      <c r="CF133" s="41">
        <f>IFERROR(ABS(SUMIFS('TRA balance'!AG$5:AG$40,'TRA balance'!$C$5:$C$40,Assumptions!$BB133,'TRA balance'!$D$5:$D$40,Assumptions!$BC133)),"")</f>
        <v>10.9913590188</v>
      </c>
      <c r="CG133" s="41">
        <f>IFERROR(ABS(SUMIFS('TRA balance'!AH$5:AH$40,'TRA balance'!$C$5:$C$40,Assumptions!$BB133,'TRA balance'!$D$5:$D$40,Assumptions!$BC133)),"")</f>
        <v>1.7354411604</v>
      </c>
      <c r="CH133" s="41">
        <f>IFERROR(ABS(SUMIFS('TRA balance'!AI$5:AI$40,'TRA balance'!$C$5:$C$40,Assumptions!$BB133,'TRA balance'!$D$5:$D$40,Assumptions!$BC133)),"")</f>
        <v>1.2379069692</v>
      </c>
      <c r="CI133" s="41">
        <f>IFERROR(ABS(SUMIFS('TRA balance'!AJ$5:AJ$40,'TRA balance'!$C$5:$C$40,Assumptions!$BB133,'TRA balance'!$D$5:$D$40,Assumptions!$BC133)),"")</f>
        <v>7.5179981124</v>
      </c>
      <c r="CJ133" s="41">
        <f>IFERROR(ABS(SUMIFS('TRA balance'!AK$5:AK$40,'TRA balance'!$C$5:$C$40,Assumptions!$BB133,'TRA balance'!$D$5:$D$40,Assumptions!$BC133)),"")</f>
        <v>5.717870892</v>
      </c>
      <c r="CK133" s="41">
        <f>IFERROR(ABS(SUMIFS('TRA balance'!AL$5:AL$40,'TRA balance'!$C$5:$C$40,Assumptions!$BB133,'TRA balance'!$D$5:$D$40,Assumptions!$BC133)),"")</f>
        <v>2.0426643576</v>
      </c>
      <c r="CL133" s="41">
        <f>IFERROR(ABS(SUMIFS('TRA balance'!AM$5:AM$40,'TRA balance'!$C$5:$C$40,Assumptions!$BB133,'TRA balance'!$D$5:$D$40,Assumptions!$BC133)),"")</f>
        <v>1.3844156616</v>
      </c>
      <c r="CM133" s="41">
        <f>IFERROR(ABS(SUMIFS('TRA balance'!AN$5:AN$40,'TRA balance'!$C$5:$C$40,Assumptions!$BB133,'TRA balance'!$D$5:$D$40,Assumptions!$BC133)),"")</f>
        <v>0</v>
      </c>
      <c r="CN133" s="41">
        <f>IFERROR(ABS(SUMIFS('TRA balance'!AO$5:AO$40,'TRA balance'!$C$5:$C$40,Assumptions!$BB133,'TRA balance'!$D$5:$D$40,Assumptions!$BC133)),"")</f>
        <v>0</v>
      </c>
      <c r="CO133" s="41">
        <f>IFERROR(ABS(SUMIFS('TRA balance'!AP$5:AP$40,'TRA balance'!$C$5:$C$40,Assumptions!$BB133,'TRA balance'!$D$5:$D$40,Assumptions!$BC133)),"")</f>
        <v>0</v>
      </c>
      <c r="CP133" s="41">
        <f>IFERROR(ABS(SUMIFS('TRA balance'!AQ$5:AQ$40,'TRA balance'!$C$5:$C$40,Assumptions!$BB133,'TRA balance'!$D$5:$D$40,Assumptions!$BC133)),"")</f>
        <v>0</v>
      </c>
      <c r="CQ133" s="41">
        <f>IFERROR(ABS(SUMIFS('TRA balance'!AR$5:AR$40,'TRA balance'!$C$5:$C$40,Assumptions!$BB133,'TRA balance'!$D$5:$D$40,Assumptions!$BC133)),"")</f>
        <v>0</v>
      </c>
      <c r="CR133" s="41">
        <f>IFERROR(ABS(SUMIFS('TRA balance'!AS$5:AS$40,'TRA balance'!$C$5:$C$40,Assumptions!$BB133,'TRA balance'!$D$5:$D$40,Assumptions!$BC133)),"")</f>
        <v>0</v>
      </c>
      <c r="CS133" s="41">
        <f>IFERROR(ABS(SUMIFS('TRA balance'!AT$5:AT$40,'TRA balance'!$C$5:$C$40,Assumptions!$BB133,'TRA balance'!$D$5:$D$40,Assumptions!$BC133)),"")</f>
        <v>0</v>
      </c>
      <c r="CT133" s="41">
        <f>IFERROR(ABS(SUMIFS('TRA balance'!AU$5:AU$40,'TRA balance'!$C$5:$C$40,Assumptions!$BB133,'TRA balance'!$D$5:$D$40,Assumptions!$BC133)),"")</f>
        <v>0</v>
      </c>
      <c r="CU133" s="41">
        <f>IFERROR(ABS(SUMIFS('TRA balance'!AV$5:AV$40,'TRA balance'!$C$5:$C$40,Assumptions!$BB133,'TRA balance'!$D$5:$D$40,Assumptions!$BC133)),"")</f>
        <v>0</v>
      </c>
      <c r="CV133" s="41">
        <f>IFERROR(ABS(SUMIFS('TRA balance'!AW$5:AW$40,'TRA balance'!$C$5:$C$40,Assumptions!$BB133,'TRA balance'!$D$5:$D$40,Assumptions!$BC133)),"")</f>
        <v>0</v>
      </c>
      <c r="CW133" s="41">
        <f>IFERROR(ABS(SUMIFS('TRA balance'!AX$5:AX$40,'TRA balance'!$C$5:$C$40,Assumptions!$BB133,'TRA balance'!$D$5:$D$40,Assumptions!$BC133)),"")</f>
        <v>0</v>
      </c>
    </row>
    <row r="134" spans="3:101">
      <c r="C134" t="str">
        <f t="shared" si="151"/>
        <v>MET</v>
      </c>
      <c r="D134" t="str">
        <f t="shared" si="150"/>
        <v>TRL</v>
      </c>
      <c r="E134" t="s">
        <v>266</v>
      </c>
      <c r="F134" s="3">
        <v>0.14784</v>
      </c>
      <c r="G134" s="3">
        <v>0.17556</v>
      </c>
      <c r="H134" s="3">
        <v>0.16758</v>
      </c>
      <c r="I134" s="3">
        <v>0.16758</v>
      </c>
      <c r="J134" s="3">
        <v>0.16758</v>
      </c>
      <c r="K134" s="3">
        <v>0.16758</v>
      </c>
      <c r="L134" s="3">
        <v>0.16758</v>
      </c>
      <c r="M134" s="3">
        <v>0.16758</v>
      </c>
      <c r="N134" s="3">
        <v>0.16758</v>
      </c>
      <c r="O134" s="3">
        <v>0.16758</v>
      </c>
      <c r="P134" s="3">
        <v>0.16758</v>
      </c>
      <c r="Q134" s="3">
        <v>0.16758</v>
      </c>
      <c r="R134" s="3">
        <v>0.16758</v>
      </c>
      <c r="S134" s="3">
        <v>0.16758</v>
      </c>
      <c r="T134" s="3">
        <v>0.16758</v>
      </c>
      <c r="U134" s="3">
        <v>0.16758</v>
      </c>
      <c r="V134" s="3">
        <v>0.16758</v>
      </c>
      <c r="W134" s="3">
        <v>0.16758</v>
      </c>
      <c r="X134" s="3">
        <v>0.16758</v>
      </c>
      <c r="Y134" s="3">
        <v>0.16758</v>
      </c>
      <c r="Z134" s="3">
        <v>0.16758</v>
      </c>
      <c r="AA134" s="3">
        <v>0.16758</v>
      </c>
      <c r="AB134" s="3">
        <v>0.16758</v>
      </c>
      <c r="AC134" s="3">
        <v>0.16758</v>
      </c>
      <c r="AD134" s="3">
        <v>0.16758</v>
      </c>
      <c r="AE134" s="3">
        <v>0.16758</v>
      </c>
      <c r="AF134" s="3">
        <v>0.16758</v>
      </c>
      <c r="AG134" s="3">
        <v>0.16758</v>
      </c>
      <c r="AH134" s="3">
        <v>0.16758</v>
      </c>
      <c r="AI134" s="3">
        <v>0.16758</v>
      </c>
      <c r="AJ134" s="3">
        <v>0.16758</v>
      </c>
      <c r="AK134" s="3">
        <v>0.16758</v>
      </c>
      <c r="AL134" s="3">
        <v>0.16758</v>
      </c>
      <c r="AM134" s="3">
        <v>0.16758</v>
      </c>
      <c r="AN134" s="3">
        <v>0.16758</v>
      </c>
      <c r="AO134" s="3">
        <v>0.16758</v>
      </c>
      <c r="AP134" s="3">
        <v>0.16758</v>
      </c>
      <c r="AQ134" s="3">
        <v>0.16758</v>
      </c>
      <c r="AR134" s="3">
        <v>0.16758</v>
      </c>
      <c r="AS134" s="3">
        <v>0.16758</v>
      </c>
      <c r="AT134" s="3">
        <v>0.16758</v>
      </c>
      <c r="AU134" s="3">
        <v>0.16758</v>
      </c>
      <c r="AV134" s="3">
        <v>0.16758</v>
      </c>
      <c r="AW134" s="3">
        <v>0.16758</v>
      </c>
      <c r="AX134" s="3">
        <v>0.16758</v>
      </c>
      <c r="AY134" s="3">
        <v>0.16758</v>
      </c>
      <c r="AZ134" s="3">
        <v>0.16758</v>
      </c>
      <c r="BA134" s="3">
        <v>0.16758</v>
      </c>
      <c r="BB134" s="39" t="s">
        <v>41</v>
      </c>
      <c r="BC134" s="39" t="s">
        <v>58</v>
      </c>
      <c r="BD134" s="41">
        <f>IFERROR(ABS(SUMIFS('TRA balance'!E$5:E$40,'TRA balance'!$C$5:$C$40,Assumptions!$BB134,'TRA balance'!$D$5:$D$40,Assumptions!$BC134)),"")</f>
        <v>0</v>
      </c>
      <c r="BE134" s="41">
        <f>IFERROR(ABS(SUMIFS('TRA balance'!F$5:F$40,'TRA balance'!$C$5:$C$40,Assumptions!$BB134,'TRA balance'!$D$5:$D$40,Assumptions!$BC134)),"")</f>
        <v>0.1432471752</v>
      </c>
      <c r="BF134" s="41">
        <f>IFERROR(ABS(SUMIFS('TRA balance'!G$5:G$40,'TRA balance'!$C$5:$C$40,Assumptions!$BB134,'TRA balance'!$D$5:$D$40,Assumptions!$BC134)),"")</f>
        <v>0</v>
      </c>
      <c r="BG134" s="41">
        <f>IFERROR(ABS(SUMIFS('TRA balance'!H$5:H$40,'TRA balance'!$C$5:$C$40,Assumptions!$BB134,'TRA balance'!$D$5:$D$40,Assumptions!$BC134)),"")</f>
        <v>0</v>
      </c>
      <c r="BH134" s="41">
        <f>IFERROR(ABS(SUMIFS('TRA balance'!I$5:I$40,'TRA balance'!$C$5:$C$40,Assumptions!$BB134,'TRA balance'!$D$5:$D$40,Assumptions!$BC134)),"")</f>
        <v>0</v>
      </c>
      <c r="BI134" s="41">
        <f>IFERROR(ABS(SUMIFS('TRA balance'!J$5:J$40,'TRA balance'!$C$5:$C$40,Assumptions!$BB134,'TRA balance'!$D$5:$D$40,Assumptions!$BC134)),"")</f>
        <v>0</v>
      </c>
      <c r="BJ134" s="41">
        <f>IFERROR(ABS(SUMIFS('TRA balance'!K$5:K$40,'TRA balance'!$C$5:$C$40,Assumptions!$BB134,'TRA balance'!$D$5:$D$40,Assumptions!$BC134)),"")</f>
        <v>0</v>
      </c>
      <c r="BK134" s="41">
        <f>IFERROR(ABS(SUMIFS('TRA balance'!L$5:L$40,'TRA balance'!$C$5:$C$40,Assumptions!$BB134,'TRA balance'!$D$5:$D$40,Assumptions!$BC134)),"")</f>
        <v>0</v>
      </c>
      <c r="BL134" s="41">
        <f>IFERROR(ABS(SUMIFS('TRA balance'!M$5:M$40,'TRA balance'!$C$5:$C$40,Assumptions!$BB134,'TRA balance'!$D$5:$D$40,Assumptions!$BC134)),"")</f>
        <v>0</v>
      </c>
      <c r="BM134" s="41">
        <f>IFERROR(ABS(SUMIFS('TRA balance'!N$5:N$40,'TRA balance'!$C$5:$C$40,Assumptions!$BB134,'TRA balance'!$D$5:$D$40,Assumptions!$BC134)),"")</f>
        <v>0</v>
      </c>
      <c r="BN134" s="41">
        <f>IFERROR(ABS(SUMIFS('TRA balance'!O$5:O$40,'TRA balance'!$C$5:$C$40,Assumptions!$BB134,'TRA balance'!$D$5:$D$40,Assumptions!$BC134)),"")</f>
        <v>0</v>
      </c>
      <c r="BO134" s="41">
        <f>IFERROR(ABS(SUMIFS('TRA balance'!P$5:P$40,'TRA balance'!$C$5:$C$40,Assumptions!$BB134,'TRA balance'!$D$5:$D$40,Assumptions!$BC134)),"")</f>
        <v>0</v>
      </c>
      <c r="BP134" s="41">
        <f>IFERROR(ABS(SUMIFS('TRA balance'!Q$5:Q$40,'TRA balance'!$C$5:$C$40,Assumptions!$BB134,'TRA balance'!$D$5:$D$40,Assumptions!$BC134)),"")</f>
        <v>0</v>
      </c>
      <c r="BQ134" s="41">
        <f>IFERROR(ABS(SUMIFS('TRA balance'!R$5:R$40,'TRA balance'!$C$5:$C$40,Assumptions!$BB134,'TRA balance'!$D$5:$D$40,Assumptions!$BC134)),"")</f>
        <v>0</v>
      </c>
      <c r="BR134" s="41">
        <f>IFERROR(ABS(SUMIFS('TRA balance'!S$5:S$40,'TRA balance'!$C$5:$C$40,Assumptions!$BB134,'TRA balance'!$D$5:$D$40,Assumptions!$BC134)),"")</f>
        <v>0</v>
      </c>
      <c r="BS134" s="41">
        <f>IFERROR(ABS(SUMIFS('TRA balance'!T$5:T$40,'TRA balance'!$C$5:$C$40,Assumptions!$BB134,'TRA balance'!$D$5:$D$40,Assumptions!$BC134)),"")</f>
        <v>0</v>
      </c>
      <c r="BT134" s="41">
        <f>IFERROR(ABS(SUMIFS('TRA balance'!U$5:U$40,'TRA balance'!$C$5:$C$40,Assumptions!$BB134,'TRA balance'!$D$5:$D$40,Assumptions!$BC134)),"")</f>
        <v>0</v>
      </c>
      <c r="BU134" s="41">
        <f>IFERROR(ABS(SUMIFS('TRA balance'!V$5:V$40,'TRA balance'!$C$5:$C$40,Assumptions!$BB134,'TRA balance'!$D$5:$D$40,Assumptions!$BC134)),"")</f>
        <v>0</v>
      </c>
      <c r="BV134" s="41">
        <f>IFERROR(ABS(SUMIFS('TRA balance'!W$5:W$40,'TRA balance'!$C$5:$C$40,Assumptions!$BB134,'TRA balance'!$D$5:$D$40,Assumptions!$BC134)),"")</f>
        <v>0</v>
      </c>
      <c r="BW134" s="41">
        <f>IFERROR(ABS(SUMIFS('TRA balance'!X$5:X$40,'TRA balance'!$C$5:$C$40,Assumptions!$BB134,'TRA balance'!$D$5:$D$40,Assumptions!$BC134)),"")</f>
        <v>0</v>
      </c>
      <c r="BX134" s="41">
        <f>IFERROR(ABS(SUMIFS('TRA balance'!Y$5:Y$40,'TRA balance'!$C$5:$C$40,Assumptions!$BB134,'TRA balance'!$D$5:$D$40,Assumptions!$BC134)),"")</f>
        <v>0</v>
      </c>
      <c r="BY134" s="41">
        <f>IFERROR(ABS(SUMIFS('TRA balance'!Z$5:Z$40,'TRA balance'!$C$5:$C$40,Assumptions!$BB134,'TRA balance'!$D$5:$D$40,Assumptions!$BC134)),"")</f>
        <v>261.4400032896</v>
      </c>
      <c r="BZ134" s="41">
        <f>IFERROR(ABS(SUMIFS('TRA balance'!AA$5:AA$40,'TRA balance'!$C$5:$C$40,Assumptions!$BB134,'TRA balance'!$D$5:$D$40,Assumptions!$BC134)),"")</f>
        <v>0</v>
      </c>
      <c r="CA134" s="41">
        <f>IFERROR(ABS(SUMIFS('TRA balance'!AB$5:AB$40,'TRA balance'!$C$5:$C$40,Assumptions!$BB134,'TRA balance'!$D$5:$D$40,Assumptions!$BC134)),"")</f>
        <v>0</v>
      </c>
      <c r="CB134" s="41">
        <f>IFERROR(ABS(SUMIFS('TRA balance'!AC$5:AC$40,'TRA balance'!$C$5:$C$40,Assumptions!$BB134,'TRA balance'!$D$5:$D$40,Assumptions!$BC134)),"")</f>
        <v>3.0110795712</v>
      </c>
      <c r="CC134" s="41">
        <f>IFERROR(ABS(SUMIFS('TRA balance'!AD$5:AD$40,'TRA balance'!$C$5:$C$40,Assumptions!$BB134,'TRA balance'!$D$5:$D$40,Assumptions!$BC134)),"")</f>
        <v>0</v>
      </c>
      <c r="CD134" s="41">
        <f>IFERROR(ABS(SUMIFS('TRA balance'!AE$5:AE$40,'TRA balance'!$C$5:$C$40,Assumptions!$BB134,'TRA balance'!$D$5:$D$40,Assumptions!$BC134)),"")</f>
        <v>0</v>
      </c>
      <c r="CE134" s="41">
        <f>IFERROR(ABS(SUMIFS('TRA balance'!AF$5:AF$40,'TRA balance'!$C$5:$C$40,Assumptions!$BB134,'TRA balance'!$D$5:$D$40,Assumptions!$BC134)),"")</f>
        <v>0</v>
      </c>
      <c r="CF134" s="41">
        <f>IFERROR(ABS(SUMIFS('TRA balance'!AG$5:AG$40,'TRA balance'!$C$5:$C$40,Assumptions!$BB134,'TRA balance'!$D$5:$D$40,Assumptions!$BC134)),"")</f>
        <v>0</v>
      </c>
      <c r="CG134" s="41">
        <f>IFERROR(ABS(SUMIFS('TRA balance'!AH$5:AH$40,'TRA balance'!$C$5:$C$40,Assumptions!$BB134,'TRA balance'!$D$5:$D$40,Assumptions!$BC134)),"")</f>
        <v>0</v>
      </c>
      <c r="CH134" s="41">
        <f>IFERROR(ABS(SUMIFS('TRA balance'!AI$5:AI$40,'TRA balance'!$C$5:$C$40,Assumptions!$BB134,'TRA balance'!$D$5:$D$40,Assumptions!$BC134)),"")</f>
        <v>0</v>
      </c>
      <c r="CI134" s="41">
        <f>IFERROR(ABS(SUMIFS('TRA balance'!AJ$5:AJ$40,'TRA balance'!$C$5:$C$40,Assumptions!$BB134,'TRA balance'!$D$5:$D$40,Assumptions!$BC134)),"")</f>
        <v>0</v>
      </c>
      <c r="CJ134" s="41">
        <f>IFERROR(ABS(SUMIFS('TRA balance'!AK$5:AK$40,'TRA balance'!$C$5:$C$40,Assumptions!$BB134,'TRA balance'!$D$5:$D$40,Assumptions!$BC134)),"")</f>
        <v>0</v>
      </c>
      <c r="CK134" s="41">
        <f>IFERROR(ABS(SUMIFS('TRA balance'!AL$5:AL$40,'TRA balance'!$C$5:$C$40,Assumptions!$BB134,'TRA balance'!$D$5:$D$40,Assumptions!$BC134)),"")</f>
        <v>0.0359981064</v>
      </c>
      <c r="CL134" s="41">
        <f>IFERROR(ABS(SUMIFS('TRA balance'!AM$5:AM$40,'TRA balance'!$C$5:$C$40,Assumptions!$BB134,'TRA balance'!$D$5:$D$40,Assumptions!$BC134)),"")</f>
        <v>0</v>
      </c>
      <c r="CM134" s="41">
        <f>IFERROR(ABS(SUMIFS('TRA balance'!AN$5:AN$40,'TRA balance'!$C$5:$C$40,Assumptions!$BB134,'TRA balance'!$D$5:$D$40,Assumptions!$BC134)),"")</f>
        <v>0</v>
      </c>
      <c r="CN134" s="41">
        <f>IFERROR(ABS(SUMIFS('TRA balance'!AO$5:AO$40,'TRA balance'!$C$5:$C$40,Assumptions!$BB134,'TRA balance'!$D$5:$D$40,Assumptions!$BC134)),"")</f>
        <v>0</v>
      </c>
      <c r="CO134" s="41">
        <f>IFERROR(ABS(SUMIFS('TRA balance'!AP$5:AP$40,'TRA balance'!$C$5:$C$40,Assumptions!$BB134,'TRA balance'!$D$5:$D$40,Assumptions!$BC134)),"")</f>
        <v>0</v>
      </c>
      <c r="CP134" s="41">
        <f>IFERROR(ABS(SUMIFS('TRA balance'!AQ$5:AQ$40,'TRA balance'!$C$5:$C$40,Assumptions!$BB134,'TRA balance'!$D$5:$D$40,Assumptions!$BC134)),"")</f>
        <v>0</v>
      </c>
      <c r="CQ134" s="41">
        <f>IFERROR(ABS(SUMIFS('TRA balance'!AR$5:AR$40,'TRA balance'!$C$5:$C$40,Assumptions!$BB134,'TRA balance'!$D$5:$D$40,Assumptions!$BC134)),"")</f>
        <v>0</v>
      </c>
      <c r="CR134" s="41">
        <f>IFERROR(ABS(SUMIFS('TRA balance'!AS$5:AS$40,'TRA balance'!$C$5:$C$40,Assumptions!$BB134,'TRA balance'!$D$5:$D$40,Assumptions!$BC134)),"")</f>
        <v>0</v>
      </c>
      <c r="CS134" s="41">
        <f>IFERROR(ABS(SUMIFS('TRA balance'!AT$5:AT$40,'TRA balance'!$C$5:$C$40,Assumptions!$BB134,'TRA balance'!$D$5:$D$40,Assumptions!$BC134)),"")</f>
        <v>0</v>
      </c>
      <c r="CT134" s="41">
        <f>IFERROR(ABS(SUMIFS('TRA balance'!AU$5:AU$40,'TRA balance'!$C$5:$C$40,Assumptions!$BB134,'TRA balance'!$D$5:$D$40,Assumptions!$BC134)),"")</f>
        <v>0</v>
      </c>
      <c r="CU134" s="41">
        <f>IFERROR(ABS(SUMIFS('TRA balance'!AV$5:AV$40,'TRA balance'!$C$5:$C$40,Assumptions!$BB134,'TRA balance'!$D$5:$D$40,Assumptions!$BC134)),"")</f>
        <v>0</v>
      </c>
      <c r="CV134" s="41">
        <f>IFERROR(ABS(SUMIFS('TRA balance'!AW$5:AW$40,'TRA balance'!$C$5:$C$40,Assumptions!$BB134,'TRA balance'!$D$5:$D$40,Assumptions!$BC134)),"")</f>
        <v>0</v>
      </c>
      <c r="CW134" s="41">
        <f>IFERROR(ABS(SUMIFS('TRA balance'!AX$5:AX$40,'TRA balance'!$C$5:$C$40,Assumptions!$BB134,'TRA balance'!$D$5:$D$40,Assumptions!$BC134)),"")</f>
        <v>0</v>
      </c>
    </row>
    <row r="135" spans="3:101">
      <c r="C135" t="str">
        <f t="shared" si="151"/>
        <v>NGA</v>
      </c>
      <c r="D135" t="str">
        <f t="shared" si="150"/>
        <v>TRL</v>
      </c>
      <c r="E135" t="s">
        <v>267</v>
      </c>
      <c r="F135" s="3">
        <v>0.14784</v>
      </c>
      <c r="G135" s="3">
        <v>0.17556</v>
      </c>
      <c r="H135" s="3">
        <v>0.16758</v>
      </c>
      <c r="I135" s="3">
        <v>0.16758</v>
      </c>
      <c r="J135" s="3">
        <v>0.16758</v>
      </c>
      <c r="K135" s="3">
        <v>0.16758</v>
      </c>
      <c r="L135" s="3">
        <v>0.16758</v>
      </c>
      <c r="M135" s="3">
        <v>0.16758</v>
      </c>
      <c r="N135" s="3">
        <v>0.16758</v>
      </c>
      <c r="O135" s="3">
        <v>0.16758</v>
      </c>
      <c r="P135" s="3">
        <v>0.16758</v>
      </c>
      <c r="Q135" s="3">
        <v>0.16758</v>
      </c>
      <c r="R135" s="3">
        <v>0.16758</v>
      </c>
      <c r="S135" s="3">
        <v>0.16758</v>
      </c>
      <c r="T135" s="3">
        <v>0.16758</v>
      </c>
      <c r="U135" s="3">
        <v>0.16758</v>
      </c>
      <c r="V135" s="3">
        <v>0.16758</v>
      </c>
      <c r="W135" s="3">
        <v>0.16758</v>
      </c>
      <c r="X135" s="3">
        <v>0.16758</v>
      </c>
      <c r="Y135" s="3">
        <v>0.16758</v>
      </c>
      <c r="Z135" s="3">
        <v>0.16758</v>
      </c>
      <c r="AA135" s="3">
        <v>0.16758</v>
      </c>
      <c r="AB135" s="3">
        <v>0.16758</v>
      </c>
      <c r="AC135" s="3">
        <v>0.16758</v>
      </c>
      <c r="AD135" s="3">
        <v>0.16758</v>
      </c>
      <c r="AE135" s="3">
        <v>0.16758</v>
      </c>
      <c r="AF135" s="3">
        <v>0.16758</v>
      </c>
      <c r="AG135" s="3">
        <v>0.16758</v>
      </c>
      <c r="AH135" s="3">
        <v>0.16758</v>
      </c>
      <c r="AI135" s="3">
        <v>0.16758</v>
      </c>
      <c r="AJ135" s="3">
        <v>0.16758</v>
      </c>
      <c r="AK135" s="3">
        <v>0.16758</v>
      </c>
      <c r="AL135" s="3">
        <v>0.16758</v>
      </c>
      <c r="AM135" s="3">
        <v>0.16758</v>
      </c>
      <c r="AN135" s="3">
        <v>0.16758</v>
      </c>
      <c r="AO135" s="3">
        <v>0.16758</v>
      </c>
      <c r="AP135" s="3">
        <v>0.16758</v>
      </c>
      <c r="AQ135" s="3">
        <v>0.16758</v>
      </c>
      <c r="AR135" s="3">
        <v>0.16758</v>
      </c>
      <c r="AS135" s="3">
        <v>0.16758</v>
      </c>
      <c r="AT135" s="3">
        <v>0.16758</v>
      </c>
      <c r="AU135" s="3">
        <v>0.16758</v>
      </c>
      <c r="AV135" s="3">
        <v>0.16758</v>
      </c>
      <c r="AW135" s="3">
        <v>0.16758</v>
      </c>
      <c r="AX135" s="3">
        <v>0.16758</v>
      </c>
      <c r="AY135" s="3">
        <v>0.16758</v>
      </c>
      <c r="AZ135" s="3">
        <v>0.16758</v>
      </c>
      <c r="BA135" s="3">
        <v>0.16758</v>
      </c>
      <c r="BB135" s="39" t="s">
        <v>41</v>
      </c>
      <c r="BC135" s="39" t="s">
        <v>268</v>
      </c>
      <c r="BD135" s="41">
        <f>IFERROR(ABS(SUMIFS('TRA balance'!E$5:E$40,'TRA balance'!$C$5:$C$40,Assumptions!$BB135,'TRA balance'!$D$5:$D$40,Assumptions!$BC135)),"")</f>
        <v>0</v>
      </c>
      <c r="BE135" s="41">
        <f>IFERROR(ABS(SUMIFS('TRA balance'!F$5:F$40,'TRA balance'!$C$5:$C$40,Assumptions!$BB135,'TRA balance'!$D$5:$D$40,Assumptions!$BC135)),"")</f>
        <v>0</v>
      </c>
      <c r="BF135" s="41">
        <f>IFERROR(ABS(SUMIFS('TRA balance'!G$5:G$40,'TRA balance'!$C$5:$C$40,Assumptions!$BB135,'TRA balance'!$D$5:$D$40,Assumptions!$BC135)),"")</f>
        <v>0</v>
      </c>
      <c r="BG135" s="41">
        <f>IFERROR(ABS(SUMIFS('TRA balance'!H$5:H$40,'TRA balance'!$C$5:$C$40,Assumptions!$BB135,'TRA balance'!$D$5:$D$40,Assumptions!$BC135)),"")</f>
        <v>0</v>
      </c>
      <c r="BH135" s="41">
        <f>IFERROR(ABS(SUMIFS('TRA balance'!I$5:I$40,'TRA balance'!$C$5:$C$40,Assumptions!$BB135,'TRA balance'!$D$5:$D$40,Assumptions!$BC135)),"")</f>
        <v>0</v>
      </c>
      <c r="BI135" s="41">
        <f>IFERROR(ABS(SUMIFS('TRA balance'!J$5:J$40,'TRA balance'!$C$5:$C$40,Assumptions!$BB135,'TRA balance'!$D$5:$D$40,Assumptions!$BC135)),"")</f>
        <v>0</v>
      </c>
      <c r="BJ135" s="41">
        <f>IFERROR(ABS(SUMIFS('TRA balance'!K$5:K$40,'TRA balance'!$C$5:$C$40,Assumptions!$BB135,'TRA balance'!$D$5:$D$40,Assumptions!$BC135)),"")</f>
        <v>0</v>
      </c>
      <c r="BK135" s="41">
        <f>IFERROR(ABS(SUMIFS('TRA balance'!L$5:L$40,'TRA balance'!$C$5:$C$40,Assumptions!$BB135,'TRA balance'!$D$5:$D$40,Assumptions!$BC135)),"")</f>
        <v>0</v>
      </c>
      <c r="BL135" s="41">
        <f>IFERROR(ABS(SUMIFS('TRA balance'!M$5:M$40,'TRA balance'!$C$5:$C$40,Assumptions!$BB135,'TRA balance'!$D$5:$D$40,Assumptions!$BC135)),"")</f>
        <v>0</v>
      </c>
      <c r="BM135" s="41">
        <f>IFERROR(ABS(SUMIFS('TRA balance'!N$5:N$40,'TRA balance'!$C$5:$C$40,Assumptions!$BB135,'TRA balance'!$D$5:$D$40,Assumptions!$BC135)),"")</f>
        <v>0</v>
      </c>
      <c r="BN135" s="41">
        <f>IFERROR(ABS(SUMIFS('TRA balance'!O$5:O$40,'TRA balance'!$C$5:$C$40,Assumptions!$BB135,'TRA balance'!$D$5:$D$40,Assumptions!$BC135)),"")</f>
        <v>0</v>
      </c>
      <c r="BO135" s="41">
        <f>IFERROR(ABS(SUMIFS('TRA balance'!P$5:P$40,'TRA balance'!$C$5:$C$40,Assumptions!$BB135,'TRA balance'!$D$5:$D$40,Assumptions!$BC135)),"")</f>
        <v>0</v>
      </c>
      <c r="BP135" s="41">
        <f>IFERROR(ABS(SUMIFS('TRA balance'!Q$5:Q$40,'TRA balance'!$C$5:$C$40,Assumptions!$BB135,'TRA balance'!$D$5:$D$40,Assumptions!$BC135)),"")</f>
        <v>0</v>
      </c>
      <c r="BQ135" s="41">
        <f>IFERROR(ABS(SUMIFS('TRA balance'!R$5:R$40,'TRA balance'!$C$5:$C$40,Assumptions!$BB135,'TRA balance'!$D$5:$D$40,Assumptions!$BC135)),"")</f>
        <v>0</v>
      </c>
      <c r="BR135" s="41">
        <f>IFERROR(ABS(SUMIFS('TRA balance'!S$5:S$40,'TRA balance'!$C$5:$C$40,Assumptions!$BB135,'TRA balance'!$D$5:$D$40,Assumptions!$BC135)),"")</f>
        <v>0</v>
      </c>
      <c r="BS135" s="41">
        <f>IFERROR(ABS(SUMIFS('TRA balance'!T$5:T$40,'TRA balance'!$C$5:$C$40,Assumptions!$BB135,'TRA balance'!$D$5:$D$40,Assumptions!$BC135)),"")</f>
        <v>0</v>
      </c>
      <c r="BT135" s="41">
        <f>IFERROR(ABS(SUMIFS('TRA balance'!U$5:U$40,'TRA balance'!$C$5:$C$40,Assumptions!$BB135,'TRA balance'!$D$5:$D$40,Assumptions!$BC135)),"")</f>
        <v>0</v>
      </c>
      <c r="BU135" s="41">
        <f>IFERROR(ABS(SUMIFS('TRA balance'!V$5:V$40,'TRA balance'!$C$5:$C$40,Assumptions!$BB135,'TRA balance'!$D$5:$D$40,Assumptions!$BC135)),"")</f>
        <v>0</v>
      </c>
      <c r="BV135" s="41">
        <f>IFERROR(ABS(SUMIFS('TRA balance'!W$5:W$40,'TRA balance'!$C$5:$C$40,Assumptions!$BB135,'TRA balance'!$D$5:$D$40,Assumptions!$BC135)),"")</f>
        <v>0</v>
      </c>
      <c r="BW135" s="41">
        <f>IFERROR(ABS(SUMIFS('TRA balance'!X$5:X$40,'TRA balance'!$C$5:$C$40,Assumptions!$BB135,'TRA balance'!$D$5:$D$40,Assumptions!$BC135)),"")</f>
        <v>0</v>
      </c>
      <c r="BX135" s="41">
        <f>IFERROR(ABS(SUMIFS('TRA balance'!Y$5:Y$40,'TRA balance'!$C$5:$C$40,Assumptions!$BB135,'TRA balance'!$D$5:$D$40,Assumptions!$BC135)),"")</f>
        <v>0</v>
      </c>
      <c r="BY135" s="41">
        <f>IFERROR(ABS(SUMIFS('TRA balance'!Z$5:Z$40,'TRA balance'!$C$5:$C$40,Assumptions!$BB135,'TRA balance'!$D$5:$D$40,Assumptions!$BC135)),"")</f>
        <v>0</v>
      </c>
      <c r="BZ135" s="41">
        <f>IFERROR(ABS(SUMIFS('TRA balance'!AA$5:AA$40,'TRA balance'!$C$5:$C$40,Assumptions!$BB135,'TRA balance'!$D$5:$D$40,Assumptions!$BC135)),"")</f>
        <v>0</v>
      </c>
      <c r="CA135" s="41">
        <f>IFERROR(ABS(SUMIFS('TRA balance'!AB$5:AB$40,'TRA balance'!$C$5:$C$40,Assumptions!$BB135,'TRA balance'!$D$5:$D$40,Assumptions!$BC135)),"")</f>
        <v>0</v>
      </c>
      <c r="CB135" s="41">
        <f>IFERROR(ABS(SUMIFS('TRA balance'!AC$5:AC$40,'TRA balance'!$C$5:$C$40,Assumptions!$BB135,'TRA balance'!$D$5:$D$40,Assumptions!$BC135)),"")</f>
        <v>0</v>
      </c>
      <c r="CC135" s="41">
        <f>IFERROR(ABS(SUMIFS('TRA balance'!AD$5:AD$40,'TRA balance'!$C$5:$C$40,Assumptions!$BB135,'TRA balance'!$D$5:$D$40,Assumptions!$BC135)),"")</f>
        <v>0</v>
      </c>
      <c r="CD135" s="41">
        <f>IFERROR(ABS(SUMIFS('TRA balance'!AE$5:AE$40,'TRA balance'!$C$5:$C$40,Assumptions!$BB135,'TRA balance'!$D$5:$D$40,Assumptions!$BC135)),"")</f>
        <v>0</v>
      </c>
      <c r="CE135" s="41">
        <f>IFERROR(ABS(SUMIFS('TRA balance'!AF$5:AF$40,'TRA balance'!$C$5:$C$40,Assumptions!$BB135,'TRA balance'!$D$5:$D$40,Assumptions!$BC135)),"")</f>
        <v>0</v>
      </c>
      <c r="CF135" s="41">
        <f>IFERROR(ABS(SUMIFS('TRA balance'!AG$5:AG$40,'TRA balance'!$C$5:$C$40,Assumptions!$BB135,'TRA balance'!$D$5:$D$40,Assumptions!$BC135)),"")</f>
        <v>0</v>
      </c>
      <c r="CG135" s="41">
        <f>IFERROR(ABS(SUMIFS('TRA balance'!AH$5:AH$40,'TRA balance'!$C$5:$C$40,Assumptions!$BB135,'TRA balance'!$D$5:$D$40,Assumptions!$BC135)),"")</f>
        <v>0</v>
      </c>
      <c r="CH135" s="41">
        <f>IFERROR(ABS(SUMIFS('TRA balance'!AI$5:AI$40,'TRA balance'!$C$5:$C$40,Assumptions!$BB135,'TRA balance'!$D$5:$D$40,Assumptions!$BC135)),"")</f>
        <v>0</v>
      </c>
      <c r="CI135" s="41">
        <f>IFERROR(ABS(SUMIFS('TRA balance'!AJ$5:AJ$40,'TRA balance'!$C$5:$C$40,Assumptions!$BB135,'TRA balance'!$D$5:$D$40,Assumptions!$BC135)),"")</f>
        <v>0</v>
      </c>
      <c r="CJ135" s="41">
        <f>IFERROR(ABS(SUMIFS('TRA balance'!AK$5:AK$40,'TRA balance'!$C$5:$C$40,Assumptions!$BB135,'TRA balance'!$D$5:$D$40,Assumptions!$BC135)),"")</f>
        <v>0</v>
      </c>
      <c r="CK135" s="41">
        <f>IFERROR(ABS(SUMIFS('TRA balance'!AL$5:AL$40,'TRA balance'!$C$5:$C$40,Assumptions!$BB135,'TRA balance'!$D$5:$D$40,Assumptions!$BC135)),"")</f>
        <v>0</v>
      </c>
      <c r="CL135" s="41">
        <f>IFERROR(ABS(SUMIFS('TRA balance'!AM$5:AM$40,'TRA balance'!$C$5:$C$40,Assumptions!$BB135,'TRA balance'!$D$5:$D$40,Assumptions!$BC135)),"")</f>
        <v>0</v>
      </c>
      <c r="CM135" s="41">
        <f>IFERROR(ABS(SUMIFS('TRA balance'!AN$5:AN$40,'TRA balance'!$C$5:$C$40,Assumptions!$BB135,'TRA balance'!$D$5:$D$40,Assumptions!$BC135)),"")</f>
        <v>0</v>
      </c>
      <c r="CN135" s="41">
        <f>IFERROR(ABS(SUMIFS('TRA balance'!AO$5:AO$40,'TRA balance'!$C$5:$C$40,Assumptions!$BB135,'TRA balance'!$D$5:$D$40,Assumptions!$BC135)),"")</f>
        <v>0</v>
      </c>
      <c r="CO135" s="41">
        <f>IFERROR(ABS(SUMIFS('TRA balance'!AP$5:AP$40,'TRA balance'!$C$5:$C$40,Assumptions!$BB135,'TRA balance'!$D$5:$D$40,Assumptions!$BC135)),"")</f>
        <v>0</v>
      </c>
      <c r="CP135" s="41">
        <f>IFERROR(ABS(SUMIFS('TRA balance'!AQ$5:AQ$40,'TRA balance'!$C$5:$C$40,Assumptions!$BB135,'TRA balance'!$D$5:$D$40,Assumptions!$BC135)),"")</f>
        <v>0</v>
      </c>
      <c r="CQ135" s="41">
        <f>IFERROR(ABS(SUMIFS('TRA balance'!AR$5:AR$40,'TRA balance'!$C$5:$C$40,Assumptions!$BB135,'TRA balance'!$D$5:$D$40,Assumptions!$BC135)),"")</f>
        <v>0</v>
      </c>
      <c r="CR135" s="41">
        <f>IFERROR(ABS(SUMIFS('TRA balance'!AS$5:AS$40,'TRA balance'!$C$5:$C$40,Assumptions!$BB135,'TRA balance'!$D$5:$D$40,Assumptions!$BC135)),"")</f>
        <v>0</v>
      </c>
      <c r="CS135" s="41">
        <f>IFERROR(ABS(SUMIFS('TRA balance'!AT$5:AT$40,'TRA balance'!$C$5:$C$40,Assumptions!$BB135,'TRA balance'!$D$5:$D$40,Assumptions!$BC135)),"")</f>
        <v>0</v>
      </c>
      <c r="CT135" s="41">
        <f>IFERROR(ABS(SUMIFS('TRA balance'!AU$5:AU$40,'TRA balance'!$C$5:$C$40,Assumptions!$BB135,'TRA balance'!$D$5:$D$40,Assumptions!$BC135)),"")</f>
        <v>0</v>
      </c>
      <c r="CU135" s="41">
        <f>IFERROR(ABS(SUMIFS('TRA balance'!AV$5:AV$40,'TRA balance'!$C$5:$C$40,Assumptions!$BB135,'TRA balance'!$D$5:$D$40,Assumptions!$BC135)),"")</f>
        <v>0</v>
      </c>
      <c r="CV135" s="41">
        <f>IFERROR(ABS(SUMIFS('TRA balance'!AW$5:AW$40,'TRA balance'!$C$5:$C$40,Assumptions!$BB135,'TRA balance'!$D$5:$D$40,Assumptions!$BC135)),"")</f>
        <v>0</v>
      </c>
      <c r="CW135" s="41">
        <f>IFERROR(ABS(SUMIFS('TRA balance'!AX$5:AX$40,'TRA balance'!$C$5:$C$40,Assumptions!$BB135,'TRA balance'!$D$5:$D$40,Assumptions!$BC135)),"")</f>
        <v>0</v>
      </c>
    </row>
    <row r="136" spans="3:101">
      <c r="C136" t="str">
        <f t="shared" si="151"/>
        <v>DST</v>
      </c>
      <c r="D136" t="str">
        <f t="shared" si="150"/>
        <v>TRM</v>
      </c>
      <c r="E136" t="s">
        <v>269</v>
      </c>
      <c r="F136" s="3">
        <v>0.0766040816326529</v>
      </c>
      <c r="G136" s="3">
        <v>0.0766040816326529</v>
      </c>
      <c r="H136" s="3">
        <v>0.0851156462585032</v>
      </c>
      <c r="I136" s="3">
        <v>0.0851156462585032</v>
      </c>
      <c r="J136" s="3">
        <v>0.0851156462585032</v>
      </c>
      <c r="K136" s="3">
        <v>0.0851156462585032</v>
      </c>
      <c r="L136" s="3">
        <v>0.0851156462585032</v>
      </c>
      <c r="M136" s="3">
        <v>0.0851156462585032</v>
      </c>
      <c r="N136" s="3">
        <v>0.0851156462585032</v>
      </c>
      <c r="O136" s="3">
        <v>0.0851156462585032</v>
      </c>
      <c r="P136" s="3">
        <v>0.0851156462585032</v>
      </c>
      <c r="Q136" s="3">
        <v>0.0851156462585032</v>
      </c>
      <c r="R136" s="3">
        <v>0.0851156462585032</v>
      </c>
      <c r="S136" s="3">
        <v>0.0851156462585032</v>
      </c>
      <c r="T136" s="3">
        <v>0.0851156462585032</v>
      </c>
      <c r="U136" s="3">
        <v>0.0851156462585032</v>
      </c>
      <c r="V136" s="3">
        <v>0.0851156462585032</v>
      </c>
      <c r="W136" s="3">
        <v>0.0851156462585032</v>
      </c>
      <c r="X136" s="3">
        <v>0.0851156462585032</v>
      </c>
      <c r="Y136" s="3">
        <v>0.0851156462585032</v>
      </c>
      <c r="Z136" s="3">
        <v>0.0851156462585032</v>
      </c>
      <c r="AA136" s="3">
        <v>0.0851156462585032</v>
      </c>
      <c r="AB136" s="3">
        <v>0.0851156462585032</v>
      </c>
      <c r="AC136" s="3">
        <v>0.0851156462585032</v>
      </c>
      <c r="AD136" s="3">
        <v>0.0851156462585032</v>
      </c>
      <c r="AE136" s="3">
        <v>0.0851156462585032</v>
      </c>
      <c r="AF136" s="3">
        <v>0.0851156462585032</v>
      </c>
      <c r="AG136" s="3">
        <v>0.0851156462585032</v>
      </c>
      <c r="AH136" s="3">
        <v>0.0851156462585032</v>
      </c>
      <c r="AI136" s="3">
        <v>0.0851156462585032</v>
      </c>
      <c r="AJ136" s="3">
        <v>0.0851156462585032</v>
      </c>
      <c r="AK136" s="3">
        <v>0.0851156462585032</v>
      </c>
      <c r="AL136" s="3">
        <v>0.0851156462585032</v>
      </c>
      <c r="AM136" s="3">
        <v>0.0851156462585032</v>
      </c>
      <c r="AN136" s="3">
        <v>0.0851156462585032</v>
      </c>
      <c r="AO136" s="3">
        <v>0.0851156462585032</v>
      </c>
      <c r="AP136" s="3">
        <v>0.0851156462585032</v>
      </c>
      <c r="AQ136" s="3">
        <v>0.0851156462585032</v>
      </c>
      <c r="AR136" s="3">
        <v>0.0851156462585032</v>
      </c>
      <c r="AS136" s="3">
        <v>0.0851156462585032</v>
      </c>
      <c r="AT136" s="3">
        <v>0.0851156462585032</v>
      </c>
      <c r="AU136" s="3">
        <v>0.0851156462585032</v>
      </c>
      <c r="AV136" s="3">
        <v>0.0851156462585032</v>
      </c>
      <c r="AW136" s="3">
        <v>0.0851156462585032</v>
      </c>
      <c r="AX136" s="3">
        <v>0.0851156462585032</v>
      </c>
      <c r="AY136" s="3">
        <v>0.0851156462585032</v>
      </c>
      <c r="AZ136" s="3">
        <v>0.0851156462585032</v>
      </c>
      <c r="BA136" s="3">
        <v>0.0851156462585032</v>
      </c>
    </row>
    <row r="137" spans="3:101">
      <c r="C137" t="str">
        <f t="shared" si="151"/>
        <v>ETH</v>
      </c>
      <c r="D137" t="str">
        <f t="shared" si="150"/>
        <v>TRM</v>
      </c>
      <c r="E137" t="s">
        <v>270</v>
      </c>
      <c r="F137" s="3">
        <v>0.0675918367346939</v>
      </c>
      <c r="G137" s="3">
        <v>0.0675918367346939</v>
      </c>
      <c r="H137" s="3">
        <v>0.0751020408163266</v>
      </c>
      <c r="I137" s="3">
        <v>0.0751020408163266</v>
      </c>
      <c r="J137" s="3">
        <v>0.0751020408163266</v>
      </c>
      <c r="K137" s="3">
        <v>0.0751020408163266</v>
      </c>
      <c r="L137" s="3">
        <v>0.0751020408163266</v>
      </c>
      <c r="M137" s="3">
        <v>0.0751020408163266</v>
      </c>
      <c r="N137" s="3">
        <v>0.0751020408163266</v>
      </c>
      <c r="O137" s="3">
        <v>0.0751020408163266</v>
      </c>
      <c r="P137" s="3">
        <v>0.0751020408163266</v>
      </c>
      <c r="Q137" s="3">
        <v>0.0751020408163266</v>
      </c>
      <c r="R137" s="3">
        <v>0.0751020408163266</v>
      </c>
      <c r="S137" s="3">
        <v>0.0751020408163266</v>
      </c>
      <c r="T137" s="3">
        <v>0.0751020408163266</v>
      </c>
      <c r="U137" s="3">
        <v>0.0751020408163266</v>
      </c>
      <c r="V137" s="3">
        <v>0.0751020408163266</v>
      </c>
      <c r="W137" s="3">
        <v>0.0751020408163266</v>
      </c>
      <c r="X137" s="3">
        <v>0.0751020408163266</v>
      </c>
      <c r="Y137" s="3">
        <v>0.0751020408163266</v>
      </c>
      <c r="Z137" s="3">
        <v>0.0751020408163266</v>
      </c>
      <c r="AA137" s="3">
        <v>0.0751020408163266</v>
      </c>
      <c r="AB137" s="3">
        <v>0.0751020408163266</v>
      </c>
      <c r="AC137" s="3">
        <v>0.0751020408163266</v>
      </c>
      <c r="AD137" s="3">
        <v>0.0751020408163266</v>
      </c>
      <c r="AE137" s="3">
        <v>0.0751020408163266</v>
      </c>
      <c r="AF137" s="3">
        <v>0.0751020408163266</v>
      </c>
      <c r="AG137" s="3">
        <v>0.0751020408163266</v>
      </c>
      <c r="AH137" s="3">
        <v>0.0751020408163266</v>
      </c>
      <c r="AI137" s="3">
        <v>0.0751020408163266</v>
      </c>
      <c r="AJ137" s="3">
        <v>0.0751020408163266</v>
      </c>
      <c r="AK137" s="3">
        <v>0.0751020408163266</v>
      </c>
      <c r="AL137" s="3">
        <v>0.0751020408163266</v>
      </c>
      <c r="AM137" s="3">
        <v>0.0751020408163266</v>
      </c>
      <c r="AN137" s="3">
        <v>0.0751020408163266</v>
      </c>
      <c r="AO137" s="3">
        <v>0.0751020408163266</v>
      </c>
      <c r="AP137" s="3">
        <v>0.0751020408163266</v>
      </c>
      <c r="AQ137" s="3">
        <v>0.0751020408163266</v>
      </c>
      <c r="AR137" s="3">
        <v>0.0751020408163266</v>
      </c>
      <c r="AS137" s="3">
        <v>0.0751020408163266</v>
      </c>
      <c r="AT137" s="3">
        <v>0.0751020408163266</v>
      </c>
      <c r="AU137" s="3">
        <v>0.0751020408163266</v>
      </c>
      <c r="AV137" s="3">
        <v>0.0751020408163266</v>
      </c>
      <c r="AW137" s="3">
        <v>0.0751020408163266</v>
      </c>
      <c r="AX137" s="3">
        <v>0.0751020408163266</v>
      </c>
      <c r="AY137" s="3">
        <v>0.0751020408163266</v>
      </c>
      <c r="AZ137" s="3">
        <v>0.0751020408163266</v>
      </c>
      <c r="BA137" s="3">
        <v>0.0751020408163266</v>
      </c>
      <c r="BC137" t="s">
        <v>271</v>
      </c>
      <c r="BD137" t="str">
        <f t="shared" ref="BD137:BD168" si="152">LEFT(BC137,3)&amp;BV137</f>
        <v>TRBTRADST</v>
      </c>
      <c r="BU137">
        <v>0.11</v>
      </c>
      <c r="BV137" t="s">
        <v>60</v>
      </c>
    </row>
    <row r="138" spans="3:101">
      <c r="C138" t="str">
        <f t="shared" si="151"/>
        <v>GAS</v>
      </c>
      <c r="D138" t="str">
        <f t="shared" si="150"/>
        <v>TRM</v>
      </c>
      <c r="E138" t="s">
        <v>272</v>
      </c>
      <c r="F138" s="3">
        <v>0.0720979591836737</v>
      </c>
      <c r="G138" s="3">
        <v>0.0720979591836737</v>
      </c>
      <c r="H138" s="3">
        <v>0.0801088435374152</v>
      </c>
      <c r="I138" s="3">
        <v>0.0801088435374152</v>
      </c>
      <c r="J138" s="3">
        <v>0.0801088435374152</v>
      </c>
      <c r="K138" s="3">
        <v>0.0801088435374152</v>
      </c>
      <c r="L138" s="3">
        <v>0.0801088435374152</v>
      </c>
      <c r="M138" s="3">
        <v>0.0801088435374152</v>
      </c>
      <c r="N138" s="3">
        <v>0.0801088435374152</v>
      </c>
      <c r="O138" s="3">
        <v>0.0801088435374152</v>
      </c>
      <c r="P138" s="3">
        <v>0.0801088435374152</v>
      </c>
      <c r="Q138" s="3">
        <v>0.0801088435374152</v>
      </c>
      <c r="R138" s="3">
        <v>0.0801088435374152</v>
      </c>
      <c r="S138" s="3">
        <v>0.0801088435374152</v>
      </c>
      <c r="T138" s="3">
        <v>0.0801088435374152</v>
      </c>
      <c r="U138" s="3">
        <v>0.0801088435374152</v>
      </c>
      <c r="V138" s="3">
        <v>0.0801088435374152</v>
      </c>
      <c r="W138" s="3">
        <v>0.0801088435374152</v>
      </c>
      <c r="X138" s="3">
        <v>0.0801088435374152</v>
      </c>
      <c r="Y138" s="3">
        <v>0.0801088435374152</v>
      </c>
      <c r="Z138" s="3">
        <v>0.0801088435374152</v>
      </c>
      <c r="AA138" s="3">
        <v>0.0801088435374152</v>
      </c>
      <c r="AB138" s="3">
        <v>0.0801088435374152</v>
      </c>
      <c r="AC138" s="3">
        <v>0.0801088435374152</v>
      </c>
      <c r="AD138" s="3">
        <v>0.0801088435374152</v>
      </c>
      <c r="AE138" s="3">
        <v>0.0801088435374152</v>
      </c>
      <c r="AF138" s="3">
        <v>0.0801088435374152</v>
      </c>
      <c r="AG138" s="3">
        <v>0.0801088435374152</v>
      </c>
      <c r="AH138" s="3">
        <v>0.0801088435374152</v>
      </c>
      <c r="AI138" s="3">
        <v>0.0801088435374152</v>
      </c>
      <c r="AJ138" s="3">
        <v>0.0801088435374152</v>
      </c>
      <c r="AK138" s="3">
        <v>0.0801088435374152</v>
      </c>
      <c r="AL138" s="3">
        <v>0.0801088435374152</v>
      </c>
      <c r="AM138" s="3">
        <v>0.0801088435374152</v>
      </c>
      <c r="AN138" s="3">
        <v>0.0801088435374152</v>
      </c>
      <c r="AO138" s="3">
        <v>0.0801088435374152</v>
      </c>
      <c r="AP138" s="3">
        <v>0.0801088435374152</v>
      </c>
      <c r="AQ138" s="3">
        <v>0.0801088435374152</v>
      </c>
      <c r="AR138" s="3">
        <v>0.0801088435374152</v>
      </c>
      <c r="AS138" s="3">
        <v>0.0801088435374152</v>
      </c>
      <c r="AT138" s="3">
        <v>0.0801088435374152</v>
      </c>
      <c r="AU138" s="3">
        <v>0.0801088435374152</v>
      </c>
      <c r="AV138" s="3">
        <v>0.0801088435374152</v>
      </c>
      <c r="AW138" s="3">
        <v>0.0801088435374152</v>
      </c>
      <c r="AX138" s="3">
        <v>0.0801088435374152</v>
      </c>
      <c r="AY138" s="3">
        <v>0.0801088435374152</v>
      </c>
      <c r="AZ138" s="3">
        <v>0.0801088435374152</v>
      </c>
      <c r="BA138" s="3">
        <v>0.0801088435374152</v>
      </c>
      <c r="BC138" t="s">
        <v>273</v>
      </c>
      <c r="BD138" t="str">
        <f t="shared" si="152"/>
        <v>TRBTRAELC</v>
      </c>
      <c r="BU138">
        <v>0.15</v>
      </c>
      <c r="BV138" t="s">
        <v>64</v>
      </c>
    </row>
    <row r="139" spans="3:101">
      <c r="C139" t="str">
        <f t="shared" si="151"/>
        <v>LPG</v>
      </c>
      <c r="D139" t="str">
        <f t="shared" si="150"/>
        <v>TRM</v>
      </c>
      <c r="E139" t="s">
        <v>274</v>
      </c>
      <c r="F139" s="3">
        <v>0.0675918367346939</v>
      </c>
      <c r="G139" s="3">
        <v>0.0675918367346939</v>
      </c>
      <c r="H139" s="3">
        <v>0.0751020408163266</v>
      </c>
      <c r="I139" s="3">
        <v>0.0751020408163266</v>
      </c>
      <c r="J139" s="3">
        <v>0.0751020408163266</v>
      </c>
      <c r="K139" s="3">
        <v>0.0751020408163266</v>
      </c>
      <c r="L139" s="3">
        <v>0.0751020408163266</v>
      </c>
      <c r="M139" s="3">
        <v>0.0751020408163266</v>
      </c>
      <c r="N139" s="3">
        <v>0.0751020408163266</v>
      </c>
      <c r="O139" s="3">
        <v>0.0751020408163266</v>
      </c>
      <c r="P139" s="3">
        <v>0.0751020408163266</v>
      </c>
      <c r="Q139" s="3">
        <v>0.0751020408163266</v>
      </c>
      <c r="R139" s="3">
        <v>0.0751020408163266</v>
      </c>
      <c r="S139" s="3">
        <v>0.0751020408163266</v>
      </c>
      <c r="T139" s="3">
        <v>0.0751020408163266</v>
      </c>
      <c r="U139" s="3">
        <v>0.0751020408163266</v>
      </c>
      <c r="V139" s="3">
        <v>0.0751020408163266</v>
      </c>
      <c r="W139" s="3">
        <v>0.0751020408163266</v>
      </c>
      <c r="X139" s="3">
        <v>0.0751020408163266</v>
      </c>
      <c r="Y139" s="3">
        <v>0.0751020408163266</v>
      </c>
      <c r="Z139" s="3">
        <v>0.0751020408163266</v>
      </c>
      <c r="AA139" s="3">
        <v>0.0751020408163266</v>
      </c>
      <c r="AB139" s="3">
        <v>0.0751020408163266</v>
      </c>
      <c r="AC139" s="3">
        <v>0.0751020408163266</v>
      </c>
      <c r="AD139" s="3">
        <v>0.0751020408163266</v>
      </c>
      <c r="AE139" s="3">
        <v>0.0751020408163266</v>
      </c>
      <c r="AF139" s="3">
        <v>0.0751020408163266</v>
      </c>
      <c r="AG139" s="3">
        <v>0.0751020408163266</v>
      </c>
      <c r="AH139" s="3">
        <v>0.0751020408163266</v>
      </c>
      <c r="AI139" s="3">
        <v>0.0751020408163266</v>
      </c>
      <c r="AJ139" s="3">
        <v>0.0751020408163266</v>
      </c>
      <c r="AK139" s="3">
        <v>0.0751020408163266</v>
      </c>
      <c r="AL139" s="3">
        <v>0.0751020408163266</v>
      </c>
      <c r="AM139" s="3">
        <v>0.0751020408163266</v>
      </c>
      <c r="AN139" s="3">
        <v>0.0751020408163266</v>
      </c>
      <c r="AO139" s="3">
        <v>0.0751020408163266</v>
      </c>
      <c r="AP139" s="3">
        <v>0.0751020408163266</v>
      </c>
      <c r="AQ139" s="3">
        <v>0.0751020408163266</v>
      </c>
      <c r="AR139" s="3">
        <v>0.0751020408163266</v>
      </c>
      <c r="AS139" s="3">
        <v>0.0751020408163266</v>
      </c>
      <c r="AT139" s="3">
        <v>0.0751020408163266</v>
      </c>
      <c r="AU139" s="3">
        <v>0.0751020408163266</v>
      </c>
      <c r="AV139" s="3">
        <v>0.0751020408163266</v>
      </c>
      <c r="AW139" s="3">
        <v>0.0751020408163266</v>
      </c>
      <c r="AX139" s="3">
        <v>0.0751020408163266</v>
      </c>
      <c r="AY139" s="3">
        <v>0.0751020408163266</v>
      </c>
      <c r="AZ139" s="3">
        <v>0.0751020408163266</v>
      </c>
      <c r="BA139" s="3">
        <v>0.0751020408163266</v>
      </c>
      <c r="BC139" t="s">
        <v>275</v>
      </c>
      <c r="BD139" t="str">
        <f t="shared" si="152"/>
        <v>TRBTRABGS</v>
      </c>
      <c r="BU139">
        <v>0.11</v>
      </c>
      <c r="BV139" t="s">
        <v>48</v>
      </c>
    </row>
    <row r="140" spans="3:101">
      <c r="C140" t="str">
        <f t="shared" si="151"/>
        <v>MET</v>
      </c>
      <c r="D140" t="str">
        <f t="shared" si="150"/>
        <v>TRM</v>
      </c>
      <c r="E140" t="s">
        <v>276</v>
      </c>
      <c r="F140" s="3">
        <v>0.0675918367346939</v>
      </c>
      <c r="G140" s="3">
        <v>0.0675918367346939</v>
      </c>
      <c r="H140" s="3">
        <v>0.0751020408163266</v>
      </c>
      <c r="I140" s="3">
        <v>0.0751020408163266</v>
      </c>
      <c r="J140" s="3">
        <v>0.0751020408163266</v>
      </c>
      <c r="K140" s="3">
        <v>0.0751020408163266</v>
      </c>
      <c r="L140" s="3">
        <v>0.0751020408163266</v>
      </c>
      <c r="M140" s="3">
        <v>0.0751020408163266</v>
      </c>
      <c r="N140" s="3">
        <v>0.0751020408163266</v>
      </c>
      <c r="O140" s="3">
        <v>0.0751020408163266</v>
      </c>
      <c r="P140" s="3">
        <v>0.0751020408163266</v>
      </c>
      <c r="Q140" s="3">
        <v>0.0751020408163266</v>
      </c>
      <c r="R140" s="3">
        <v>0.0751020408163266</v>
      </c>
      <c r="S140" s="3">
        <v>0.0751020408163266</v>
      </c>
      <c r="T140" s="3">
        <v>0.0751020408163266</v>
      </c>
      <c r="U140" s="3">
        <v>0.0751020408163266</v>
      </c>
      <c r="V140" s="3">
        <v>0.0751020408163266</v>
      </c>
      <c r="W140" s="3">
        <v>0.0751020408163266</v>
      </c>
      <c r="X140" s="3">
        <v>0.0751020408163266</v>
      </c>
      <c r="Y140" s="3">
        <v>0.0751020408163266</v>
      </c>
      <c r="Z140" s="3">
        <v>0.0751020408163266</v>
      </c>
      <c r="AA140" s="3">
        <v>0.0751020408163266</v>
      </c>
      <c r="AB140" s="3">
        <v>0.0751020408163266</v>
      </c>
      <c r="AC140" s="3">
        <v>0.0751020408163266</v>
      </c>
      <c r="AD140" s="3">
        <v>0.0751020408163266</v>
      </c>
      <c r="AE140" s="3">
        <v>0.0751020408163266</v>
      </c>
      <c r="AF140" s="3">
        <v>0.0751020408163266</v>
      </c>
      <c r="AG140" s="3">
        <v>0.0751020408163266</v>
      </c>
      <c r="AH140" s="3">
        <v>0.0751020408163266</v>
      </c>
      <c r="AI140" s="3">
        <v>0.0751020408163266</v>
      </c>
      <c r="AJ140" s="3">
        <v>0.0751020408163266</v>
      </c>
      <c r="AK140" s="3">
        <v>0.0751020408163266</v>
      </c>
      <c r="AL140" s="3">
        <v>0.0751020408163266</v>
      </c>
      <c r="AM140" s="3">
        <v>0.0751020408163266</v>
      </c>
      <c r="AN140" s="3">
        <v>0.0751020408163266</v>
      </c>
      <c r="AO140" s="3">
        <v>0.0751020408163266</v>
      </c>
      <c r="AP140" s="3">
        <v>0.0751020408163266</v>
      </c>
      <c r="AQ140" s="3">
        <v>0.0751020408163266</v>
      </c>
      <c r="AR140" s="3">
        <v>0.0751020408163266</v>
      </c>
      <c r="AS140" s="3">
        <v>0.0751020408163266</v>
      </c>
      <c r="AT140" s="3">
        <v>0.0751020408163266</v>
      </c>
      <c r="AU140" s="3">
        <v>0.0751020408163266</v>
      </c>
      <c r="AV140" s="3">
        <v>0.0751020408163266</v>
      </c>
      <c r="AW140" s="3">
        <v>0.0751020408163266</v>
      </c>
      <c r="AX140" s="3">
        <v>0.0751020408163266</v>
      </c>
      <c r="AY140" s="3">
        <v>0.0751020408163266</v>
      </c>
      <c r="AZ140" s="3">
        <v>0.0751020408163266</v>
      </c>
      <c r="BA140" s="3">
        <v>0.0751020408163266</v>
      </c>
      <c r="BC140" t="s">
        <v>277</v>
      </c>
      <c r="BD140" t="str">
        <f t="shared" si="152"/>
        <v>TRBTRABGS</v>
      </c>
      <c r="BU140">
        <v>0.18</v>
      </c>
      <c r="BV140" t="s">
        <v>48</v>
      </c>
    </row>
    <row r="141" spans="3:101">
      <c r="C141" t="str">
        <f t="shared" si="151"/>
        <v>NGA</v>
      </c>
      <c r="D141" t="str">
        <f t="shared" si="150"/>
        <v>TRM</v>
      </c>
      <c r="E141" t="s">
        <v>278</v>
      </c>
      <c r="F141" s="3">
        <v>0.0675918367346939</v>
      </c>
      <c r="G141" s="3">
        <v>0.0675918367346939</v>
      </c>
      <c r="H141" s="3">
        <v>0.0751020408163266</v>
      </c>
      <c r="I141" s="3">
        <v>0.0751020408163266</v>
      </c>
      <c r="J141" s="3">
        <v>0.0751020408163266</v>
      </c>
      <c r="K141" s="3">
        <v>0.0751020408163266</v>
      </c>
      <c r="L141" s="3">
        <v>0.0751020408163266</v>
      </c>
      <c r="M141" s="3">
        <v>0.0751020408163266</v>
      </c>
      <c r="N141" s="3">
        <v>0.0751020408163266</v>
      </c>
      <c r="O141" s="3">
        <v>0.0751020408163266</v>
      </c>
      <c r="P141" s="3">
        <v>0.0751020408163266</v>
      </c>
      <c r="Q141" s="3">
        <v>0.0751020408163266</v>
      </c>
      <c r="R141" s="3">
        <v>0.0751020408163266</v>
      </c>
      <c r="S141" s="3">
        <v>0.0751020408163266</v>
      </c>
      <c r="T141" s="3">
        <v>0.0751020408163266</v>
      </c>
      <c r="U141" s="3">
        <v>0.0751020408163266</v>
      </c>
      <c r="V141" s="3">
        <v>0.0751020408163266</v>
      </c>
      <c r="W141" s="3">
        <v>0.0751020408163266</v>
      </c>
      <c r="X141" s="3">
        <v>0.0751020408163266</v>
      </c>
      <c r="Y141" s="3">
        <v>0.0751020408163266</v>
      </c>
      <c r="Z141" s="3">
        <v>0.0751020408163266</v>
      </c>
      <c r="AA141" s="3">
        <v>0.0751020408163266</v>
      </c>
      <c r="AB141" s="3">
        <v>0.0751020408163266</v>
      </c>
      <c r="AC141" s="3">
        <v>0.0751020408163266</v>
      </c>
      <c r="AD141" s="3">
        <v>0.0751020408163266</v>
      </c>
      <c r="AE141" s="3">
        <v>0.0751020408163266</v>
      </c>
      <c r="AF141" s="3">
        <v>0.0751020408163266</v>
      </c>
      <c r="AG141" s="3">
        <v>0.0751020408163266</v>
      </c>
      <c r="AH141" s="3">
        <v>0.0751020408163266</v>
      </c>
      <c r="AI141" s="3">
        <v>0.0751020408163266</v>
      </c>
      <c r="AJ141" s="3">
        <v>0.0751020408163266</v>
      </c>
      <c r="AK141" s="3">
        <v>0.0751020408163266</v>
      </c>
      <c r="AL141" s="3">
        <v>0.0751020408163266</v>
      </c>
      <c r="AM141" s="3">
        <v>0.0751020408163266</v>
      </c>
      <c r="AN141" s="3">
        <v>0.0751020408163266</v>
      </c>
      <c r="AO141" s="3">
        <v>0.0751020408163266</v>
      </c>
      <c r="AP141" s="3">
        <v>0.0751020408163266</v>
      </c>
      <c r="AQ141" s="3">
        <v>0.0751020408163266</v>
      </c>
      <c r="AR141" s="3">
        <v>0.0751020408163266</v>
      </c>
      <c r="AS141" s="3">
        <v>0.0751020408163266</v>
      </c>
      <c r="AT141" s="3">
        <v>0.0751020408163266</v>
      </c>
      <c r="AU141" s="3">
        <v>0.0751020408163266</v>
      </c>
      <c r="AV141" s="3">
        <v>0.0751020408163266</v>
      </c>
      <c r="AW141" s="3">
        <v>0.0751020408163266</v>
      </c>
      <c r="AX141" s="3">
        <v>0.0751020408163266</v>
      </c>
      <c r="AY141" s="3">
        <v>0.0751020408163266</v>
      </c>
      <c r="AZ141" s="3">
        <v>0.0751020408163266</v>
      </c>
      <c r="BA141" s="3">
        <v>0.0751020408163266</v>
      </c>
      <c r="BC141" t="s">
        <v>279</v>
      </c>
      <c r="BD141" t="str">
        <f t="shared" si="152"/>
        <v>TRBTRAGSL</v>
      </c>
      <c r="BU141">
        <v>0.11</v>
      </c>
      <c r="BV141" t="s">
        <v>66</v>
      </c>
    </row>
    <row r="142" spans="3:101">
      <c r="C142" t="str">
        <f t="shared" si="151"/>
        <v>DST</v>
      </c>
      <c r="D142" t="str">
        <f t="shared" si="150"/>
        <v>TRT</v>
      </c>
      <c r="E142" t="s">
        <v>280</v>
      </c>
      <c r="F142" s="3">
        <v>0.26048</v>
      </c>
      <c r="G142" s="3">
        <v>0.30932</v>
      </c>
      <c r="H142" s="3">
        <v>0.3108</v>
      </c>
      <c r="I142" s="3">
        <v>0.3108</v>
      </c>
      <c r="J142" s="3">
        <v>0.3108</v>
      </c>
      <c r="K142" s="3">
        <v>0.3108</v>
      </c>
      <c r="L142" s="3">
        <v>0.3108</v>
      </c>
      <c r="M142" s="3">
        <v>0.3108</v>
      </c>
      <c r="N142" s="3">
        <v>0.3108</v>
      </c>
      <c r="O142" s="3">
        <v>0.3108</v>
      </c>
      <c r="P142" s="3">
        <v>0.3108</v>
      </c>
      <c r="Q142" s="3">
        <v>0.3108</v>
      </c>
      <c r="R142" s="3">
        <v>0.3108</v>
      </c>
      <c r="S142" s="3">
        <v>0.3108</v>
      </c>
      <c r="T142" s="3">
        <v>0.3108</v>
      </c>
      <c r="U142" s="3">
        <v>0.3108</v>
      </c>
      <c r="V142" s="3">
        <v>0.3108</v>
      </c>
      <c r="W142" s="3">
        <v>0.3108</v>
      </c>
      <c r="X142" s="3">
        <v>0.3108</v>
      </c>
      <c r="Y142" s="3">
        <v>0.3108</v>
      </c>
      <c r="Z142" s="3">
        <v>0.3108</v>
      </c>
      <c r="AA142" s="3">
        <v>0.3108</v>
      </c>
      <c r="AB142" s="3">
        <v>0.3108</v>
      </c>
      <c r="AC142" s="3">
        <v>0.3108</v>
      </c>
      <c r="AD142" s="3">
        <v>0.3108</v>
      </c>
      <c r="AE142" s="3">
        <v>0.3108</v>
      </c>
      <c r="AF142" s="3">
        <v>0.3108</v>
      </c>
      <c r="AG142" s="3">
        <v>0.3108</v>
      </c>
      <c r="AH142" s="3">
        <v>0.3108</v>
      </c>
      <c r="AI142" s="3">
        <v>0.3108</v>
      </c>
      <c r="AJ142" s="3">
        <v>0.3108</v>
      </c>
      <c r="AK142" s="3">
        <v>0.3108</v>
      </c>
      <c r="AL142" s="3">
        <v>0.3108</v>
      </c>
      <c r="AM142" s="3">
        <v>0.3108</v>
      </c>
      <c r="AN142" s="3">
        <v>0.3108</v>
      </c>
      <c r="AO142" s="3">
        <v>0.3108</v>
      </c>
      <c r="AP142" s="3">
        <v>0.3108</v>
      </c>
      <c r="AQ142" s="3">
        <v>0.3108</v>
      </c>
      <c r="AR142" s="3">
        <v>0.3108</v>
      </c>
      <c r="AS142" s="3">
        <v>0.3108</v>
      </c>
      <c r="AT142" s="3">
        <v>0.3108</v>
      </c>
      <c r="AU142" s="3">
        <v>0.3108</v>
      </c>
      <c r="AV142" s="3">
        <v>0.3108</v>
      </c>
      <c r="AW142" s="3">
        <v>0.3108</v>
      </c>
      <c r="AX142" s="3">
        <v>0.3108</v>
      </c>
      <c r="AY142" s="3">
        <v>0.3108</v>
      </c>
      <c r="AZ142" s="3">
        <v>0.3108</v>
      </c>
      <c r="BA142" s="3">
        <v>0.3108</v>
      </c>
      <c r="BC142" t="s">
        <v>281</v>
      </c>
      <c r="BD142" t="str">
        <f t="shared" si="152"/>
        <v>TRBTRAGSL</v>
      </c>
      <c r="BU142">
        <v>0.18</v>
      </c>
      <c r="BV142" t="s">
        <v>66</v>
      </c>
    </row>
    <row r="143" spans="3:101">
      <c r="C143" t="str">
        <f t="shared" si="151"/>
        <v>ELC</v>
      </c>
      <c r="D143" t="str">
        <f t="shared" si="150"/>
        <v>TRT</v>
      </c>
      <c r="E143" t="s">
        <v>282</v>
      </c>
      <c r="F143" s="3">
        <v>0.4224</v>
      </c>
      <c r="G143" s="3">
        <v>0.5016</v>
      </c>
      <c r="H143" s="3">
        <v>0.504</v>
      </c>
      <c r="I143" s="3">
        <v>0.504</v>
      </c>
      <c r="J143" s="3">
        <v>0.504</v>
      </c>
      <c r="K143" s="3">
        <v>0.504</v>
      </c>
      <c r="L143" s="3">
        <v>0.504</v>
      </c>
      <c r="M143" s="3">
        <v>0.504</v>
      </c>
      <c r="N143" s="3">
        <v>0.504</v>
      </c>
      <c r="O143" s="3">
        <v>0.504</v>
      </c>
      <c r="P143" s="3">
        <v>0.504</v>
      </c>
      <c r="Q143" s="3">
        <v>0.504</v>
      </c>
      <c r="R143" s="3">
        <v>0.504</v>
      </c>
      <c r="S143" s="3">
        <v>0.504</v>
      </c>
      <c r="T143" s="3">
        <v>0.504</v>
      </c>
      <c r="U143" s="3">
        <v>0.504</v>
      </c>
      <c r="V143" s="3">
        <v>0.504</v>
      </c>
      <c r="W143" s="3">
        <v>0.504</v>
      </c>
      <c r="X143" s="3">
        <v>0.504</v>
      </c>
      <c r="Y143" s="3">
        <v>0.504</v>
      </c>
      <c r="Z143" s="3">
        <v>0.504</v>
      </c>
      <c r="AA143" s="3">
        <v>0.504</v>
      </c>
      <c r="AB143" s="3">
        <v>0.504</v>
      </c>
      <c r="AC143" s="3">
        <v>0.504</v>
      </c>
      <c r="AD143" s="3">
        <v>0.504</v>
      </c>
      <c r="AE143" s="3">
        <v>0.504</v>
      </c>
      <c r="AF143" s="3">
        <v>0.504</v>
      </c>
      <c r="AG143" s="3">
        <v>0.504</v>
      </c>
      <c r="AH143" s="3">
        <v>0.504</v>
      </c>
      <c r="AI143" s="3">
        <v>0.504</v>
      </c>
      <c r="AJ143" s="3">
        <v>0.504</v>
      </c>
      <c r="AK143" s="3">
        <v>0.504</v>
      </c>
      <c r="AL143" s="3">
        <v>0.504</v>
      </c>
      <c r="AM143" s="3">
        <v>0.504</v>
      </c>
      <c r="AN143" s="3">
        <v>0.504</v>
      </c>
      <c r="AO143" s="3">
        <v>0.504</v>
      </c>
      <c r="AP143" s="3">
        <v>0.504</v>
      </c>
      <c r="AQ143" s="3">
        <v>0.504</v>
      </c>
      <c r="AR143" s="3">
        <v>0.504</v>
      </c>
      <c r="AS143" s="3">
        <v>0.504</v>
      </c>
      <c r="AT143" s="3">
        <v>0.504</v>
      </c>
      <c r="AU143" s="3">
        <v>0.504</v>
      </c>
      <c r="AV143" s="3">
        <v>0.504</v>
      </c>
      <c r="AW143" s="3">
        <v>0.504</v>
      </c>
      <c r="AX143" s="3">
        <v>0.504</v>
      </c>
      <c r="AY143" s="3">
        <v>0.504</v>
      </c>
      <c r="AZ143" s="3">
        <v>0.504</v>
      </c>
      <c r="BA143" s="3">
        <v>0.504</v>
      </c>
      <c r="BC143" t="s">
        <v>283</v>
      </c>
      <c r="BD143" t="str">
        <f t="shared" si="152"/>
        <v>TRBTRALPG</v>
      </c>
      <c r="BU143">
        <v>0.09</v>
      </c>
      <c r="BV143" t="s">
        <v>74</v>
      </c>
    </row>
    <row r="144" spans="3:101">
      <c r="C144" t="str">
        <f t="shared" si="151"/>
        <v>ETH</v>
      </c>
      <c r="D144" t="str">
        <f t="shared" si="150"/>
        <v>TRT</v>
      </c>
      <c r="E144" t="s">
        <v>284</v>
      </c>
      <c r="F144" s="3">
        <v>0.332912550632588</v>
      </c>
      <c r="G144" s="3">
        <v>0.395333653876198</v>
      </c>
      <c r="H144" s="3">
        <v>0.397225202459338</v>
      </c>
      <c r="I144" s="3">
        <v>0.397225202459338</v>
      </c>
      <c r="J144" s="3">
        <v>0.397225202459338</v>
      </c>
      <c r="K144" s="3">
        <v>0.397225202459338</v>
      </c>
      <c r="L144" s="3">
        <v>0.397225202459338</v>
      </c>
      <c r="M144" s="3">
        <v>0.397225202459338</v>
      </c>
      <c r="N144" s="3">
        <v>0.397225202459338</v>
      </c>
      <c r="O144" s="3">
        <v>0.397225202459338</v>
      </c>
      <c r="P144" s="3">
        <v>0.397225202459338</v>
      </c>
      <c r="Q144" s="3">
        <v>0.397225202459338</v>
      </c>
      <c r="R144" s="3">
        <v>0.397225202459338</v>
      </c>
      <c r="S144" s="3">
        <v>0.397225202459338</v>
      </c>
      <c r="T144" s="3">
        <v>0.397225202459338</v>
      </c>
      <c r="U144" s="3">
        <v>0.397225202459338</v>
      </c>
      <c r="V144" s="3">
        <v>0.397225202459338</v>
      </c>
      <c r="W144" s="3">
        <v>0.397225202459338</v>
      </c>
      <c r="X144" s="3">
        <v>0.397225202459338</v>
      </c>
      <c r="Y144" s="3">
        <v>0.397225202459338</v>
      </c>
      <c r="Z144" s="3">
        <v>0.397225202459338</v>
      </c>
      <c r="AA144" s="3">
        <v>0.397225202459338</v>
      </c>
      <c r="AB144" s="3">
        <v>0.397225202459338</v>
      </c>
      <c r="AC144" s="3">
        <v>0.397225202459338</v>
      </c>
      <c r="AD144" s="3">
        <v>0.397225202459338</v>
      </c>
      <c r="AE144" s="3">
        <v>0.397225202459338</v>
      </c>
      <c r="AF144" s="3">
        <v>0.397225202459338</v>
      </c>
      <c r="AG144" s="3">
        <v>0.397225202459338</v>
      </c>
      <c r="AH144" s="3">
        <v>0.397225202459338</v>
      </c>
      <c r="AI144" s="3">
        <v>0.397225202459338</v>
      </c>
      <c r="AJ144" s="3">
        <v>0.397225202459338</v>
      </c>
      <c r="AK144" s="3">
        <v>0.397225202459338</v>
      </c>
      <c r="AL144" s="3">
        <v>0.397225202459338</v>
      </c>
      <c r="AM144" s="3">
        <v>0.397225202459338</v>
      </c>
      <c r="AN144" s="3">
        <v>0.397225202459338</v>
      </c>
      <c r="AO144" s="3">
        <v>0.397225202459338</v>
      </c>
      <c r="AP144" s="3">
        <v>0.397225202459338</v>
      </c>
      <c r="AQ144" s="3">
        <v>0.397225202459338</v>
      </c>
      <c r="AR144" s="3">
        <v>0.397225202459338</v>
      </c>
      <c r="AS144" s="3">
        <v>0.397225202459338</v>
      </c>
      <c r="AT144" s="3">
        <v>0.397225202459338</v>
      </c>
      <c r="AU144" s="3">
        <v>0.397225202459338</v>
      </c>
      <c r="AV144" s="3">
        <v>0.397225202459338</v>
      </c>
      <c r="AW144" s="3">
        <v>0.397225202459338</v>
      </c>
      <c r="AX144" s="3">
        <v>0.397225202459338</v>
      </c>
      <c r="AY144" s="3">
        <v>0.397225202459338</v>
      </c>
      <c r="AZ144" s="3">
        <v>0.397225202459338</v>
      </c>
      <c r="BA144" s="3">
        <v>0.397225202459338</v>
      </c>
      <c r="BC144" t="s">
        <v>285</v>
      </c>
      <c r="BD144" t="str">
        <f t="shared" si="152"/>
        <v>TRBTRABGS</v>
      </c>
      <c r="BU144">
        <v>0.11</v>
      </c>
      <c r="BV144" t="s">
        <v>48</v>
      </c>
    </row>
    <row r="145" spans="2:74">
      <c r="C145" t="str">
        <f t="shared" si="151"/>
        <v>GAS</v>
      </c>
      <c r="D145" t="str">
        <f t="shared" si="150"/>
        <v>TRT</v>
      </c>
      <c r="E145" t="s">
        <v>286</v>
      </c>
      <c r="F145" s="3">
        <v>0.22528</v>
      </c>
      <c r="G145" s="3">
        <v>0.26752</v>
      </c>
      <c r="H145" s="3">
        <v>0.2688</v>
      </c>
      <c r="I145" s="3">
        <v>0.2688</v>
      </c>
      <c r="J145" s="3">
        <v>0.2688</v>
      </c>
      <c r="K145" s="3">
        <v>0.2688</v>
      </c>
      <c r="L145" s="3">
        <v>0.2688</v>
      </c>
      <c r="M145" s="3">
        <v>0.2688</v>
      </c>
      <c r="N145" s="3">
        <v>0.2688</v>
      </c>
      <c r="O145" s="3">
        <v>0.2688</v>
      </c>
      <c r="P145" s="3">
        <v>0.2688</v>
      </c>
      <c r="Q145" s="3">
        <v>0.2688</v>
      </c>
      <c r="R145" s="3">
        <v>0.2688</v>
      </c>
      <c r="S145" s="3">
        <v>0.2688</v>
      </c>
      <c r="T145" s="3">
        <v>0.2688</v>
      </c>
      <c r="U145" s="3">
        <v>0.2688</v>
      </c>
      <c r="V145" s="3">
        <v>0.2688</v>
      </c>
      <c r="W145" s="3">
        <v>0.2688</v>
      </c>
      <c r="X145" s="3">
        <v>0.2688</v>
      </c>
      <c r="Y145" s="3">
        <v>0.2688</v>
      </c>
      <c r="Z145" s="3">
        <v>0.2688</v>
      </c>
      <c r="AA145" s="3">
        <v>0.2688</v>
      </c>
      <c r="AB145" s="3">
        <v>0.2688</v>
      </c>
      <c r="AC145" s="3">
        <v>0.2688</v>
      </c>
      <c r="AD145" s="3">
        <v>0.2688</v>
      </c>
      <c r="AE145" s="3">
        <v>0.2688</v>
      </c>
      <c r="AF145" s="3">
        <v>0.2688</v>
      </c>
      <c r="AG145" s="3">
        <v>0.2688</v>
      </c>
      <c r="AH145" s="3">
        <v>0.2688</v>
      </c>
      <c r="AI145" s="3">
        <v>0.2688</v>
      </c>
      <c r="AJ145" s="3">
        <v>0.2688</v>
      </c>
      <c r="AK145" s="3">
        <v>0.2688</v>
      </c>
      <c r="AL145" s="3">
        <v>0.2688</v>
      </c>
      <c r="AM145" s="3">
        <v>0.2688</v>
      </c>
      <c r="AN145" s="3">
        <v>0.2688</v>
      </c>
      <c r="AO145" s="3">
        <v>0.2688</v>
      </c>
      <c r="AP145" s="3">
        <v>0.2688</v>
      </c>
      <c r="AQ145" s="3">
        <v>0.2688</v>
      </c>
      <c r="AR145" s="3">
        <v>0.2688</v>
      </c>
      <c r="AS145" s="3">
        <v>0.2688</v>
      </c>
      <c r="AT145" s="3">
        <v>0.2688</v>
      </c>
      <c r="AU145" s="3">
        <v>0.2688</v>
      </c>
      <c r="AV145" s="3">
        <v>0.2688</v>
      </c>
      <c r="AW145" s="3">
        <v>0.2688</v>
      </c>
      <c r="AX145" s="3">
        <v>0.2688</v>
      </c>
      <c r="AY145" s="3">
        <v>0.2688</v>
      </c>
      <c r="AZ145" s="3">
        <v>0.2688</v>
      </c>
      <c r="BA145" s="3">
        <v>0.2688</v>
      </c>
      <c r="BC145" t="s">
        <v>287</v>
      </c>
      <c r="BD145" t="str">
        <f t="shared" si="152"/>
        <v>TRBTRANGA</v>
      </c>
      <c r="BU145">
        <v>0.09</v>
      </c>
      <c r="BV145" t="s">
        <v>52</v>
      </c>
    </row>
    <row r="146" spans="2:74">
      <c r="C146" t="str">
        <f t="shared" si="151"/>
        <v>LPG</v>
      </c>
      <c r="D146" t="str">
        <f t="shared" si="150"/>
        <v>TRT</v>
      </c>
      <c r="E146" t="s">
        <v>288</v>
      </c>
      <c r="F146" s="3">
        <v>0.246847090099731</v>
      </c>
      <c r="G146" s="3">
        <v>0.293130919493431</v>
      </c>
      <c r="H146" s="3">
        <v>0.294533459778088</v>
      </c>
      <c r="I146" s="3">
        <v>0.294533459778088</v>
      </c>
      <c r="J146" s="3">
        <v>0.294533459778088</v>
      </c>
      <c r="K146" s="3">
        <v>0.294533459778088</v>
      </c>
      <c r="L146" s="3">
        <v>0.294533459778088</v>
      </c>
      <c r="M146" s="3">
        <v>0.294533459778088</v>
      </c>
      <c r="N146" s="3">
        <v>0.294533459778088</v>
      </c>
      <c r="O146" s="3">
        <v>0.294533459778088</v>
      </c>
      <c r="P146" s="3">
        <v>0.294533459778088</v>
      </c>
      <c r="Q146" s="3">
        <v>0.294533459778088</v>
      </c>
      <c r="R146" s="3">
        <v>0.294533459778088</v>
      </c>
      <c r="S146" s="3">
        <v>0.294533459778088</v>
      </c>
      <c r="T146" s="3">
        <v>0.294533459778088</v>
      </c>
      <c r="U146" s="3">
        <v>0.294533459778088</v>
      </c>
      <c r="V146" s="3">
        <v>0.294533459778088</v>
      </c>
      <c r="W146" s="3">
        <v>0.294533459778088</v>
      </c>
      <c r="X146" s="3">
        <v>0.294533459778088</v>
      </c>
      <c r="Y146" s="3">
        <v>0.294533459778088</v>
      </c>
      <c r="Z146" s="3">
        <v>0.294533459778088</v>
      </c>
      <c r="AA146" s="3">
        <v>0.294533459778088</v>
      </c>
      <c r="AB146" s="3">
        <v>0.294533459778088</v>
      </c>
      <c r="AC146" s="3">
        <v>0.294533459778088</v>
      </c>
      <c r="AD146" s="3">
        <v>0.294533459778088</v>
      </c>
      <c r="AE146" s="3">
        <v>0.294533459778088</v>
      </c>
      <c r="AF146" s="3">
        <v>0.294533459778088</v>
      </c>
      <c r="AG146" s="3">
        <v>0.294533459778088</v>
      </c>
      <c r="AH146" s="3">
        <v>0.294533459778088</v>
      </c>
      <c r="AI146" s="3">
        <v>0.294533459778088</v>
      </c>
      <c r="AJ146" s="3">
        <v>0.294533459778088</v>
      </c>
      <c r="AK146" s="3">
        <v>0.294533459778088</v>
      </c>
      <c r="AL146" s="3">
        <v>0.294533459778088</v>
      </c>
      <c r="AM146" s="3">
        <v>0.294533459778088</v>
      </c>
      <c r="AN146" s="3">
        <v>0.294533459778088</v>
      </c>
      <c r="AO146" s="3">
        <v>0.294533459778088</v>
      </c>
      <c r="AP146" s="3">
        <v>0.294533459778088</v>
      </c>
      <c r="AQ146" s="3">
        <v>0.294533459778088</v>
      </c>
      <c r="AR146" s="3">
        <v>0.294533459778088</v>
      </c>
      <c r="AS146" s="3">
        <v>0.294533459778088</v>
      </c>
      <c r="AT146" s="3">
        <v>0.294533459778088</v>
      </c>
      <c r="AU146" s="3">
        <v>0.294533459778088</v>
      </c>
      <c r="AV146" s="3">
        <v>0.294533459778088</v>
      </c>
      <c r="AW146" s="3">
        <v>0.294533459778088</v>
      </c>
      <c r="AX146" s="3">
        <v>0.294533459778088</v>
      </c>
      <c r="AY146" s="3">
        <v>0.294533459778088</v>
      </c>
      <c r="AZ146" s="3">
        <v>0.294533459778088</v>
      </c>
      <c r="BA146" s="3">
        <v>0.294533459778088</v>
      </c>
      <c r="BC146" t="s">
        <v>289</v>
      </c>
      <c r="BD146" t="str">
        <f t="shared" si="152"/>
        <v>TRCTRADST</v>
      </c>
      <c r="BU146">
        <v>0.23</v>
      </c>
      <c r="BV146" t="s">
        <v>60</v>
      </c>
    </row>
    <row r="147" spans="2:74">
      <c r="C147" t="str">
        <f t="shared" si="151"/>
        <v>MET</v>
      </c>
      <c r="D147" t="str">
        <f t="shared" si="150"/>
        <v>TRT</v>
      </c>
      <c r="E147" t="s">
        <v>290</v>
      </c>
      <c r="F147" s="3">
        <v>0.332912550632588</v>
      </c>
      <c r="G147" s="3">
        <v>0.395333653876198</v>
      </c>
      <c r="H147" s="3">
        <v>0.397225202459338</v>
      </c>
      <c r="I147" s="3">
        <v>0.397225202459338</v>
      </c>
      <c r="J147" s="3">
        <v>0.397225202459338</v>
      </c>
      <c r="K147" s="3">
        <v>0.397225202459338</v>
      </c>
      <c r="L147" s="3">
        <v>0.397225202459338</v>
      </c>
      <c r="M147" s="3">
        <v>0.397225202459338</v>
      </c>
      <c r="N147" s="3">
        <v>0.397225202459338</v>
      </c>
      <c r="O147" s="3">
        <v>0.397225202459338</v>
      </c>
      <c r="P147" s="3">
        <v>0.397225202459338</v>
      </c>
      <c r="Q147" s="3">
        <v>0.397225202459338</v>
      </c>
      <c r="R147" s="3">
        <v>0.397225202459338</v>
      </c>
      <c r="S147" s="3">
        <v>0.397225202459338</v>
      </c>
      <c r="T147" s="3">
        <v>0.397225202459338</v>
      </c>
      <c r="U147" s="3">
        <v>0.397225202459338</v>
      </c>
      <c r="V147" s="3">
        <v>0.397225202459338</v>
      </c>
      <c r="W147" s="3">
        <v>0.397225202459338</v>
      </c>
      <c r="X147" s="3">
        <v>0.397225202459338</v>
      </c>
      <c r="Y147" s="3">
        <v>0.397225202459338</v>
      </c>
      <c r="Z147" s="3">
        <v>0.397225202459338</v>
      </c>
      <c r="AA147" s="3">
        <v>0.397225202459338</v>
      </c>
      <c r="AB147" s="3">
        <v>0.397225202459338</v>
      </c>
      <c r="AC147" s="3">
        <v>0.397225202459338</v>
      </c>
      <c r="AD147" s="3">
        <v>0.397225202459338</v>
      </c>
      <c r="AE147" s="3">
        <v>0.397225202459338</v>
      </c>
      <c r="AF147" s="3">
        <v>0.397225202459338</v>
      </c>
      <c r="AG147" s="3">
        <v>0.397225202459338</v>
      </c>
      <c r="AH147" s="3">
        <v>0.397225202459338</v>
      </c>
      <c r="AI147" s="3">
        <v>0.397225202459338</v>
      </c>
      <c r="AJ147" s="3">
        <v>0.397225202459338</v>
      </c>
      <c r="AK147" s="3">
        <v>0.397225202459338</v>
      </c>
      <c r="AL147" s="3">
        <v>0.397225202459338</v>
      </c>
      <c r="AM147" s="3">
        <v>0.397225202459338</v>
      </c>
      <c r="AN147" s="3">
        <v>0.397225202459338</v>
      </c>
      <c r="AO147" s="3">
        <v>0.397225202459338</v>
      </c>
      <c r="AP147" s="3">
        <v>0.397225202459338</v>
      </c>
      <c r="AQ147" s="3">
        <v>0.397225202459338</v>
      </c>
      <c r="AR147" s="3">
        <v>0.397225202459338</v>
      </c>
      <c r="AS147" s="3">
        <v>0.397225202459338</v>
      </c>
      <c r="AT147" s="3">
        <v>0.397225202459338</v>
      </c>
      <c r="AU147" s="3">
        <v>0.397225202459338</v>
      </c>
      <c r="AV147" s="3">
        <v>0.397225202459338</v>
      </c>
      <c r="AW147" s="3">
        <v>0.397225202459338</v>
      </c>
      <c r="AX147" s="3">
        <v>0.397225202459338</v>
      </c>
      <c r="AY147" s="3">
        <v>0.397225202459338</v>
      </c>
      <c r="AZ147" s="3">
        <v>0.397225202459338</v>
      </c>
      <c r="BA147" s="3">
        <v>0.397225202459338</v>
      </c>
      <c r="BC147" t="s">
        <v>291</v>
      </c>
      <c r="BD147" t="str">
        <f t="shared" si="152"/>
        <v>TRCTRADST</v>
      </c>
      <c r="BU147">
        <v>0.26</v>
      </c>
      <c r="BV147" t="s">
        <v>60</v>
      </c>
    </row>
    <row r="148" spans="2:74">
      <c r="C148" t="str">
        <f t="shared" si="151"/>
        <v>NGA</v>
      </c>
      <c r="D148" t="str">
        <f t="shared" si="150"/>
        <v>TRT</v>
      </c>
      <c r="E148" t="s">
        <v>292</v>
      </c>
      <c r="F148" s="3">
        <v>0.246847090099731</v>
      </c>
      <c r="G148" s="3">
        <v>0.293130919493431</v>
      </c>
      <c r="H148" s="3">
        <v>0.294533459778088</v>
      </c>
      <c r="I148" s="3">
        <v>0.294533459778088</v>
      </c>
      <c r="J148" s="3">
        <v>0.294533459778088</v>
      </c>
      <c r="K148" s="3">
        <v>0.294533459778088</v>
      </c>
      <c r="L148" s="3">
        <v>0.294533459778088</v>
      </c>
      <c r="M148" s="3">
        <v>0.294533459778088</v>
      </c>
      <c r="N148" s="3">
        <v>0.294533459778088</v>
      </c>
      <c r="O148" s="3">
        <v>0.294533459778088</v>
      </c>
      <c r="P148" s="3">
        <v>0.294533459778088</v>
      </c>
      <c r="Q148" s="3">
        <v>0.294533459778088</v>
      </c>
      <c r="R148" s="3">
        <v>0.294533459778088</v>
      </c>
      <c r="S148" s="3">
        <v>0.294533459778088</v>
      </c>
      <c r="T148" s="3">
        <v>0.294533459778088</v>
      </c>
      <c r="U148" s="3">
        <v>0.294533459778088</v>
      </c>
      <c r="V148" s="3">
        <v>0.294533459778088</v>
      </c>
      <c r="W148" s="3">
        <v>0.294533459778088</v>
      </c>
      <c r="X148" s="3">
        <v>0.294533459778088</v>
      </c>
      <c r="Y148" s="3">
        <v>0.294533459778088</v>
      </c>
      <c r="Z148" s="3">
        <v>0.294533459778088</v>
      </c>
      <c r="AA148" s="3">
        <v>0.294533459778088</v>
      </c>
      <c r="AB148" s="3">
        <v>0.294533459778088</v>
      </c>
      <c r="AC148" s="3">
        <v>0.294533459778088</v>
      </c>
      <c r="AD148" s="3">
        <v>0.294533459778088</v>
      </c>
      <c r="AE148" s="3">
        <v>0.294533459778088</v>
      </c>
      <c r="AF148" s="3">
        <v>0.294533459778088</v>
      </c>
      <c r="AG148" s="3">
        <v>0.294533459778088</v>
      </c>
      <c r="AH148" s="3">
        <v>0.294533459778088</v>
      </c>
      <c r="AI148" s="3">
        <v>0.294533459778088</v>
      </c>
      <c r="AJ148" s="3">
        <v>0.294533459778088</v>
      </c>
      <c r="AK148" s="3">
        <v>0.294533459778088</v>
      </c>
      <c r="AL148" s="3">
        <v>0.294533459778088</v>
      </c>
      <c r="AM148" s="3">
        <v>0.294533459778088</v>
      </c>
      <c r="AN148" s="3">
        <v>0.294533459778088</v>
      </c>
      <c r="AO148" s="3">
        <v>0.294533459778088</v>
      </c>
      <c r="AP148" s="3">
        <v>0.294533459778088</v>
      </c>
      <c r="AQ148" s="3">
        <v>0.294533459778088</v>
      </c>
      <c r="AR148" s="3">
        <v>0.294533459778088</v>
      </c>
      <c r="AS148" s="3">
        <v>0.294533459778088</v>
      </c>
      <c r="AT148" s="3">
        <v>0.294533459778088</v>
      </c>
      <c r="AU148" s="3">
        <v>0.294533459778088</v>
      </c>
      <c r="AV148" s="3">
        <v>0.294533459778088</v>
      </c>
      <c r="AW148" s="3">
        <v>0.294533459778088</v>
      </c>
      <c r="AX148" s="3">
        <v>0.294533459778088</v>
      </c>
      <c r="AY148" s="3">
        <v>0.294533459778088</v>
      </c>
      <c r="AZ148" s="3">
        <v>0.294533459778088</v>
      </c>
      <c r="BA148" s="3">
        <v>0.294533459778088</v>
      </c>
      <c r="BC148" t="s">
        <v>293</v>
      </c>
      <c r="BD148" t="str">
        <f t="shared" si="152"/>
        <v>TRCTRADST</v>
      </c>
      <c r="BU148">
        <v>0.2</v>
      </c>
      <c r="BV148" t="s">
        <v>60</v>
      </c>
    </row>
    <row r="149" spans="2:74">
      <c r="C149" t="s">
        <v>294</v>
      </c>
      <c r="D149" t="str">
        <f t="shared" si="150"/>
        <v>TRW</v>
      </c>
      <c r="E149" t="s">
        <v>295</v>
      </c>
      <c r="F149" s="3">
        <v>0.49</v>
      </c>
      <c r="G149" s="3">
        <v>0.63</v>
      </c>
      <c r="H149" s="3">
        <v>0.63</v>
      </c>
      <c r="I149" s="3">
        <v>0.63</v>
      </c>
      <c r="J149" s="3">
        <v>0.63</v>
      </c>
      <c r="K149" s="3">
        <v>0.63</v>
      </c>
      <c r="L149" s="3">
        <v>0.63</v>
      </c>
      <c r="M149" s="3">
        <v>0.63</v>
      </c>
      <c r="N149" s="3">
        <v>0.63</v>
      </c>
      <c r="O149" s="3">
        <v>0.63</v>
      </c>
      <c r="P149" s="3">
        <v>0.63</v>
      </c>
      <c r="Q149" s="3">
        <v>0.63</v>
      </c>
      <c r="R149" s="3">
        <v>0.63</v>
      </c>
      <c r="S149" s="3">
        <v>0.63</v>
      </c>
      <c r="T149" s="3">
        <v>0.63</v>
      </c>
      <c r="U149" s="3">
        <v>0.63</v>
      </c>
      <c r="V149" s="3">
        <v>0.63</v>
      </c>
      <c r="W149" s="3">
        <v>0.63</v>
      </c>
      <c r="X149" s="3">
        <v>0.63</v>
      </c>
      <c r="Y149" s="3">
        <v>0.63</v>
      </c>
      <c r="Z149" s="3">
        <v>0.63</v>
      </c>
      <c r="AA149" s="3">
        <v>0.63</v>
      </c>
      <c r="AB149" s="3">
        <v>0.63</v>
      </c>
      <c r="AC149" s="3">
        <v>0.63</v>
      </c>
      <c r="AD149" s="3">
        <v>0.63</v>
      </c>
      <c r="AE149" s="3">
        <v>0.63</v>
      </c>
      <c r="AF149" s="3">
        <v>0.63</v>
      </c>
      <c r="AG149" s="3">
        <v>0.63</v>
      </c>
      <c r="AH149" s="3">
        <v>0.63</v>
      </c>
      <c r="AI149" s="3">
        <v>0.63</v>
      </c>
      <c r="AJ149" s="3">
        <v>0.63</v>
      </c>
      <c r="AK149" s="3">
        <v>0.63</v>
      </c>
      <c r="AL149" s="3">
        <v>0.63</v>
      </c>
      <c r="AM149" s="3">
        <v>0.63</v>
      </c>
      <c r="AN149" s="3">
        <v>0.63</v>
      </c>
      <c r="AO149" s="3">
        <v>0.63</v>
      </c>
      <c r="AP149" s="3">
        <v>0.63</v>
      </c>
      <c r="AQ149" s="3">
        <v>0.63</v>
      </c>
      <c r="AR149" s="3">
        <v>0.63</v>
      </c>
      <c r="AS149" s="3">
        <v>0.63</v>
      </c>
      <c r="AT149" s="3">
        <v>0.63</v>
      </c>
      <c r="AU149" s="3">
        <v>0.63</v>
      </c>
      <c r="AV149" s="3">
        <v>0.63</v>
      </c>
      <c r="AW149" s="3">
        <v>0.63</v>
      </c>
      <c r="AX149" s="3">
        <v>0.63</v>
      </c>
      <c r="AY149" s="3">
        <v>0.63</v>
      </c>
      <c r="AZ149" s="3">
        <v>0.63</v>
      </c>
      <c r="BA149" s="3">
        <v>0.63</v>
      </c>
      <c r="BC149" t="s">
        <v>296</v>
      </c>
      <c r="BD149" t="str">
        <f t="shared" si="152"/>
        <v>TRCTRABGS</v>
      </c>
      <c r="BU149">
        <v>0.21</v>
      </c>
      <c r="BV149" t="s">
        <v>48</v>
      </c>
    </row>
    <row r="150" spans="2:74">
      <c r="C150" t="str">
        <f t="shared" si="151"/>
        <v>MPG</v>
      </c>
      <c r="D150" t="str">
        <f t="shared" si="150"/>
        <v>TRW</v>
      </c>
      <c r="E150" t="s">
        <v>297</v>
      </c>
      <c r="F150" s="3">
        <v>0.7</v>
      </c>
      <c r="G150" s="3">
        <v>0.9</v>
      </c>
      <c r="H150" s="3">
        <v>0.9</v>
      </c>
      <c r="I150" s="3">
        <v>0.9</v>
      </c>
      <c r="J150" s="3">
        <v>0.9</v>
      </c>
      <c r="K150" s="3">
        <v>0.9</v>
      </c>
      <c r="L150" s="3">
        <v>0.9</v>
      </c>
      <c r="M150" s="3">
        <v>0.9</v>
      </c>
      <c r="N150" s="3">
        <v>0.9</v>
      </c>
      <c r="O150" s="3">
        <v>0.9</v>
      </c>
      <c r="P150" s="3">
        <v>0.9</v>
      </c>
      <c r="Q150" s="3">
        <v>0.9</v>
      </c>
      <c r="R150" s="3">
        <v>0.9</v>
      </c>
      <c r="S150" s="3">
        <v>0.9</v>
      </c>
      <c r="T150" s="3">
        <v>0.9</v>
      </c>
      <c r="U150" s="3">
        <v>0.9</v>
      </c>
      <c r="V150" s="3">
        <v>0.9</v>
      </c>
      <c r="W150" s="3">
        <v>0.9</v>
      </c>
      <c r="X150" s="3">
        <v>0.9</v>
      </c>
      <c r="Y150" s="3">
        <v>0.9</v>
      </c>
      <c r="Z150" s="3">
        <v>0.9</v>
      </c>
      <c r="AA150" s="3">
        <v>0.9</v>
      </c>
      <c r="AB150" s="3">
        <v>0.9</v>
      </c>
      <c r="AC150" s="3">
        <v>0.9</v>
      </c>
      <c r="AD150" s="3">
        <v>0.9</v>
      </c>
      <c r="AE150" s="3">
        <v>0.9</v>
      </c>
      <c r="AF150" s="3">
        <v>0.9</v>
      </c>
      <c r="AG150" s="3">
        <v>0.9</v>
      </c>
      <c r="AH150" s="3">
        <v>0.9</v>
      </c>
      <c r="AI150" s="3">
        <v>0.9</v>
      </c>
      <c r="AJ150" s="3">
        <v>0.9</v>
      </c>
      <c r="AK150" s="3">
        <v>0.9</v>
      </c>
      <c r="AL150" s="3">
        <v>0.9</v>
      </c>
      <c r="AM150" s="3">
        <v>0.9</v>
      </c>
      <c r="AN150" s="3">
        <v>0.9</v>
      </c>
      <c r="AO150" s="3">
        <v>0.9</v>
      </c>
      <c r="AP150" s="3">
        <v>0.9</v>
      </c>
      <c r="AQ150" s="3">
        <v>0.9</v>
      </c>
      <c r="AR150" s="3">
        <v>0.9</v>
      </c>
      <c r="AS150" s="3">
        <v>0.9</v>
      </c>
      <c r="AT150" s="3">
        <v>0.9</v>
      </c>
      <c r="AU150" s="3">
        <v>0.9</v>
      </c>
      <c r="AV150" s="3">
        <v>0.9</v>
      </c>
      <c r="AW150" s="3">
        <v>0.9</v>
      </c>
      <c r="AX150" s="3">
        <v>0.9</v>
      </c>
      <c r="AY150" s="3">
        <v>0.9</v>
      </c>
      <c r="AZ150" s="3">
        <v>0.9</v>
      </c>
      <c r="BA150" s="3">
        <v>0.9</v>
      </c>
      <c r="BC150" t="s">
        <v>298</v>
      </c>
      <c r="BD150" t="str">
        <f t="shared" si="152"/>
        <v>TRCTRABGS</v>
      </c>
      <c r="BU150">
        <v>0.23</v>
      </c>
      <c r="BV150" t="s">
        <v>48</v>
      </c>
    </row>
    <row r="151" spans="2:74">
      <c r="B151" t="s">
        <v>39</v>
      </c>
      <c r="BC151" t="s">
        <v>299</v>
      </c>
      <c r="BD151" t="str">
        <f t="shared" si="152"/>
        <v>TRCTRABGS</v>
      </c>
      <c r="BU151">
        <v>0.19</v>
      </c>
      <c r="BV151" t="s">
        <v>48</v>
      </c>
    </row>
    <row r="152" spans="2:74">
      <c r="B152" t="s">
        <v>300</v>
      </c>
      <c r="E152" t="str">
        <f t="shared" ref="E152:E157" si="153">LEFT(B152,3)</f>
        <v>TAD</v>
      </c>
      <c r="F152" s="3">
        <v>1</v>
      </c>
      <c r="G152" s="3">
        <v>1</v>
      </c>
      <c r="H152" s="3">
        <v>1</v>
      </c>
      <c r="I152" s="3">
        <v>1</v>
      </c>
      <c r="J152" s="3">
        <v>1</v>
      </c>
      <c r="K152" s="3">
        <v>1</v>
      </c>
      <c r="L152" s="3">
        <v>1</v>
      </c>
      <c r="M152" s="3">
        <v>1</v>
      </c>
      <c r="N152" s="3">
        <v>1</v>
      </c>
      <c r="O152" s="3">
        <v>1</v>
      </c>
      <c r="P152" s="3">
        <v>1</v>
      </c>
      <c r="Q152" s="3">
        <v>1</v>
      </c>
      <c r="R152" s="3">
        <v>1</v>
      </c>
      <c r="S152" s="3">
        <v>1</v>
      </c>
      <c r="T152" s="3">
        <v>1</v>
      </c>
      <c r="U152" s="3">
        <v>1</v>
      </c>
      <c r="V152" s="3">
        <v>1</v>
      </c>
      <c r="W152" s="3">
        <v>1</v>
      </c>
      <c r="X152" s="3">
        <v>1</v>
      </c>
      <c r="Y152" s="3">
        <v>1</v>
      </c>
      <c r="Z152" s="3">
        <v>1</v>
      </c>
      <c r="AA152" s="3">
        <v>1</v>
      </c>
      <c r="AB152" s="3">
        <v>1</v>
      </c>
      <c r="AC152" s="3">
        <v>1</v>
      </c>
      <c r="AD152" s="3">
        <v>1</v>
      </c>
      <c r="AE152" s="3">
        <v>1</v>
      </c>
      <c r="AF152" s="3">
        <v>1</v>
      </c>
      <c r="AG152" s="3">
        <v>1</v>
      </c>
      <c r="AH152" s="3">
        <v>1</v>
      </c>
      <c r="AI152" s="3">
        <v>1</v>
      </c>
      <c r="AJ152" s="3">
        <v>1</v>
      </c>
      <c r="AK152" s="3">
        <v>1</v>
      </c>
      <c r="AL152" s="3">
        <v>1</v>
      </c>
      <c r="AM152" s="3">
        <v>1</v>
      </c>
      <c r="AN152" s="3">
        <v>1</v>
      </c>
      <c r="AO152" s="3">
        <v>1</v>
      </c>
      <c r="AP152" s="3">
        <v>1</v>
      </c>
      <c r="AQ152" s="3">
        <v>1</v>
      </c>
      <c r="AR152" s="3">
        <v>1</v>
      </c>
      <c r="AS152" s="3">
        <v>1</v>
      </c>
      <c r="AT152" s="3">
        <v>1</v>
      </c>
      <c r="AU152" s="3">
        <v>1</v>
      </c>
      <c r="AV152" s="3">
        <v>1</v>
      </c>
      <c r="AW152" s="3">
        <v>1</v>
      </c>
      <c r="AX152" s="3">
        <v>1</v>
      </c>
      <c r="AY152" s="3">
        <v>1</v>
      </c>
      <c r="AZ152" s="3">
        <v>1</v>
      </c>
      <c r="BA152" s="3">
        <v>1</v>
      </c>
      <c r="BC152" t="s">
        <v>301</v>
      </c>
      <c r="BD152" t="str">
        <f t="shared" si="152"/>
        <v>TRCTRAGSL</v>
      </c>
      <c r="BU152">
        <v>0.19</v>
      </c>
      <c r="BV152" t="s">
        <v>66</v>
      </c>
    </row>
    <row r="153" spans="2:74">
      <c r="B153" t="s">
        <v>302</v>
      </c>
      <c r="E153" t="str">
        <f t="shared" si="153"/>
        <v>TAI</v>
      </c>
      <c r="F153" s="3">
        <v>1</v>
      </c>
      <c r="G153" s="3">
        <v>1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  <c r="M153" s="3">
        <v>1</v>
      </c>
      <c r="N153" s="3">
        <v>1</v>
      </c>
      <c r="O153" s="3">
        <v>1</v>
      </c>
      <c r="P153" s="3">
        <v>1</v>
      </c>
      <c r="Q153" s="3">
        <v>1</v>
      </c>
      <c r="R153" s="3">
        <v>1</v>
      </c>
      <c r="S153" s="3">
        <v>1</v>
      </c>
      <c r="T153" s="3">
        <v>1</v>
      </c>
      <c r="U153" s="3">
        <v>1</v>
      </c>
      <c r="V153" s="3">
        <v>1</v>
      </c>
      <c r="W153" s="3">
        <v>1</v>
      </c>
      <c r="X153" s="3">
        <v>1</v>
      </c>
      <c r="Y153" s="3">
        <v>1</v>
      </c>
      <c r="Z153" s="3">
        <v>1</v>
      </c>
      <c r="AA153" s="3">
        <v>1</v>
      </c>
      <c r="AB153" s="3">
        <v>1</v>
      </c>
      <c r="AC153" s="3">
        <v>1</v>
      </c>
      <c r="AD153" s="3">
        <v>1</v>
      </c>
      <c r="AE153" s="3">
        <v>1</v>
      </c>
      <c r="AF153" s="3">
        <v>1</v>
      </c>
      <c r="AG153" s="3">
        <v>1</v>
      </c>
      <c r="AH153" s="3">
        <v>1</v>
      </c>
      <c r="AI153" s="3">
        <v>1</v>
      </c>
      <c r="AJ153" s="3">
        <v>1</v>
      </c>
      <c r="AK153" s="3">
        <v>1</v>
      </c>
      <c r="AL153" s="3">
        <v>1</v>
      </c>
      <c r="AM153" s="3">
        <v>1</v>
      </c>
      <c r="AN153" s="3">
        <v>1</v>
      </c>
      <c r="AO153" s="3">
        <v>1</v>
      </c>
      <c r="AP153" s="3">
        <v>1</v>
      </c>
      <c r="AQ153" s="3">
        <v>1</v>
      </c>
      <c r="AR153" s="3">
        <v>1</v>
      </c>
      <c r="AS153" s="3">
        <v>1</v>
      </c>
      <c r="AT153" s="3">
        <v>1</v>
      </c>
      <c r="AU153" s="3">
        <v>1</v>
      </c>
      <c r="AV153" s="3">
        <v>1</v>
      </c>
      <c r="AW153" s="3">
        <v>1</v>
      </c>
      <c r="AX153" s="3">
        <v>1</v>
      </c>
      <c r="AY153" s="3">
        <v>1</v>
      </c>
      <c r="AZ153" s="3">
        <v>1</v>
      </c>
      <c r="BA153" s="3">
        <v>1</v>
      </c>
      <c r="BC153" t="s">
        <v>303</v>
      </c>
      <c r="BD153" t="str">
        <f t="shared" si="152"/>
        <v>TRCTRALPG</v>
      </c>
      <c r="BU153">
        <v>0.21</v>
      </c>
      <c r="BV153" t="s">
        <v>74</v>
      </c>
    </row>
    <row r="154" spans="2:74">
      <c r="B154" t="s">
        <v>304</v>
      </c>
      <c r="E154" t="str">
        <f t="shared" si="153"/>
        <v>TTF</v>
      </c>
      <c r="F154" s="3">
        <v>1</v>
      </c>
      <c r="G154" s="3">
        <v>1</v>
      </c>
      <c r="H154" s="3">
        <v>1</v>
      </c>
      <c r="I154" s="3">
        <v>1</v>
      </c>
      <c r="J154" s="3">
        <v>1</v>
      </c>
      <c r="K154" s="3">
        <v>1</v>
      </c>
      <c r="L154" s="3">
        <v>1</v>
      </c>
      <c r="M154" s="3">
        <v>1</v>
      </c>
      <c r="N154" s="3">
        <v>1</v>
      </c>
      <c r="O154" s="3">
        <v>1</v>
      </c>
      <c r="P154" s="3">
        <v>1</v>
      </c>
      <c r="Q154" s="3">
        <v>1</v>
      </c>
      <c r="R154" s="3">
        <v>1</v>
      </c>
      <c r="S154" s="3">
        <v>1</v>
      </c>
      <c r="T154" s="3">
        <v>1</v>
      </c>
      <c r="U154" s="3">
        <v>1</v>
      </c>
      <c r="V154" s="3">
        <v>1</v>
      </c>
      <c r="W154" s="3">
        <v>1</v>
      </c>
      <c r="X154" s="3">
        <v>1</v>
      </c>
      <c r="Y154" s="3">
        <v>1</v>
      </c>
      <c r="Z154" s="3">
        <v>1</v>
      </c>
      <c r="AA154" s="3">
        <v>1</v>
      </c>
      <c r="AB154" s="3">
        <v>1</v>
      </c>
      <c r="AC154" s="3">
        <v>1</v>
      </c>
      <c r="AD154" s="3">
        <v>1</v>
      </c>
      <c r="AE154" s="3">
        <v>1</v>
      </c>
      <c r="AF154" s="3">
        <v>1</v>
      </c>
      <c r="AG154" s="3">
        <v>1</v>
      </c>
      <c r="AH154" s="3">
        <v>1</v>
      </c>
      <c r="AI154" s="3">
        <v>1</v>
      </c>
      <c r="AJ154" s="3">
        <v>1</v>
      </c>
      <c r="AK154" s="3">
        <v>1</v>
      </c>
      <c r="AL154" s="3">
        <v>1</v>
      </c>
      <c r="AM154" s="3">
        <v>1</v>
      </c>
      <c r="AN154" s="3">
        <v>1</v>
      </c>
      <c r="AO154" s="3">
        <v>1</v>
      </c>
      <c r="AP154" s="3">
        <v>1</v>
      </c>
      <c r="AQ154" s="3">
        <v>1</v>
      </c>
      <c r="AR154" s="3">
        <v>1</v>
      </c>
      <c r="AS154" s="3">
        <v>1</v>
      </c>
      <c r="AT154" s="3">
        <v>1</v>
      </c>
      <c r="AU154" s="3">
        <v>1</v>
      </c>
      <c r="AV154" s="3">
        <v>1</v>
      </c>
      <c r="AW154" s="3">
        <v>1</v>
      </c>
      <c r="AX154" s="3">
        <v>1</v>
      </c>
      <c r="AY154" s="3">
        <v>1</v>
      </c>
      <c r="AZ154" s="3">
        <v>1</v>
      </c>
      <c r="BA154" s="3">
        <v>1</v>
      </c>
      <c r="BC154" t="s">
        <v>305</v>
      </c>
      <c r="BD154" t="str">
        <f t="shared" si="152"/>
        <v>TRCTRABGS</v>
      </c>
      <c r="BU154">
        <v>0.19</v>
      </c>
      <c r="BV154" t="s">
        <v>48</v>
      </c>
    </row>
    <row r="155" spans="2:74">
      <c r="B155" t="s">
        <v>306</v>
      </c>
      <c r="E155" t="str">
        <f t="shared" si="153"/>
        <v>TTP</v>
      </c>
      <c r="F155" s="3">
        <v>1</v>
      </c>
      <c r="G155" s="3">
        <v>1</v>
      </c>
      <c r="H155" s="3">
        <v>1</v>
      </c>
      <c r="I155" s="3">
        <v>1</v>
      </c>
      <c r="J155" s="3">
        <v>1</v>
      </c>
      <c r="K155" s="3">
        <v>1</v>
      </c>
      <c r="L155" s="3">
        <v>1</v>
      </c>
      <c r="M155" s="3">
        <v>1</v>
      </c>
      <c r="N155" s="3">
        <v>1</v>
      </c>
      <c r="O155" s="3">
        <v>1</v>
      </c>
      <c r="P155" s="3">
        <v>1</v>
      </c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1</v>
      </c>
      <c r="W155" s="3">
        <v>1</v>
      </c>
      <c r="X155" s="3">
        <v>1</v>
      </c>
      <c r="Y155" s="3">
        <v>1</v>
      </c>
      <c r="Z155" s="3">
        <v>1</v>
      </c>
      <c r="AA155" s="3">
        <v>1</v>
      </c>
      <c r="AB155" s="3">
        <v>1</v>
      </c>
      <c r="AC155" s="3">
        <v>1</v>
      </c>
      <c r="AD155" s="3">
        <v>1</v>
      </c>
      <c r="AE155" s="3">
        <v>1</v>
      </c>
      <c r="AF155" s="3">
        <v>1</v>
      </c>
      <c r="AG155" s="3">
        <v>1</v>
      </c>
      <c r="AH155" s="3">
        <v>1</v>
      </c>
      <c r="AI155" s="3">
        <v>1</v>
      </c>
      <c r="AJ155" s="3">
        <v>1</v>
      </c>
      <c r="AK155" s="3">
        <v>1</v>
      </c>
      <c r="AL155" s="3">
        <v>1</v>
      </c>
      <c r="AM155" s="3">
        <v>1</v>
      </c>
      <c r="AN155" s="3">
        <v>1</v>
      </c>
      <c r="AO155" s="3">
        <v>1</v>
      </c>
      <c r="AP155" s="3">
        <v>1</v>
      </c>
      <c r="AQ155" s="3">
        <v>1</v>
      </c>
      <c r="AR155" s="3">
        <v>1</v>
      </c>
      <c r="AS155" s="3">
        <v>1</v>
      </c>
      <c r="AT155" s="3">
        <v>1</v>
      </c>
      <c r="AU155" s="3">
        <v>1</v>
      </c>
      <c r="AV155" s="3">
        <v>1</v>
      </c>
      <c r="AW155" s="3">
        <v>1</v>
      </c>
      <c r="AX155" s="3">
        <v>1</v>
      </c>
      <c r="AY155" s="3">
        <v>1</v>
      </c>
      <c r="AZ155" s="3">
        <v>1</v>
      </c>
      <c r="BA155" s="3">
        <v>1</v>
      </c>
      <c r="BC155" t="s">
        <v>307</v>
      </c>
      <c r="BD155" t="str">
        <f t="shared" si="152"/>
        <v>TRCTRANGA</v>
      </c>
      <c r="BU155">
        <v>0.19</v>
      </c>
      <c r="BV155" t="s">
        <v>52</v>
      </c>
    </row>
    <row r="156" spans="2:74">
      <c r="B156" t="s">
        <v>308</v>
      </c>
      <c r="E156" t="str">
        <f t="shared" si="153"/>
        <v>TWD</v>
      </c>
      <c r="F156" s="3">
        <v>1</v>
      </c>
      <c r="G156" s="3">
        <v>1</v>
      </c>
      <c r="H156" s="3">
        <v>1</v>
      </c>
      <c r="I156" s="3">
        <v>1</v>
      </c>
      <c r="J156" s="3">
        <v>1</v>
      </c>
      <c r="K156" s="3">
        <v>1</v>
      </c>
      <c r="L156" s="3">
        <v>1</v>
      </c>
      <c r="M156" s="3">
        <v>1</v>
      </c>
      <c r="N156" s="3">
        <v>1</v>
      </c>
      <c r="O156" s="3">
        <v>1</v>
      </c>
      <c r="P156" s="3">
        <v>1</v>
      </c>
      <c r="Q156" s="3">
        <v>1</v>
      </c>
      <c r="R156" s="3">
        <v>1</v>
      </c>
      <c r="S156" s="3">
        <v>1</v>
      </c>
      <c r="T156" s="3">
        <v>1</v>
      </c>
      <c r="U156" s="3">
        <v>1</v>
      </c>
      <c r="V156" s="3">
        <v>1</v>
      </c>
      <c r="W156" s="3">
        <v>1</v>
      </c>
      <c r="X156" s="3">
        <v>1</v>
      </c>
      <c r="Y156" s="3">
        <v>1</v>
      </c>
      <c r="Z156" s="3">
        <v>1</v>
      </c>
      <c r="AA156" s="3">
        <v>1</v>
      </c>
      <c r="AB156" s="3">
        <v>1</v>
      </c>
      <c r="AC156" s="3">
        <v>1</v>
      </c>
      <c r="AD156" s="3">
        <v>1</v>
      </c>
      <c r="AE156" s="3">
        <v>1</v>
      </c>
      <c r="AF156" s="3">
        <v>1</v>
      </c>
      <c r="AG156" s="3">
        <v>1</v>
      </c>
      <c r="AH156" s="3">
        <v>1</v>
      </c>
      <c r="AI156" s="3">
        <v>1</v>
      </c>
      <c r="AJ156" s="3">
        <v>1</v>
      </c>
      <c r="AK156" s="3">
        <v>1</v>
      </c>
      <c r="AL156" s="3">
        <v>1</v>
      </c>
      <c r="AM156" s="3">
        <v>1</v>
      </c>
      <c r="AN156" s="3">
        <v>1</v>
      </c>
      <c r="AO156" s="3">
        <v>1</v>
      </c>
      <c r="AP156" s="3">
        <v>1</v>
      </c>
      <c r="AQ156" s="3">
        <v>1</v>
      </c>
      <c r="AR156" s="3">
        <v>1</v>
      </c>
      <c r="AS156" s="3">
        <v>1</v>
      </c>
      <c r="AT156" s="3">
        <v>1</v>
      </c>
      <c r="AU156" s="3">
        <v>1</v>
      </c>
      <c r="AV156" s="3">
        <v>1</v>
      </c>
      <c r="AW156" s="3">
        <v>1</v>
      </c>
      <c r="AX156" s="3">
        <v>1</v>
      </c>
      <c r="AY156" s="3">
        <v>1</v>
      </c>
      <c r="AZ156" s="3">
        <v>1</v>
      </c>
      <c r="BA156" s="3">
        <v>1</v>
      </c>
      <c r="BC156" t="s">
        <v>309</v>
      </c>
      <c r="BD156" t="str">
        <f t="shared" si="152"/>
        <v>TRETRADST</v>
      </c>
      <c r="BU156">
        <v>0.4</v>
      </c>
      <c r="BV156" t="s">
        <v>60</v>
      </c>
    </row>
    <row r="157" spans="2:74">
      <c r="B157" t="s">
        <v>310</v>
      </c>
      <c r="E157" t="str">
        <f t="shared" si="153"/>
        <v>TWI</v>
      </c>
      <c r="F157" s="3">
        <v>1</v>
      </c>
      <c r="G157" s="3">
        <v>1</v>
      </c>
      <c r="H157" s="3">
        <v>1</v>
      </c>
      <c r="I157" s="3">
        <v>1</v>
      </c>
      <c r="J157" s="3">
        <v>1</v>
      </c>
      <c r="K157" s="3">
        <v>1</v>
      </c>
      <c r="L157" s="3">
        <v>1</v>
      </c>
      <c r="M157" s="3">
        <v>1</v>
      </c>
      <c r="N157" s="3">
        <v>1</v>
      </c>
      <c r="O157" s="3">
        <v>1</v>
      </c>
      <c r="P157" s="3">
        <v>1</v>
      </c>
      <c r="Q157" s="3">
        <v>1</v>
      </c>
      <c r="R157" s="3">
        <v>1</v>
      </c>
      <c r="S157" s="3">
        <v>1</v>
      </c>
      <c r="T157" s="3">
        <v>1</v>
      </c>
      <c r="U157" s="3">
        <v>1</v>
      </c>
      <c r="V157" s="3">
        <v>1</v>
      </c>
      <c r="W157" s="3">
        <v>1</v>
      </c>
      <c r="X157" s="3">
        <v>1</v>
      </c>
      <c r="Y157" s="3">
        <v>1</v>
      </c>
      <c r="Z157" s="3">
        <v>1</v>
      </c>
      <c r="AA157" s="3">
        <v>1</v>
      </c>
      <c r="AB157" s="3">
        <v>1</v>
      </c>
      <c r="AC157" s="3">
        <v>1</v>
      </c>
      <c r="AD157" s="3">
        <v>1</v>
      </c>
      <c r="AE157" s="3">
        <v>1</v>
      </c>
      <c r="AF157" s="3">
        <v>1</v>
      </c>
      <c r="AG157" s="3">
        <v>1</v>
      </c>
      <c r="AH157" s="3">
        <v>1</v>
      </c>
      <c r="AI157" s="3">
        <v>1</v>
      </c>
      <c r="AJ157" s="3">
        <v>1</v>
      </c>
      <c r="AK157" s="3">
        <v>1</v>
      </c>
      <c r="AL157" s="3">
        <v>1</v>
      </c>
      <c r="AM157" s="3">
        <v>1</v>
      </c>
      <c r="AN157" s="3">
        <v>1</v>
      </c>
      <c r="AO157" s="3">
        <v>1</v>
      </c>
      <c r="AP157" s="3">
        <v>1</v>
      </c>
      <c r="AQ157" s="3">
        <v>1</v>
      </c>
      <c r="AR157" s="3">
        <v>1</v>
      </c>
      <c r="AS157" s="3">
        <v>1</v>
      </c>
      <c r="AT157" s="3">
        <v>1</v>
      </c>
      <c r="AU157" s="3">
        <v>1</v>
      </c>
      <c r="AV157" s="3">
        <v>1</v>
      </c>
      <c r="AW157" s="3">
        <v>1</v>
      </c>
      <c r="AX157" s="3">
        <v>1</v>
      </c>
      <c r="AY157" s="3">
        <v>1</v>
      </c>
      <c r="AZ157" s="3">
        <v>1</v>
      </c>
      <c r="BA157" s="3">
        <v>1</v>
      </c>
      <c r="BC157" t="s">
        <v>311</v>
      </c>
      <c r="BD157" t="str">
        <f t="shared" si="152"/>
        <v>TRETRAGSL</v>
      </c>
      <c r="BU157">
        <v>0.5</v>
      </c>
      <c r="BV157" t="s">
        <v>66</v>
      </c>
    </row>
    <row r="158" spans="2:74">
      <c r="BC158" t="s">
        <v>312</v>
      </c>
      <c r="BD158" t="str">
        <f t="shared" si="152"/>
        <v>TRHTRADST</v>
      </c>
      <c r="BU158">
        <v>0.11</v>
      </c>
      <c r="BV158" t="s">
        <v>60</v>
      </c>
    </row>
    <row r="159" spans="2:74">
      <c r="BC159" t="s">
        <v>313</v>
      </c>
      <c r="BD159" t="str">
        <f t="shared" si="152"/>
        <v>TRHTRADST</v>
      </c>
      <c r="BU159">
        <v>0.13</v>
      </c>
      <c r="BV159" t="s">
        <v>60</v>
      </c>
    </row>
    <row r="160" spans="2:74">
      <c r="D160" t="s">
        <v>314</v>
      </c>
      <c r="F160" t="s">
        <v>315</v>
      </c>
      <c r="BC160" t="s">
        <v>316</v>
      </c>
      <c r="BD160" t="str">
        <f t="shared" si="152"/>
        <v>TRHTRADST</v>
      </c>
      <c r="BU160">
        <v>0.09</v>
      </c>
      <c r="BV160" t="s">
        <v>60</v>
      </c>
    </row>
    <row r="161" spans="3:74">
      <c r="D161" t="s">
        <v>134</v>
      </c>
      <c r="E161" t="s">
        <v>135</v>
      </c>
      <c r="F161" t="s">
        <v>177</v>
      </c>
      <c r="G161" t="s">
        <v>178</v>
      </c>
      <c r="H161" t="s">
        <v>179</v>
      </c>
      <c r="I161" t="s">
        <v>179</v>
      </c>
      <c r="J161" t="s">
        <v>179</v>
      </c>
      <c r="K161" t="s">
        <v>179</v>
      </c>
      <c r="L161" t="s">
        <v>179</v>
      </c>
      <c r="M161" t="s">
        <v>179</v>
      </c>
      <c r="N161" t="s">
        <v>179</v>
      </c>
      <c r="O161" t="s">
        <v>179</v>
      </c>
      <c r="P161" t="s">
        <v>179</v>
      </c>
      <c r="Q161" t="s">
        <v>179</v>
      </c>
      <c r="R161" t="s">
        <v>179</v>
      </c>
      <c r="S161" t="s">
        <v>179</v>
      </c>
      <c r="T161" t="s">
        <v>179</v>
      </c>
      <c r="U161" t="s">
        <v>179</v>
      </c>
      <c r="V161" t="s">
        <v>179</v>
      </c>
      <c r="W161" t="s">
        <v>179</v>
      </c>
      <c r="X161" t="s">
        <v>179</v>
      </c>
      <c r="Y161" t="s">
        <v>179</v>
      </c>
      <c r="Z161" t="s">
        <v>179</v>
      </c>
      <c r="AA161" t="s">
        <v>179</v>
      </c>
      <c r="AB161" t="s">
        <v>179</v>
      </c>
      <c r="AC161" t="s">
        <v>179</v>
      </c>
      <c r="AD161" t="s">
        <v>179</v>
      </c>
      <c r="AE161" t="s">
        <v>179</v>
      </c>
      <c r="AF161" t="s">
        <v>179</v>
      </c>
      <c r="AG161" t="s">
        <v>179</v>
      </c>
      <c r="AH161" t="s">
        <v>179</v>
      </c>
      <c r="AI161" t="s">
        <v>179</v>
      </c>
      <c r="AJ161" t="s">
        <v>179</v>
      </c>
      <c r="AK161" t="s">
        <v>179</v>
      </c>
      <c r="AL161" t="s">
        <v>179</v>
      </c>
      <c r="AM161" t="s">
        <v>179</v>
      </c>
      <c r="AN161" t="s">
        <v>179</v>
      </c>
      <c r="AO161" t="s">
        <v>179</v>
      </c>
      <c r="AP161" t="s">
        <v>179</v>
      </c>
      <c r="AQ161" t="s">
        <v>179</v>
      </c>
      <c r="AR161" t="s">
        <v>179</v>
      </c>
      <c r="AS161" t="s">
        <v>179</v>
      </c>
      <c r="AT161" t="s">
        <v>179</v>
      </c>
      <c r="AU161" t="s">
        <v>179</v>
      </c>
      <c r="AV161" t="s">
        <v>179</v>
      </c>
      <c r="AW161" t="s">
        <v>179</v>
      </c>
      <c r="AX161" t="s">
        <v>179</v>
      </c>
      <c r="AY161" t="s">
        <v>179</v>
      </c>
      <c r="AZ161" t="s">
        <v>179</v>
      </c>
      <c r="BA161" t="s">
        <v>179</v>
      </c>
      <c r="BC161" t="s">
        <v>317</v>
      </c>
      <c r="BD161" t="str">
        <f t="shared" si="152"/>
        <v>TRHTRABGS</v>
      </c>
      <c r="BU161">
        <v>0.09</v>
      </c>
      <c r="BV161" t="s">
        <v>48</v>
      </c>
    </row>
    <row r="162" spans="3:74">
      <c r="C162" t="str">
        <f t="shared" ref="C162" si="154">MID(E162,4,3)</f>
        <v>DST</v>
      </c>
      <c r="D162" t="str">
        <f t="shared" ref="D162" si="155">LEFT(E162,3)</f>
        <v>TRB</v>
      </c>
      <c r="E162" t="s">
        <v>318</v>
      </c>
      <c r="F162" s="3">
        <v>0.09</v>
      </c>
      <c r="G162" s="3">
        <v>0.09</v>
      </c>
      <c r="H162" s="3">
        <v>0.09</v>
      </c>
      <c r="I162" s="3">
        <v>0.09</v>
      </c>
      <c r="J162" s="3">
        <v>0.09</v>
      </c>
      <c r="K162" s="3">
        <v>0.09</v>
      </c>
      <c r="L162" s="3">
        <v>0.09</v>
      </c>
      <c r="M162" s="3">
        <v>0.09</v>
      </c>
      <c r="N162" s="3">
        <v>0.09</v>
      </c>
      <c r="O162" s="3">
        <v>0.09</v>
      </c>
      <c r="P162" s="3">
        <v>0.09</v>
      </c>
      <c r="Q162" s="3">
        <v>0.09</v>
      </c>
      <c r="R162" s="3">
        <v>0.09</v>
      </c>
      <c r="S162" s="3">
        <v>0.09</v>
      </c>
      <c r="T162" s="3">
        <v>0.09</v>
      </c>
      <c r="U162" s="3">
        <v>0.09</v>
      </c>
      <c r="V162" s="3">
        <v>0.09</v>
      </c>
      <c r="W162" s="3">
        <v>0.09</v>
      </c>
      <c r="X162" s="3">
        <v>0.09</v>
      </c>
      <c r="Y162" s="3">
        <v>0.09</v>
      </c>
      <c r="Z162" s="3">
        <v>0.09</v>
      </c>
      <c r="AA162" s="3">
        <v>0.09</v>
      </c>
      <c r="AB162" s="3">
        <v>0.09</v>
      </c>
      <c r="AC162" s="3">
        <v>0.09</v>
      </c>
      <c r="AD162" s="3">
        <v>0.09</v>
      </c>
      <c r="AE162" s="3">
        <v>0.09</v>
      </c>
      <c r="AF162" s="3">
        <v>0.09</v>
      </c>
      <c r="AG162" s="3">
        <v>0.09</v>
      </c>
      <c r="AH162" s="3">
        <v>0.09</v>
      </c>
      <c r="AI162" s="3">
        <v>0.09</v>
      </c>
      <c r="AJ162" s="3">
        <v>0.09</v>
      </c>
      <c r="AK162" s="3">
        <v>0.09</v>
      </c>
      <c r="AL162" s="3">
        <v>0.09</v>
      </c>
      <c r="AM162" s="3">
        <v>0.09</v>
      </c>
      <c r="AN162" s="3">
        <v>0.09</v>
      </c>
      <c r="AO162" s="3">
        <v>0.09</v>
      </c>
      <c r="AP162" s="3">
        <v>0.09</v>
      </c>
      <c r="AQ162" s="3">
        <v>0.09</v>
      </c>
      <c r="AR162" s="3">
        <v>0.09</v>
      </c>
      <c r="AS162" s="3">
        <v>0.09</v>
      </c>
      <c r="AT162" s="3">
        <v>0.09</v>
      </c>
      <c r="AU162" s="3">
        <v>0.09</v>
      </c>
      <c r="AV162" s="3">
        <v>0.09</v>
      </c>
      <c r="AW162" s="3">
        <v>0.09</v>
      </c>
      <c r="AX162" s="3">
        <v>0.09</v>
      </c>
      <c r="AY162" s="3">
        <v>0.09</v>
      </c>
      <c r="AZ162" s="3">
        <v>0.09</v>
      </c>
      <c r="BA162" s="3">
        <v>0.09</v>
      </c>
      <c r="BC162" t="s">
        <v>319</v>
      </c>
      <c r="BD162" t="str">
        <f t="shared" si="152"/>
        <v>TRHTRAGSL</v>
      </c>
      <c r="BU162">
        <v>0.08</v>
      </c>
      <c r="BV162" t="s">
        <v>66</v>
      </c>
    </row>
    <row r="163" spans="3:74">
      <c r="C163" t="str">
        <f t="shared" ref="C163:C226" si="156">MID(E163,4,3)</f>
        <v>ELC</v>
      </c>
      <c r="D163" t="str">
        <f t="shared" ref="D163:D226" si="157">LEFT(E163,3)</f>
        <v>TRB</v>
      </c>
      <c r="E163" t="s">
        <v>320</v>
      </c>
      <c r="F163" s="3">
        <v>0.15</v>
      </c>
      <c r="G163" s="3">
        <v>0.15</v>
      </c>
      <c r="H163" s="3">
        <v>0.15</v>
      </c>
      <c r="I163" s="3">
        <v>0.15</v>
      </c>
      <c r="J163" s="3">
        <v>0.15</v>
      </c>
      <c r="K163" s="3">
        <v>0.15</v>
      </c>
      <c r="L163" s="3">
        <v>0.15</v>
      </c>
      <c r="M163" s="3">
        <v>0.15</v>
      </c>
      <c r="N163" s="3">
        <v>0.15</v>
      </c>
      <c r="O163" s="3">
        <v>0.15</v>
      </c>
      <c r="P163" s="3">
        <v>0.15</v>
      </c>
      <c r="Q163" s="3">
        <v>0.15</v>
      </c>
      <c r="R163" s="3">
        <v>0.15</v>
      </c>
      <c r="S163" s="3">
        <v>0.15</v>
      </c>
      <c r="T163" s="3">
        <v>0.15</v>
      </c>
      <c r="U163" s="3">
        <v>0.15</v>
      </c>
      <c r="V163" s="3">
        <v>0.15</v>
      </c>
      <c r="W163" s="3">
        <v>0.15</v>
      </c>
      <c r="X163" s="3">
        <v>0.15</v>
      </c>
      <c r="Y163" s="3">
        <v>0.15</v>
      </c>
      <c r="Z163" s="3">
        <v>0.15</v>
      </c>
      <c r="AA163" s="3">
        <v>0.15</v>
      </c>
      <c r="AB163" s="3">
        <v>0.15</v>
      </c>
      <c r="AC163" s="3">
        <v>0.15</v>
      </c>
      <c r="AD163" s="3">
        <v>0.15</v>
      </c>
      <c r="AE163" s="3">
        <v>0.15</v>
      </c>
      <c r="AF163" s="3">
        <v>0.15</v>
      </c>
      <c r="AG163" s="3">
        <v>0.15</v>
      </c>
      <c r="AH163" s="3">
        <v>0.15</v>
      </c>
      <c r="AI163" s="3">
        <v>0.15</v>
      </c>
      <c r="AJ163" s="3">
        <v>0.15</v>
      </c>
      <c r="AK163" s="3">
        <v>0.15</v>
      </c>
      <c r="AL163" s="3">
        <v>0.15</v>
      </c>
      <c r="AM163" s="3">
        <v>0.15</v>
      </c>
      <c r="AN163" s="3">
        <v>0.15</v>
      </c>
      <c r="AO163" s="3">
        <v>0.15</v>
      </c>
      <c r="AP163" s="3">
        <v>0.15</v>
      </c>
      <c r="AQ163" s="3">
        <v>0.15</v>
      </c>
      <c r="AR163" s="3">
        <v>0.15</v>
      </c>
      <c r="AS163" s="3">
        <v>0.15</v>
      </c>
      <c r="AT163" s="3">
        <v>0.15</v>
      </c>
      <c r="AU163" s="3">
        <v>0.15</v>
      </c>
      <c r="AV163" s="3">
        <v>0.15</v>
      </c>
      <c r="AW163" s="3">
        <v>0.15</v>
      </c>
      <c r="AX163" s="3">
        <v>0.15</v>
      </c>
      <c r="AY163" s="3">
        <v>0.15</v>
      </c>
      <c r="AZ163" s="3">
        <v>0.15</v>
      </c>
      <c r="BA163" s="3">
        <v>0.15</v>
      </c>
      <c r="BC163" t="s">
        <v>321</v>
      </c>
      <c r="BD163" t="str">
        <f t="shared" si="152"/>
        <v>TRHTRALPG</v>
      </c>
      <c r="BU163">
        <v>0.06</v>
      </c>
      <c r="BV163" t="s">
        <v>74</v>
      </c>
    </row>
    <row r="164" spans="3:74">
      <c r="C164" t="str">
        <f t="shared" si="156"/>
        <v>ETH</v>
      </c>
      <c r="D164" t="str">
        <f t="shared" si="157"/>
        <v>TRB</v>
      </c>
      <c r="E164" t="s">
        <v>322</v>
      </c>
      <c r="F164" s="3">
        <v>0.09</v>
      </c>
      <c r="G164" s="3">
        <v>0.09</v>
      </c>
      <c r="H164" s="3">
        <v>0.09</v>
      </c>
      <c r="I164" s="3">
        <v>0.09</v>
      </c>
      <c r="J164" s="3">
        <v>0.09</v>
      </c>
      <c r="K164" s="3">
        <v>0.09</v>
      </c>
      <c r="L164" s="3">
        <v>0.09</v>
      </c>
      <c r="M164" s="3">
        <v>0.09</v>
      </c>
      <c r="N164" s="3">
        <v>0.09</v>
      </c>
      <c r="O164" s="3">
        <v>0.09</v>
      </c>
      <c r="P164" s="3">
        <v>0.09</v>
      </c>
      <c r="Q164" s="3">
        <v>0.09</v>
      </c>
      <c r="R164" s="3">
        <v>0.09</v>
      </c>
      <c r="S164" s="3">
        <v>0.09</v>
      </c>
      <c r="T164" s="3">
        <v>0.09</v>
      </c>
      <c r="U164" s="3">
        <v>0.09</v>
      </c>
      <c r="V164" s="3">
        <v>0.09</v>
      </c>
      <c r="W164" s="3">
        <v>0.09</v>
      </c>
      <c r="X164" s="3">
        <v>0.09</v>
      </c>
      <c r="Y164" s="3">
        <v>0.09</v>
      </c>
      <c r="Z164" s="3">
        <v>0.09</v>
      </c>
      <c r="AA164" s="3">
        <v>0.09</v>
      </c>
      <c r="AB164" s="3">
        <v>0.09</v>
      </c>
      <c r="AC164" s="3">
        <v>0.09</v>
      </c>
      <c r="AD164" s="3">
        <v>0.09</v>
      </c>
      <c r="AE164" s="3">
        <v>0.09</v>
      </c>
      <c r="AF164" s="3">
        <v>0.09</v>
      </c>
      <c r="AG164" s="3">
        <v>0.09</v>
      </c>
      <c r="AH164" s="3">
        <v>0.09</v>
      </c>
      <c r="AI164" s="3">
        <v>0.09</v>
      </c>
      <c r="AJ164" s="3">
        <v>0.09</v>
      </c>
      <c r="AK164" s="3">
        <v>0.09</v>
      </c>
      <c r="AL164" s="3">
        <v>0.09</v>
      </c>
      <c r="AM164" s="3">
        <v>0.09</v>
      </c>
      <c r="AN164" s="3">
        <v>0.09</v>
      </c>
      <c r="AO164" s="3">
        <v>0.09</v>
      </c>
      <c r="AP164" s="3">
        <v>0.09</v>
      </c>
      <c r="AQ164" s="3">
        <v>0.09</v>
      </c>
      <c r="AR164" s="3">
        <v>0.09</v>
      </c>
      <c r="AS164" s="3">
        <v>0.09</v>
      </c>
      <c r="AT164" s="3">
        <v>0.09</v>
      </c>
      <c r="AU164" s="3">
        <v>0.09</v>
      </c>
      <c r="AV164" s="3">
        <v>0.09</v>
      </c>
      <c r="AW164" s="3">
        <v>0.09</v>
      </c>
      <c r="AX164" s="3">
        <v>0.09</v>
      </c>
      <c r="AY164" s="3">
        <v>0.09</v>
      </c>
      <c r="AZ164" s="3">
        <v>0.09</v>
      </c>
      <c r="BA164" s="3">
        <v>0.09</v>
      </c>
      <c r="BC164" t="s">
        <v>323</v>
      </c>
      <c r="BD164" t="str">
        <f t="shared" si="152"/>
        <v>TRHTRABGS</v>
      </c>
      <c r="BU164">
        <v>0.1</v>
      </c>
      <c r="BV164" t="s">
        <v>48</v>
      </c>
    </row>
    <row r="165" spans="3:74">
      <c r="C165" t="str">
        <f t="shared" si="156"/>
        <v>GAS</v>
      </c>
      <c r="D165" t="str">
        <f t="shared" si="157"/>
        <v>TRB</v>
      </c>
      <c r="E165" t="s">
        <v>324</v>
      </c>
      <c r="F165" s="3">
        <v>0.09</v>
      </c>
      <c r="G165" s="3">
        <v>0.09</v>
      </c>
      <c r="H165" s="3">
        <v>0.09</v>
      </c>
      <c r="I165" s="3">
        <v>0.09</v>
      </c>
      <c r="J165" s="3">
        <v>0.09</v>
      </c>
      <c r="K165" s="3">
        <v>0.09</v>
      </c>
      <c r="L165" s="3">
        <v>0.09</v>
      </c>
      <c r="M165" s="3">
        <v>0.09</v>
      </c>
      <c r="N165" s="3">
        <v>0.09</v>
      </c>
      <c r="O165" s="3">
        <v>0.09</v>
      </c>
      <c r="P165" s="3">
        <v>0.09</v>
      </c>
      <c r="Q165" s="3">
        <v>0.09</v>
      </c>
      <c r="R165" s="3">
        <v>0.09</v>
      </c>
      <c r="S165" s="3">
        <v>0.09</v>
      </c>
      <c r="T165" s="3">
        <v>0.09</v>
      </c>
      <c r="U165" s="3">
        <v>0.09</v>
      </c>
      <c r="V165" s="3">
        <v>0.09</v>
      </c>
      <c r="W165" s="3">
        <v>0.09</v>
      </c>
      <c r="X165" s="3">
        <v>0.09</v>
      </c>
      <c r="Y165" s="3">
        <v>0.09</v>
      </c>
      <c r="Z165" s="3">
        <v>0.09</v>
      </c>
      <c r="AA165" s="3">
        <v>0.09</v>
      </c>
      <c r="AB165" s="3">
        <v>0.09</v>
      </c>
      <c r="AC165" s="3">
        <v>0.09</v>
      </c>
      <c r="AD165" s="3">
        <v>0.09</v>
      </c>
      <c r="AE165" s="3">
        <v>0.09</v>
      </c>
      <c r="AF165" s="3">
        <v>0.09</v>
      </c>
      <c r="AG165" s="3">
        <v>0.09</v>
      </c>
      <c r="AH165" s="3">
        <v>0.09</v>
      </c>
      <c r="AI165" s="3">
        <v>0.09</v>
      </c>
      <c r="AJ165" s="3">
        <v>0.09</v>
      </c>
      <c r="AK165" s="3">
        <v>0.09</v>
      </c>
      <c r="AL165" s="3">
        <v>0.09</v>
      </c>
      <c r="AM165" s="3">
        <v>0.09</v>
      </c>
      <c r="AN165" s="3">
        <v>0.09</v>
      </c>
      <c r="AO165" s="3">
        <v>0.09</v>
      </c>
      <c r="AP165" s="3">
        <v>0.09</v>
      </c>
      <c r="AQ165" s="3">
        <v>0.09</v>
      </c>
      <c r="AR165" s="3">
        <v>0.09</v>
      </c>
      <c r="AS165" s="3">
        <v>0.09</v>
      </c>
      <c r="AT165" s="3">
        <v>0.09</v>
      </c>
      <c r="AU165" s="3">
        <v>0.09</v>
      </c>
      <c r="AV165" s="3">
        <v>0.09</v>
      </c>
      <c r="AW165" s="3">
        <v>0.09</v>
      </c>
      <c r="AX165" s="3">
        <v>0.09</v>
      </c>
      <c r="AY165" s="3">
        <v>0.09</v>
      </c>
      <c r="AZ165" s="3">
        <v>0.09</v>
      </c>
      <c r="BA165" s="3">
        <v>0.09</v>
      </c>
      <c r="BC165" t="s">
        <v>325</v>
      </c>
      <c r="BD165" t="str">
        <f t="shared" si="152"/>
        <v>TRHTRANGA</v>
      </c>
      <c r="BU165">
        <v>0.06</v>
      </c>
      <c r="BV165" t="s">
        <v>52</v>
      </c>
    </row>
    <row r="166" spans="3:74">
      <c r="C166" t="str">
        <f t="shared" si="156"/>
        <v>HYB</v>
      </c>
      <c r="D166" t="str">
        <f t="shared" si="157"/>
        <v>TRB</v>
      </c>
      <c r="E166" t="s">
        <v>326</v>
      </c>
      <c r="F166" s="3">
        <v>0.15</v>
      </c>
      <c r="G166" s="3">
        <v>0.15</v>
      </c>
      <c r="H166" s="3">
        <v>0.15</v>
      </c>
      <c r="I166" s="3">
        <v>0.15</v>
      </c>
      <c r="J166" s="3">
        <v>0.15</v>
      </c>
      <c r="K166" s="3">
        <v>0.15</v>
      </c>
      <c r="L166" s="3">
        <v>0.15</v>
      </c>
      <c r="M166" s="3">
        <v>0.15</v>
      </c>
      <c r="N166" s="3">
        <v>0.15</v>
      </c>
      <c r="O166" s="3">
        <v>0.15</v>
      </c>
      <c r="P166" s="3">
        <v>0.15</v>
      </c>
      <c r="Q166" s="3">
        <v>0.15</v>
      </c>
      <c r="R166" s="3">
        <v>0.15</v>
      </c>
      <c r="S166" s="3">
        <v>0.15</v>
      </c>
      <c r="T166" s="3">
        <v>0.15</v>
      </c>
      <c r="U166" s="3">
        <v>0.15</v>
      </c>
      <c r="V166" s="3">
        <v>0.15</v>
      </c>
      <c r="W166" s="3">
        <v>0.15</v>
      </c>
      <c r="X166" s="3">
        <v>0.15</v>
      </c>
      <c r="Y166" s="3">
        <v>0.15</v>
      </c>
      <c r="Z166" s="3">
        <v>0.15</v>
      </c>
      <c r="AA166" s="3">
        <v>0.15</v>
      </c>
      <c r="AB166" s="3">
        <v>0.15</v>
      </c>
      <c r="AC166" s="3">
        <v>0.15</v>
      </c>
      <c r="AD166" s="3">
        <v>0.15</v>
      </c>
      <c r="AE166" s="3">
        <v>0.15</v>
      </c>
      <c r="AF166" s="3">
        <v>0.15</v>
      </c>
      <c r="AG166" s="3">
        <v>0.15</v>
      </c>
      <c r="AH166" s="3">
        <v>0.15</v>
      </c>
      <c r="AI166" s="3">
        <v>0.15</v>
      </c>
      <c r="AJ166" s="3">
        <v>0.15</v>
      </c>
      <c r="AK166" s="3">
        <v>0.15</v>
      </c>
      <c r="AL166" s="3">
        <v>0.15</v>
      </c>
      <c r="AM166" s="3">
        <v>0.15</v>
      </c>
      <c r="AN166" s="3">
        <v>0.15</v>
      </c>
      <c r="AO166" s="3">
        <v>0.15</v>
      </c>
      <c r="AP166" s="3">
        <v>0.15</v>
      </c>
      <c r="AQ166" s="3">
        <v>0.15</v>
      </c>
      <c r="AR166" s="3">
        <v>0.15</v>
      </c>
      <c r="AS166" s="3">
        <v>0.15</v>
      </c>
      <c r="AT166" s="3">
        <v>0.15</v>
      </c>
      <c r="AU166" s="3">
        <v>0.15</v>
      </c>
      <c r="AV166" s="3">
        <v>0.15</v>
      </c>
      <c r="AW166" s="3">
        <v>0.15</v>
      </c>
      <c r="AX166" s="3">
        <v>0.15</v>
      </c>
      <c r="AY166" s="3">
        <v>0.15</v>
      </c>
      <c r="AZ166" s="3">
        <v>0.15</v>
      </c>
      <c r="BA166" s="3">
        <v>0.15</v>
      </c>
      <c r="BC166" t="s">
        <v>327</v>
      </c>
      <c r="BD166" t="str">
        <f t="shared" si="152"/>
        <v>TRLTRADST</v>
      </c>
      <c r="BU166">
        <v>0.4</v>
      </c>
      <c r="BV166" t="s">
        <v>60</v>
      </c>
    </row>
    <row r="167" spans="3:74">
      <c r="C167" t="str">
        <f t="shared" si="156"/>
        <v>LPG</v>
      </c>
      <c r="D167" t="str">
        <f t="shared" si="157"/>
        <v>TRB</v>
      </c>
      <c r="E167" t="s">
        <v>328</v>
      </c>
      <c r="F167" s="3">
        <v>0.08</v>
      </c>
      <c r="G167" s="3">
        <v>0.08</v>
      </c>
      <c r="H167" s="3">
        <v>0.08</v>
      </c>
      <c r="I167" s="3">
        <v>0.08</v>
      </c>
      <c r="J167" s="3">
        <v>0.08</v>
      </c>
      <c r="K167" s="3">
        <v>0.08</v>
      </c>
      <c r="L167" s="3">
        <v>0.08</v>
      </c>
      <c r="M167" s="3">
        <v>0.08</v>
      </c>
      <c r="N167" s="3">
        <v>0.08</v>
      </c>
      <c r="O167" s="3">
        <v>0.08</v>
      </c>
      <c r="P167" s="3">
        <v>0.08</v>
      </c>
      <c r="Q167" s="3">
        <v>0.08</v>
      </c>
      <c r="R167" s="3">
        <v>0.08</v>
      </c>
      <c r="S167" s="3">
        <v>0.08</v>
      </c>
      <c r="T167" s="3">
        <v>0.08</v>
      </c>
      <c r="U167" s="3">
        <v>0.08</v>
      </c>
      <c r="V167" s="3">
        <v>0.08</v>
      </c>
      <c r="W167" s="3">
        <v>0.08</v>
      </c>
      <c r="X167" s="3">
        <v>0.08</v>
      </c>
      <c r="Y167" s="3">
        <v>0.08</v>
      </c>
      <c r="Z167" s="3">
        <v>0.08</v>
      </c>
      <c r="AA167" s="3">
        <v>0.08</v>
      </c>
      <c r="AB167" s="3">
        <v>0.08</v>
      </c>
      <c r="AC167" s="3">
        <v>0.08</v>
      </c>
      <c r="AD167" s="3">
        <v>0.08</v>
      </c>
      <c r="AE167" s="3">
        <v>0.08</v>
      </c>
      <c r="AF167" s="3">
        <v>0.08</v>
      </c>
      <c r="AG167" s="3">
        <v>0.08</v>
      </c>
      <c r="AH167" s="3">
        <v>0.08</v>
      </c>
      <c r="AI167" s="3">
        <v>0.08</v>
      </c>
      <c r="AJ167" s="3">
        <v>0.08</v>
      </c>
      <c r="AK167" s="3">
        <v>0.08</v>
      </c>
      <c r="AL167" s="3">
        <v>0.08</v>
      </c>
      <c r="AM167" s="3">
        <v>0.08</v>
      </c>
      <c r="AN167" s="3">
        <v>0.08</v>
      </c>
      <c r="AO167" s="3">
        <v>0.08</v>
      </c>
      <c r="AP167" s="3">
        <v>0.08</v>
      </c>
      <c r="AQ167" s="3">
        <v>0.08</v>
      </c>
      <c r="AR167" s="3">
        <v>0.08</v>
      </c>
      <c r="AS167" s="3">
        <v>0.08</v>
      </c>
      <c r="AT167" s="3">
        <v>0.08</v>
      </c>
      <c r="AU167" s="3">
        <v>0.08</v>
      </c>
      <c r="AV167" s="3">
        <v>0.08</v>
      </c>
      <c r="AW167" s="3">
        <v>0.08</v>
      </c>
      <c r="AX167" s="3">
        <v>0.08</v>
      </c>
      <c r="AY167" s="3">
        <v>0.08</v>
      </c>
      <c r="AZ167" s="3">
        <v>0.08</v>
      </c>
      <c r="BA167" s="3">
        <v>0.08</v>
      </c>
      <c r="BC167" t="s">
        <v>329</v>
      </c>
      <c r="BD167" t="str">
        <f t="shared" si="152"/>
        <v>TRLTRADST</v>
      </c>
      <c r="BU167">
        <v>0.44</v>
      </c>
      <c r="BV167" t="s">
        <v>60</v>
      </c>
    </row>
    <row r="168" spans="3:74">
      <c r="C168" t="str">
        <f t="shared" si="156"/>
        <v>MET</v>
      </c>
      <c r="D168" t="str">
        <f t="shared" si="157"/>
        <v>TRB</v>
      </c>
      <c r="E168" t="s">
        <v>330</v>
      </c>
      <c r="F168" s="3">
        <v>0.09</v>
      </c>
      <c r="G168" s="3">
        <v>0.09</v>
      </c>
      <c r="H168" s="3">
        <v>0.09</v>
      </c>
      <c r="I168" s="3">
        <v>0.09</v>
      </c>
      <c r="J168" s="3">
        <v>0.09</v>
      </c>
      <c r="K168" s="3">
        <v>0.09</v>
      </c>
      <c r="L168" s="3">
        <v>0.09</v>
      </c>
      <c r="M168" s="3">
        <v>0.09</v>
      </c>
      <c r="N168" s="3">
        <v>0.09</v>
      </c>
      <c r="O168" s="3">
        <v>0.09</v>
      </c>
      <c r="P168" s="3">
        <v>0.09</v>
      </c>
      <c r="Q168" s="3">
        <v>0.09</v>
      </c>
      <c r="R168" s="3">
        <v>0.09</v>
      </c>
      <c r="S168" s="3">
        <v>0.09</v>
      </c>
      <c r="T168" s="3">
        <v>0.09</v>
      </c>
      <c r="U168" s="3">
        <v>0.09</v>
      </c>
      <c r="V168" s="3">
        <v>0.09</v>
      </c>
      <c r="W168" s="3">
        <v>0.09</v>
      </c>
      <c r="X168" s="3">
        <v>0.09</v>
      </c>
      <c r="Y168" s="3">
        <v>0.09</v>
      </c>
      <c r="Z168" s="3">
        <v>0.09</v>
      </c>
      <c r="AA168" s="3">
        <v>0.09</v>
      </c>
      <c r="AB168" s="3">
        <v>0.09</v>
      </c>
      <c r="AC168" s="3">
        <v>0.09</v>
      </c>
      <c r="AD168" s="3">
        <v>0.09</v>
      </c>
      <c r="AE168" s="3">
        <v>0.09</v>
      </c>
      <c r="AF168" s="3">
        <v>0.09</v>
      </c>
      <c r="AG168" s="3">
        <v>0.09</v>
      </c>
      <c r="AH168" s="3">
        <v>0.09</v>
      </c>
      <c r="AI168" s="3">
        <v>0.09</v>
      </c>
      <c r="AJ168" s="3">
        <v>0.09</v>
      </c>
      <c r="AK168" s="3">
        <v>0.09</v>
      </c>
      <c r="AL168" s="3">
        <v>0.09</v>
      </c>
      <c r="AM168" s="3">
        <v>0.09</v>
      </c>
      <c r="AN168" s="3">
        <v>0.09</v>
      </c>
      <c r="AO168" s="3">
        <v>0.09</v>
      </c>
      <c r="AP168" s="3">
        <v>0.09</v>
      </c>
      <c r="AQ168" s="3">
        <v>0.09</v>
      </c>
      <c r="AR168" s="3">
        <v>0.09</v>
      </c>
      <c r="AS168" s="3">
        <v>0.09</v>
      </c>
      <c r="AT168" s="3">
        <v>0.09</v>
      </c>
      <c r="AU168" s="3">
        <v>0.09</v>
      </c>
      <c r="AV168" s="3">
        <v>0.09</v>
      </c>
      <c r="AW168" s="3">
        <v>0.09</v>
      </c>
      <c r="AX168" s="3">
        <v>0.09</v>
      </c>
      <c r="AY168" s="3">
        <v>0.09</v>
      </c>
      <c r="AZ168" s="3">
        <v>0.09</v>
      </c>
      <c r="BA168" s="3">
        <v>0.09</v>
      </c>
      <c r="BC168" t="s">
        <v>331</v>
      </c>
      <c r="BD168" t="str">
        <f t="shared" si="152"/>
        <v>TRLTRADST</v>
      </c>
      <c r="BU168">
        <v>0.48</v>
      </c>
      <c r="BV168" t="s">
        <v>60</v>
      </c>
    </row>
    <row r="169" spans="3:74">
      <c r="C169" t="str">
        <f t="shared" si="156"/>
        <v>NGA</v>
      </c>
      <c r="D169" t="str">
        <f t="shared" si="157"/>
        <v>TRB</v>
      </c>
      <c r="E169" t="s">
        <v>332</v>
      </c>
      <c r="F169" s="3">
        <v>0.09</v>
      </c>
      <c r="G169" s="3">
        <v>0.09</v>
      </c>
      <c r="H169" s="3">
        <v>0.09</v>
      </c>
      <c r="I169" s="3">
        <v>0.09</v>
      </c>
      <c r="J169" s="3">
        <v>0.09</v>
      </c>
      <c r="K169" s="3">
        <v>0.09</v>
      </c>
      <c r="L169" s="3">
        <v>0.09</v>
      </c>
      <c r="M169" s="3">
        <v>0.09</v>
      </c>
      <c r="N169" s="3">
        <v>0.09</v>
      </c>
      <c r="O169" s="3">
        <v>0.09</v>
      </c>
      <c r="P169" s="3">
        <v>0.09</v>
      </c>
      <c r="Q169" s="3">
        <v>0.09</v>
      </c>
      <c r="R169" s="3">
        <v>0.09</v>
      </c>
      <c r="S169" s="3">
        <v>0.09</v>
      </c>
      <c r="T169" s="3">
        <v>0.09</v>
      </c>
      <c r="U169" s="3">
        <v>0.09</v>
      </c>
      <c r="V169" s="3">
        <v>0.09</v>
      </c>
      <c r="W169" s="3">
        <v>0.09</v>
      </c>
      <c r="X169" s="3">
        <v>0.09</v>
      </c>
      <c r="Y169" s="3">
        <v>0.09</v>
      </c>
      <c r="Z169" s="3">
        <v>0.09</v>
      </c>
      <c r="AA169" s="3">
        <v>0.09</v>
      </c>
      <c r="AB169" s="3">
        <v>0.09</v>
      </c>
      <c r="AC169" s="3">
        <v>0.09</v>
      </c>
      <c r="AD169" s="3">
        <v>0.09</v>
      </c>
      <c r="AE169" s="3">
        <v>0.09</v>
      </c>
      <c r="AF169" s="3">
        <v>0.09</v>
      </c>
      <c r="AG169" s="3">
        <v>0.09</v>
      </c>
      <c r="AH169" s="3">
        <v>0.09</v>
      </c>
      <c r="AI169" s="3">
        <v>0.09</v>
      </c>
      <c r="AJ169" s="3">
        <v>0.09</v>
      </c>
      <c r="AK169" s="3">
        <v>0.09</v>
      </c>
      <c r="AL169" s="3">
        <v>0.09</v>
      </c>
      <c r="AM169" s="3">
        <v>0.09</v>
      </c>
      <c r="AN169" s="3">
        <v>0.09</v>
      </c>
      <c r="AO169" s="3">
        <v>0.09</v>
      </c>
      <c r="AP169" s="3">
        <v>0.09</v>
      </c>
      <c r="AQ169" s="3">
        <v>0.09</v>
      </c>
      <c r="AR169" s="3">
        <v>0.09</v>
      </c>
      <c r="AS169" s="3">
        <v>0.09</v>
      </c>
      <c r="AT169" s="3">
        <v>0.09</v>
      </c>
      <c r="AU169" s="3">
        <v>0.09</v>
      </c>
      <c r="AV169" s="3">
        <v>0.09</v>
      </c>
      <c r="AW169" s="3">
        <v>0.09</v>
      </c>
      <c r="AX169" s="3">
        <v>0.09</v>
      </c>
      <c r="AY169" s="3">
        <v>0.09</v>
      </c>
      <c r="AZ169" s="3">
        <v>0.09</v>
      </c>
      <c r="BA169" s="3">
        <v>0.09</v>
      </c>
      <c r="BC169" t="s">
        <v>333</v>
      </c>
      <c r="BD169" t="str">
        <f t="shared" ref="BD169:BD198" si="158">LEFT(BC169,3)&amp;BV169</f>
        <v>TRLTRABGS</v>
      </c>
      <c r="BU169">
        <v>0.41</v>
      </c>
      <c r="BV169" t="s">
        <v>48</v>
      </c>
    </row>
    <row r="170" spans="3:74">
      <c r="C170" t="str">
        <f t="shared" si="156"/>
        <v>DSA</v>
      </c>
      <c r="D170" t="str">
        <f t="shared" si="157"/>
        <v>TRC</v>
      </c>
      <c r="E170" t="s">
        <v>334</v>
      </c>
      <c r="F170" s="3">
        <v>0.2</v>
      </c>
      <c r="G170" s="3">
        <v>0.2</v>
      </c>
      <c r="H170" s="3">
        <v>0.2</v>
      </c>
      <c r="I170" s="3">
        <v>0.2</v>
      </c>
      <c r="J170" s="3">
        <v>0.2</v>
      </c>
      <c r="K170" s="3">
        <v>0.2</v>
      </c>
      <c r="L170" s="3">
        <v>0.2</v>
      </c>
      <c r="M170" s="3">
        <v>0.2</v>
      </c>
      <c r="N170" s="3">
        <v>0.2</v>
      </c>
      <c r="O170" s="3">
        <v>0.2</v>
      </c>
      <c r="P170" s="3">
        <v>0.2</v>
      </c>
      <c r="Q170" s="3">
        <v>0.2</v>
      </c>
      <c r="R170" s="3">
        <v>0.2</v>
      </c>
      <c r="S170" s="3">
        <v>0.2</v>
      </c>
      <c r="T170" s="3">
        <v>0.2</v>
      </c>
      <c r="U170" s="3">
        <v>0.2</v>
      </c>
      <c r="V170" s="3">
        <v>0.2</v>
      </c>
      <c r="W170" s="3">
        <v>0.2</v>
      </c>
      <c r="X170" s="3">
        <v>0.2</v>
      </c>
      <c r="Y170" s="3">
        <v>0.2</v>
      </c>
      <c r="Z170" s="3">
        <v>0.2</v>
      </c>
      <c r="AA170" s="3">
        <v>0.2</v>
      </c>
      <c r="AB170" s="3">
        <v>0.2</v>
      </c>
      <c r="AC170" s="3">
        <v>0.2</v>
      </c>
      <c r="AD170" s="3">
        <v>0.2</v>
      </c>
      <c r="AE170" s="3">
        <v>0.2</v>
      </c>
      <c r="AF170" s="3">
        <v>0.2</v>
      </c>
      <c r="AG170" s="3">
        <v>0.2</v>
      </c>
      <c r="AH170" s="3">
        <v>0.2</v>
      </c>
      <c r="AI170" s="3">
        <v>0.2</v>
      </c>
      <c r="AJ170" s="3">
        <v>0.2</v>
      </c>
      <c r="AK170" s="3">
        <v>0.2</v>
      </c>
      <c r="AL170" s="3">
        <v>0.2</v>
      </c>
      <c r="AM170" s="3">
        <v>0.2</v>
      </c>
      <c r="AN170" s="3">
        <v>0.2</v>
      </c>
      <c r="AO170" s="3">
        <v>0.2</v>
      </c>
      <c r="AP170" s="3">
        <v>0.2</v>
      </c>
      <c r="AQ170" s="3">
        <v>0.2</v>
      </c>
      <c r="AR170" s="3">
        <v>0.2</v>
      </c>
      <c r="AS170" s="3">
        <v>0.2</v>
      </c>
      <c r="AT170" s="3">
        <v>0.2</v>
      </c>
      <c r="AU170" s="3">
        <v>0.2</v>
      </c>
      <c r="AV170" s="3">
        <v>0.2</v>
      </c>
      <c r="AW170" s="3">
        <v>0.2</v>
      </c>
      <c r="AX170" s="3">
        <v>0.2</v>
      </c>
      <c r="AY170" s="3">
        <v>0.2</v>
      </c>
      <c r="AZ170" s="3">
        <v>0.2</v>
      </c>
      <c r="BA170" s="3">
        <v>0.2</v>
      </c>
      <c r="BC170" t="s">
        <v>335</v>
      </c>
      <c r="BD170" t="str">
        <f t="shared" si="158"/>
        <v>TRLTRABGS</v>
      </c>
      <c r="BU170">
        <v>0.41</v>
      </c>
      <c r="BV170" t="s">
        <v>48</v>
      </c>
    </row>
    <row r="171" spans="3:74">
      <c r="C171" t="str">
        <f t="shared" si="156"/>
        <v>DSB</v>
      </c>
      <c r="D171" t="str">
        <f t="shared" si="157"/>
        <v>TRC</v>
      </c>
      <c r="E171" t="s">
        <v>336</v>
      </c>
      <c r="F171" s="3">
        <v>0.24</v>
      </c>
      <c r="G171" s="3">
        <v>0.24</v>
      </c>
      <c r="H171" s="3">
        <v>0.24</v>
      </c>
      <c r="I171" s="3">
        <v>0.24</v>
      </c>
      <c r="J171" s="3">
        <v>0.24</v>
      </c>
      <c r="K171" s="3">
        <v>0.24</v>
      </c>
      <c r="L171" s="3">
        <v>0.24</v>
      </c>
      <c r="M171" s="3">
        <v>0.24</v>
      </c>
      <c r="N171" s="3">
        <v>0.24</v>
      </c>
      <c r="O171" s="3">
        <v>0.24</v>
      </c>
      <c r="P171" s="3">
        <v>0.24</v>
      </c>
      <c r="Q171" s="3">
        <v>0.24</v>
      </c>
      <c r="R171" s="3">
        <v>0.24</v>
      </c>
      <c r="S171" s="3">
        <v>0.24</v>
      </c>
      <c r="T171" s="3">
        <v>0.24</v>
      </c>
      <c r="U171" s="3">
        <v>0.24</v>
      </c>
      <c r="V171" s="3">
        <v>0.24</v>
      </c>
      <c r="W171" s="3">
        <v>0.24</v>
      </c>
      <c r="X171" s="3">
        <v>0.24</v>
      </c>
      <c r="Y171" s="3">
        <v>0.24</v>
      </c>
      <c r="Z171" s="3">
        <v>0.24</v>
      </c>
      <c r="AA171" s="3">
        <v>0.24</v>
      </c>
      <c r="AB171" s="3">
        <v>0.24</v>
      </c>
      <c r="AC171" s="3">
        <v>0.24</v>
      </c>
      <c r="AD171" s="3">
        <v>0.24</v>
      </c>
      <c r="AE171" s="3">
        <v>0.24</v>
      </c>
      <c r="AF171" s="3">
        <v>0.24</v>
      </c>
      <c r="AG171" s="3">
        <v>0.24</v>
      </c>
      <c r="AH171" s="3">
        <v>0.24</v>
      </c>
      <c r="AI171" s="3">
        <v>0.24</v>
      </c>
      <c r="AJ171" s="3">
        <v>0.24</v>
      </c>
      <c r="AK171" s="3">
        <v>0.24</v>
      </c>
      <c r="AL171" s="3">
        <v>0.24</v>
      </c>
      <c r="AM171" s="3">
        <v>0.24</v>
      </c>
      <c r="AN171" s="3">
        <v>0.24</v>
      </c>
      <c r="AO171" s="3">
        <v>0.24</v>
      </c>
      <c r="AP171" s="3">
        <v>0.24</v>
      </c>
      <c r="AQ171" s="3">
        <v>0.24</v>
      </c>
      <c r="AR171" s="3">
        <v>0.24</v>
      </c>
      <c r="AS171" s="3">
        <v>0.24</v>
      </c>
      <c r="AT171" s="3">
        <v>0.24</v>
      </c>
      <c r="AU171" s="3">
        <v>0.24</v>
      </c>
      <c r="AV171" s="3">
        <v>0.24</v>
      </c>
      <c r="AW171" s="3">
        <v>0.24</v>
      </c>
      <c r="AX171" s="3">
        <v>0.24</v>
      </c>
      <c r="AY171" s="3">
        <v>0.24</v>
      </c>
      <c r="AZ171" s="3">
        <v>0.24</v>
      </c>
      <c r="BA171" s="3">
        <v>0.24</v>
      </c>
      <c r="BC171" t="s">
        <v>337</v>
      </c>
      <c r="BD171" t="str">
        <f t="shared" si="158"/>
        <v>TRLTRAELC</v>
      </c>
      <c r="BU171">
        <v>0.7</v>
      </c>
      <c r="BV171" t="s">
        <v>64</v>
      </c>
    </row>
    <row r="172" spans="3:74">
      <c r="C172" t="str">
        <f t="shared" si="156"/>
        <v>DST</v>
      </c>
      <c r="D172" t="str">
        <f t="shared" si="157"/>
        <v>TRC</v>
      </c>
      <c r="E172" t="s">
        <v>338</v>
      </c>
      <c r="F172" s="3">
        <v>0.18</v>
      </c>
      <c r="G172" s="3">
        <v>0.18</v>
      </c>
      <c r="H172" s="3">
        <v>0.18</v>
      </c>
      <c r="I172" s="3">
        <v>0.18</v>
      </c>
      <c r="J172" s="3">
        <v>0.18</v>
      </c>
      <c r="K172" s="3">
        <v>0.18</v>
      </c>
      <c r="L172" s="3">
        <v>0.18</v>
      </c>
      <c r="M172" s="3">
        <v>0.18</v>
      </c>
      <c r="N172" s="3">
        <v>0.18</v>
      </c>
      <c r="O172" s="3">
        <v>0.18</v>
      </c>
      <c r="P172" s="3">
        <v>0.18</v>
      </c>
      <c r="Q172" s="3">
        <v>0.18</v>
      </c>
      <c r="R172" s="3">
        <v>0.18</v>
      </c>
      <c r="S172" s="3">
        <v>0.18</v>
      </c>
      <c r="T172" s="3">
        <v>0.18</v>
      </c>
      <c r="U172" s="3">
        <v>0.18</v>
      </c>
      <c r="V172" s="3">
        <v>0.18</v>
      </c>
      <c r="W172" s="3">
        <v>0.18</v>
      </c>
      <c r="X172" s="3">
        <v>0.18</v>
      </c>
      <c r="Y172" s="3">
        <v>0.18</v>
      </c>
      <c r="Z172" s="3">
        <v>0.18</v>
      </c>
      <c r="AA172" s="3">
        <v>0.18</v>
      </c>
      <c r="AB172" s="3">
        <v>0.18</v>
      </c>
      <c r="AC172" s="3">
        <v>0.18</v>
      </c>
      <c r="AD172" s="3">
        <v>0.18</v>
      </c>
      <c r="AE172" s="3">
        <v>0.18</v>
      </c>
      <c r="AF172" s="3">
        <v>0.18</v>
      </c>
      <c r="AG172" s="3">
        <v>0.18</v>
      </c>
      <c r="AH172" s="3">
        <v>0.18</v>
      </c>
      <c r="AI172" s="3">
        <v>0.18</v>
      </c>
      <c r="AJ172" s="3">
        <v>0.18</v>
      </c>
      <c r="AK172" s="3">
        <v>0.18</v>
      </c>
      <c r="AL172" s="3">
        <v>0.18</v>
      </c>
      <c r="AM172" s="3">
        <v>0.18</v>
      </c>
      <c r="AN172" s="3">
        <v>0.18</v>
      </c>
      <c r="AO172" s="3">
        <v>0.18</v>
      </c>
      <c r="AP172" s="3">
        <v>0.18</v>
      </c>
      <c r="AQ172" s="3">
        <v>0.18</v>
      </c>
      <c r="AR172" s="3">
        <v>0.18</v>
      </c>
      <c r="AS172" s="3">
        <v>0.18</v>
      </c>
      <c r="AT172" s="3">
        <v>0.18</v>
      </c>
      <c r="AU172" s="3">
        <v>0.18</v>
      </c>
      <c r="AV172" s="3">
        <v>0.18</v>
      </c>
      <c r="AW172" s="3">
        <v>0.18</v>
      </c>
      <c r="AX172" s="3">
        <v>0.18</v>
      </c>
      <c r="AY172" s="3">
        <v>0.18</v>
      </c>
      <c r="AZ172" s="3">
        <v>0.18</v>
      </c>
      <c r="BA172" s="3">
        <v>0.18</v>
      </c>
      <c r="BC172" t="s">
        <v>339</v>
      </c>
      <c r="BD172" t="str">
        <f t="shared" si="158"/>
        <v>TRLTRABGS</v>
      </c>
      <c r="BU172">
        <v>0.39</v>
      </c>
      <c r="BV172" t="s">
        <v>48</v>
      </c>
    </row>
    <row r="173" spans="3:74">
      <c r="C173" t="str">
        <f t="shared" si="156"/>
        <v>ETA</v>
      </c>
      <c r="D173" t="str">
        <f t="shared" si="157"/>
        <v>TRC</v>
      </c>
      <c r="E173" t="s">
        <v>340</v>
      </c>
      <c r="F173" s="3">
        <v>0.18</v>
      </c>
      <c r="G173" s="3">
        <v>0.18</v>
      </c>
      <c r="H173" s="3">
        <v>0.18</v>
      </c>
      <c r="I173" s="3">
        <v>0.18</v>
      </c>
      <c r="J173" s="3">
        <v>0.18</v>
      </c>
      <c r="K173" s="3">
        <v>0.18</v>
      </c>
      <c r="L173" s="3">
        <v>0.18</v>
      </c>
      <c r="M173" s="3">
        <v>0.18</v>
      </c>
      <c r="N173" s="3">
        <v>0.18</v>
      </c>
      <c r="O173" s="3">
        <v>0.18</v>
      </c>
      <c r="P173" s="3">
        <v>0.18</v>
      </c>
      <c r="Q173" s="3">
        <v>0.18</v>
      </c>
      <c r="R173" s="3">
        <v>0.18</v>
      </c>
      <c r="S173" s="3">
        <v>0.18</v>
      </c>
      <c r="T173" s="3">
        <v>0.18</v>
      </c>
      <c r="U173" s="3">
        <v>0.18</v>
      </c>
      <c r="V173" s="3">
        <v>0.18</v>
      </c>
      <c r="W173" s="3">
        <v>0.18</v>
      </c>
      <c r="X173" s="3">
        <v>0.18</v>
      </c>
      <c r="Y173" s="3">
        <v>0.18</v>
      </c>
      <c r="Z173" s="3">
        <v>0.18</v>
      </c>
      <c r="AA173" s="3">
        <v>0.18</v>
      </c>
      <c r="AB173" s="3">
        <v>0.18</v>
      </c>
      <c r="AC173" s="3">
        <v>0.18</v>
      </c>
      <c r="AD173" s="3">
        <v>0.18</v>
      </c>
      <c r="AE173" s="3">
        <v>0.18</v>
      </c>
      <c r="AF173" s="3">
        <v>0.18</v>
      </c>
      <c r="AG173" s="3">
        <v>0.18</v>
      </c>
      <c r="AH173" s="3">
        <v>0.18</v>
      </c>
      <c r="AI173" s="3">
        <v>0.18</v>
      </c>
      <c r="AJ173" s="3">
        <v>0.18</v>
      </c>
      <c r="AK173" s="3">
        <v>0.18</v>
      </c>
      <c r="AL173" s="3">
        <v>0.18</v>
      </c>
      <c r="AM173" s="3">
        <v>0.18</v>
      </c>
      <c r="AN173" s="3">
        <v>0.18</v>
      </c>
      <c r="AO173" s="3">
        <v>0.18</v>
      </c>
      <c r="AP173" s="3">
        <v>0.18</v>
      </c>
      <c r="AQ173" s="3">
        <v>0.18</v>
      </c>
      <c r="AR173" s="3">
        <v>0.18</v>
      </c>
      <c r="AS173" s="3">
        <v>0.18</v>
      </c>
      <c r="AT173" s="3">
        <v>0.18</v>
      </c>
      <c r="AU173" s="3">
        <v>0.18</v>
      </c>
      <c r="AV173" s="3">
        <v>0.18</v>
      </c>
      <c r="AW173" s="3">
        <v>0.18</v>
      </c>
      <c r="AX173" s="3">
        <v>0.18</v>
      </c>
      <c r="AY173" s="3">
        <v>0.18</v>
      </c>
      <c r="AZ173" s="3">
        <v>0.18</v>
      </c>
      <c r="BA173" s="3">
        <v>0.18</v>
      </c>
      <c r="BC173" t="s">
        <v>341</v>
      </c>
      <c r="BD173" t="str">
        <f t="shared" si="158"/>
        <v>TRLTRAGSL</v>
      </c>
      <c r="BU173">
        <v>0.34</v>
      </c>
      <c r="BV173" t="s">
        <v>66</v>
      </c>
    </row>
    <row r="174" spans="3:74">
      <c r="C174" t="str">
        <f t="shared" si="156"/>
        <v>ETB</v>
      </c>
      <c r="D174" t="str">
        <f t="shared" si="157"/>
        <v>TRC</v>
      </c>
      <c r="E174" t="s">
        <v>342</v>
      </c>
      <c r="F174" s="3">
        <v>0.2</v>
      </c>
      <c r="G174" s="3">
        <v>0.2</v>
      </c>
      <c r="H174" s="3">
        <v>0.2</v>
      </c>
      <c r="I174" s="3">
        <v>0.2</v>
      </c>
      <c r="J174" s="3">
        <v>0.2</v>
      </c>
      <c r="K174" s="3">
        <v>0.2</v>
      </c>
      <c r="L174" s="3">
        <v>0.2</v>
      </c>
      <c r="M174" s="3">
        <v>0.2</v>
      </c>
      <c r="N174" s="3">
        <v>0.2</v>
      </c>
      <c r="O174" s="3">
        <v>0.2</v>
      </c>
      <c r="P174" s="3">
        <v>0.2</v>
      </c>
      <c r="Q174" s="3">
        <v>0.2</v>
      </c>
      <c r="R174" s="3">
        <v>0.2</v>
      </c>
      <c r="S174" s="3">
        <v>0.2</v>
      </c>
      <c r="T174" s="3">
        <v>0.2</v>
      </c>
      <c r="U174" s="3">
        <v>0.2</v>
      </c>
      <c r="V174" s="3">
        <v>0.2</v>
      </c>
      <c r="W174" s="3">
        <v>0.2</v>
      </c>
      <c r="X174" s="3">
        <v>0.2</v>
      </c>
      <c r="Y174" s="3">
        <v>0.2</v>
      </c>
      <c r="Z174" s="3">
        <v>0.2</v>
      </c>
      <c r="AA174" s="3">
        <v>0.2</v>
      </c>
      <c r="AB174" s="3">
        <v>0.2</v>
      </c>
      <c r="AC174" s="3">
        <v>0.2</v>
      </c>
      <c r="AD174" s="3">
        <v>0.2</v>
      </c>
      <c r="AE174" s="3">
        <v>0.2</v>
      </c>
      <c r="AF174" s="3">
        <v>0.2</v>
      </c>
      <c r="AG174" s="3">
        <v>0.2</v>
      </c>
      <c r="AH174" s="3">
        <v>0.2</v>
      </c>
      <c r="AI174" s="3">
        <v>0.2</v>
      </c>
      <c r="AJ174" s="3">
        <v>0.2</v>
      </c>
      <c r="AK174" s="3">
        <v>0.2</v>
      </c>
      <c r="AL174" s="3">
        <v>0.2</v>
      </c>
      <c r="AM174" s="3">
        <v>0.2</v>
      </c>
      <c r="AN174" s="3">
        <v>0.2</v>
      </c>
      <c r="AO174" s="3">
        <v>0.2</v>
      </c>
      <c r="AP174" s="3">
        <v>0.2</v>
      </c>
      <c r="AQ174" s="3">
        <v>0.2</v>
      </c>
      <c r="AR174" s="3">
        <v>0.2</v>
      </c>
      <c r="AS174" s="3">
        <v>0.2</v>
      </c>
      <c r="AT174" s="3">
        <v>0.2</v>
      </c>
      <c r="AU174" s="3">
        <v>0.2</v>
      </c>
      <c r="AV174" s="3">
        <v>0.2</v>
      </c>
      <c r="AW174" s="3">
        <v>0.2</v>
      </c>
      <c r="AX174" s="3">
        <v>0.2</v>
      </c>
      <c r="AY174" s="3">
        <v>0.2</v>
      </c>
      <c r="AZ174" s="3">
        <v>0.2</v>
      </c>
      <c r="BA174" s="3">
        <v>0.2</v>
      </c>
      <c r="BC174" t="s">
        <v>343</v>
      </c>
      <c r="BD174" t="str">
        <f t="shared" si="158"/>
        <v>TRLTRAGSL</v>
      </c>
      <c r="BU174">
        <v>0.37</v>
      </c>
      <c r="BV174" t="s">
        <v>66</v>
      </c>
    </row>
    <row r="175" spans="3:74">
      <c r="C175" t="str">
        <f t="shared" si="156"/>
        <v>ETH</v>
      </c>
      <c r="D175" t="str">
        <f t="shared" si="157"/>
        <v>TRC</v>
      </c>
      <c r="E175" t="s">
        <v>344</v>
      </c>
      <c r="F175" s="3">
        <v>0.16</v>
      </c>
      <c r="G175" s="3">
        <v>0.16</v>
      </c>
      <c r="H175" s="3">
        <v>0.16</v>
      </c>
      <c r="I175" s="3">
        <v>0.16</v>
      </c>
      <c r="J175" s="3">
        <v>0.16</v>
      </c>
      <c r="K175" s="3">
        <v>0.16</v>
      </c>
      <c r="L175" s="3">
        <v>0.16</v>
      </c>
      <c r="M175" s="3">
        <v>0.16</v>
      </c>
      <c r="N175" s="3">
        <v>0.16</v>
      </c>
      <c r="O175" s="3">
        <v>0.16</v>
      </c>
      <c r="P175" s="3">
        <v>0.16</v>
      </c>
      <c r="Q175" s="3">
        <v>0.16</v>
      </c>
      <c r="R175" s="3">
        <v>0.16</v>
      </c>
      <c r="S175" s="3">
        <v>0.16</v>
      </c>
      <c r="T175" s="3">
        <v>0.16</v>
      </c>
      <c r="U175" s="3">
        <v>0.16</v>
      </c>
      <c r="V175" s="3">
        <v>0.16</v>
      </c>
      <c r="W175" s="3">
        <v>0.16</v>
      </c>
      <c r="X175" s="3">
        <v>0.16</v>
      </c>
      <c r="Y175" s="3">
        <v>0.16</v>
      </c>
      <c r="Z175" s="3">
        <v>0.16</v>
      </c>
      <c r="AA175" s="3">
        <v>0.16</v>
      </c>
      <c r="AB175" s="3">
        <v>0.16</v>
      </c>
      <c r="AC175" s="3">
        <v>0.16</v>
      </c>
      <c r="AD175" s="3">
        <v>0.16</v>
      </c>
      <c r="AE175" s="3">
        <v>0.16</v>
      </c>
      <c r="AF175" s="3">
        <v>0.16</v>
      </c>
      <c r="AG175" s="3">
        <v>0.16</v>
      </c>
      <c r="AH175" s="3">
        <v>0.16</v>
      </c>
      <c r="AI175" s="3">
        <v>0.16</v>
      </c>
      <c r="AJ175" s="3">
        <v>0.16</v>
      </c>
      <c r="AK175" s="3">
        <v>0.16</v>
      </c>
      <c r="AL175" s="3">
        <v>0.16</v>
      </c>
      <c r="AM175" s="3">
        <v>0.16</v>
      </c>
      <c r="AN175" s="3">
        <v>0.16</v>
      </c>
      <c r="AO175" s="3">
        <v>0.16</v>
      </c>
      <c r="AP175" s="3">
        <v>0.16</v>
      </c>
      <c r="AQ175" s="3">
        <v>0.16</v>
      </c>
      <c r="AR175" s="3">
        <v>0.16</v>
      </c>
      <c r="AS175" s="3">
        <v>0.16</v>
      </c>
      <c r="AT175" s="3">
        <v>0.16</v>
      </c>
      <c r="AU175" s="3">
        <v>0.16</v>
      </c>
      <c r="AV175" s="3">
        <v>0.16</v>
      </c>
      <c r="AW175" s="3">
        <v>0.16</v>
      </c>
      <c r="AX175" s="3">
        <v>0.16</v>
      </c>
      <c r="AY175" s="3">
        <v>0.16</v>
      </c>
      <c r="AZ175" s="3">
        <v>0.16</v>
      </c>
      <c r="BA175" s="3">
        <v>0.16</v>
      </c>
      <c r="BC175" t="s">
        <v>345</v>
      </c>
      <c r="BD175" t="str">
        <f t="shared" si="158"/>
        <v>TRLTRAGSL</v>
      </c>
      <c r="BU175">
        <v>0.41</v>
      </c>
      <c r="BV175" t="s">
        <v>66</v>
      </c>
    </row>
    <row r="176" spans="3:74">
      <c r="C176" t="str">
        <f t="shared" si="156"/>
        <v>GAS</v>
      </c>
      <c r="D176" t="str">
        <f t="shared" si="157"/>
        <v>TRC</v>
      </c>
      <c r="E176" t="s">
        <v>346</v>
      </c>
      <c r="F176" s="3">
        <v>0.16</v>
      </c>
      <c r="G176" s="3">
        <v>0.16</v>
      </c>
      <c r="H176" s="3">
        <v>0.16</v>
      </c>
      <c r="I176" s="3">
        <v>0.16</v>
      </c>
      <c r="J176" s="3">
        <v>0.16</v>
      </c>
      <c r="K176" s="3">
        <v>0.16</v>
      </c>
      <c r="L176" s="3">
        <v>0.16</v>
      </c>
      <c r="M176" s="3">
        <v>0.16</v>
      </c>
      <c r="N176" s="3">
        <v>0.16</v>
      </c>
      <c r="O176" s="3">
        <v>0.16</v>
      </c>
      <c r="P176" s="3">
        <v>0.16</v>
      </c>
      <c r="Q176" s="3">
        <v>0.16</v>
      </c>
      <c r="R176" s="3">
        <v>0.16</v>
      </c>
      <c r="S176" s="3">
        <v>0.16</v>
      </c>
      <c r="T176" s="3">
        <v>0.16</v>
      </c>
      <c r="U176" s="3">
        <v>0.16</v>
      </c>
      <c r="V176" s="3">
        <v>0.16</v>
      </c>
      <c r="W176" s="3">
        <v>0.16</v>
      </c>
      <c r="X176" s="3">
        <v>0.16</v>
      </c>
      <c r="Y176" s="3">
        <v>0.16</v>
      </c>
      <c r="Z176" s="3">
        <v>0.16</v>
      </c>
      <c r="AA176" s="3">
        <v>0.16</v>
      </c>
      <c r="AB176" s="3">
        <v>0.16</v>
      </c>
      <c r="AC176" s="3">
        <v>0.16</v>
      </c>
      <c r="AD176" s="3">
        <v>0.16</v>
      </c>
      <c r="AE176" s="3">
        <v>0.16</v>
      </c>
      <c r="AF176" s="3">
        <v>0.16</v>
      </c>
      <c r="AG176" s="3">
        <v>0.16</v>
      </c>
      <c r="AH176" s="3">
        <v>0.16</v>
      </c>
      <c r="AI176" s="3">
        <v>0.16</v>
      </c>
      <c r="AJ176" s="3">
        <v>0.16</v>
      </c>
      <c r="AK176" s="3">
        <v>0.16</v>
      </c>
      <c r="AL176" s="3">
        <v>0.16</v>
      </c>
      <c r="AM176" s="3">
        <v>0.16</v>
      </c>
      <c r="AN176" s="3">
        <v>0.16</v>
      </c>
      <c r="AO176" s="3">
        <v>0.16</v>
      </c>
      <c r="AP176" s="3">
        <v>0.16</v>
      </c>
      <c r="AQ176" s="3">
        <v>0.16</v>
      </c>
      <c r="AR176" s="3">
        <v>0.16</v>
      </c>
      <c r="AS176" s="3">
        <v>0.16</v>
      </c>
      <c r="AT176" s="3">
        <v>0.16</v>
      </c>
      <c r="AU176" s="3">
        <v>0.16</v>
      </c>
      <c r="AV176" s="3">
        <v>0.16</v>
      </c>
      <c r="AW176" s="3">
        <v>0.16</v>
      </c>
      <c r="AX176" s="3">
        <v>0.16</v>
      </c>
      <c r="AY176" s="3">
        <v>0.16</v>
      </c>
      <c r="AZ176" s="3">
        <v>0.16</v>
      </c>
      <c r="BA176" s="3">
        <v>0.16</v>
      </c>
      <c r="BC176" t="s">
        <v>347</v>
      </c>
      <c r="BD176" t="str">
        <f t="shared" si="158"/>
        <v>TRLTRALPG</v>
      </c>
      <c r="BU176">
        <v>0.34</v>
      </c>
      <c r="BV176" t="s">
        <v>74</v>
      </c>
    </row>
    <row r="177" spans="3:74">
      <c r="C177" t="str">
        <f t="shared" si="156"/>
        <v>LPG</v>
      </c>
      <c r="D177" t="str">
        <f t="shared" si="157"/>
        <v>TRC</v>
      </c>
      <c r="E177" t="s">
        <v>348</v>
      </c>
      <c r="F177" s="3">
        <v>0.18</v>
      </c>
      <c r="G177" s="3">
        <v>0.18</v>
      </c>
      <c r="H177" s="3">
        <v>0.18</v>
      </c>
      <c r="I177" s="3">
        <v>0.18</v>
      </c>
      <c r="J177" s="3">
        <v>0.18</v>
      </c>
      <c r="K177" s="3">
        <v>0.18</v>
      </c>
      <c r="L177" s="3">
        <v>0.18</v>
      </c>
      <c r="M177" s="3">
        <v>0.18</v>
      </c>
      <c r="N177" s="3">
        <v>0.18</v>
      </c>
      <c r="O177" s="3">
        <v>0.18</v>
      </c>
      <c r="P177" s="3">
        <v>0.18</v>
      </c>
      <c r="Q177" s="3">
        <v>0.18</v>
      </c>
      <c r="R177" s="3">
        <v>0.18</v>
      </c>
      <c r="S177" s="3">
        <v>0.18</v>
      </c>
      <c r="T177" s="3">
        <v>0.18</v>
      </c>
      <c r="U177" s="3">
        <v>0.18</v>
      </c>
      <c r="V177" s="3">
        <v>0.18</v>
      </c>
      <c r="W177" s="3">
        <v>0.18</v>
      </c>
      <c r="X177" s="3">
        <v>0.18</v>
      </c>
      <c r="Y177" s="3">
        <v>0.18</v>
      </c>
      <c r="Z177" s="3">
        <v>0.18</v>
      </c>
      <c r="AA177" s="3">
        <v>0.18</v>
      </c>
      <c r="AB177" s="3">
        <v>0.18</v>
      </c>
      <c r="AC177" s="3">
        <v>0.18</v>
      </c>
      <c r="AD177" s="3">
        <v>0.18</v>
      </c>
      <c r="AE177" s="3">
        <v>0.18</v>
      </c>
      <c r="AF177" s="3">
        <v>0.18</v>
      </c>
      <c r="AG177" s="3">
        <v>0.18</v>
      </c>
      <c r="AH177" s="3">
        <v>0.18</v>
      </c>
      <c r="AI177" s="3">
        <v>0.18</v>
      </c>
      <c r="AJ177" s="3">
        <v>0.18</v>
      </c>
      <c r="AK177" s="3">
        <v>0.18</v>
      </c>
      <c r="AL177" s="3">
        <v>0.18</v>
      </c>
      <c r="AM177" s="3">
        <v>0.18</v>
      </c>
      <c r="AN177" s="3">
        <v>0.18</v>
      </c>
      <c r="AO177" s="3">
        <v>0.18</v>
      </c>
      <c r="AP177" s="3">
        <v>0.18</v>
      </c>
      <c r="AQ177" s="3">
        <v>0.18</v>
      </c>
      <c r="AR177" s="3">
        <v>0.18</v>
      </c>
      <c r="AS177" s="3">
        <v>0.18</v>
      </c>
      <c r="AT177" s="3">
        <v>0.18</v>
      </c>
      <c r="AU177" s="3">
        <v>0.18</v>
      </c>
      <c r="AV177" s="3">
        <v>0.18</v>
      </c>
      <c r="AW177" s="3">
        <v>0.18</v>
      </c>
      <c r="AX177" s="3">
        <v>0.18</v>
      </c>
      <c r="AY177" s="3">
        <v>0.18</v>
      </c>
      <c r="AZ177" s="3">
        <v>0.18</v>
      </c>
      <c r="BA177" s="3">
        <v>0.18</v>
      </c>
      <c r="BC177" t="s">
        <v>349</v>
      </c>
      <c r="BD177" t="str">
        <f t="shared" si="158"/>
        <v>TRLTRABGS</v>
      </c>
      <c r="BU177">
        <v>0.39</v>
      </c>
      <c r="BV177" t="s">
        <v>48</v>
      </c>
    </row>
    <row r="178" spans="3:74">
      <c r="C178" t="str">
        <f t="shared" si="156"/>
        <v>MET</v>
      </c>
      <c r="D178" t="str">
        <f t="shared" si="157"/>
        <v>TRC</v>
      </c>
      <c r="E178" t="s">
        <v>350</v>
      </c>
      <c r="F178" s="3">
        <v>0.16</v>
      </c>
      <c r="G178" s="3">
        <v>0.16</v>
      </c>
      <c r="H178" s="3">
        <v>0.16</v>
      </c>
      <c r="I178" s="3">
        <v>0.16</v>
      </c>
      <c r="J178" s="3">
        <v>0.16</v>
      </c>
      <c r="K178" s="3">
        <v>0.16</v>
      </c>
      <c r="L178" s="3">
        <v>0.16</v>
      </c>
      <c r="M178" s="3">
        <v>0.16</v>
      </c>
      <c r="N178" s="3">
        <v>0.16</v>
      </c>
      <c r="O178" s="3">
        <v>0.16</v>
      </c>
      <c r="P178" s="3">
        <v>0.16</v>
      </c>
      <c r="Q178" s="3">
        <v>0.16</v>
      </c>
      <c r="R178" s="3">
        <v>0.16</v>
      </c>
      <c r="S178" s="3">
        <v>0.16</v>
      </c>
      <c r="T178" s="3">
        <v>0.16</v>
      </c>
      <c r="U178" s="3">
        <v>0.16</v>
      </c>
      <c r="V178" s="3">
        <v>0.16</v>
      </c>
      <c r="W178" s="3">
        <v>0.16</v>
      </c>
      <c r="X178" s="3">
        <v>0.16</v>
      </c>
      <c r="Y178" s="3">
        <v>0.16</v>
      </c>
      <c r="Z178" s="3">
        <v>0.16</v>
      </c>
      <c r="AA178" s="3">
        <v>0.16</v>
      </c>
      <c r="AB178" s="3">
        <v>0.16</v>
      </c>
      <c r="AC178" s="3">
        <v>0.16</v>
      </c>
      <c r="AD178" s="3">
        <v>0.16</v>
      </c>
      <c r="AE178" s="3">
        <v>0.16</v>
      </c>
      <c r="AF178" s="3">
        <v>0.16</v>
      </c>
      <c r="AG178" s="3">
        <v>0.16</v>
      </c>
      <c r="AH178" s="3">
        <v>0.16</v>
      </c>
      <c r="AI178" s="3">
        <v>0.16</v>
      </c>
      <c r="AJ178" s="3">
        <v>0.16</v>
      </c>
      <c r="AK178" s="3">
        <v>0.16</v>
      </c>
      <c r="AL178" s="3">
        <v>0.16</v>
      </c>
      <c r="AM178" s="3">
        <v>0.16</v>
      </c>
      <c r="AN178" s="3">
        <v>0.16</v>
      </c>
      <c r="AO178" s="3">
        <v>0.16</v>
      </c>
      <c r="AP178" s="3">
        <v>0.16</v>
      </c>
      <c r="AQ178" s="3">
        <v>0.16</v>
      </c>
      <c r="AR178" s="3">
        <v>0.16</v>
      </c>
      <c r="AS178" s="3">
        <v>0.16</v>
      </c>
      <c r="AT178" s="3">
        <v>0.16</v>
      </c>
      <c r="AU178" s="3">
        <v>0.16</v>
      </c>
      <c r="AV178" s="3">
        <v>0.16</v>
      </c>
      <c r="AW178" s="3">
        <v>0.16</v>
      </c>
      <c r="AX178" s="3">
        <v>0.16</v>
      </c>
      <c r="AY178" s="3">
        <v>0.16</v>
      </c>
      <c r="AZ178" s="3">
        <v>0.16</v>
      </c>
      <c r="BA178" s="3">
        <v>0.16</v>
      </c>
      <c r="BC178" t="s">
        <v>351</v>
      </c>
      <c r="BD178" t="str">
        <f t="shared" si="158"/>
        <v>TRLTRANGA</v>
      </c>
      <c r="BU178">
        <v>0.34</v>
      </c>
      <c r="BV178" t="s">
        <v>52</v>
      </c>
    </row>
    <row r="179" spans="3:74">
      <c r="C179" t="str">
        <f t="shared" si="156"/>
        <v>NGA</v>
      </c>
      <c r="D179" t="str">
        <f t="shared" si="157"/>
        <v>TRC</v>
      </c>
      <c r="E179" t="s">
        <v>352</v>
      </c>
      <c r="F179" s="3">
        <v>0.16</v>
      </c>
      <c r="G179" s="3">
        <v>0.16</v>
      </c>
      <c r="H179" s="3">
        <v>0.16</v>
      </c>
      <c r="I179" s="3">
        <v>0.16</v>
      </c>
      <c r="J179" s="3">
        <v>0.16</v>
      </c>
      <c r="K179" s="3">
        <v>0.16</v>
      </c>
      <c r="L179" s="3">
        <v>0.16</v>
      </c>
      <c r="M179" s="3">
        <v>0.16</v>
      </c>
      <c r="N179" s="3">
        <v>0.16</v>
      </c>
      <c r="O179" s="3">
        <v>0.16</v>
      </c>
      <c r="P179" s="3">
        <v>0.16</v>
      </c>
      <c r="Q179" s="3">
        <v>0.16</v>
      </c>
      <c r="R179" s="3">
        <v>0.16</v>
      </c>
      <c r="S179" s="3">
        <v>0.16</v>
      </c>
      <c r="T179" s="3">
        <v>0.16</v>
      </c>
      <c r="U179" s="3">
        <v>0.16</v>
      </c>
      <c r="V179" s="3">
        <v>0.16</v>
      </c>
      <c r="W179" s="3">
        <v>0.16</v>
      </c>
      <c r="X179" s="3">
        <v>0.16</v>
      </c>
      <c r="Y179" s="3">
        <v>0.16</v>
      </c>
      <c r="Z179" s="3">
        <v>0.16</v>
      </c>
      <c r="AA179" s="3">
        <v>0.16</v>
      </c>
      <c r="AB179" s="3">
        <v>0.16</v>
      </c>
      <c r="AC179" s="3">
        <v>0.16</v>
      </c>
      <c r="AD179" s="3">
        <v>0.16</v>
      </c>
      <c r="AE179" s="3">
        <v>0.16</v>
      </c>
      <c r="AF179" s="3">
        <v>0.16</v>
      </c>
      <c r="AG179" s="3">
        <v>0.16</v>
      </c>
      <c r="AH179" s="3">
        <v>0.16</v>
      </c>
      <c r="AI179" s="3">
        <v>0.16</v>
      </c>
      <c r="AJ179" s="3">
        <v>0.16</v>
      </c>
      <c r="AK179" s="3">
        <v>0.16</v>
      </c>
      <c r="AL179" s="3">
        <v>0.16</v>
      </c>
      <c r="AM179" s="3">
        <v>0.16</v>
      </c>
      <c r="AN179" s="3">
        <v>0.16</v>
      </c>
      <c r="AO179" s="3">
        <v>0.16</v>
      </c>
      <c r="AP179" s="3">
        <v>0.16</v>
      </c>
      <c r="AQ179" s="3">
        <v>0.16</v>
      </c>
      <c r="AR179" s="3">
        <v>0.16</v>
      </c>
      <c r="AS179" s="3">
        <v>0.16</v>
      </c>
      <c r="AT179" s="3">
        <v>0.16</v>
      </c>
      <c r="AU179" s="3">
        <v>0.16</v>
      </c>
      <c r="AV179" s="3">
        <v>0.16</v>
      </c>
      <c r="AW179" s="3">
        <v>0.16</v>
      </c>
      <c r="AX179" s="3">
        <v>0.16</v>
      </c>
      <c r="AY179" s="3">
        <v>0.16</v>
      </c>
      <c r="AZ179" s="3">
        <v>0.16</v>
      </c>
      <c r="BA179" s="3">
        <v>0.16</v>
      </c>
      <c r="BC179" t="s">
        <v>353</v>
      </c>
      <c r="BD179" t="str">
        <f t="shared" si="158"/>
        <v>TRMTRADST</v>
      </c>
      <c r="BU179">
        <v>0.15</v>
      </c>
      <c r="BV179" t="s">
        <v>60</v>
      </c>
    </row>
    <row r="180" spans="3:74">
      <c r="C180" t="str">
        <f t="shared" si="156"/>
        <v>DST</v>
      </c>
      <c r="D180" t="str">
        <f t="shared" si="157"/>
        <v>TRE</v>
      </c>
      <c r="E180" t="s">
        <v>354</v>
      </c>
      <c r="F180" s="3">
        <v>0.4</v>
      </c>
      <c r="G180" s="3">
        <v>0.4</v>
      </c>
      <c r="H180" s="3">
        <v>0.4</v>
      </c>
      <c r="I180" s="3">
        <v>0.4</v>
      </c>
      <c r="J180" s="3">
        <v>0.4</v>
      </c>
      <c r="K180" s="3">
        <v>0.4</v>
      </c>
      <c r="L180" s="3">
        <v>0.4</v>
      </c>
      <c r="M180" s="3">
        <v>0.4</v>
      </c>
      <c r="N180" s="3">
        <v>0.4</v>
      </c>
      <c r="O180" s="3">
        <v>0.4</v>
      </c>
      <c r="P180" s="3">
        <v>0.4</v>
      </c>
      <c r="Q180" s="3">
        <v>0.4</v>
      </c>
      <c r="R180" s="3">
        <v>0.4</v>
      </c>
      <c r="S180" s="3">
        <v>0.4</v>
      </c>
      <c r="T180" s="3">
        <v>0.4</v>
      </c>
      <c r="U180" s="3">
        <v>0.4</v>
      </c>
      <c r="V180" s="3">
        <v>0.4</v>
      </c>
      <c r="W180" s="3">
        <v>0.4</v>
      </c>
      <c r="X180" s="3">
        <v>0.4</v>
      </c>
      <c r="Y180" s="3">
        <v>0.4</v>
      </c>
      <c r="Z180" s="3">
        <v>0.4</v>
      </c>
      <c r="AA180" s="3">
        <v>0.4</v>
      </c>
      <c r="AB180" s="3">
        <v>0.4</v>
      </c>
      <c r="AC180" s="3">
        <v>0.4</v>
      </c>
      <c r="AD180" s="3">
        <v>0.4</v>
      </c>
      <c r="AE180" s="3">
        <v>0.4</v>
      </c>
      <c r="AF180" s="3">
        <v>0.4</v>
      </c>
      <c r="AG180" s="3">
        <v>0.4</v>
      </c>
      <c r="AH180" s="3">
        <v>0.4</v>
      </c>
      <c r="AI180" s="3">
        <v>0.4</v>
      </c>
      <c r="AJ180" s="3">
        <v>0.4</v>
      </c>
      <c r="AK180" s="3">
        <v>0.4</v>
      </c>
      <c r="AL180" s="3">
        <v>0.4</v>
      </c>
      <c r="AM180" s="3">
        <v>0.4</v>
      </c>
      <c r="AN180" s="3">
        <v>0.4</v>
      </c>
      <c r="AO180" s="3">
        <v>0.4</v>
      </c>
      <c r="AP180" s="3">
        <v>0.4</v>
      </c>
      <c r="AQ180" s="3">
        <v>0.4</v>
      </c>
      <c r="AR180" s="3">
        <v>0.4</v>
      </c>
      <c r="AS180" s="3">
        <v>0.4</v>
      </c>
      <c r="AT180" s="3">
        <v>0.4</v>
      </c>
      <c r="AU180" s="3">
        <v>0.4</v>
      </c>
      <c r="AV180" s="3">
        <v>0.4</v>
      </c>
      <c r="AW180" s="3">
        <v>0.4</v>
      </c>
      <c r="AX180" s="3">
        <v>0.4</v>
      </c>
      <c r="AY180" s="3">
        <v>0.4</v>
      </c>
      <c r="AZ180" s="3">
        <v>0.4</v>
      </c>
      <c r="BA180" s="3">
        <v>0.4</v>
      </c>
      <c r="BC180" t="s">
        <v>355</v>
      </c>
      <c r="BD180" t="str">
        <f t="shared" si="158"/>
        <v>TRMTRADST</v>
      </c>
      <c r="BU180">
        <v>0.16</v>
      </c>
      <c r="BV180" t="s">
        <v>60</v>
      </c>
    </row>
    <row r="181" spans="3:74">
      <c r="C181" t="str">
        <f t="shared" si="156"/>
        <v>GSL</v>
      </c>
      <c r="D181" t="str">
        <f t="shared" si="157"/>
        <v>TRE</v>
      </c>
      <c r="E181" t="s">
        <v>356</v>
      </c>
      <c r="F181" s="3">
        <v>0.5</v>
      </c>
      <c r="G181" s="3">
        <v>0.5</v>
      </c>
      <c r="H181" s="3">
        <v>0.5</v>
      </c>
      <c r="I181" s="3">
        <v>0.5</v>
      </c>
      <c r="J181" s="3">
        <v>0.5</v>
      </c>
      <c r="K181" s="3">
        <v>0.5</v>
      </c>
      <c r="L181" s="3">
        <v>0.5</v>
      </c>
      <c r="M181" s="3">
        <v>0.5</v>
      </c>
      <c r="N181" s="3">
        <v>0.5</v>
      </c>
      <c r="O181" s="3">
        <v>0.5</v>
      </c>
      <c r="P181" s="3">
        <v>0.5</v>
      </c>
      <c r="Q181" s="3">
        <v>0.5</v>
      </c>
      <c r="R181" s="3">
        <v>0.5</v>
      </c>
      <c r="S181" s="3">
        <v>0.5</v>
      </c>
      <c r="T181" s="3">
        <v>0.5</v>
      </c>
      <c r="U181" s="3">
        <v>0.5</v>
      </c>
      <c r="V181" s="3">
        <v>0.5</v>
      </c>
      <c r="W181" s="3">
        <v>0.5</v>
      </c>
      <c r="X181" s="3">
        <v>0.5</v>
      </c>
      <c r="Y181" s="3">
        <v>0.5</v>
      </c>
      <c r="Z181" s="3">
        <v>0.5</v>
      </c>
      <c r="AA181" s="3">
        <v>0.5</v>
      </c>
      <c r="AB181" s="3">
        <v>0.5</v>
      </c>
      <c r="AC181" s="3">
        <v>0.5</v>
      </c>
      <c r="AD181" s="3">
        <v>0.5</v>
      </c>
      <c r="AE181" s="3">
        <v>0.5</v>
      </c>
      <c r="AF181" s="3">
        <v>0.5</v>
      </c>
      <c r="AG181" s="3">
        <v>0.5</v>
      </c>
      <c r="AH181" s="3">
        <v>0.5</v>
      </c>
      <c r="AI181" s="3">
        <v>0.5</v>
      </c>
      <c r="AJ181" s="3">
        <v>0.5</v>
      </c>
      <c r="AK181" s="3">
        <v>0.5</v>
      </c>
      <c r="AL181" s="3">
        <v>0.5</v>
      </c>
      <c r="AM181" s="3">
        <v>0.5</v>
      </c>
      <c r="AN181" s="3">
        <v>0.5</v>
      </c>
      <c r="AO181" s="3">
        <v>0.5</v>
      </c>
      <c r="AP181" s="3">
        <v>0.5</v>
      </c>
      <c r="AQ181" s="3">
        <v>0.5</v>
      </c>
      <c r="AR181" s="3">
        <v>0.5</v>
      </c>
      <c r="AS181" s="3">
        <v>0.5</v>
      </c>
      <c r="AT181" s="3">
        <v>0.5</v>
      </c>
      <c r="AU181" s="3">
        <v>0.5</v>
      </c>
      <c r="AV181" s="3">
        <v>0.5</v>
      </c>
      <c r="AW181" s="3">
        <v>0.5</v>
      </c>
      <c r="AX181" s="3">
        <v>0.5</v>
      </c>
      <c r="AY181" s="3">
        <v>0.5</v>
      </c>
      <c r="AZ181" s="3">
        <v>0.5</v>
      </c>
      <c r="BA181" s="3">
        <v>0.5</v>
      </c>
      <c r="BC181" t="s">
        <v>357</v>
      </c>
      <c r="BD181" t="str">
        <f t="shared" si="158"/>
        <v>TRMTRADST</v>
      </c>
      <c r="BU181">
        <v>0.13</v>
      </c>
      <c r="BV181" t="s">
        <v>60</v>
      </c>
    </row>
    <row r="182" spans="3:74">
      <c r="C182" t="str">
        <f t="shared" si="156"/>
        <v>DSA</v>
      </c>
      <c r="D182" t="str">
        <f t="shared" si="157"/>
        <v>TRH</v>
      </c>
      <c r="E182" t="s">
        <v>358</v>
      </c>
      <c r="F182" s="3">
        <v>0.1</v>
      </c>
      <c r="G182" s="3">
        <v>0.1</v>
      </c>
      <c r="H182" s="3">
        <v>0.1</v>
      </c>
      <c r="I182" s="3">
        <v>0.1</v>
      </c>
      <c r="J182" s="3">
        <v>0.1</v>
      </c>
      <c r="K182" s="3">
        <v>0.1</v>
      </c>
      <c r="L182" s="3">
        <v>0.1</v>
      </c>
      <c r="M182" s="3">
        <v>0.1</v>
      </c>
      <c r="N182" s="3">
        <v>0.1</v>
      </c>
      <c r="O182" s="3">
        <v>0.1</v>
      </c>
      <c r="P182" s="3">
        <v>0.1</v>
      </c>
      <c r="Q182" s="3">
        <v>0.1</v>
      </c>
      <c r="R182" s="3">
        <v>0.1</v>
      </c>
      <c r="S182" s="3">
        <v>0.1</v>
      </c>
      <c r="T182" s="3">
        <v>0.1</v>
      </c>
      <c r="U182" s="3">
        <v>0.1</v>
      </c>
      <c r="V182" s="3">
        <v>0.1</v>
      </c>
      <c r="W182" s="3">
        <v>0.1</v>
      </c>
      <c r="X182" s="3">
        <v>0.1</v>
      </c>
      <c r="Y182" s="3">
        <v>0.1</v>
      </c>
      <c r="Z182" s="3">
        <v>0.1</v>
      </c>
      <c r="AA182" s="3">
        <v>0.1</v>
      </c>
      <c r="AB182" s="3">
        <v>0.1</v>
      </c>
      <c r="AC182" s="3">
        <v>0.1</v>
      </c>
      <c r="AD182" s="3">
        <v>0.1</v>
      </c>
      <c r="AE182" s="3">
        <v>0.1</v>
      </c>
      <c r="AF182" s="3">
        <v>0.1</v>
      </c>
      <c r="AG182" s="3">
        <v>0.1</v>
      </c>
      <c r="AH182" s="3">
        <v>0.1</v>
      </c>
      <c r="AI182" s="3">
        <v>0.1</v>
      </c>
      <c r="AJ182" s="3">
        <v>0.1</v>
      </c>
      <c r="AK182" s="3">
        <v>0.1</v>
      </c>
      <c r="AL182" s="3">
        <v>0.1</v>
      </c>
      <c r="AM182" s="3">
        <v>0.1</v>
      </c>
      <c r="AN182" s="3">
        <v>0.1</v>
      </c>
      <c r="AO182" s="3">
        <v>0.1</v>
      </c>
      <c r="AP182" s="3">
        <v>0.1</v>
      </c>
      <c r="AQ182" s="3">
        <v>0.1</v>
      </c>
      <c r="AR182" s="3">
        <v>0.1</v>
      </c>
      <c r="AS182" s="3">
        <v>0.1</v>
      </c>
      <c r="AT182" s="3">
        <v>0.1</v>
      </c>
      <c r="AU182" s="3">
        <v>0.1</v>
      </c>
      <c r="AV182" s="3">
        <v>0.1</v>
      </c>
      <c r="AW182" s="3">
        <v>0.1</v>
      </c>
      <c r="AX182" s="3">
        <v>0.1</v>
      </c>
      <c r="AY182" s="3">
        <v>0.1</v>
      </c>
      <c r="AZ182" s="3">
        <v>0.1</v>
      </c>
      <c r="BA182" s="3">
        <v>0.1</v>
      </c>
      <c r="BC182" t="s">
        <v>359</v>
      </c>
      <c r="BD182" t="str">
        <f t="shared" si="158"/>
        <v>TRMTRABGS</v>
      </c>
      <c r="BU182">
        <v>0.15</v>
      </c>
      <c r="BV182" t="s">
        <v>48</v>
      </c>
    </row>
    <row r="183" spans="3:74">
      <c r="C183" t="str">
        <f t="shared" si="156"/>
        <v>DSB</v>
      </c>
      <c r="D183" t="str">
        <f t="shared" si="157"/>
        <v>TRH</v>
      </c>
      <c r="E183" t="s">
        <v>360</v>
      </c>
      <c r="F183" s="3">
        <v>0.12</v>
      </c>
      <c r="G183" s="3">
        <v>0.12</v>
      </c>
      <c r="H183" s="3">
        <v>0.12</v>
      </c>
      <c r="I183" s="3">
        <v>0.12</v>
      </c>
      <c r="J183" s="3">
        <v>0.12</v>
      </c>
      <c r="K183" s="3">
        <v>0.12</v>
      </c>
      <c r="L183" s="3">
        <v>0.12</v>
      </c>
      <c r="M183" s="3">
        <v>0.12</v>
      </c>
      <c r="N183" s="3">
        <v>0.12</v>
      </c>
      <c r="O183" s="3">
        <v>0.12</v>
      </c>
      <c r="P183" s="3">
        <v>0.12</v>
      </c>
      <c r="Q183" s="3">
        <v>0.12</v>
      </c>
      <c r="R183" s="3">
        <v>0.12</v>
      </c>
      <c r="S183" s="3">
        <v>0.12</v>
      </c>
      <c r="T183" s="3">
        <v>0.12</v>
      </c>
      <c r="U183" s="3">
        <v>0.12</v>
      </c>
      <c r="V183" s="3">
        <v>0.12</v>
      </c>
      <c r="W183" s="3">
        <v>0.12</v>
      </c>
      <c r="X183" s="3">
        <v>0.12</v>
      </c>
      <c r="Y183" s="3">
        <v>0.12</v>
      </c>
      <c r="Z183" s="3">
        <v>0.12</v>
      </c>
      <c r="AA183" s="3">
        <v>0.12</v>
      </c>
      <c r="AB183" s="3">
        <v>0.12</v>
      </c>
      <c r="AC183" s="3">
        <v>0.12</v>
      </c>
      <c r="AD183" s="3">
        <v>0.12</v>
      </c>
      <c r="AE183" s="3">
        <v>0.12</v>
      </c>
      <c r="AF183" s="3">
        <v>0.12</v>
      </c>
      <c r="AG183" s="3">
        <v>0.12</v>
      </c>
      <c r="AH183" s="3">
        <v>0.12</v>
      </c>
      <c r="AI183" s="3">
        <v>0.12</v>
      </c>
      <c r="AJ183" s="3">
        <v>0.12</v>
      </c>
      <c r="AK183" s="3">
        <v>0.12</v>
      </c>
      <c r="AL183" s="3">
        <v>0.12</v>
      </c>
      <c r="AM183" s="3">
        <v>0.12</v>
      </c>
      <c r="AN183" s="3">
        <v>0.12</v>
      </c>
      <c r="AO183" s="3">
        <v>0.12</v>
      </c>
      <c r="AP183" s="3">
        <v>0.12</v>
      </c>
      <c r="AQ183" s="3">
        <v>0.12</v>
      </c>
      <c r="AR183" s="3">
        <v>0.12</v>
      </c>
      <c r="AS183" s="3">
        <v>0.12</v>
      </c>
      <c r="AT183" s="3">
        <v>0.12</v>
      </c>
      <c r="AU183" s="3">
        <v>0.12</v>
      </c>
      <c r="AV183" s="3">
        <v>0.12</v>
      </c>
      <c r="AW183" s="3">
        <v>0.12</v>
      </c>
      <c r="AX183" s="3">
        <v>0.12</v>
      </c>
      <c r="AY183" s="3">
        <v>0.12</v>
      </c>
      <c r="AZ183" s="3">
        <v>0.12</v>
      </c>
      <c r="BA183" s="3">
        <v>0.12</v>
      </c>
      <c r="BC183" t="s">
        <v>361</v>
      </c>
      <c r="BD183" t="str">
        <f t="shared" si="158"/>
        <v>TRMTRABGS</v>
      </c>
      <c r="BU183">
        <v>0.12</v>
      </c>
      <c r="BV183" t="s">
        <v>48</v>
      </c>
    </row>
    <row r="184" spans="3:74">
      <c r="C184" t="str">
        <f t="shared" si="156"/>
        <v>DST</v>
      </c>
      <c r="D184" t="str">
        <f t="shared" si="157"/>
        <v>TRH</v>
      </c>
      <c r="E184" t="s">
        <v>362</v>
      </c>
      <c r="F184" s="3">
        <v>0.08</v>
      </c>
      <c r="G184" s="3">
        <v>0.08</v>
      </c>
      <c r="H184" s="3">
        <v>0.08</v>
      </c>
      <c r="I184" s="3">
        <v>0.08</v>
      </c>
      <c r="J184" s="3">
        <v>0.08</v>
      </c>
      <c r="K184" s="3">
        <v>0.08</v>
      </c>
      <c r="L184" s="3">
        <v>0.08</v>
      </c>
      <c r="M184" s="3">
        <v>0.08</v>
      </c>
      <c r="N184" s="3">
        <v>0.08</v>
      </c>
      <c r="O184" s="3">
        <v>0.08</v>
      </c>
      <c r="P184" s="3">
        <v>0.08</v>
      </c>
      <c r="Q184" s="3">
        <v>0.08</v>
      </c>
      <c r="R184" s="3">
        <v>0.08</v>
      </c>
      <c r="S184" s="3">
        <v>0.08</v>
      </c>
      <c r="T184" s="3">
        <v>0.08</v>
      </c>
      <c r="U184" s="3">
        <v>0.08</v>
      </c>
      <c r="V184" s="3">
        <v>0.08</v>
      </c>
      <c r="W184" s="3">
        <v>0.08</v>
      </c>
      <c r="X184" s="3">
        <v>0.08</v>
      </c>
      <c r="Y184" s="3">
        <v>0.08</v>
      </c>
      <c r="Z184" s="3">
        <v>0.08</v>
      </c>
      <c r="AA184" s="3">
        <v>0.08</v>
      </c>
      <c r="AB184" s="3">
        <v>0.08</v>
      </c>
      <c r="AC184" s="3">
        <v>0.08</v>
      </c>
      <c r="AD184" s="3">
        <v>0.08</v>
      </c>
      <c r="AE184" s="3">
        <v>0.08</v>
      </c>
      <c r="AF184" s="3">
        <v>0.08</v>
      </c>
      <c r="AG184" s="3">
        <v>0.08</v>
      </c>
      <c r="AH184" s="3">
        <v>0.08</v>
      </c>
      <c r="AI184" s="3">
        <v>0.08</v>
      </c>
      <c r="AJ184" s="3">
        <v>0.08</v>
      </c>
      <c r="AK184" s="3">
        <v>0.08</v>
      </c>
      <c r="AL184" s="3">
        <v>0.08</v>
      </c>
      <c r="AM184" s="3">
        <v>0.08</v>
      </c>
      <c r="AN184" s="3">
        <v>0.08</v>
      </c>
      <c r="AO184" s="3">
        <v>0.08</v>
      </c>
      <c r="AP184" s="3">
        <v>0.08</v>
      </c>
      <c r="AQ184" s="3">
        <v>0.08</v>
      </c>
      <c r="AR184" s="3">
        <v>0.08</v>
      </c>
      <c r="AS184" s="3">
        <v>0.08</v>
      </c>
      <c r="AT184" s="3">
        <v>0.08</v>
      </c>
      <c r="AU184" s="3">
        <v>0.08</v>
      </c>
      <c r="AV184" s="3">
        <v>0.08</v>
      </c>
      <c r="AW184" s="3">
        <v>0.08</v>
      </c>
      <c r="AX184" s="3">
        <v>0.08</v>
      </c>
      <c r="AY184" s="3">
        <v>0.08</v>
      </c>
      <c r="AZ184" s="3">
        <v>0.08</v>
      </c>
      <c r="BA184" s="3">
        <v>0.08</v>
      </c>
      <c r="BC184" t="s">
        <v>363</v>
      </c>
      <c r="BD184" t="str">
        <f t="shared" si="158"/>
        <v>TRMTRABGS</v>
      </c>
      <c r="BU184">
        <v>0.12</v>
      </c>
      <c r="BV184" t="s">
        <v>48</v>
      </c>
    </row>
    <row r="185" spans="3:74">
      <c r="C185" t="str">
        <f t="shared" si="156"/>
        <v>ETH</v>
      </c>
      <c r="D185" t="str">
        <f t="shared" si="157"/>
        <v>TRH</v>
      </c>
      <c r="E185" t="s">
        <v>364</v>
      </c>
      <c r="F185" s="3">
        <v>0.08</v>
      </c>
      <c r="G185" s="3">
        <v>0.08</v>
      </c>
      <c r="H185" s="3">
        <v>0.08</v>
      </c>
      <c r="I185" s="3">
        <v>0.08</v>
      </c>
      <c r="J185" s="3">
        <v>0.08</v>
      </c>
      <c r="K185" s="3">
        <v>0.08</v>
      </c>
      <c r="L185" s="3">
        <v>0.08</v>
      </c>
      <c r="M185" s="3">
        <v>0.08</v>
      </c>
      <c r="N185" s="3">
        <v>0.08</v>
      </c>
      <c r="O185" s="3">
        <v>0.08</v>
      </c>
      <c r="P185" s="3">
        <v>0.08</v>
      </c>
      <c r="Q185" s="3">
        <v>0.08</v>
      </c>
      <c r="R185" s="3">
        <v>0.08</v>
      </c>
      <c r="S185" s="3">
        <v>0.08</v>
      </c>
      <c r="T185" s="3">
        <v>0.08</v>
      </c>
      <c r="U185" s="3">
        <v>0.08</v>
      </c>
      <c r="V185" s="3">
        <v>0.08</v>
      </c>
      <c r="W185" s="3">
        <v>0.08</v>
      </c>
      <c r="X185" s="3">
        <v>0.08</v>
      </c>
      <c r="Y185" s="3">
        <v>0.08</v>
      </c>
      <c r="Z185" s="3">
        <v>0.08</v>
      </c>
      <c r="AA185" s="3">
        <v>0.08</v>
      </c>
      <c r="AB185" s="3">
        <v>0.08</v>
      </c>
      <c r="AC185" s="3">
        <v>0.08</v>
      </c>
      <c r="AD185" s="3">
        <v>0.08</v>
      </c>
      <c r="AE185" s="3">
        <v>0.08</v>
      </c>
      <c r="AF185" s="3">
        <v>0.08</v>
      </c>
      <c r="AG185" s="3">
        <v>0.08</v>
      </c>
      <c r="AH185" s="3">
        <v>0.08</v>
      </c>
      <c r="AI185" s="3">
        <v>0.08</v>
      </c>
      <c r="AJ185" s="3">
        <v>0.08</v>
      </c>
      <c r="AK185" s="3">
        <v>0.08</v>
      </c>
      <c r="AL185" s="3">
        <v>0.08</v>
      </c>
      <c r="AM185" s="3">
        <v>0.08</v>
      </c>
      <c r="AN185" s="3">
        <v>0.08</v>
      </c>
      <c r="AO185" s="3">
        <v>0.08</v>
      </c>
      <c r="AP185" s="3">
        <v>0.08</v>
      </c>
      <c r="AQ185" s="3">
        <v>0.08</v>
      </c>
      <c r="AR185" s="3">
        <v>0.08</v>
      </c>
      <c r="AS185" s="3">
        <v>0.08</v>
      </c>
      <c r="AT185" s="3">
        <v>0.08</v>
      </c>
      <c r="AU185" s="3">
        <v>0.08</v>
      </c>
      <c r="AV185" s="3">
        <v>0.08</v>
      </c>
      <c r="AW185" s="3">
        <v>0.08</v>
      </c>
      <c r="AX185" s="3">
        <v>0.08</v>
      </c>
      <c r="AY185" s="3">
        <v>0.08</v>
      </c>
      <c r="AZ185" s="3">
        <v>0.08</v>
      </c>
      <c r="BA185" s="3">
        <v>0.08</v>
      </c>
      <c r="BC185" t="s">
        <v>365</v>
      </c>
      <c r="BD185" t="str">
        <f t="shared" si="158"/>
        <v>TRMTRAGSL</v>
      </c>
      <c r="BU185">
        <v>0.12</v>
      </c>
      <c r="BV185" t="s">
        <v>66</v>
      </c>
    </row>
    <row r="186" spans="3:74">
      <c r="C186" t="str">
        <f t="shared" si="156"/>
        <v>GAS</v>
      </c>
      <c r="D186" t="str">
        <f t="shared" si="157"/>
        <v>TRH</v>
      </c>
      <c r="E186" t="s">
        <v>366</v>
      </c>
      <c r="F186" s="3">
        <v>0.06</v>
      </c>
      <c r="G186" s="3">
        <v>0.06</v>
      </c>
      <c r="H186" s="3">
        <v>0.06</v>
      </c>
      <c r="I186" s="3">
        <v>0.06</v>
      </c>
      <c r="J186" s="3">
        <v>0.06</v>
      </c>
      <c r="K186" s="3">
        <v>0.06</v>
      </c>
      <c r="L186" s="3">
        <v>0.06</v>
      </c>
      <c r="M186" s="3">
        <v>0.06</v>
      </c>
      <c r="N186" s="3">
        <v>0.06</v>
      </c>
      <c r="O186" s="3">
        <v>0.06</v>
      </c>
      <c r="P186" s="3">
        <v>0.06</v>
      </c>
      <c r="Q186" s="3">
        <v>0.06</v>
      </c>
      <c r="R186" s="3">
        <v>0.06</v>
      </c>
      <c r="S186" s="3">
        <v>0.06</v>
      </c>
      <c r="T186" s="3">
        <v>0.06</v>
      </c>
      <c r="U186" s="3">
        <v>0.06</v>
      </c>
      <c r="V186" s="3">
        <v>0.06</v>
      </c>
      <c r="W186" s="3">
        <v>0.06</v>
      </c>
      <c r="X186" s="3">
        <v>0.06</v>
      </c>
      <c r="Y186" s="3">
        <v>0.06</v>
      </c>
      <c r="Z186" s="3">
        <v>0.06</v>
      </c>
      <c r="AA186" s="3">
        <v>0.06</v>
      </c>
      <c r="AB186" s="3">
        <v>0.06</v>
      </c>
      <c r="AC186" s="3">
        <v>0.06</v>
      </c>
      <c r="AD186" s="3">
        <v>0.06</v>
      </c>
      <c r="AE186" s="3">
        <v>0.06</v>
      </c>
      <c r="AF186" s="3">
        <v>0.06</v>
      </c>
      <c r="AG186" s="3">
        <v>0.06</v>
      </c>
      <c r="AH186" s="3">
        <v>0.06</v>
      </c>
      <c r="AI186" s="3">
        <v>0.06</v>
      </c>
      <c r="AJ186" s="3">
        <v>0.06</v>
      </c>
      <c r="AK186" s="3">
        <v>0.06</v>
      </c>
      <c r="AL186" s="3">
        <v>0.06</v>
      </c>
      <c r="AM186" s="3">
        <v>0.06</v>
      </c>
      <c r="AN186" s="3">
        <v>0.06</v>
      </c>
      <c r="AO186" s="3">
        <v>0.06</v>
      </c>
      <c r="AP186" s="3">
        <v>0.06</v>
      </c>
      <c r="AQ186" s="3">
        <v>0.06</v>
      </c>
      <c r="AR186" s="3">
        <v>0.06</v>
      </c>
      <c r="AS186" s="3">
        <v>0.06</v>
      </c>
      <c r="AT186" s="3">
        <v>0.06</v>
      </c>
      <c r="AU186" s="3">
        <v>0.06</v>
      </c>
      <c r="AV186" s="3">
        <v>0.06</v>
      </c>
      <c r="AW186" s="3">
        <v>0.06</v>
      </c>
      <c r="AX186" s="3">
        <v>0.06</v>
      </c>
      <c r="AY186" s="3">
        <v>0.06</v>
      </c>
      <c r="AZ186" s="3">
        <v>0.06</v>
      </c>
      <c r="BA186" s="3">
        <v>0.06</v>
      </c>
      <c r="BC186" t="s">
        <v>367</v>
      </c>
      <c r="BD186" t="str">
        <f t="shared" si="158"/>
        <v>TRMTRALPG</v>
      </c>
      <c r="BU186">
        <v>0.15</v>
      </c>
      <c r="BV186" t="s">
        <v>74</v>
      </c>
    </row>
    <row r="187" spans="3:74">
      <c r="C187" t="str">
        <f t="shared" si="156"/>
        <v>LPG</v>
      </c>
      <c r="D187" t="str">
        <f t="shared" si="157"/>
        <v>TRH</v>
      </c>
      <c r="E187" t="s">
        <v>368</v>
      </c>
      <c r="F187" s="3">
        <v>0.05</v>
      </c>
      <c r="G187" s="3">
        <v>0.05</v>
      </c>
      <c r="H187" s="3">
        <v>0.05</v>
      </c>
      <c r="I187" s="3">
        <v>0.05</v>
      </c>
      <c r="J187" s="3">
        <v>0.05</v>
      </c>
      <c r="K187" s="3">
        <v>0.05</v>
      </c>
      <c r="L187" s="3">
        <v>0.05</v>
      </c>
      <c r="M187" s="3">
        <v>0.05</v>
      </c>
      <c r="N187" s="3">
        <v>0.05</v>
      </c>
      <c r="O187" s="3">
        <v>0.05</v>
      </c>
      <c r="P187" s="3">
        <v>0.05</v>
      </c>
      <c r="Q187" s="3">
        <v>0.05</v>
      </c>
      <c r="R187" s="3">
        <v>0.05</v>
      </c>
      <c r="S187" s="3">
        <v>0.05</v>
      </c>
      <c r="T187" s="3">
        <v>0.05</v>
      </c>
      <c r="U187" s="3">
        <v>0.05</v>
      </c>
      <c r="V187" s="3">
        <v>0.05</v>
      </c>
      <c r="W187" s="3">
        <v>0.05</v>
      </c>
      <c r="X187" s="3">
        <v>0.05</v>
      </c>
      <c r="Y187" s="3">
        <v>0.05</v>
      </c>
      <c r="Z187" s="3">
        <v>0.05</v>
      </c>
      <c r="AA187" s="3">
        <v>0.05</v>
      </c>
      <c r="AB187" s="3">
        <v>0.05</v>
      </c>
      <c r="AC187" s="3">
        <v>0.05</v>
      </c>
      <c r="AD187" s="3">
        <v>0.05</v>
      </c>
      <c r="AE187" s="3">
        <v>0.05</v>
      </c>
      <c r="AF187" s="3">
        <v>0.05</v>
      </c>
      <c r="AG187" s="3">
        <v>0.05</v>
      </c>
      <c r="AH187" s="3">
        <v>0.05</v>
      </c>
      <c r="AI187" s="3">
        <v>0.05</v>
      </c>
      <c r="AJ187" s="3">
        <v>0.05</v>
      </c>
      <c r="AK187" s="3">
        <v>0.05</v>
      </c>
      <c r="AL187" s="3">
        <v>0.05</v>
      </c>
      <c r="AM187" s="3">
        <v>0.05</v>
      </c>
      <c r="AN187" s="3">
        <v>0.05</v>
      </c>
      <c r="AO187" s="3">
        <v>0.05</v>
      </c>
      <c r="AP187" s="3">
        <v>0.05</v>
      </c>
      <c r="AQ187" s="3">
        <v>0.05</v>
      </c>
      <c r="AR187" s="3">
        <v>0.05</v>
      </c>
      <c r="AS187" s="3">
        <v>0.05</v>
      </c>
      <c r="AT187" s="3">
        <v>0.05</v>
      </c>
      <c r="AU187" s="3">
        <v>0.05</v>
      </c>
      <c r="AV187" s="3">
        <v>0.05</v>
      </c>
      <c r="AW187" s="3">
        <v>0.05</v>
      </c>
      <c r="AX187" s="3">
        <v>0.05</v>
      </c>
      <c r="AY187" s="3">
        <v>0.05</v>
      </c>
      <c r="AZ187" s="3">
        <v>0.05</v>
      </c>
      <c r="BA187" s="3">
        <v>0.05</v>
      </c>
      <c r="BC187" t="s">
        <v>369</v>
      </c>
      <c r="BD187" t="str">
        <f t="shared" si="158"/>
        <v>TRMTRABGS</v>
      </c>
      <c r="BU187">
        <v>0.12</v>
      </c>
      <c r="BV187" t="s">
        <v>48</v>
      </c>
    </row>
    <row r="188" spans="3:74">
      <c r="C188" t="str">
        <f t="shared" si="156"/>
        <v>MET</v>
      </c>
      <c r="D188" t="str">
        <f t="shared" si="157"/>
        <v>TRH</v>
      </c>
      <c r="E188" t="s">
        <v>370</v>
      </c>
      <c r="F188" s="3">
        <v>0.08</v>
      </c>
      <c r="G188" s="3">
        <v>0.08</v>
      </c>
      <c r="H188" s="3">
        <v>0.08</v>
      </c>
      <c r="I188" s="3">
        <v>0.08</v>
      </c>
      <c r="J188" s="3">
        <v>0.08</v>
      </c>
      <c r="K188" s="3">
        <v>0.08</v>
      </c>
      <c r="L188" s="3">
        <v>0.08</v>
      </c>
      <c r="M188" s="3">
        <v>0.08</v>
      </c>
      <c r="N188" s="3">
        <v>0.08</v>
      </c>
      <c r="O188" s="3">
        <v>0.08</v>
      </c>
      <c r="P188" s="3">
        <v>0.08</v>
      </c>
      <c r="Q188" s="3">
        <v>0.08</v>
      </c>
      <c r="R188" s="3">
        <v>0.08</v>
      </c>
      <c r="S188" s="3">
        <v>0.08</v>
      </c>
      <c r="T188" s="3">
        <v>0.08</v>
      </c>
      <c r="U188" s="3">
        <v>0.08</v>
      </c>
      <c r="V188" s="3">
        <v>0.08</v>
      </c>
      <c r="W188" s="3">
        <v>0.08</v>
      </c>
      <c r="X188" s="3">
        <v>0.08</v>
      </c>
      <c r="Y188" s="3">
        <v>0.08</v>
      </c>
      <c r="Z188" s="3">
        <v>0.08</v>
      </c>
      <c r="AA188" s="3">
        <v>0.08</v>
      </c>
      <c r="AB188" s="3">
        <v>0.08</v>
      </c>
      <c r="AC188" s="3">
        <v>0.08</v>
      </c>
      <c r="AD188" s="3">
        <v>0.08</v>
      </c>
      <c r="AE188" s="3">
        <v>0.08</v>
      </c>
      <c r="AF188" s="3">
        <v>0.08</v>
      </c>
      <c r="AG188" s="3">
        <v>0.08</v>
      </c>
      <c r="AH188" s="3">
        <v>0.08</v>
      </c>
      <c r="AI188" s="3">
        <v>0.08</v>
      </c>
      <c r="AJ188" s="3">
        <v>0.08</v>
      </c>
      <c r="AK188" s="3">
        <v>0.08</v>
      </c>
      <c r="AL188" s="3">
        <v>0.08</v>
      </c>
      <c r="AM188" s="3">
        <v>0.08</v>
      </c>
      <c r="AN188" s="3">
        <v>0.08</v>
      </c>
      <c r="AO188" s="3">
        <v>0.08</v>
      </c>
      <c r="AP188" s="3">
        <v>0.08</v>
      </c>
      <c r="AQ188" s="3">
        <v>0.08</v>
      </c>
      <c r="AR188" s="3">
        <v>0.08</v>
      </c>
      <c r="AS188" s="3">
        <v>0.08</v>
      </c>
      <c r="AT188" s="3">
        <v>0.08</v>
      </c>
      <c r="AU188" s="3">
        <v>0.08</v>
      </c>
      <c r="AV188" s="3">
        <v>0.08</v>
      </c>
      <c r="AW188" s="3">
        <v>0.08</v>
      </c>
      <c r="AX188" s="3">
        <v>0.08</v>
      </c>
      <c r="AY188" s="3">
        <v>0.08</v>
      </c>
      <c r="AZ188" s="3">
        <v>0.08</v>
      </c>
      <c r="BA188" s="3">
        <v>0.08</v>
      </c>
      <c r="BC188" t="s">
        <v>371</v>
      </c>
      <c r="BD188" t="str">
        <f t="shared" si="158"/>
        <v>TRMTRANGA</v>
      </c>
      <c r="BU188">
        <v>0.12</v>
      </c>
      <c r="BV188" t="s">
        <v>52</v>
      </c>
    </row>
    <row r="189" spans="3:74">
      <c r="C189" t="str">
        <f t="shared" si="156"/>
        <v>NGA</v>
      </c>
      <c r="D189" t="str">
        <f t="shared" si="157"/>
        <v>TRH</v>
      </c>
      <c r="E189" t="s">
        <v>372</v>
      </c>
      <c r="F189" s="3">
        <v>0.06</v>
      </c>
      <c r="G189" s="3">
        <v>0.06</v>
      </c>
      <c r="H189" s="3">
        <v>0.06</v>
      </c>
      <c r="I189" s="3">
        <v>0.06</v>
      </c>
      <c r="J189" s="3">
        <v>0.06</v>
      </c>
      <c r="K189" s="3">
        <v>0.06</v>
      </c>
      <c r="L189" s="3">
        <v>0.06</v>
      </c>
      <c r="M189" s="3">
        <v>0.06</v>
      </c>
      <c r="N189" s="3">
        <v>0.06</v>
      </c>
      <c r="O189" s="3">
        <v>0.06</v>
      </c>
      <c r="P189" s="3">
        <v>0.06</v>
      </c>
      <c r="Q189" s="3">
        <v>0.06</v>
      </c>
      <c r="R189" s="3">
        <v>0.06</v>
      </c>
      <c r="S189" s="3">
        <v>0.06</v>
      </c>
      <c r="T189" s="3">
        <v>0.06</v>
      </c>
      <c r="U189" s="3">
        <v>0.06</v>
      </c>
      <c r="V189" s="3">
        <v>0.06</v>
      </c>
      <c r="W189" s="3">
        <v>0.06</v>
      </c>
      <c r="X189" s="3">
        <v>0.06</v>
      </c>
      <c r="Y189" s="3">
        <v>0.06</v>
      </c>
      <c r="Z189" s="3">
        <v>0.06</v>
      </c>
      <c r="AA189" s="3">
        <v>0.06</v>
      </c>
      <c r="AB189" s="3">
        <v>0.06</v>
      </c>
      <c r="AC189" s="3">
        <v>0.06</v>
      </c>
      <c r="AD189" s="3">
        <v>0.06</v>
      </c>
      <c r="AE189" s="3">
        <v>0.06</v>
      </c>
      <c r="AF189" s="3">
        <v>0.06</v>
      </c>
      <c r="AG189" s="3">
        <v>0.06</v>
      </c>
      <c r="AH189" s="3">
        <v>0.06</v>
      </c>
      <c r="AI189" s="3">
        <v>0.06</v>
      </c>
      <c r="AJ189" s="3">
        <v>0.06</v>
      </c>
      <c r="AK189" s="3">
        <v>0.06</v>
      </c>
      <c r="AL189" s="3">
        <v>0.06</v>
      </c>
      <c r="AM189" s="3">
        <v>0.06</v>
      </c>
      <c r="AN189" s="3">
        <v>0.06</v>
      </c>
      <c r="AO189" s="3">
        <v>0.06</v>
      </c>
      <c r="AP189" s="3">
        <v>0.06</v>
      </c>
      <c r="AQ189" s="3">
        <v>0.06</v>
      </c>
      <c r="AR189" s="3">
        <v>0.06</v>
      </c>
      <c r="AS189" s="3">
        <v>0.06</v>
      </c>
      <c r="AT189" s="3">
        <v>0.06</v>
      </c>
      <c r="AU189" s="3">
        <v>0.06</v>
      </c>
      <c r="AV189" s="3">
        <v>0.06</v>
      </c>
      <c r="AW189" s="3">
        <v>0.06</v>
      </c>
      <c r="AX189" s="3">
        <v>0.06</v>
      </c>
      <c r="AY189" s="3">
        <v>0.06</v>
      </c>
      <c r="AZ189" s="3">
        <v>0.06</v>
      </c>
      <c r="BA189" s="3">
        <v>0.06</v>
      </c>
      <c r="BC189" t="s">
        <v>373</v>
      </c>
      <c r="BD189" t="str">
        <f t="shared" si="158"/>
        <v>TRTTRADST</v>
      </c>
      <c r="BU189">
        <v>0.46</v>
      </c>
      <c r="BV189" t="s">
        <v>60</v>
      </c>
    </row>
    <row r="190" spans="3:74">
      <c r="C190" t="s">
        <v>374</v>
      </c>
      <c r="D190" t="str">
        <f t="shared" si="157"/>
        <v>TRL</v>
      </c>
      <c r="E190" t="s">
        <v>375</v>
      </c>
      <c r="F190" s="3">
        <v>0.38</v>
      </c>
      <c r="G190" s="3">
        <v>0.38</v>
      </c>
      <c r="H190" s="3">
        <v>0.38</v>
      </c>
      <c r="I190" s="3">
        <v>0.38</v>
      </c>
      <c r="J190" s="3">
        <v>0.38</v>
      </c>
      <c r="K190" s="3">
        <v>0.38</v>
      </c>
      <c r="L190" s="3">
        <v>0.38</v>
      </c>
      <c r="M190" s="3">
        <v>0.38</v>
      </c>
      <c r="N190" s="3">
        <v>0.38</v>
      </c>
      <c r="O190" s="3">
        <v>0.38</v>
      </c>
      <c r="P190" s="3">
        <v>0.38</v>
      </c>
      <c r="Q190" s="3">
        <v>0.38</v>
      </c>
      <c r="R190" s="3">
        <v>0.38</v>
      </c>
      <c r="S190" s="3">
        <v>0.38</v>
      </c>
      <c r="T190" s="3">
        <v>0.38</v>
      </c>
      <c r="U190" s="3">
        <v>0.38</v>
      </c>
      <c r="V190" s="3">
        <v>0.38</v>
      </c>
      <c r="W190" s="3">
        <v>0.38</v>
      </c>
      <c r="X190" s="3">
        <v>0.38</v>
      </c>
      <c r="Y190" s="3">
        <v>0.38</v>
      </c>
      <c r="Z190" s="3">
        <v>0.38</v>
      </c>
      <c r="AA190" s="3">
        <v>0.38</v>
      </c>
      <c r="AB190" s="3">
        <v>0.38</v>
      </c>
      <c r="AC190" s="3">
        <v>0.38</v>
      </c>
      <c r="AD190" s="3">
        <v>0.38</v>
      </c>
      <c r="AE190" s="3">
        <v>0.38</v>
      </c>
      <c r="AF190" s="3">
        <v>0.38</v>
      </c>
      <c r="AG190" s="3">
        <v>0.38</v>
      </c>
      <c r="AH190" s="3">
        <v>0.38</v>
      </c>
      <c r="AI190" s="3">
        <v>0.38</v>
      </c>
      <c r="AJ190" s="3">
        <v>0.38</v>
      </c>
      <c r="AK190" s="3">
        <v>0.38</v>
      </c>
      <c r="AL190" s="3">
        <v>0.38</v>
      </c>
      <c r="AM190" s="3">
        <v>0.38</v>
      </c>
      <c r="AN190" s="3">
        <v>0.38</v>
      </c>
      <c r="AO190" s="3">
        <v>0.38</v>
      </c>
      <c r="AP190" s="3">
        <v>0.38</v>
      </c>
      <c r="AQ190" s="3">
        <v>0.38</v>
      </c>
      <c r="AR190" s="3">
        <v>0.38</v>
      </c>
      <c r="AS190" s="3">
        <v>0.38</v>
      </c>
      <c r="AT190" s="3">
        <v>0.38</v>
      </c>
      <c r="AU190" s="3">
        <v>0.38</v>
      </c>
      <c r="AV190" s="3">
        <v>0.38</v>
      </c>
      <c r="AW190" s="3">
        <v>0.38</v>
      </c>
      <c r="AX190" s="3">
        <v>0.38</v>
      </c>
      <c r="AY190" s="3">
        <v>0.38</v>
      </c>
      <c r="AZ190" s="3">
        <v>0.38</v>
      </c>
      <c r="BA190" s="3">
        <v>0.38</v>
      </c>
      <c r="BC190" t="s">
        <v>376</v>
      </c>
      <c r="BD190" t="str">
        <f t="shared" si="158"/>
        <v>TRTTRADST</v>
      </c>
      <c r="BU190">
        <v>0.53</v>
      </c>
      <c r="BV190" t="s">
        <v>60</v>
      </c>
    </row>
    <row r="191" spans="3:74">
      <c r="C191" t="str">
        <f t="shared" si="156"/>
        <v>DCB</v>
      </c>
      <c r="D191" t="str">
        <f t="shared" si="157"/>
        <v>TRL</v>
      </c>
      <c r="E191" t="s">
        <v>377</v>
      </c>
      <c r="F191" s="3">
        <v>0.42</v>
      </c>
      <c r="G191" s="3">
        <v>0.42</v>
      </c>
      <c r="H191" s="3">
        <v>0.42</v>
      </c>
      <c r="I191" s="3">
        <v>0.42</v>
      </c>
      <c r="J191" s="3">
        <v>0.42</v>
      </c>
      <c r="K191" s="3">
        <v>0.42</v>
      </c>
      <c r="L191" s="3">
        <v>0.42</v>
      </c>
      <c r="M191" s="3">
        <v>0.42</v>
      </c>
      <c r="N191" s="3">
        <v>0.42</v>
      </c>
      <c r="O191" s="3">
        <v>0.42</v>
      </c>
      <c r="P191" s="3">
        <v>0.42</v>
      </c>
      <c r="Q191" s="3">
        <v>0.42</v>
      </c>
      <c r="R191" s="3">
        <v>0.42</v>
      </c>
      <c r="S191" s="3">
        <v>0.42</v>
      </c>
      <c r="T191" s="3">
        <v>0.42</v>
      </c>
      <c r="U191" s="3">
        <v>0.42</v>
      </c>
      <c r="V191" s="3">
        <v>0.42</v>
      </c>
      <c r="W191" s="3">
        <v>0.42</v>
      </c>
      <c r="X191" s="3">
        <v>0.42</v>
      </c>
      <c r="Y191" s="3">
        <v>0.42</v>
      </c>
      <c r="Z191" s="3">
        <v>0.42</v>
      </c>
      <c r="AA191" s="3">
        <v>0.42</v>
      </c>
      <c r="AB191" s="3">
        <v>0.42</v>
      </c>
      <c r="AC191" s="3">
        <v>0.42</v>
      </c>
      <c r="AD191" s="3">
        <v>0.42</v>
      </c>
      <c r="AE191" s="3">
        <v>0.42</v>
      </c>
      <c r="AF191" s="3">
        <v>0.42</v>
      </c>
      <c r="AG191" s="3">
        <v>0.42</v>
      </c>
      <c r="AH191" s="3">
        <v>0.42</v>
      </c>
      <c r="AI191" s="3">
        <v>0.42</v>
      </c>
      <c r="AJ191" s="3">
        <v>0.42</v>
      </c>
      <c r="AK191" s="3">
        <v>0.42</v>
      </c>
      <c r="AL191" s="3">
        <v>0.42</v>
      </c>
      <c r="AM191" s="3">
        <v>0.42</v>
      </c>
      <c r="AN191" s="3">
        <v>0.42</v>
      </c>
      <c r="AO191" s="3">
        <v>0.42</v>
      </c>
      <c r="AP191" s="3">
        <v>0.42</v>
      </c>
      <c r="AQ191" s="3">
        <v>0.42</v>
      </c>
      <c r="AR191" s="3">
        <v>0.42</v>
      </c>
      <c r="AS191" s="3">
        <v>0.42</v>
      </c>
      <c r="AT191" s="3">
        <v>0.42</v>
      </c>
      <c r="AU191" s="3">
        <v>0.42</v>
      </c>
      <c r="AV191" s="3">
        <v>0.42</v>
      </c>
      <c r="AW191" s="3">
        <v>0.42</v>
      </c>
      <c r="AX191" s="3">
        <v>0.42</v>
      </c>
      <c r="AY191" s="3">
        <v>0.42</v>
      </c>
      <c r="AZ191" s="3">
        <v>0.42</v>
      </c>
      <c r="BA191" s="3">
        <v>0.42</v>
      </c>
      <c r="BC191" t="s">
        <v>378</v>
      </c>
      <c r="BD191" t="str">
        <f t="shared" si="158"/>
        <v>TRTTRADST</v>
      </c>
      <c r="BU191">
        <v>0.59</v>
      </c>
      <c r="BV191" t="s">
        <v>60</v>
      </c>
    </row>
    <row r="192" spans="3:74">
      <c r="C192" t="str">
        <f t="shared" si="156"/>
        <v>DCC</v>
      </c>
      <c r="D192" t="str">
        <f t="shared" si="157"/>
        <v>TRL</v>
      </c>
      <c r="E192" t="s">
        <v>379</v>
      </c>
      <c r="F192" s="3">
        <v>0.46</v>
      </c>
      <c r="G192" s="3">
        <v>0.46</v>
      </c>
      <c r="H192" s="3">
        <v>0.46</v>
      </c>
      <c r="I192" s="3">
        <v>0.46</v>
      </c>
      <c r="J192" s="3">
        <v>0.46</v>
      </c>
      <c r="K192" s="3">
        <v>0.46</v>
      </c>
      <c r="L192" s="3">
        <v>0.46</v>
      </c>
      <c r="M192" s="3">
        <v>0.46</v>
      </c>
      <c r="N192" s="3">
        <v>0.46</v>
      </c>
      <c r="O192" s="3">
        <v>0.46</v>
      </c>
      <c r="P192" s="3">
        <v>0.46</v>
      </c>
      <c r="Q192" s="3">
        <v>0.46</v>
      </c>
      <c r="R192" s="3">
        <v>0.46</v>
      </c>
      <c r="S192" s="3">
        <v>0.46</v>
      </c>
      <c r="T192" s="3">
        <v>0.46</v>
      </c>
      <c r="U192" s="3">
        <v>0.46</v>
      </c>
      <c r="V192" s="3">
        <v>0.46</v>
      </c>
      <c r="W192" s="3">
        <v>0.46</v>
      </c>
      <c r="X192" s="3">
        <v>0.46</v>
      </c>
      <c r="Y192" s="3">
        <v>0.46</v>
      </c>
      <c r="Z192" s="3">
        <v>0.46</v>
      </c>
      <c r="AA192" s="3">
        <v>0.46</v>
      </c>
      <c r="AB192" s="3">
        <v>0.46</v>
      </c>
      <c r="AC192" s="3">
        <v>0.46</v>
      </c>
      <c r="AD192" s="3">
        <v>0.46</v>
      </c>
      <c r="AE192" s="3">
        <v>0.46</v>
      </c>
      <c r="AF192" s="3">
        <v>0.46</v>
      </c>
      <c r="AG192" s="3">
        <v>0.46</v>
      </c>
      <c r="AH192" s="3">
        <v>0.46</v>
      </c>
      <c r="AI192" s="3">
        <v>0.46</v>
      </c>
      <c r="AJ192" s="3">
        <v>0.46</v>
      </c>
      <c r="AK192" s="3">
        <v>0.46</v>
      </c>
      <c r="AL192" s="3">
        <v>0.46</v>
      </c>
      <c r="AM192" s="3">
        <v>0.46</v>
      </c>
      <c r="AN192" s="3">
        <v>0.46</v>
      </c>
      <c r="AO192" s="3">
        <v>0.46</v>
      </c>
      <c r="AP192" s="3">
        <v>0.46</v>
      </c>
      <c r="AQ192" s="3">
        <v>0.46</v>
      </c>
      <c r="AR192" s="3">
        <v>0.46</v>
      </c>
      <c r="AS192" s="3">
        <v>0.46</v>
      </c>
      <c r="AT192" s="3">
        <v>0.46</v>
      </c>
      <c r="AU192" s="3">
        <v>0.46</v>
      </c>
      <c r="AV192" s="3">
        <v>0.46</v>
      </c>
      <c r="AW192" s="3">
        <v>0.46</v>
      </c>
      <c r="AX192" s="3">
        <v>0.46</v>
      </c>
      <c r="AY192" s="3">
        <v>0.46</v>
      </c>
      <c r="AZ192" s="3">
        <v>0.46</v>
      </c>
      <c r="BA192" s="3">
        <v>0.46</v>
      </c>
      <c r="BC192" t="s">
        <v>380</v>
      </c>
      <c r="BD192" t="str">
        <f t="shared" si="158"/>
        <v>TRTTRAELC</v>
      </c>
      <c r="BU192">
        <v>0.78</v>
      </c>
      <c r="BV192" t="s">
        <v>64</v>
      </c>
    </row>
    <row r="193" spans="3:74">
      <c r="C193" t="str">
        <f t="shared" si="156"/>
        <v>DEG</v>
      </c>
      <c r="D193" t="str">
        <f t="shared" si="157"/>
        <v>TRL</v>
      </c>
      <c r="E193" t="s">
        <v>381</v>
      </c>
      <c r="F193" s="3">
        <v>0.38</v>
      </c>
      <c r="G193" s="3">
        <v>0.38</v>
      </c>
      <c r="H193" s="3">
        <v>0.38</v>
      </c>
      <c r="I193" s="3">
        <v>0.38</v>
      </c>
      <c r="J193" s="3">
        <v>0.38</v>
      </c>
      <c r="K193" s="3">
        <v>0.38</v>
      </c>
      <c r="L193" s="3">
        <v>0.38</v>
      </c>
      <c r="M193" s="3">
        <v>0.38</v>
      </c>
      <c r="N193" s="3">
        <v>0.38</v>
      </c>
      <c r="O193" s="3">
        <v>0.38</v>
      </c>
      <c r="P193" s="3">
        <v>0.38</v>
      </c>
      <c r="Q193" s="3">
        <v>0.38</v>
      </c>
      <c r="R193" s="3">
        <v>0.38</v>
      </c>
      <c r="S193" s="3">
        <v>0.38</v>
      </c>
      <c r="T193" s="3">
        <v>0.38</v>
      </c>
      <c r="U193" s="3">
        <v>0.38</v>
      </c>
      <c r="V193" s="3">
        <v>0.38</v>
      </c>
      <c r="W193" s="3">
        <v>0.38</v>
      </c>
      <c r="X193" s="3">
        <v>0.38</v>
      </c>
      <c r="Y193" s="3">
        <v>0.38</v>
      </c>
      <c r="Z193" s="3">
        <v>0.38</v>
      </c>
      <c r="AA193" s="3">
        <v>0.38</v>
      </c>
      <c r="AB193" s="3">
        <v>0.38</v>
      </c>
      <c r="AC193" s="3">
        <v>0.38</v>
      </c>
      <c r="AD193" s="3">
        <v>0.38</v>
      </c>
      <c r="AE193" s="3">
        <v>0.38</v>
      </c>
      <c r="AF193" s="3">
        <v>0.38</v>
      </c>
      <c r="AG193" s="3">
        <v>0.38</v>
      </c>
      <c r="AH193" s="3">
        <v>0.38</v>
      </c>
      <c r="AI193" s="3">
        <v>0.38</v>
      </c>
      <c r="AJ193" s="3">
        <v>0.38</v>
      </c>
      <c r="AK193" s="3">
        <v>0.38</v>
      </c>
      <c r="AL193" s="3">
        <v>0.38</v>
      </c>
      <c r="AM193" s="3">
        <v>0.38</v>
      </c>
      <c r="AN193" s="3">
        <v>0.38</v>
      </c>
      <c r="AO193" s="3">
        <v>0.38</v>
      </c>
      <c r="AP193" s="3">
        <v>0.38</v>
      </c>
      <c r="AQ193" s="3">
        <v>0.38</v>
      </c>
      <c r="AR193" s="3">
        <v>0.38</v>
      </c>
      <c r="AS193" s="3">
        <v>0.38</v>
      </c>
      <c r="AT193" s="3">
        <v>0.38</v>
      </c>
      <c r="AU193" s="3">
        <v>0.38</v>
      </c>
      <c r="AV193" s="3">
        <v>0.38</v>
      </c>
      <c r="AW193" s="3">
        <v>0.38</v>
      </c>
      <c r="AX193" s="3">
        <v>0.38</v>
      </c>
      <c r="AY193" s="3">
        <v>0.38</v>
      </c>
      <c r="AZ193" s="3">
        <v>0.38</v>
      </c>
      <c r="BA193" s="3">
        <v>0.38</v>
      </c>
      <c r="BC193" t="s">
        <v>382</v>
      </c>
      <c r="BD193" t="str">
        <f t="shared" si="158"/>
        <v>TRTTRABGS</v>
      </c>
      <c r="BU193">
        <v>0.48</v>
      </c>
      <c r="BV193" t="s">
        <v>48</v>
      </c>
    </row>
    <row r="194" spans="3:74">
      <c r="C194" t="str">
        <f t="shared" si="156"/>
        <v>DMG</v>
      </c>
      <c r="D194" t="str">
        <f t="shared" si="157"/>
        <v>TRL</v>
      </c>
      <c r="E194" t="s">
        <v>383</v>
      </c>
      <c r="F194" s="3">
        <v>0.38</v>
      </c>
      <c r="G194" s="3">
        <v>0.38</v>
      </c>
      <c r="H194" s="3">
        <v>0.38</v>
      </c>
      <c r="I194" s="3">
        <v>0.38</v>
      </c>
      <c r="J194" s="3">
        <v>0.38</v>
      </c>
      <c r="K194" s="3">
        <v>0.38</v>
      </c>
      <c r="L194" s="3">
        <v>0.38</v>
      </c>
      <c r="M194" s="3">
        <v>0.38</v>
      </c>
      <c r="N194" s="3">
        <v>0.38</v>
      </c>
      <c r="O194" s="3">
        <v>0.38</v>
      </c>
      <c r="P194" s="3">
        <v>0.38</v>
      </c>
      <c r="Q194" s="3">
        <v>0.38</v>
      </c>
      <c r="R194" s="3">
        <v>0.38</v>
      </c>
      <c r="S194" s="3">
        <v>0.38</v>
      </c>
      <c r="T194" s="3">
        <v>0.38</v>
      </c>
      <c r="U194" s="3">
        <v>0.38</v>
      </c>
      <c r="V194" s="3">
        <v>0.38</v>
      </c>
      <c r="W194" s="3">
        <v>0.38</v>
      </c>
      <c r="X194" s="3">
        <v>0.38</v>
      </c>
      <c r="Y194" s="3">
        <v>0.38</v>
      </c>
      <c r="Z194" s="3">
        <v>0.38</v>
      </c>
      <c r="AA194" s="3">
        <v>0.38</v>
      </c>
      <c r="AB194" s="3">
        <v>0.38</v>
      </c>
      <c r="AC194" s="3">
        <v>0.38</v>
      </c>
      <c r="AD194" s="3">
        <v>0.38</v>
      </c>
      <c r="AE194" s="3">
        <v>0.38</v>
      </c>
      <c r="AF194" s="3">
        <v>0.38</v>
      </c>
      <c r="AG194" s="3">
        <v>0.38</v>
      </c>
      <c r="AH194" s="3">
        <v>0.38</v>
      </c>
      <c r="AI194" s="3">
        <v>0.38</v>
      </c>
      <c r="AJ194" s="3">
        <v>0.38</v>
      </c>
      <c r="AK194" s="3">
        <v>0.38</v>
      </c>
      <c r="AL194" s="3">
        <v>0.38</v>
      </c>
      <c r="AM194" s="3">
        <v>0.38</v>
      </c>
      <c r="AN194" s="3">
        <v>0.38</v>
      </c>
      <c r="AO194" s="3">
        <v>0.38</v>
      </c>
      <c r="AP194" s="3">
        <v>0.38</v>
      </c>
      <c r="AQ194" s="3">
        <v>0.38</v>
      </c>
      <c r="AR194" s="3">
        <v>0.38</v>
      </c>
      <c r="AS194" s="3">
        <v>0.38</v>
      </c>
      <c r="AT194" s="3">
        <v>0.38</v>
      </c>
      <c r="AU194" s="3">
        <v>0.38</v>
      </c>
      <c r="AV194" s="3">
        <v>0.38</v>
      </c>
      <c r="AW194" s="3">
        <v>0.38</v>
      </c>
      <c r="AX194" s="3">
        <v>0.38</v>
      </c>
      <c r="AY194" s="3">
        <v>0.38</v>
      </c>
      <c r="AZ194" s="3">
        <v>0.38</v>
      </c>
      <c r="BA194" s="3">
        <v>0.38</v>
      </c>
      <c r="BC194" t="s">
        <v>384</v>
      </c>
      <c r="BD194" t="str">
        <f t="shared" si="158"/>
        <v>TRTTRABGS</v>
      </c>
      <c r="BU194">
        <v>0.54</v>
      </c>
      <c r="BV194" t="s">
        <v>48</v>
      </c>
    </row>
    <row r="195" spans="3:74">
      <c r="C195" t="str">
        <f t="shared" si="156"/>
        <v>ELC</v>
      </c>
      <c r="D195" t="str">
        <f t="shared" si="157"/>
        <v>TRL</v>
      </c>
      <c r="E195" t="s">
        <v>385</v>
      </c>
      <c r="F195" s="3">
        <v>0.7</v>
      </c>
      <c r="G195" s="3">
        <v>0.7</v>
      </c>
      <c r="H195" s="3">
        <v>0.7</v>
      </c>
      <c r="I195" s="3">
        <v>0.7</v>
      </c>
      <c r="J195" s="3">
        <v>0.7</v>
      </c>
      <c r="K195" s="3">
        <v>0.7</v>
      </c>
      <c r="L195" s="3">
        <v>0.7</v>
      </c>
      <c r="M195" s="3">
        <v>0.7</v>
      </c>
      <c r="N195" s="3">
        <v>0.7</v>
      </c>
      <c r="O195" s="3">
        <v>0.7</v>
      </c>
      <c r="P195" s="3">
        <v>0.7</v>
      </c>
      <c r="Q195" s="3">
        <v>0.7</v>
      </c>
      <c r="R195" s="3">
        <v>0.7</v>
      </c>
      <c r="S195" s="3">
        <v>0.7</v>
      </c>
      <c r="T195" s="3">
        <v>0.7</v>
      </c>
      <c r="U195" s="3">
        <v>0.7</v>
      </c>
      <c r="V195" s="3">
        <v>0.7</v>
      </c>
      <c r="W195" s="3">
        <v>0.7</v>
      </c>
      <c r="X195" s="3">
        <v>0.7</v>
      </c>
      <c r="Y195" s="3">
        <v>0.7</v>
      </c>
      <c r="Z195" s="3">
        <v>0.7</v>
      </c>
      <c r="AA195" s="3">
        <v>0.7</v>
      </c>
      <c r="AB195" s="3">
        <v>0.7</v>
      </c>
      <c r="AC195" s="3">
        <v>0.7</v>
      </c>
      <c r="AD195" s="3">
        <v>0.7</v>
      </c>
      <c r="AE195" s="3">
        <v>0.7</v>
      </c>
      <c r="AF195" s="3">
        <v>0.7</v>
      </c>
      <c r="AG195" s="3">
        <v>0.7</v>
      </c>
      <c r="AH195" s="3">
        <v>0.7</v>
      </c>
      <c r="AI195" s="3">
        <v>0.7</v>
      </c>
      <c r="AJ195" s="3">
        <v>0.7</v>
      </c>
      <c r="AK195" s="3">
        <v>0.7</v>
      </c>
      <c r="AL195" s="3">
        <v>0.7</v>
      </c>
      <c r="AM195" s="3">
        <v>0.7</v>
      </c>
      <c r="AN195" s="3">
        <v>0.7</v>
      </c>
      <c r="AO195" s="3">
        <v>0.7</v>
      </c>
      <c r="AP195" s="3">
        <v>0.7</v>
      </c>
      <c r="AQ195" s="3">
        <v>0.7</v>
      </c>
      <c r="AR195" s="3">
        <v>0.7</v>
      </c>
      <c r="AS195" s="3">
        <v>0.7</v>
      </c>
      <c r="AT195" s="3">
        <v>0.7</v>
      </c>
      <c r="AU195" s="3">
        <v>0.7</v>
      </c>
      <c r="AV195" s="3">
        <v>0.7</v>
      </c>
      <c r="AW195" s="3">
        <v>0.7</v>
      </c>
      <c r="AX195" s="3">
        <v>0.7</v>
      </c>
      <c r="AY195" s="3">
        <v>0.7</v>
      </c>
      <c r="AZ195" s="3">
        <v>0.7</v>
      </c>
      <c r="BA195" s="3">
        <v>0.7</v>
      </c>
      <c r="BC195" t="s">
        <v>386</v>
      </c>
      <c r="BD195" t="str">
        <f t="shared" si="158"/>
        <v>TRTTRABGS</v>
      </c>
      <c r="BU195">
        <v>0.41</v>
      </c>
      <c r="BV195" t="s">
        <v>48</v>
      </c>
    </row>
    <row r="196" spans="3:74">
      <c r="C196" t="str">
        <f t="shared" si="156"/>
        <v>GCA</v>
      </c>
      <c r="D196" t="str">
        <f t="shared" si="157"/>
        <v>TRL</v>
      </c>
      <c r="E196" t="s">
        <v>387</v>
      </c>
      <c r="F196" s="3">
        <v>0.31</v>
      </c>
      <c r="G196" s="3">
        <v>0.31</v>
      </c>
      <c r="H196" s="3">
        <v>0.31</v>
      </c>
      <c r="I196" s="3">
        <v>0.31</v>
      </c>
      <c r="J196" s="3">
        <v>0.31</v>
      </c>
      <c r="K196" s="3">
        <v>0.31</v>
      </c>
      <c r="L196" s="3">
        <v>0.31</v>
      </c>
      <c r="M196" s="3">
        <v>0.31</v>
      </c>
      <c r="N196" s="3">
        <v>0.31</v>
      </c>
      <c r="O196" s="3">
        <v>0.31</v>
      </c>
      <c r="P196" s="3">
        <v>0.31</v>
      </c>
      <c r="Q196" s="3">
        <v>0.31</v>
      </c>
      <c r="R196" s="3">
        <v>0.31</v>
      </c>
      <c r="S196" s="3">
        <v>0.31</v>
      </c>
      <c r="T196" s="3">
        <v>0.31</v>
      </c>
      <c r="U196" s="3">
        <v>0.31</v>
      </c>
      <c r="V196" s="3">
        <v>0.31</v>
      </c>
      <c r="W196" s="3">
        <v>0.31</v>
      </c>
      <c r="X196" s="3">
        <v>0.31</v>
      </c>
      <c r="Y196" s="3">
        <v>0.31</v>
      </c>
      <c r="Z196" s="3">
        <v>0.31</v>
      </c>
      <c r="AA196" s="3">
        <v>0.31</v>
      </c>
      <c r="AB196" s="3">
        <v>0.31</v>
      </c>
      <c r="AC196" s="3">
        <v>0.31</v>
      </c>
      <c r="AD196" s="3">
        <v>0.31</v>
      </c>
      <c r="AE196" s="3">
        <v>0.31</v>
      </c>
      <c r="AF196" s="3">
        <v>0.31</v>
      </c>
      <c r="AG196" s="3">
        <v>0.31</v>
      </c>
      <c r="AH196" s="3">
        <v>0.31</v>
      </c>
      <c r="AI196" s="3">
        <v>0.31</v>
      </c>
      <c r="AJ196" s="3">
        <v>0.31</v>
      </c>
      <c r="AK196" s="3">
        <v>0.31</v>
      </c>
      <c r="AL196" s="3">
        <v>0.31</v>
      </c>
      <c r="AM196" s="3">
        <v>0.31</v>
      </c>
      <c r="AN196" s="3">
        <v>0.31</v>
      </c>
      <c r="AO196" s="3">
        <v>0.31</v>
      </c>
      <c r="AP196" s="3">
        <v>0.31</v>
      </c>
      <c r="AQ196" s="3">
        <v>0.31</v>
      </c>
      <c r="AR196" s="3">
        <v>0.31</v>
      </c>
      <c r="AS196" s="3">
        <v>0.31</v>
      </c>
      <c r="AT196" s="3">
        <v>0.31</v>
      </c>
      <c r="AU196" s="3">
        <v>0.31</v>
      </c>
      <c r="AV196" s="3">
        <v>0.31</v>
      </c>
      <c r="AW196" s="3">
        <v>0.31</v>
      </c>
      <c r="AX196" s="3">
        <v>0.31</v>
      </c>
      <c r="AY196" s="3">
        <v>0.31</v>
      </c>
      <c r="AZ196" s="3">
        <v>0.31</v>
      </c>
      <c r="BA196" s="3">
        <v>0.31</v>
      </c>
      <c r="BC196" t="s">
        <v>388</v>
      </c>
      <c r="BD196" t="str">
        <f t="shared" si="158"/>
        <v>TRTTRAGSL</v>
      </c>
      <c r="BU196">
        <v>0.41</v>
      </c>
      <c r="BV196" t="s">
        <v>66</v>
      </c>
    </row>
    <row r="197" spans="3:74">
      <c r="C197" t="str">
        <f t="shared" si="156"/>
        <v>GCB</v>
      </c>
      <c r="D197" t="str">
        <f t="shared" si="157"/>
        <v>TRL</v>
      </c>
      <c r="E197" t="s">
        <v>389</v>
      </c>
      <c r="F197" s="3">
        <v>0.35</v>
      </c>
      <c r="G197" s="3">
        <v>0.35</v>
      </c>
      <c r="H197" s="3">
        <v>0.35</v>
      </c>
      <c r="I197" s="3">
        <v>0.35</v>
      </c>
      <c r="J197" s="3">
        <v>0.35</v>
      </c>
      <c r="K197" s="3">
        <v>0.35</v>
      </c>
      <c r="L197" s="3">
        <v>0.35</v>
      </c>
      <c r="M197" s="3">
        <v>0.35</v>
      </c>
      <c r="N197" s="3">
        <v>0.35</v>
      </c>
      <c r="O197" s="3">
        <v>0.35</v>
      </c>
      <c r="P197" s="3">
        <v>0.35</v>
      </c>
      <c r="Q197" s="3">
        <v>0.35</v>
      </c>
      <c r="R197" s="3">
        <v>0.35</v>
      </c>
      <c r="S197" s="3">
        <v>0.35</v>
      </c>
      <c r="T197" s="3">
        <v>0.35</v>
      </c>
      <c r="U197" s="3">
        <v>0.35</v>
      </c>
      <c r="V197" s="3">
        <v>0.35</v>
      </c>
      <c r="W197" s="3">
        <v>0.35</v>
      </c>
      <c r="X197" s="3">
        <v>0.35</v>
      </c>
      <c r="Y197" s="3">
        <v>0.35</v>
      </c>
      <c r="Z197" s="3">
        <v>0.35</v>
      </c>
      <c r="AA197" s="3">
        <v>0.35</v>
      </c>
      <c r="AB197" s="3">
        <v>0.35</v>
      </c>
      <c r="AC197" s="3">
        <v>0.35</v>
      </c>
      <c r="AD197" s="3">
        <v>0.35</v>
      </c>
      <c r="AE197" s="3">
        <v>0.35</v>
      </c>
      <c r="AF197" s="3">
        <v>0.35</v>
      </c>
      <c r="AG197" s="3">
        <v>0.35</v>
      </c>
      <c r="AH197" s="3">
        <v>0.35</v>
      </c>
      <c r="AI197" s="3">
        <v>0.35</v>
      </c>
      <c r="AJ197" s="3">
        <v>0.35</v>
      </c>
      <c r="AK197" s="3">
        <v>0.35</v>
      </c>
      <c r="AL197" s="3">
        <v>0.35</v>
      </c>
      <c r="AM197" s="3">
        <v>0.35</v>
      </c>
      <c r="AN197" s="3">
        <v>0.35</v>
      </c>
      <c r="AO197" s="3">
        <v>0.35</v>
      </c>
      <c r="AP197" s="3">
        <v>0.35</v>
      </c>
      <c r="AQ197" s="3">
        <v>0.35</v>
      </c>
      <c r="AR197" s="3">
        <v>0.35</v>
      </c>
      <c r="AS197" s="3">
        <v>0.35</v>
      </c>
      <c r="AT197" s="3">
        <v>0.35</v>
      </c>
      <c r="AU197" s="3">
        <v>0.35</v>
      </c>
      <c r="AV197" s="3">
        <v>0.35</v>
      </c>
      <c r="AW197" s="3">
        <v>0.35</v>
      </c>
      <c r="AX197" s="3">
        <v>0.35</v>
      </c>
      <c r="AY197" s="3">
        <v>0.35</v>
      </c>
      <c r="AZ197" s="3">
        <v>0.35</v>
      </c>
      <c r="BA197" s="3">
        <v>0.35</v>
      </c>
      <c r="BC197" t="s">
        <v>390</v>
      </c>
      <c r="BD197" t="str">
        <f t="shared" si="158"/>
        <v>TRTTRAGSL</v>
      </c>
      <c r="BU197">
        <v>0.48</v>
      </c>
      <c r="BV197" t="s">
        <v>66</v>
      </c>
    </row>
    <row r="198" spans="3:74">
      <c r="C198" t="str">
        <f t="shared" si="156"/>
        <v>GCC</v>
      </c>
      <c r="D198" t="str">
        <f t="shared" si="157"/>
        <v>TRL</v>
      </c>
      <c r="E198" t="s">
        <v>391</v>
      </c>
      <c r="F198" s="3">
        <v>0.38</v>
      </c>
      <c r="G198" s="3">
        <v>0.38</v>
      </c>
      <c r="H198" s="3">
        <v>0.38</v>
      </c>
      <c r="I198" s="3">
        <v>0.38</v>
      </c>
      <c r="J198" s="3">
        <v>0.38</v>
      </c>
      <c r="K198" s="3">
        <v>0.38</v>
      </c>
      <c r="L198" s="3">
        <v>0.38</v>
      </c>
      <c r="M198" s="3">
        <v>0.38</v>
      </c>
      <c r="N198" s="3">
        <v>0.38</v>
      </c>
      <c r="O198" s="3">
        <v>0.38</v>
      </c>
      <c r="P198" s="3">
        <v>0.38</v>
      </c>
      <c r="Q198" s="3">
        <v>0.38</v>
      </c>
      <c r="R198" s="3">
        <v>0.38</v>
      </c>
      <c r="S198" s="3">
        <v>0.38</v>
      </c>
      <c r="T198" s="3">
        <v>0.38</v>
      </c>
      <c r="U198" s="3">
        <v>0.38</v>
      </c>
      <c r="V198" s="3">
        <v>0.38</v>
      </c>
      <c r="W198" s="3">
        <v>0.38</v>
      </c>
      <c r="X198" s="3">
        <v>0.38</v>
      </c>
      <c r="Y198" s="3">
        <v>0.38</v>
      </c>
      <c r="Z198" s="3">
        <v>0.38</v>
      </c>
      <c r="AA198" s="3">
        <v>0.38</v>
      </c>
      <c r="AB198" s="3">
        <v>0.38</v>
      </c>
      <c r="AC198" s="3">
        <v>0.38</v>
      </c>
      <c r="AD198" s="3">
        <v>0.38</v>
      </c>
      <c r="AE198" s="3">
        <v>0.38</v>
      </c>
      <c r="AF198" s="3">
        <v>0.38</v>
      </c>
      <c r="AG198" s="3">
        <v>0.38</v>
      </c>
      <c r="AH198" s="3">
        <v>0.38</v>
      </c>
      <c r="AI198" s="3">
        <v>0.38</v>
      </c>
      <c r="AJ198" s="3">
        <v>0.38</v>
      </c>
      <c r="AK198" s="3">
        <v>0.38</v>
      </c>
      <c r="AL198" s="3">
        <v>0.38</v>
      </c>
      <c r="AM198" s="3">
        <v>0.38</v>
      </c>
      <c r="AN198" s="3">
        <v>0.38</v>
      </c>
      <c r="AO198" s="3">
        <v>0.38</v>
      </c>
      <c r="AP198" s="3">
        <v>0.38</v>
      </c>
      <c r="AQ198" s="3">
        <v>0.38</v>
      </c>
      <c r="AR198" s="3">
        <v>0.38</v>
      </c>
      <c r="AS198" s="3">
        <v>0.38</v>
      </c>
      <c r="AT198" s="3">
        <v>0.38</v>
      </c>
      <c r="AU198" s="3">
        <v>0.38</v>
      </c>
      <c r="AV198" s="3">
        <v>0.38</v>
      </c>
      <c r="AW198" s="3">
        <v>0.38</v>
      </c>
      <c r="AX198" s="3">
        <v>0.38</v>
      </c>
      <c r="AY198" s="3">
        <v>0.38</v>
      </c>
      <c r="AZ198" s="3">
        <v>0.38</v>
      </c>
      <c r="BA198" s="3">
        <v>0.38</v>
      </c>
      <c r="BC198" t="s">
        <v>392</v>
      </c>
      <c r="BD198" t="str">
        <f t="shared" si="158"/>
        <v>TRTTRAGSL</v>
      </c>
      <c r="BU198">
        <v>0.54</v>
      </c>
      <c r="BV198" t="s">
        <v>66</v>
      </c>
    </row>
    <row r="199" spans="3:74">
      <c r="C199" t="str">
        <f t="shared" si="156"/>
        <v>HYB</v>
      </c>
      <c r="D199" t="str">
        <f t="shared" si="157"/>
        <v>TRL</v>
      </c>
      <c r="E199" t="s">
        <v>393</v>
      </c>
      <c r="F199" s="3">
        <v>0.47</v>
      </c>
      <c r="G199" s="3">
        <v>0.47</v>
      </c>
      <c r="H199" s="3">
        <v>0.47</v>
      </c>
      <c r="I199" s="3">
        <v>0.47</v>
      </c>
      <c r="J199" s="3">
        <v>0.47</v>
      </c>
      <c r="K199" s="3">
        <v>0.47</v>
      </c>
      <c r="L199" s="3">
        <v>0.47</v>
      </c>
      <c r="M199" s="3">
        <v>0.47</v>
      </c>
      <c r="N199" s="3">
        <v>0.47</v>
      </c>
      <c r="O199" s="3">
        <v>0.47</v>
      </c>
      <c r="P199" s="3">
        <v>0.47</v>
      </c>
      <c r="Q199" s="3">
        <v>0.47</v>
      </c>
      <c r="R199" s="3">
        <v>0.47</v>
      </c>
      <c r="S199" s="3">
        <v>0.47</v>
      </c>
      <c r="T199" s="3">
        <v>0.47</v>
      </c>
      <c r="U199" s="3">
        <v>0.47</v>
      </c>
      <c r="V199" s="3">
        <v>0.47</v>
      </c>
      <c r="W199" s="3">
        <v>0.47</v>
      </c>
      <c r="X199" s="3">
        <v>0.47</v>
      </c>
      <c r="Y199" s="3">
        <v>0.47</v>
      </c>
      <c r="Z199" s="3">
        <v>0.47</v>
      </c>
      <c r="AA199" s="3">
        <v>0.47</v>
      </c>
      <c r="AB199" s="3">
        <v>0.47</v>
      </c>
      <c r="AC199" s="3">
        <v>0.47</v>
      </c>
      <c r="AD199" s="3">
        <v>0.47</v>
      </c>
      <c r="AE199" s="3">
        <v>0.47</v>
      </c>
      <c r="AF199" s="3">
        <v>0.47</v>
      </c>
      <c r="AG199" s="3">
        <v>0.47</v>
      </c>
      <c r="AH199" s="3">
        <v>0.47</v>
      </c>
      <c r="AI199" s="3">
        <v>0.47</v>
      </c>
      <c r="AJ199" s="3">
        <v>0.47</v>
      </c>
      <c r="AK199" s="3">
        <v>0.47</v>
      </c>
      <c r="AL199" s="3">
        <v>0.47</v>
      </c>
      <c r="AM199" s="3">
        <v>0.47</v>
      </c>
      <c r="AN199" s="3">
        <v>0.47</v>
      </c>
      <c r="AO199" s="3">
        <v>0.47</v>
      </c>
      <c r="AP199" s="3">
        <v>0.47</v>
      </c>
      <c r="AQ199" s="3">
        <v>0.47</v>
      </c>
      <c r="AR199" s="3">
        <v>0.47</v>
      </c>
      <c r="AS199" s="3">
        <v>0.47</v>
      </c>
      <c r="AT199" s="3">
        <v>0.47</v>
      </c>
      <c r="AU199" s="3">
        <v>0.47</v>
      </c>
      <c r="AV199" s="3">
        <v>0.47</v>
      </c>
      <c r="AW199" s="3">
        <v>0.47</v>
      </c>
      <c r="AX199" s="3">
        <v>0.47</v>
      </c>
      <c r="AY199" s="3">
        <v>0.47</v>
      </c>
      <c r="AZ199" s="3">
        <v>0.47</v>
      </c>
      <c r="BA199" s="3">
        <v>0.47</v>
      </c>
      <c r="BC199" t="s">
        <v>394</v>
      </c>
      <c r="BD199" t="str">
        <f t="shared" ref="BD199:BD203" si="159">LEFT(BC199,3)&amp;BV199</f>
        <v>TRTTRALPG</v>
      </c>
      <c r="BU199">
        <v>0.41</v>
      </c>
      <c r="BV199" t="s">
        <v>74</v>
      </c>
    </row>
    <row r="200" spans="3:74">
      <c r="C200" t="str">
        <f t="shared" si="156"/>
        <v>LPG</v>
      </c>
      <c r="D200" t="str">
        <f t="shared" si="157"/>
        <v>TRL</v>
      </c>
      <c r="E200" t="s">
        <v>395</v>
      </c>
      <c r="F200" s="3">
        <v>0.33</v>
      </c>
      <c r="G200" s="3">
        <v>0.33</v>
      </c>
      <c r="H200" s="3">
        <v>0.33</v>
      </c>
      <c r="I200" s="3">
        <v>0.33</v>
      </c>
      <c r="J200" s="3">
        <v>0.33</v>
      </c>
      <c r="K200" s="3">
        <v>0.33</v>
      </c>
      <c r="L200" s="3">
        <v>0.33</v>
      </c>
      <c r="M200" s="3">
        <v>0.33</v>
      </c>
      <c r="N200" s="3">
        <v>0.33</v>
      </c>
      <c r="O200" s="3">
        <v>0.33</v>
      </c>
      <c r="P200" s="3">
        <v>0.33</v>
      </c>
      <c r="Q200" s="3">
        <v>0.33</v>
      </c>
      <c r="R200" s="3">
        <v>0.33</v>
      </c>
      <c r="S200" s="3">
        <v>0.33</v>
      </c>
      <c r="T200" s="3">
        <v>0.33</v>
      </c>
      <c r="U200" s="3">
        <v>0.33</v>
      </c>
      <c r="V200" s="3">
        <v>0.33</v>
      </c>
      <c r="W200" s="3">
        <v>0.33</v>
      </c>
      <c r="X200" s="3">
        <v>0.33</v>
      </c>
      <c r="Y200" s="3">
        <v>0.33</v>
      </c>
      <c r="Z200" s="3">
        <v>0.33</v>
      </c>
      <c r="AA200" s="3">
        <v>0.33</v>
      </c>
      <c r="AB200" s="3">
        <v>0.33</v>
      </c>
      <c r="AC200" s="3">
        <v>0.33</v>
      </c>
      <c r="AD200" s="3">
        <v>0.33</v>
      </c>
      <c r="AE200" s="3">
        <v>0.33</v>
      </c>
      <c r="AF200" s="3">
        <v>0.33</v>
      </c>
      <c r="AG200" s="3">
        <v>0.33</v>
      </c>
      <c r="AH200" s="3">
        <v>0.33</v>
      </c>
      <c r="AI200" s="3">
        <v>0.33</v>
      </c>
      <c r="AJ200" s="3">
        <v>0.33</v>
      </c>
      <c r="AK200" s="3">
        <v>0.33</v>
      </c>
      <c r="AL200" s="3">
        <v>0.33</v>
      </c>
      <c r="AM200" s="3">
        <v>0.33</v>
      </c>
      <c r="AN200" s="3">
        <v>0.33</v>
      </c>
      <c r="AO200" s="3">
        <v>0.33</v>
      </c>
      <c r="AP200" s="3">
        <v>0.33</v>
      </c>
      <c r="AQ200" s="3">
        <v>0.33</v>
      </c>
      <c r="AR200" s="3">
        <v>0.33</v>
      </c>
      <c r="AS200" s="3">
        <v>0.33</v>
      </c>
      <c r="AT200" s="3">
        <v>0.33</v>
      </c>
      <c r="AU200" s="3">
        <v>0.33</v>
      </c>
      <c r="AV200" s="3">
        <v>0.33</v>
      </c>
      <c r="AW200" s="3">
        <v>0.33</v>
      </c>
      <c r="AX200" s="3">
        <v>0.33</v>
      </c>
      <c r="AY200" s="3">
        <v>0.33</v>
      </c>
      <c r="AZ200" s="3">
        <v>0.33</v>
      </c>
      <c r="BA200" s="3">
        <v>0.33</v>
      </c>
      <c r="BC200" t="s">
        <v>396</v>
      </c>
      <c r="BD200" t="str">
        <f t="shared" si="159"/>
        <v>TRTTRABGS</v>
      </c>
      <c r="BU200">
        <v>0.45</v>
      </c>
      <c r="BV200" t="s">
        <v>48</v>
      </c>
    </row>
    <row r="201" spans="3:74">
      <c r="C201" t="str">
        <f t="shared" si="156"/>
        <v>NGA</v>
      </c>
      <c r="D201" t="str">
        <f t="shared" si="157"/>
        <v>TRL</v>
      </c>
      <c r="E201" t="s">
        <v>397</v>
      </c>
      <c r="F201" s="3">
        <v>0.33</v>
      </c>
      <c r="G201" s="3">
        <v>0.33</v>
      </c>
      <c r="H201" s="3">
        <v>0.33</v>
      </c>
      <c r="I201" s="3">
        <v>0.33</v>
      </c>
      <c r="J201" s="3">
        <v>0.33</v>
      </c>
      <c r="K201" s="3">
        <v>0.33</v>
      </c>
      <c r="L201" s="3">
        <v>0.33</v>
      </c>
      <c r="M201" s="3">
        <v>0.33</v>
      </c>
      <c r="N201" s="3">
        <v>0.33</v>
      </c>
      <c r="O201" s="3">
        <v>0.33</v>
      </c>
      <c r="P201" s="3">
        <v>0.33</v>
      </c>
      <c r="Q201" s="3">
        <v>0.33</v>
      </c>
      <c r="R201" s="3">
        <v>0.33</v>
      </c>
      <c r="S201" s="3">
        <v>0.33</v>
      </c>
      <c r="T201" s="3">
        <v>0.33</v>
      </c>
      <c r="U201" s="3">
        <v>0.33</v>
      </c>
      <c r="V201" s="3">
        <v>0.33</v>
      </c>
      <c r="W201" s="3">
        <v>0.33</v>
      </c>
      <c r="X201" s="3">
        <v>0.33</v>
      </c>
      <c r="Y201" s="3">
        <v>0.33</v>
      </c>
      <c r="Z201" s="3">
        <v>0.33</v>
      </c>
      <c r="AA201" s="3">
        <v>0.33</v>
      </c>
      <c r="AB201" s="3">
        <v>0.33</v>
      </c>
      <c r="AC201" s="3">
        <v>0.33</v>
      </c>
      <c r="AD201" s="3">
        <v>0.33</v>
      </c>
      <c r="AE201" s="3">
        <v>0.33</v>
      </c>
      <c r="AF201" s="3">
        <v>0.33</v>
      </c>
      <c r="AG201" s="3">
        <v>0.33</v>
      </c>
      <c r="AH201" s="3">
        <v>0.33</v>
      </c>
      <c r="AI201" s="3">
        <v>0.33</v>
      </c>
      <c r="AJ201" s="3">
        <v>0.33</v>
      </c>
      <c r="AK201" s="3">
        <v>0.33</v>
      </c>
      <c r="AL201" s="3">
        <v>0.33</v>
      </c>
      <c r="AM201" s="3">
        <v>0.33</v>
      </c>
      <c r="AN201" s="3">
        <v>0.33</v>
      </c>
      <c r="AO201" s="3">
        <v>0.33</v>
      </c>
      <c r="AP201" s="3">
        <v>0.33</v>
      </c>
      <c r="AQ201" s="3">
        <v>0.33</v>
      </c>
      <c r="AR201" s="3">
        <v>0.33</v>
      </c>
      <c r="AS201" s="3">
        <v>0.33</v>
      </c>
      <c r="AT201" s="3">
        <v>0.33</v>
      </c>
      <c r="AU201" s="3">
        <v>0.33</v>
      </c>
      <c r="AV201" s="3">
        <v>0.33</v>
      </c>
      <c r="AW201" s="3">
        <v>0.33</v>
      </c>
      <c r="AX201" s="3">
        <v>0.33</v>
      </c>
      <c r="AY201" s="3">
        <v>0.33</v>
      </c>
      <c r="AZ201" s="3">
        <v>0.33</v>
      </c>
      <c r="BA201" s="3">
        <v>0.33</v>
      </c>
      <c r="BC201" t="s">
        <v>398</v>
      </c>
      <c r="BD201" t="str">
        <f t="shared" si="159"/>
        <v>TRTTRANGA</v>
      </c>
      <c r="BU201">
        <v>0.44</v>
      </c>
      <c r="BV201" t="s">
        <v>52</v>
      </c>
    </row>
    <row r="202" spans="3:74">
      <c r="C202" t="str">
        <f t="shared" si="156"/>
        <v>DSA</v>
      </c>
      <c r="D202" t="str">
        <f t="shared" si="157"/>
        <v>TRM</v>
      </c>
      <c r="E202" t="s">
        <v>399</v>
      </c>
      <c r="F202" s="3">
        <v>0.13</v>
      </c>
      <c r="G202" s="3">
        <v>0.13</v>
      </c>
      <c r="H202" s="3">
        <v>0.13</v>
      </c>
      <c r="I202" s="3">
        <v>0.13</v>
      </c>
      <c r="J202" s="3">
        <v>0.13</v>
      </c>
      <c r="K202" s="3">
        <v>0.13</v>
      </c>
      <c r="L202" s="3">
        <v>0.13</v>
      </c>
      <c r="M202" s="3">
        <v>0.13</v>
      </c>
      <c r="N202" s="3">
        <v>0.13</v>
      </c>
      <c r="O202" s="3">
        <v>0.13</v>
      </c>
      <c r="P202" s="3">
        <v>0.13</v>
      </c>
      <c r="Q202" s="3">
        <v>0.13</v>
      </c>
      <c r="R202" s="3">
        <v>0.13</v>
      </c>
      <c r="S202" s="3">
        <v>0.13</v>
      </c>
      <c r="T202" s="3">
        <v>0.13</v>
      </c>
      <c r="U202" s="3">
        <v>0.13</v>
      </c>
      <c r="V202" s="3">
        <v>0.13</v>
      </c>
      <c r="W202" s="3">
        <v>0.13</v>
      </c>
      <c r="X202" s="3">
        <v>0.13</v>
      </c>
      <c r="Y202" s="3">
        <v>0.13</v>
      </c>
      <c r="Z202" s="3">
        <v>0.13</v>
      </c>
      <c r="AA202" s="3">
        <v>0.13</v>
      </c>
      <c r="AB202" s="3">
        <v>0.13</v>
      </c>
      <c r="AC202" s="3">
        <v>0.13</v>
      </c>
      <c r="AD202" s="3">
        <v>0.13</v>
      </c>
      <c r="AE202" s="3">
        <v>0.13</v>
      </c>
      <c r="AF202" s="3">
        <v>0.13</v>
      </c>
      <c r="AG202" s="3">
        <v>0.13</v>
      </c>
      <c r="AH202" s="3">
        <v>0.13</v>
      </c>
      <c r="AI202" s="3">
        <v>0.13</v>
      </c>
      <c r="AJ202" s="3">
        <v>0.13</v>
      </c>
      <c r="AK202" s="3">
        <v>0.13</v>
      </c>
      <c r="AL202" s="3">
        <v>0.13</v>
      </c>
      <c r="AM202" s="3">
        <v>0.13</v>
      </c>
      <c r="AN202" s="3">
        <v>0.13</v>
      </c>
      <c r="AO202" s="3">
        <v>0.13</v>
      </c>
      <c r="AP202" s="3">
        <v>0.13</v>
      </c>
      <c r="AQ202" s="3">
        <v>0.13</v>
      </c>
      <c r="AR202" s="3">
        <v>0.13</v>
      </c>
      <c r="AS202" s="3">
        <v>0.13</v>
      </c>
      <c r="AT202" s="3">
        <v>0.13</v>
      </c>
      <c r="AU202" s="3">
        <v>0.13</v>
      </c>
      <c r="AV202" s="3">
        <v>0.13</v>
      </c>
      <c r="AW202" s="3">
        <v>0.13</v>
      </c>
      <c r="AX202" s="3">
        <v>0.13</v>
      </c>
      <c r="AY202" s="3">
        <v>0.13</v>
      </c>
      <c r="AZ202" s="3">
        <v>0.13</v>
      </c>
      <c r="BA202" s="3">
        <v>0.13</v>
      </c>
      <c r="BC202" t="s">
        <v>400</v>
      </c>
      <c r="BD202" t="str">
        <f t="shared" si="159"/>
        <v>TRWTRAGSL</v>
      </c>
      <c r="BU202">
        <v>0.7</v>
      </c>
      <c r="BV202" t="s">
        <v>66</v>
      </c>
    </row>
    <row r="203" spans="3:74">
      <c r="C203" t="str">
        <f t="shared" si="156"/>
        <v>DSB</v>
      </c>
      <c r="D203" t="str">
        <f t="shared" si="157"/>
        <v>TRM</v>
      </c>
      <c r="E203" t="s">
        <v>401</v>
      </c>
      <c r="F203" s="3">
        <v>0.15</v>
      </c>
      <c r="G203" s="3">
        <v>0.15</v>
      </c>
      <c r="H203" s="3">
        <v>0.15</v>
      </c>
      <c r="I203" s="3">
        <v>0.15</v>
      </c>
      <c r="J203" s="3">
        <v>0.15</v>
      </c>
      <c r="K203" s="3">
        <v>0.15</v>
      </c>
      <c r="L203" s="3">
        <v>0.15</v>
      </c>
      <c r="M203" s="3">
        <v>0.15</v>
      </c>
      <c r="N203" s="3">
        <v>0.15</v>
      </c>
      <c r="O203" s="3">
        <v>0.15</v>
      </c>
      <c r="P203" s="3">
        <v>0.15</v>
      </c>
      <c r="Q203" s="3">
        <v>0.15</v>
      </c>
      <c r="R203" s="3">
        <v>0.15</v>
      </c>
      <c r="S203" s="3">
        <v>0.15</v>
      </c>
      <c r="T203" s="3">
        <v>0.15</v>
      </c>
      <c r="U203" s="3">
        <v>0.15</v>
      </c>
      <c r="V203" s="3">
        <v>0.15</v>
      </c>
      <c r="W203" s="3">
        <v>0.15</v>
      </c>
      <c r="X203" s="3">
        <v>0.15</v>
      </c>
      <c r="Y203" s="3">
        <v>0.15</v>
      </c>
      <c r="Z203" s="3">
        <v>0.15</v>
      </c>
      <c r="AA203" s="3">
        <v>0.15</v>
      </c>
      <c r="AB203" s="3">
        <v>0.15</v>
      </c>
      <c r="AC203" s="3">
        <v>0.15</v>
      </c>
      <c r="AD203" s="3">
        <v>0.15</v>
      </c>
      <c r="AE203" s="3">
        <v>0.15</v>
      </c>
      <c r="AF203" s="3">
        <v>0.15</v>
      </c>
      <c r="AG203" s="3">
        <v>0.15</v>
      </c>
      <c r="AH203" s="3">
        <v>0.15</v>
      </c>
      <c r="AI203" s="3">
        <v>0.15</v>
      </c>
      <c r="AJ203" s="3">
        <v>0.15</v>
      </c>
      <c r="AK203" s="3">
        <v>0.15</v>
      </c>
      <c r="AL203" s="3">
        <v>0.15</v>
      </c>
      <c r="AM203" s="3">
        <v>0.15</v>
      </c>
      <c r="AN203" s="3">
        <v>0.15</v>
      </c>
      <c r="AO203" s="3">
        <v>0.15</v>
      </c>
      <c r="AP203" s="3">
        <v>0.15</v>
      </c>
      <c r="AQ203" s="3">
        <v>0.15</v>
      </c>
      <c r="AR203" s="3">
        <v>0.15</v>
      </c>
      <c r="AS203" s="3">
        <v>0.15</v>
      </c>
      <c r="AT203" s="3">
        <v>0.15</v>
      </c>
      <c r="AU203" s="3">
        <v>0.15</v>
      </c>
      <c r="AV203" s="3">
        <v>0.15</v>
      </c>
      <c r="AW203" s="3">
        <v>0.15</v>
      </c>
      <c r="AX203" s="3">
        <v>0.15</v>
      </c>
      <c r="AY203" s="3">
        <v>0.15</v>
      </c>
      <c r="AZ203" s="3">
        <v>0.15</v>
      </c>
      <c r="BA203" s="3">
        <v>0.15</v>
      </c>
      <c r="BC203" t="s">
        <v>402</v>
      </c>
      <c r="BD203" t="str">
        <f t="shared" si="159"/>
        <v>TRWTRAGSL</v>
      </c>
      <c r="BU203">
        <v>1</v>
      </c>
      <c r="BV203" t="s">
        <v>66</v>
      </c>
    </row>
    <row r="204" spans="3:74">
      <c r="C204" t="str">
        <f t="shared" si="156"/>
        <v>DST</v>
      </c>
      <c r="D204" t="str">
        <f t="shared" si="157"/>
        <v>TRM</v>
      </c>
      <c r="E204" t="s">
        <v>403</v>
      </c>
      <c r="F204" s="3">
        <v>0.12</v>
      </c>
      <c r="G204" s="3">
        <v>0.12</v>
      </c>
      <c r="H204" s="3">
        <v>0.12</v>
      </c>
      <c r="I204" s="3">
        <v>0.12</v>
      </c>
      <c r="J204" s="3">
        <v>0.12</v>
      </c>
      <c r="K204" s="3">
        <v>0.12</v>
      </c>
      <c r="L204" s="3">
        <v>0.12</v>
      </c>
      <c r="M204" s="3">
        <v>0.12</v>
      </c>
      <c r="N204" s="3">
        <v>0.12</v>
      </c>
      <c r="O204" s="3">
        <v>0.12</v>
      </c>
      <c r="P204" s="3">
        <v>0.12</v>
      </c>
      <c r="Q204" s="3">
        <v>0.12</v>
      </c>
      <c r="R204" s="3">
        <v>0.12</v>
      </c>
      <c r="S204" s="3">
        <v>0.12</v>
      </c>
      <c r="T204" s="3">
        <v>0.12</v>
      </c>
      <c r="U204" s="3">
        <v>0.12</v>
      </c>
      <c r="V204" s="3">
        <v>0.12</v>
      </c>
      <c r="W204" s="3">
        <v>0.12</v>
      </c>
      <c r="X204" s="3">
        <v>0.12</v>
      </c>
      <c r="Y204" s="3">
        <v>0.12</v>
      </c>
      <c r="Z204" s="3">
        <v>0.12</v>
      </c>
      <c r="AA204" s="3">
        <v>0.12</v>
      </c>
      <c r="AB204" s="3">
        <v>0.12</v>
      </c>
      <c r="AC204" s="3">
        <v>0.12</v>
      </c>
      <c r="AD204" s="3">
        <v>0.12</v>
      </c>
      <c r="AE204" s="3">
        <v>0.12</v>
      </c>
      <c r="AF204" s="3">
        <v>0.12</v>
      </c>
      <c r="AG204" s="3">
        <v>0.12</v>
      </c>
      <c r="AH204" s="3">
        <v>0.12</v>
      </c>
      <c r="AI204" s="3">
        <v>0.12</v>
      </c>
      <c r="AJ204" s="3">
        <v>0.12</v>
      </c>
      <c r="AK204" s="3">
        <v>0.12</v>
      </c>
      <c r="AL204" s="3">
        <v>0.12</v>
      </c>
      <c r="AM204" s="3">
        <v>0.12</v>
      </c>
      <c r="AN204" s="3">
        <v>0.12</v>
      </c>
      <c r="AO204" s="3">
        <v>0.12</v>
      </c>
      <c r="AP204" s="3">
        <v>0.12</v>
      </c>
      <c r="AQ204" s="3">
        <v>0.12</v>
      </c>
      <c r="AR204" s="3">
        <v>0.12</v>
      </c>
      <c r="AS204" s="3">
        <v>0.12</v>
      </c>
      <c r="AT204" s="3">
        <v>0.12</v>
      </c>
      <c r="AU204" s="3">
        <v>0.12</v>
      </c>
      <c r="AV204" s="3">
        <v>0.12</v>
      </c>
      <c r="AW204" s="3">
        <v>0.12</v>
      </c>
      <c r="AX204" s="3">
        <v>0.12</v>
      </c>
      <c r="AY204" s="3">
        <v>0.12</v>
      </c>
      <c r="AZ204" s="3">
        <v>0.12</v>
      </c>
      <c r="BA204" s="3">
        <v>0.12</v>
      </c>
    </row>
    <row r="205" spans="3:74">
      <c r="C205" t="str">
        <f t="shared" si="156"/>
        <v>ETA</v>
      </c>
      <c r="D205" t="str">
        <f t="shared" si="157"/>
        <v>TRM</v>
      </c>
      <c r="E205" t="s">
        <v>404</v>
      </c>
      <c r="F205" s="3">
        <v>0.13</v>
      </c>
      <c r="G205" s="3">
        <v>0.13</v>
      </c>
      <c r="H205" s="3">
        <v>0.13</v>
      </c>
      <c r="I205" s="3">
        <v>0.13</v>
      </c>
      <c r="J205" s="3">
        <v>0.13</v>
      </c>
      <c r="K205" s="3">
        <v>0.13</v>
      </c>
      <c r="L205" s="3">
        <v>0.13</v>
      </c>
      <c r="M205" s="3">
        <v>0.13</v>
      </c>
      <c r="N205" s="3">
        <v>0.13</v>
      </c>
      <c r="O205" s="3">
        <v>0.13</v>
      </c>
      <c r="P205" s="3">
        <v>0.13</v>
      </c>
      <c r="Q205" s="3">
        <v>0.13</v>
      </c>
      <c r="R205" s="3">
        <v>0.13</v>
      </c>
      <c r="S205" s="3">
        <v>0.13</v>
      </c>
      <c r="T205" s="3">
        <v>0.13</v>
      </c>
      <c r="U205" s="3">
        <v>0.13</v>
      </c>
      <c r="V205" s="3">
        <v>0.13</v>
      </c>
      <c r="W205" s="3">
        <v>0.13</v>
      </c>
      <c r="X205" s="3">
        <v>0.13</v>
      </c>
      <c r="Y205" s="3">
        <v>0.13</v>
      </c>
      <c r="Z205" s="3">
        <v>0.13</v>
      </c>
      <c r="AA205" s="3">
        <v>0.13</v>
      </c>
      <c r="AB205" s="3">
        <v>0.13</v>
      </c>
      <c r="AC205" s="3">
        <v>0.13</v>
      </c>
      <c r="AD205" s="3">
        <v>0.13</v>
      </c>
      <c r="AE205" s="3">
        <v>0.13</v>
      </c>
      <c r="AF205" s="3">
        <v>0.13</v>
      </c>
      <c r="AG205" s="3">
        <v>0.13</v>
      </c>
      <c r="AH205" s="3">
        <v>0.13</v>
      </c>
      <c r="AI205" s="3">
        <v>0.13</v>
      </c>
      <c r="AJ205" s="3">
        <v>0.13</v>
      </c>
      <c r="AK205" s="3">
        <v>0.13</v>
      </c>
      <c r="AL205" s="3">
        <v>0.13</v>
      </c>
      <c r="AM205" s="3">
        <v>0.13</v>
      </c>
      <c r="AN205" s="3">
        <v>0.13</v>
      </c>
      <c r="AO205" s="3">
        <v>0.13</v>
      </c>
      <c r="AP205" s="3">
        <v>0.13</v>
      </c>
      <c r="AQ205" s="3">
        <v>0.13</v>
      </c>
      <c r="AR205" s="3">
        <v>0.13</v>
      </c>
      <c r="AS205" s="3">
        <v>0.13</v>
      </c>
      <c r="AT205" s="3">
        <v>0.13</v>
      </c>
      <c r="AU205" s="3">
        <v>0.13</v>
      </c>
      <c r="AV205" s="3">
        <v>0.13</v>
      </c>
      <c r="AW205" s="3">
        <v>0.13</v>
      </c>
      <c r="AX205" s="3">
        <v>0.13</v>
      </c>
      <c r="AY205" s="3">
        <v>0.13</v>
      </c>
      <c r="AZ205" s="3">
        <v>0.13</v>
      </c>
      <c r="BA205" s="3">
        <v>0.13</v>
      </c>
    </row>
    <row r="206" spans="3:74">
      <c r="C206" t="str">
        <f t="shared" si="156"/>
        <v>ETB</v>
      </c>
      <c r="D206" t="str">
        <f t="shared" si="157"/>
        <v>TRM</v>
      </c>
      <c r="E206" t="s">
        <v>405</v>
      </c>
      <c r="F206" s="3">
        <v>0.1</v>
      </c>
      <c r="G206" s="3">
        <v>0.1</v>
      </c>
      <c r="H206" s="3">
        <v>0.1</v>
      </c>
      <c r="I206" s="3">
        <v>0.1</v>
      </c>
      <c r="J206" s="3">
        <v>0.1</v>
      </c>
      <c r="K206" s="3">
        <v>0.1</v>
      </c>
      <c r="L206" s="3">
        <v>0.1</v>
      </c>
      <c r="M206" s="3">
        <v>0.1</v>
      </c>
      <c r="N206" s="3">
        <v>0.1</v>
      </c>
      <c r="O206" s="3">
        <v>0.1</v>
      </c>
      <c r="P206" s="3">
        <v>0.1</v>
      </c>
      <c r="Q206" s="3">
        <v>0.1</v>
      </c>
      <c r="R206" s="3">
        <v>0.1</v>
      </c>
      <c r="S206" s="3">
        <v>0.1</v>
      </c>
      <c r="T206" s="3">
        <v>0.1</v>
      </c>
      <c r="U206" s="3">
        <v>0.1</v>
      </c>
      <c r="V206" s="3">
        <v>0.1</v>
      </c>
      <c r="W206" s="3">
        <v>0.1</v>
      </c>
      <c r="X206" s="3">
        <v>0.1</v>
      </c>
      <c r="Y206" s="3">
        <v>0.1</v>
      </c>
      <c r="Z206" s="3">
        <v>0.1</v>
      </c>
      <c r="AA206" s="3">
        <v>0.1</v>
      </c>
      <c r="AB206" s="3">
        <v>0.1</v>
      </c>
      <c r="AC206" s="3">
        <v>0.1</v>
      </c>
      <c r="AD206" s="3">
        <v>0.1</v>
      </c>
      <c r="AE206" s="3">
        <v>0.1</v>
      </c>
      <c r="AF206" s="3">
        <v>0.1</v>
      </c>
      <c r="AG206" s="3">
        <v>0.1</v>
      </c>
      <c r="AH206" s="3">
        <v>0.1</v>
      </c>
      <c r="AI206" s="3">
        <v>0.1</v>
      </c>
      <c r="AJ206" s="3">
        <v>0.1</v>
      </c>
      <c r="AK206" s="3">
        <v>0.1</v>
      </c>
      <c r="AL206" s="3">
        <v>0.1</v>
      </c>
      <c r="AM206" s="3">
        <v>0.1</v>
      </c>
      <c r="AN206" s="3">
        <v>0.1</v>
      </c>
      <c r="AO206" s="3">
        <v>0.1</v>
      </c>
      <c r="AP206" s="3">
        <v>0.1</v>
      </c>
      <c r="AQ206" s="3">
        <v>0.1</v>
      </c>
      <c r="AR206" s="3">
        <v>0.1</v>
      </c>
      <c r="AS206" s="3">
        <v>0.1</v>
      </c>
      <c r="AT206" s="3">
        <v>0.1</v>
      </c>
      <c r="AU206" s="3">
        <v>0.1</v>
      </c>
      <c r="AV206" s="3">
        <v>0.1</v>
      </c>
      <c r="AW206" s="3">
        <v>0.1</v>
      </c>
      <c r="AX206" s="3">
        <v>0.1</v>
      </c>
      <c r="AY206" s="3">
        <v>0.1</v>
      </c>
      <c r="AZ206" s="3">
        <v>0.1</v>
      </c>
      <c r="BA206" s="3">
        <v>0.1</v>
      </c>
    </row>
    <row r="207" spans="3:74">
      <c r="C207" t="str">
        <f t="shared" si="156"/>
        <v>ETH</v>
      </c>
      <c r="D207" t="str">
        <f t="shared" si="157"/>
        <v>TRM</v>
      </c>
      <c r="E207" t="s">
        <v>406</v>
      </c>
      <c r="F207" s="3">
        <v>0.1</v>
      </c>
      <c r="G207" s="3">
        <v>0.1</v>
      </c>
      <c r="H207" s="3">
        <v>0.1</v>
      </c>
      <c r="I207" s="3">
        <v>0.1</v>
      </c>
      <c r="J207" s="3">
        <v>0.1</v>
      </c>
      <c r="K207" s="3">
        <v>0.1</v>
      </c>
      <c r="L207" s="3">
        <v>0.1</v>
      </c>
      <c r="M207" s="3">
        <v>0.1</v>
      </c>
      <c r="N207" s="3">
        <v>0.1</v>
      </c>
      <c r="O207" s="3">
        <v>0.1</v>
      </c>
      <c r="P207" s="3">
        <v>0.1</v>
      </c>
      <c r="Q207" s="3">
        <v>0.1</v>
      </c>
      <c r="R207" s="3">
        <v>0.1</v>
      </c>
      <c r="S207" s="3">
        <v>0.1</v>
      </c>
      <c r="T207" s="3">
        <v>0.1</v>
      </c>
      <c r="U207" s="3">
        <v>0.1</v>
      </c>
      <c r="V207" s="3">
        <v>0.1</v>
      </c>
      <c r="W207" s="3">
        <v>0.1</v>
      </c>
      <c r="X207" s="3">
        <v>0.1</v>
      </c>
      <c r="Y207" s="3">
        <v>0.1</v>
      </c>
      <c r="Z207" s="3">
        <v>0.1</v>
      </c>
      <c r="AA207" s="3">
        <v>0.1</v>
      </c>
      <c r="AB207" s="3">
        <v>0.1</v>
      </c>
      <c r="AC207" s="3">
        <v>0.1</v>
      </c>
      <c r="AD207" s="3">
        <v>0.1</v>
      </c>
      <c r="AE207" s="3">
        <v>0.1</v>
      </c>
      <c r="AF207" s="3">
        <v>0.1</v>
      </c>
      <c r="AG207" s="3">
        <v>0.1</v>
      </c>
      <c r="AH207" s="3">
        <v>0.1</v>
      </c>
      <c r="AI207" s="3">
        <v>0.1</v>
      </c>
      <c r="AJ207" s="3">
        <v>0.1</v>
      </c>
      <c r="AK207" s="3">
        <v>0.1</v>
      </c>
      <c r="AL207" s="3">
        <v>0.1</v>
      </c>
      <c r="AM207" s="3">
        <v>0.1</v>
      </c>
      <c r="AN207" s="3">
        <v>0.1</v>
      </c>
      <c r="AO207" s="3">
        <v>0.1</v>
      </c>
      <c r="AP207" s="3">
        <v>0.1</v>
      </c>
      <c r="AQ207" s="3">
        <v>0.1</v>
      </c>
      <c r="AR207" s="3">
        <v>0.1</v>
      </c>
      <c r="AS207" s="3">
        <v>0.1</v>
      </c>
      <c r="AT207" s="3">
        <v>0.1</v>
      </c>
      <c r="AU207" s="3">
        <v>0.1</v>
      </c>
      <c r="AV207" s="3">
        <v>0.1</v>
      </c>
      <c r="AW207" s="3">
        <v>0.1</v>
      </c>
      <c r="AX207" s="3">
        <v>0.1</v>
      </c>
      <c r="AY207" s="3">
        <v>0.1</v>
      </c>
      <c r="AZ207" s="3">
        <v>0.1</v>
      </c>
      <c r="BA207" s="3">
        <v>0.1</v>
      </c>
    </row>
    <row r="208" spans="3:74">
      <c r="C208" t="str">
        <f t="shared" si="156"/>
        <v>GAS</v>
      </c>
      <c r="D208" t="str">
        <f t="shared" si="157"/>
        <v>TRM</v>
      </c>
      <c r="E208" t="s">
        <v>407</v>
      </c>
      <c r="F208" s="3">
        <v>0.1</v>
      </c>
      <c r="G208" s="3">
        <v>0.1</v>
      </c>
      <c r="H208" s="3">
        <v>0.1</v>
      </c>
      <c r="I208" s="3">
        <v>0.1</v>
      </c>
      <c r="J208" s="3">
        <v>0.1</v>
      </c>
      <c r="K208" s="3">
        <v>0.1</v>
      </c>
      <c r="L208" s="3">
        <v>0.1</v>
      </c>
      <c r="M208" s="3">
        <v>0.1</v>
      </c>
      <c r="N208" s="3">
        <v>0.1</v>
      </c>
      <c r="O208" s="3">
        <v>0.1</v>
      </c>
      <c r="P208" s="3">
        <v>0.1</v>
      </c>
      <c r="Q208" s="3">
        <v>0.1</v>
      </c>
      <c r="R208" s="3">
        <v>0.1</v>
      </c>
      <c r="S208" s="3">
        <v>0.1</v>
      </c>
      <c r="T208" s="3">
        <v>0.1</v>
      </c>
      <c r="U208" s="3">
        <v>0.1</v>
      </c>
      <c r="V208" s="3">
        <v>0.1</v>
      </c>
      <c r="W208" s="3">
        <v>0.1</v>
      </c>
      <c r="X208" s="3">
        <v>0.1</v>
      </c>
      <c r="Y208" s="3">
        <v>0.1</v>
      </c>
      <c r="Z208" s="3">
        <v>0.1</v>
      </c>
      <c r="AA208" s="3">
        <v>0.1</v>
      </c>
      <c r="AB208" s="3">
        <v>0.1</v>
      </c>
      <c r="AC208" s="3">
        <v>0.1</v>
      </c>
      <c r="AD208" s="3">
        <v>0.1</v>
      </c>
      <c r="AE208" s="3">
        <v>0.1</v>
      </c>
      <c r="AF208" s="3">
        <v>0.1</v>
      </c>
      <c r="AG208" s="3">
        <v>0.1</v>
      </c>
      <c r="AH208" s="3">
        <v>0.1</v>
      </c>
      <c r="AI208" s="3">
        <v>0.1</v>
      </c>
      <c r="AJ208" s="3">
        <v>0.1</v>
      </c>
      <c r="AK208" s="3">
        <v>0.1</v>
      </c>
      <c r="AL208" s="3">
        <v>0.1</v>
      </c>
      <c r="AM208" s="3">
        <v>0.1</v>
      </c>
      <c r="AN208" s="3">
        <v>0.1</v>
      </c>
      <c r="AO208" s="3">
        <v>0.1</v>
      </c>
      <c r="AP208" s="3">
        <v>0.1</v>
      </c>
      <c r="AQ208" s="3">
        <v>0.1</v>
      </c>
      <c r="AR208" s="3">
        <v>0.1</v>
      </c>
      <c r="AS208" s="3">
        <v>0.1</v>
      </c>
      <c r="AT208" s="3">
        <v>0.1</v>
      </c>
      <c r="AU208" s="3">
        <v>0.1</v>
      </c>
      <c r="AV208" s="3">
        <v>0.1</v>
      </c>
      <c r="AW208" s="3">
        <v>0.1</v>
      </c>
      <c r="AX208" s="3">
        <v>0.1</v>
      </c>
      <c r="AY208" s="3">
        <v>0.1</v>
      </c>
      <c r="AZ208" s="3">
        <v>0.1</v>
      </c>
      <c r="BA208" s="3">
        <v>0.1</v>
      </c>
    </row>
    <row r="209" spans="3:53">
      <c r="C209" t="str">
        <f t="shared" si="156"/>
        <v>LPG</v>
      </c>
      <c r="D209" t="str">
        <f t="shared" si="157"/>
        <v>TRM</v>
      </c>
      <c r="E209" t="s">
        <v>408</v>
      </c>
      <c r="F209" s="3">
        <v>0.13</v>
      </c>
      <c r="G209" s="3">
        <v>0.13</v>
      </c>
      <c r="H209" s="3">
        <v>0.13</v>
      </c>
      <c r="I209" s="3">
        <v>0.13</v>
      </c>
      <c r="J209" s="3">
        <v>0.13</v>
      </c>
      <c r="K209" s="3">
        <v>0.13</v>
      </c>
      <c r="L209" s="3">
        <v>0.13</v>
      </c>
      <c r="M209" s="3">
        <v>0.13</v>
      </c>
      <c r="N209" s="3">
        <v>0.13</v>
      </c>
      <c r="O209" s="3">
        <v>0.13</v>
      </c>
      <c r="P209" s="3">
        <v>0.13</v>
      </c>
      <c r="Q209" s="3">
        <v>0.13</v>
      </c>
      <c r="R209" s="3">
        <v>0.13</v>
      </c>
      <c r="S209" s="3">
        <v>0.13</v>
      </c>
      <c r="T209" s="3">
        <v>0.13</v>
      </c>
      <c r="U209" s="3">
        <v>0.13</v>
      </c>
      <c r="V209" s="3">
        <v>0.13</v>
      </c>
      <c r="W209" s="3">
        <v>0.13</v>
      </c>
      <c r="X209" s="3">
        <v>0.13</v>
      </c>
      <c r="Y209" s="3">
        <v>0.13</v>
      </c>
      <c r="Z209" s="3">
        <v>0.13</v>
      </c>
      <c r="AA209" s="3">
        <v>0.13</v>
      </c>
      <c r="AB209" s="3">
        <v>0.13</v>
      </c>
      <c r="AC209" s="3">
        <v>0.13</v>
      </c>
      <c r="AD209" s="3">
        <v>0.13</v>
      </c>
      <c r="AE209" s="3">
        <v>0.13</v>
      </c>
      <c r="AF209" s="3">
        <v>0.13</v>
      </c>
      <c r="AG209" s="3">
        <v>0.13</v>
      </c>
      <c r="AH209" s="3">
        <v>0.13</v>
      </c>
      <c r="AI209" s="3">
        <v>0.13</v>
      </c>
      <c r="AJ209" s="3">
        <v>0.13</v>
      </c>
      <c r="AK209" s="3">
        <v>0.13</v>
      </c>
      <c r="AL209" s="3">
        <v>0.13</v>
      </c>
      <c r="AM209" s="3">
        <v>0.13</v>
      </c>
      <c r="AN209" s="3">
        <v>0.13</v>
      </c>
      <c r="AO209" s="3">
        <v>0.13</v>
      </c>
      <c r="AP209" s="3">
        <v>0.13</v>
      </c>
      <c r="AQ209" s="3">
        <v>0.13</v>
      </c>
      <c r="AR209" s="3">
        <v>0.13</v>
      </c>
      <c r="AS209" s="3">
        <v>0.13</v>
      </c>
      <c r="AT209" s="3">
        <v>0.13</v>
      </c>
      <c r="AU209" s="3">
        <v>0.13</v>
      </c>
      <c r="AV209" s="3">
        <v>0.13</v>
      </c>
      <c r="AW209" s="3">
        <v>0.13</v>
      </c>
      <c r="AX209" s="3">
        <v>0.13</v>
      </c>
      <c r="AY209" s="3">
        <v>0.13</v>
      </c>
      <c r="AZ209" s="3">
        <v>0.13</v>
      </c>
      <c r="BA209" s="3">
        <v>0.13</v>
      </c>
    </row>
    <row r="210" spans="3:53">
      <c r="C210" t="str">
        <f t="shared" si="156"/>
        <v>MET</v>
      </c>
      <c r="D210" t="str">
        <f t="shared" si="157"/>
        <v>TRM</v>
      </c>
      <c r="E210" t="s">
        <v>409</v>
      </c>
      <c r="F210" s="3">
        <v>0.1</v>
      </c>
      <c r="G210" s="3">
        <v>0.1</v>
      </c>
      <c r="H210" s="3">
        <v>0.1</v>
      </c>
      <c r="I210" s="3">
        <v>0.1</v>
      </c>
      <c r="J210" s="3">
        <v>0.1</v>
      </c>
      <c r="K210" s="3">
        <v>0.1</v>
      </c>
      <c r="L210" s="3">
        <v>0.1</v>
      </c>
      <c r="M210" s="3">
        <v>0.1</v>
      </c>
      <c r="N210" s="3">
        <v>0.1</v>
      </c>
      <c r="O210" s="3">
        <v>0.1</v>
      </c>
      <c r="P210" s="3">
        <v>0.1</v>
      </c>
      <c r="Q210" s="3">
        <v>0.1</v>
      </c>
      <c r="R210" s="3">
        <v>0.1</v>
      </c>
      <c r="S210" s="3">
        <v>0.1</v>
      </c>
      <c r="T210" s="3">
        <v>0.1</v>
      </c>
      <c r="U210" s="3">
        <v>0.1</v>
      </c>
      <c r="V210" s="3">
        <v>0.1</v>
      </c>
      <c r="W210" s="3">
        <v>0.1</v>
      </c>
      <c r="X210" s="3">
        <v>0.1</v>
      </c>
      <c r="Y210" s="3">
        <v>0.1</v>
      </c>
      <c r="Z210" s="3">
        <v>0.1</v>
      </c>
      <c r="AA210" s="3">
        <v>0.1</v>
      </c>
      <c r="AB210" s="3">
        <v>0.1</v>
      </c>
      <c r="AC210" s="3">
        <v>0.1</v>
      </c>
      <c r="AD210" s="3">
        <v>0.1</v>
      </c>
      <c r="AE210" s="3">
        <v>0.1</v>
      </c>
      <c r="AF210" s="3">
        <v>0.1</v>
      </c>
      <c r="AG210" s="3">
        <v>0.1</v>
      </c>
      <c r="AH210" s="3">
        <v>0.1</v>
      </c>
      <c r="AI210" s="3">
        <v>0.1</v>
      </c>
      <c r="AJ210" s="3">
        <v>0.1</v>
      </c>
      <c r="AK210" s="3">
        <v>0.1</v>
      </c>
      <c r="AL210" s="3">
        <v>0.1</v>
      </c>
      <c r="AM210" s="3">
        <v>0.1</v>
      </c>
      <c r="AN210" s="3">
        <v>0.1</v>
      </c>
      <c r="AO210" s="3">
        <v>0.1</v>
      </c>
      <c r="AP210" s="3">
        <v>0.1</v>
      </c>
      <c r="AQ210" s="3">
        <v>0.1</v>
      </c>
      <c r="AR210" s="3">
        <v>0.1</v>
      </c>
      <c r="AS210" s="3">
        <v>0.1</v>
      </c>
      <c r="AT210" s="3">
        <v>0.1</v>
      </c>
      <c r="AU210" s="3">
        <v>0.1</v>
      </c>
      <c r="AV210" s="3">
        <v>0.1</v>
      </c>
      <c r="AW210" s="3">
        <v>0.1</v>
      </c>
      <c r="AX210" s="3">
        <v>0.1</v>
      </c>
      <c r="AY210" s="3">
        <v>0.1</v>
      </c>
      <c r="AZ210" s="3">
        <v>0.1</v>
      </c>
      <c r="BA210" s="3">
        <v>0.1</v>
      </c>
    </row>
    <row r="211" spans="3:53">
      <c r="C211" t="str">
        <f t="shared" si="156"/>
        <v>NGA</v>
      </c>
      <c r="D211" t="str">
        <f t="shared" si="157"/>
        <v>TRM</v>
      </c>
      <c r="E211" t="s">
        <v>410</v>
      </c>
      <c r="F211" s="3">
        <v>0.1</v>
      </c>
      <c r="G211" s="3">
        <v>0.1</v>
      </c>
      <c r="H211" s="3">
        <v>0.1</v>
      </c>
      <c r="I211" s="3">
        <v>0.1</v>
      </c>
      <c r="J211" s="3">
        <v>0.1</v>
      </c>
      <c r="K211" s="3">
        <v>0.1</v>
      </c>
      <c r="L211" s="3">
        <v>0.1</v>
      </c>
      <c r="M211" s="3">
        <v>0.1</v>
      </c>
      <c r="N211" s="3">
        <v>0.1</v>
      </c>
      <c r="O211" s="3">
        <v>0.1</v>
      </c>
      <c r="P211" s="3">
        <v>0.1</v>
      </c>
      <c r="Q211" s="3">
        <v>0.1</v>
      </c>
      <c r="R211" s="3">
        <v>0.1</v>
      </c>
      <c r="S211" s="3">
        <v>0.1</v>
      </c>
      <c r="T211" s="3">
        <v>0.1</v>
      </c>
      <c r="U211" s="3">
        <v>0.1</v>
      </c>
      <c r="V211" s="3">
        <v>0.1</v>
      </c>
      <c r="W211" s="3">
        <v>0.1</v>
      </c>
      <c r="X211" s="3">
        <v>0.1</v>
      </c>
      <c r="Y211" s="3">
        <v>0.1</v>
      </c>
      <c r="Z211" s="3">
        <v>0.1</v>
      </c>
      <c r="AA211" s="3">
        <v>0.1</v>
      </c>
      <c r="AB211" s="3">
        <v>0.1</v>
      </c>
      <c r="AC211" s="3">
        <v>0.1</v>
      </c>
      <c r="AD211" s="3">
        <v>0.1</v>
      </c>
      <c r="AE211" s="3">
        <v>0.1</v>
      </c>
      <c r="AF211" s="3">
        <v>0.1</v>
      </c>
      <c r="AG211" s="3">
        <v>0.1</v>
      </c>
      <c r="AH211" s="3">
        <v>0.1</v>
      </c>
      <c r="AI211" s="3">
        <v>0.1</v>
      </c>
      <c r="AJ211" s="3">
        <v>0.1</v>
      </c>
      <c r="AK211" s="3">
        <v>0.1</v>
      </c>
      <c r="AL211" s="3">
        <v>0.1</v>
      </c>
      <c r="AM211" s="3">
        <v>0.1</v>
      </c>
      <c r="AN211" s="3">
        <v>0.1</v>
      </c>
      <c r="AO211" s="3">
        <v>0.1</v>
      </c>
      <c r="AP211" s="3">
        <v>0.1</v>
      </c>
      <c r="AQ211" s="3">
        <v>0.1</v>
      </c>
      <c r="AR211" s="3">
        <v>0.1</v>
      </c>
      <c r="AS211" s="3">
        <v>0.1</v>
      </c>
      <c r="AT211" s="3">
        <v>0.1</v>
      </c>
      <c r="AU211" s="3">
        <v>0.1</v>
      </c>
      <c r="AV211" s="3">
        <v>0.1</v>
      </c>
      <c r="AW211" s="3">
        <v>0.1</v>
      </c>
      <c r="AX211" s="3">
        <v>0.1</v>
      </c>
      <c r="AY211" s="3">
        <v>0.1</v>
      </c>
      <c r="AZ211" s="3">
        <v>0.1</v>
      </c>
      <c r="BA211" s="3">
        <v>0.1</v>
      </c>
    </row>
    <row r="212" spans="3:53">
      <c r="C212" t="str">
        <f t="shared" si="156"/>
        <v>DCA</v>
      </c>
      <c r="D212" t="str">
        <f t="shared" si="157"/>
        <v>TRT</v>
      </c>
      <c r="E212" t="s">
        <v>411</v>
      </c>
      <c r="F212" s="3">
        <v>0.38</v>
      </c>
      <c r="G212" s="3">
        <v>0.38</v>
      </c>
      <c r="H212" s="3">
        <v>0.38</v>
      </c>
      <c r="I212" s="3">
        <v>0.38</v>
      </c>
      <c r="J212" s="3">
        <v>0.38</v>
      </c>
      <c r="K212" s="3">
        <v>0.38</v>
      </c>
      <c r="L212" s="3">
        <v>0.38</v>
      </c>
      <c r="M212" s="3">
        <v>0.38</v>
      </c>
      <c r="N212" s="3">
        <v>0.38</v>
      </c>
      <c r="O212" s="3">
        <v>0.38</v>
      </c>
      <c r="P212" s="3">
        <v>0.38</v>
      </c>
      <c r="Q212" s="3">
        <v>0.38</v>
      </c>
      <c r="R212" s="3">
        <v>0.38</v>
      </c>
      <c r="S212" s="3">
        <v>0.38</v>
      </c>
      <c r="T212" s="3">
        <v>0.38</v>
      </c>
      <c r="U212" s="3">
        <v>0.38</v>
      </c>
      <c r="V212" s="3">
        <v>0.38</v>
      </c>
      <c r="W212" s="3">
        <v>0.38</v>
      </c>
      <c r="X212" s="3">
        <v>0.38</v>
      </c>
      <c r="Y212" s="3">
        <v>0.38</v>
      </c>
      <c r="Z212" s="3">
        <v>0.38</v>
      </c>
      <c r="AA212" s="3">
        <v>0.38</v>
      </c>
      <c r="AB212" s="3">
        <v>0.38</v>
      </c>
      <c r="AC212" s="3">
        <v>0.38</v>
      </c>
      <c r="AD212" s="3">
        <v>0.38</v>
      </c>
      <c r="AE212" s="3">
        <v>0.38</v>
      </c>
      <c r="AF212" s="3">
        <v>0.38</v>
      </c>
      <c r="AG212" s="3">
        <v>0.38</v>
      </c>
      <c r="AH212" s="3">
        <v>0.38</v>
      </c>
      <c r="AI212" s="3">
        <v>0.38</v>
      </c>
      <c r="AJ212" s="3">
        <v>0.38</v>
      </c>
      <c r="AK212" s="3">
        <v>0.38</v>
      </c>
      <c r="AL212" s="3">
        <v>0.38</v>
      </c>
      <c r="AM212" s="3">
        <v>0.38</v>
      </c>
      <c r="AN212" s="3">
        <v>0.38</v>
      </c>
      <c r="AO212" s="3">
        <v>0.38</v>
      </c>
      <c r="AP212" s="3">
        <v>0.38</v>
      </c>
      <c r="AQ212" s="3">
        <v>0.38</v>
      </c>
      <c r="AR212" s="3">
        <v>0.38</v>
      </c>
      <c r="AS212" s="3">
        <v>0.38</v>
      </c>
      <c r="AT212" s="3">
        <v>0.38</v>
      </c>
      <c r="AU212" s="3">
        <v>0.38</v>
      </c>
      <c r="AV212" s="3">
        <v>0.38</v>
      </c>
      <c r="AW212" s="3">
        <v>0.38</v>
      </c>
      <c r="AX212" s="3">
        <v>0.38</v>
      </c>
      <c r="AY212" s="3">
        <v>0.38</v>
      </c>
      <c r="AZ212" s="3">
        <v>0.38</v>
      </c>
      <c r="BA212" s="3">
        <v>0.38</v>
      </c>
    </row>
    <row r="213" spans="3:53">
      <c r="C213" t="str">
        <f t="shared" si="156"/>
        <v>DCB</v>
      </c>
      <c r="D213" t="str">
        <f t="shared" si="157"/>
        <v>TRT</v>
      </c>
      <c r="E213" t="s">
        <v>412</v>
      </c>
      <c r="F213" s="3">
        <v>0.43</v>
      </c>
      <c r="G213" s="3">
        <v>0.43</v>
      </c>
      <c r="H213" s="3">
        <v>0.43</v>
      </c>
      <c r="I213" s="3">
        <v>0.43</v>
      </c>
      <c r="J213" s="3">
        <v>0.43</v>
      </c>
      <c r="K213" s="3">
        <v>0.43</v>
      </c>
      <c r="L213" s="3">
        <v>0.43</v>
      </c>
      <c r="M213" s="3">
        <v>0.43</v>
      </c>
      <c r="N213" s="3">
        <v>0.43</v>
      </c>
      <c r="O213" s="3">
        <v>0.43</v>
      </c>
      <c r="P213" s="3">
        <v>0.43</v>
      </c>
      <c r="Q213" s="3">
        <v>0.43</v>
      </c>
      <c r="R213" s="3">
        <v>0.43</v>
      </c>
      <c r="S213" s="3">
        <v>0.43</v>
      </c>
      <c r="T213" s="3">
        <v>0.43</v>
      </c>
      <c r="U213" s="3">
        <v>0.43</v>
      </c>
      <c r="V213" s="3">
        <v>0.43</v>
      </c>
      <c r="W213" s="3">
        <v>0.43</v>
      </c>
      <c r="X213" s="3">
        <v>0.43</v>
      </c>
      <c r="Y213" s="3">
        <v>0.43</v>
      </c>
      <c r="Z213" s="3">
        <v>0.43</v>
      </c>
      <c r="AA213" s="3">
        <v>0.43</v>
      </c>
      <c r="AB213" s="3">
        <v>0.43</v>
      </c>
      <c r="AC213" s="3">
        <v>0.43</v>
      </c>
      <c r="AD213" s="3">
        <v>0.43</v>
      </c>
      <c r="AE213" s="3">
        <v>0.43</v>
      </c>
      <c r="AF213" s="3">
        <v>0.43</v>
      </c>
      <c r="AG213" s="3">
        <v>0.43</v>
      </c>
      <c r="AH213" s="3">
        <v>0.43</v>
      </c>
      <c r="AI213" s="3">
        <v>0.43</v>
      </c>
      <c r="AJ213" s="3">
        <v>0.43</v>
      </c>
      <c r="AK213" s="3">
        <v>0.43</v>
      </c>
      <c r="AL213" s="3">
        <v>0.43</v>
      </c>
      <c r="AM213" s="3">
        <v>0.43</v>
      </c>
      <c r="AN213" s="3">
        <v>0.43</v>
      </c>
      <c r="AO213" s="3">
        <v>0.43</v>
      </c>
      <c r="AP213" s="3">
        <v>0.43</v>
      </c>
      <c r="AQ213" s="3">
        <v>0.43</v>
      </c>
      <c r="AR213" s="3">
        <v>0.43</v>
      </c>
      <c r="AS213" s="3">
        <v>0.43</v>
      </c>
      <c r="AT213" s="3">
        <v>0.43</v>
      </c>
      <c r="AU213" s="3">
        <v>0.43</v>
      </c>
      <c r="AV213" s="3">
        <v>0.43</v>
      </c>
      <c r="AW213" s="3">
        <v>0.43</v>
      </c>
      <c r="AX213" s="3">
        <v>0.43</v>
      </c>
      <c r="AY213" s="3">
        <v>0.43</v>
      </c>
      <c r="AZ213" s="3">
        <v>0.43</v>
      </c>
      <c r="BA213" s="3">
        <v>0.43</v>
      </c>
    </row>
    <row r="214" spans="3:53">
      <c r="C214" t="str">
        <f t="shared" si="156"/>
        <v>DCC</v>
      </c>
      <c r="D214" t="str">
        <f t="shared" si="157"/>
        <v>TRT</v>
      </c>
      <c r="E214" t="s">
        <v>413</v>
      </c>
      <c r="F214" s="3">
        <v>0.48</v>
      </c>
      <c r="G214" s="3">
        <v>0.48</v>
      </c>
      <c r="H214" s="3">
        <v>0.48</v>
      </c>
      <c r="I214" s="3">
        <v>0.48</v>
      </c>
      <c r="J214" s="3">
        <v>0.48</v>
      </c>
      <c r="K214" s="3">
        <v>0.48</v>
      </c>
      <c r="L214" s="3">
        <v>0.48</v>
      </c>
      <c r="M214" s="3">
        <v>0.48</v>
      </c>
      <c r="N214" s="3">
        <v>0.48</v>
      </c>
      <c r="O214" s="3">
        <v>0.48</v>
      </c>
      <c r="P214" s="3">
        <v>0.48</v>
      </c>
      <c r="Q214" s="3">
        <v>0.48</v>
      </c>
      <c r="R214" s="3">
        <v>0.48</v>
      </c>
      <c r="S214" s="3">
        <v>0.48</v>
      </c>
      <c r="T214" s="3">
        <v>0.48</v>
      </c>
      <c r="U214" s="3">
        <v>0.48</v>
      </c>
      <c r="V214" s="3">
        <v>0.48</v>
      </c>
      <c r="W214" s="3">
        <v>0.48</v>
      </c>
      <c r="X214" s="3">
        <v>0.48</v>
      </c>
      <c r="Y214" s="3">
        <v>0.48</v>
      </c>
      <c r="Z214" s="3">
        <v>0.48</v>
      </c>
      <c r="AA214" s="3">
        <v>0.48</v>
      </c>
      <c r="AB214" s="3">
        <v>0.48</v>
      </c>
      <c r="AC214" s="3">
        <v>0.48</v>
      </c>
      <c r="AD214" s="3">
        <v>0.48</v>
      </c>
      <c r="AE214" s="3">
        <v>0.48</v>
      </c>
      <c r="AF214" s="3">
        <v>0.48</v>
      </c>
      <c r="AG214" s="3">
        <v>0.48</v>
      </c>
      <c r="AH214" s="3">
        <v>0.48</v>
      </c>
      <c r="AI214" s="3">
        <v>0.48</v>
      </c>
      <c r="AJ214" s="3">
        <v>0.48</v>
      </c>
      <c r="AK214" s="3">
        <v>0.48</v>
      </c>
      <c r="AL214" s="3">
        <v>0.48</v>
      </c>
      <c r="AM214" s="3">
        <v>0.48</v>
      </c>
      <c r="AN214" s="3">
        <v>0.48</v>
      </c>
      <c r="AO214" s="3">
        <v>0.48</v>
      </c>
      <c r="AP214" s="3">
        <v>0.48</v>
      </c>
      <c r="AQ214" s="3">
        <v>0.48</v>
      </c>
      <c r="AR214" s="3">
        <v>0.48</v>
      </c>
      <c r="AS214" s="3">
        <v>0.48</v>
      </c>
      <c r="AT214" s="3">
        <v>0.48</v>
      </c>
      <c r="AU214" s="3">
        <v>0.48</v>
      </c>
      <c r="AV214" s="3">
        <v>0.48</v>
      </c>
      <c r="AW214" s="3">
        <v>0.48</v>
      </c>
      <c r="AX214" s="3">
        <v>0.48</v>
      </c>
      <c r="AY214" s="3">
        <v>0.48</v>
      </c>
      <c r="AZ214" s="3">
        <v>0.48</v>
      </c>
      <c r="BA214" s="3">
        <v>0.48</v>
      </c>
    </row>
    <row r="215" spans="3:53">
      <c r="C215" t="str">
        <f t="shared" si="156"/>
        <v>DEG</v>
      </c>
      <c r="D215" t="str">
        <f t="shared" si="157"/>
        <v>TRT</v>
      </c>
      <c r="E215" t="s">
        <v>414</v>
      </c>
      <c r="F215" s="3">
        <v>0.39</v>
      </c>
      <c r="G215" s="3">
        <v>0.39</v>
      </c>
      <c r="H215" s="3">
        <v>0.39</v>
      </c>
      <c r="I215" s="3">
        <v>0.39</v>
      </c>
      <c r="J215" s="3">
        <v>0.39</v>
      </c>
      <c r="K215" s="3">
        <v>0.39</v>
      </c>
      <c r="L215" s="3">
        <v>0.39</v>
      </c>
      <c r="M215" s="3">
        <v>0.39</v>
      </c>
      <c r="N215" s="3">
        <v>0.39</v>
      </c>
      <c r="O215" s="3">
        <v>0.39</v>
      </c>
      <c r="P215" s="3">
        <v>0.39</v>
      </c>
      <c r="Q215" s="3">
        <v>0.39</v>
      </c>
      <c r="R215" s="3">
        <v>0.39</v>
      </c>
      <c r="S215" s="3">
        <v>0.39</v>
      </c>
      <c r="T215" s="3">
        <v>0.39</v>
      </c>
      <c r="U215" s="3">
        <v>0.39</v>
      </c>
      <c r="V215" s="3">
        <v>0.39</v>
      </c>
      <c r="W215" s="3">
        <v>0.39</v>
      </c>
      <c r="X215" s="3">
        <v>0.39</v>
      </c>
      <c r="Y215" s="3">
        <v>0.39</v>
      </c>
      <c r="Z215" s="3">
        <v>0.39</v>
      </c>
      <c r="AA215" s="3">
        <v>0.39</v>
      </c>
      <c r="AB215" s="3">
        <v>0.39</v>
      </c>
      <c r="AC215" s="3">
        <v>0.39</v>
      </c>
      <c r="AD215" s="3">
        <v>0.39</v>
      </c>
      <c r="AE215" s="3">
        <v>0.39</v>
      </c>
      <c r="AF215" s="3">
        <v>0.39</v>
      </c>
      <c r="AG215" s="3">
        <v>0.39</v>
      </c>
      <c r="AH215" s="3">
        <v>0.39</v>
      </c>
      <c r="AI215" s="3">
        <v>0.39</v>
      </c>
      <c r="AJ215" s="3">
        <v>0.39</v>
      </c>
      <c r="AK215" s="3">
        <v>0.39</v>
      </c>
      <c r="AL215" s="3">
        <v>0.39</v>
      </c>
      <c r="AM215" s="3">
        <v>0.39</v>
      </c>
      <c r="AN215" s="3">
        <v>0.39</v>
      </c>
      <c r="AO215" s="3">
        <v>0.39</v>
      </c>
      <c r="AP215" s="3">
        <v>0.39</v>
      </c>
      <c r="AQ215" s="3">
        <v>0.39</v>
      </c>
      <c r="AR215" s="3">
        <v>0.39</v>
      </c>
      <c r="AS215" s="3">
        <v>0.39</v>
      </c>
      <c r="AT215" s="3">
        <v>0.39</v>
      </c>
      <c r="AU215" s="3">
        <v>0.39</v>
      </c>
      <c r="AV215" s="3">
        <v>0.39</v>
      </c>
      <c r="AW215" s="3">
        <v>0.39</v>
      </c>
      <c r="AX215" s="3">
        <v>0.39</v>
      </c>
      <c r="AY215" s="3">
        <v>0.39</v>
      </c>
      <c r="AZ215" s="3">
        <v>0.39</v>
      </c>
      <c r="BA215" s="3">
        <v>0.39</v>
      </c>
    </row>
    <row r="216" spans="3:53">
      <c r="C216" t="str">
        <f t="shared" si="156"/>
        <v>DMG</v>
      </c>
      <c r="D216" t="str">
        <f t="shared" si="157"/>
        <v>TRT</v>
      </c>
      <c r="E216" t="s">
        <v>415</v>
      </c>
      <c r="F216" s="3">
        <v>0.39</v>
      </c>
      <c r="G216" s="3">
        <v>0.39</v>
      </c>
      <c r="H216" s="3">
        <v>0.39</v>
      </c>
      <c r="I216" s="3">
        <v>0.39</v>
      </c>
      <c r="J216" s="3">
        <v>0.39</v>
      </c>
      <c r="K216" s="3">
        <v>0.39</v>
      </c>
      <c r="L216" s="3">
        <v>0.39</v>
      </c>
      <c r="M216" s="3">
        <v>0.39</v>
      </c>
      <c r="N216" s="3">
        <v>0.39</v>
      </c>
      <c r="O216" s="3">
        <v>0.39</v>
      </c>
      <c r="P216" s="3">
        <v>0.39</v>
      </c>
      <c r="Q216" s="3">
        <v>0.39</v>
      </c>
      <c r="R216" s="3">
        <v>0.39</v>
      </c>
      <c r="S216" s="3">
        <v>0.39</v>
      </c>
      <c r="T216" s="3">
        <v>0.39</v>
      </c>
      <c r="U216" s="3">
        <v>0.39</v>
      </c>
      <c r="V216" s="3">
        <v>0.39</v>
      </c>
      <c r="W216" s="3">
        <v>0.39</v>
      </c>
      <c r="X216" s="3">
        <v>0.39</v>
      </c>
      <c r="Y216" s="3">
        <v>0.39</v>
      </c>
      <c r="Z216" s="3">
        <v>0.39</v>
      </c>
      <c r="AA216" s="3">
        <v>0.39</v>
      </c>
      <c r="AB216" s="3">
        <v>0.39</v>
      </c>
      <c r="AC216" s="3">
        <v>0.39</v>
      </c>
      <c r="AD216" s="3">
        <v>0.39</v>
      </c>
      <c r="AE216" s="3">
        <v>0.39</v>
      </c>
      <c r="AF216" s="3">
        <v>0.39</v>
      </c>
      <c r="AG216" s="3">
        <v>0.39</v>
      </c>
      <c r="AH216" s="3">
        <v>0.39</v>
      </c>
      <c r="AI216" s="3">
        <v>0.39</v>
      </c>
      <c r="AJ216" s="3">
        <v>0.39</v>
      </c>
      <c r="AK216" s="3">
        <v>0.39</v>
      </c>
      <c r="AL216" s="3">
        <v>0.39</v>
      </c>
      <c r="AM216" s="3">
        <v>0.39</v>
      </c>
      <c r="AN216" s="3">
        <v>0.39</v>
      </c>
      <c r="AO216" s="3">
        <v>0.39</v>
      </c>
      <c r="AP216" s="3">
        <v>0.39</v>
      </c>
      <c r="AQ216" s="3">
        <v>0.39</v>
      </c>
      <c r="AR216" s="3">
        <v>0.39</v>
      </c>
      <c r="AS216" s="3">
        <v>0.39</v>
      </c>
      <c r="AT216" s="3">
        <v>0.39</v>
      </c>
      <c r="AU216" s="3">
        <v>0.39</v>
      </c>
      <c r="AV216" s="3">
        <v>0.39</v>
      </c>
      <c r="AW216" s="3">
        <v>0.39</v>
      </c>
      <c r="AX216" s="3">
        <v>0.39</v>
      </c>
      <c r="AY216" s="3">
        <v>0.39</v>
      </c>
      <c r="AZ216" s="3">
        <v>0.39</v>
      </c>
      <c r="BA216" s="3">
        <v>0.39</v>
      </c>
    </row>
    <row r="217" spans="3:53">
      <c r="C217" t="str">
        <f t="shared" si="156"/>
        <v>ELC</v>
      </c>
      <c r="D217" t="str">
        <f t="shared" si="157"/>
        <v>TRT</v>
      </c>
      <c r="E217" t="s">
        <v>416</v>
      </c>
      <c r="F217" s="3">
        <v>0.55</v>
      </c>
      <c r="G217" s="3">
        <v>0.55</v>
      </c>
      <c r="H217" s="3">
        <v>0.55</v>
      </c>
      <c r="I217" s="3">
        <v>0.55</v>
      </c>
      <c r="J217" s="3">
        <v>0.55</v>
      </c>
      <c r="K217" s="3">
        <v>0.55</v>
      </c>
      <c r="L217" s="3">
        <v>0.55</v>
      </c>
      <c r="M217" s="3">
        <v>0.55</v>
      </c>
      <c r="N217" s="3">
        <v>0.55</v>
      </c>
      <c r="O217" s="3">
        <v>0.55</v>
      </c>
      <c r="P217" s="3">
        <v>0.55</v>
      </c>
      <c r="Q217" s="3">
        <v>0.55</v>
      </c>
      <c r="R217" s="3">
        <v>0.55</v>
      </c>
      <c r="S217" s="3">
        <v>0.55</v>
      </c>
      <c r="T217" s="3">
        <v>0.55</v>
      </c>
      <c r="U217" s="3">
        <v>0.55</v>
      </c>
      <c r="V217" s="3">
        <v>0.55</v>
      </c>
      <c r="W217" s="3">
        <v>0.55</v>
      </c>
      <c r="X217" s="3">
        <v>0.55</v>
      </c>
      <c r="Y217" s="3">
        <v>0.55</v>
      </c>
      <c r="Z217" s="3">
        <v>0.55</v>
      </c>
      <c r="AA217" s="3">
        <v>0.55</v>
      </c>
      <c r="AB217" s="3">
        <v>0.55</v>
      </c>
      <c r="AC217" s="3">
        <v>0.55</v>
      </c>
      <c r="AD217" s="3">
        <v>0.55</v>
      </c>
      <c r="AE217" s="3">
        <v>0.55</v>
      </c>
      <c r="AF217" s="3">
        <v>0.55</v>
      </c>
      <c r="AG217" s="3">
        <v>0.55</v>
      </c>
      <c r="AH217" s="3">
        <v>0.55</v>
      </c>
      <c r="AI217" s="3">
        <v>0.55</v>
      </c>
      <c r="AJ217" s="3">
        <v>0.55</v>
      </c>
      <c r="AK217" s="3">
        <v>0.55</v>
      </c>
      <c r="AL217" s="3">
        <v>0.55</v>
      </c>
      <c r="AM217" s="3">
        <v>0.55</v>
      </c>
      <c r="AN217" s="3">
        <v>0.55</v>
      </c>
      <c r="AO217" s="3">
        <v>0.55</v>
      </c>
      <c r="AP217" s="3">
        <v>0.55</v>
      </c>
      <c r="AQ217" s="3">
        <v>0.55</v>
      </c>
      <c r="AR217" s="3">
        <v>0.55</v>
      </c>
      <c r="AS217" s="3">
        <v>0.55</v>
      </c>
      <c r="AT217" s="3">
        <v>0.55</v>
      </c>
      <c r="AU217" s="3">
        <v>0.55</v>
      </c>
      <c r="AV217" s="3">
        <v>0.55</v>
      </c>
      <c r="AW217" s="3">
        <v>0.55</v>
      </c>
      <c r="AX217" s="3">
        <v>0.55</v>
      </c>
      <c r="AY217" s="3">
        <v>0.55</v>
      </c>
      <c r="AZ217" s="3">
        <v>0.55</v>
      </c>
      <c r="BA217" s="3">
        <v>0.55</v>
      </c>
    </row>
    <row r="218" spans="3:53">
      <c r="C218" t="str">
        <f t="shared" si="156"/>
        <v>ETA</v>
      </c>
      <c r="D218" t="str">
        <f t="shared" si="157"/>
        <v>TRT</v>
      </c>
      <c r="E218" t="s">
        <v>417</v>
      </c>
      <c r="F218" s="3">
        <v>0.39</v>
      </c>
      <c r="G218" s="3">
        <v>0.39</v>
      </c>
      <c r="H218" s="3">
        <v>0.39</v>
      </c>
      <c r="I218" s="3">
        <v>0.39</v>
      </c>
      <c r="J218" s="3">
        <v>0.39</v>
      </c>
      <c r="K218" s="3">
        <v>0.39</v>
      </c>
      <c r="L218" s="3">
        <v>0.39</v>
      </c>
      <c r="M218" s="3">
        <v>0.39</v>
      </c>
      <c r="N218" s="3">
        <v>0.39</v>
      </c>
      <c r="O218" s="3">
        <v>0.39</v>
      </c>
      <c r="P218" s="3">
        <v>0.39</v>
      </c>
      <c r="Q218" s="3">
        <v>0.39</v>
      </c>
      <c r="R218" s="3">
        <v>0.39</v>
      </c>
      <c r="S218" s="3">
        <v>0.39</v>
      </c>
      <c r="T218" s="3">
        <v>0.39</v>
      </c>
      <c r="U218" s="3">
        <v>0.39</v>
      </c>
      <c r="V218" s="3">
        <v>0.39</v>
      </c>
      <c r="W218" s="3">
        <v>0.39</v>
      </c>
      <c r="X218" s="3">
        <v>0.39</v>
      </c>
      <c r="Y218" s="3">
        <v>0.39</v>
      </c>
      <c r="Z218" s="3">
        <v>0.39</v>
      </c>
      <c r="AA218" s="3">
        <v>0.39</v>
      </c>
      <c r="AB218" s="3">
        <v>0.39</v>
      </c>
      <c r="AC218" s="3">
        <v>0.39</v>
      </c>
      <c r="AD218" s="3">
        <v>0.39</v>
      </c>
      <c r="AE218" s="3">
        <v>0.39</v>
      </c>
      <c r="AF218" s="3">
        <v>0.39</v>
      </c>
      <c r="AG218" s="3">
        <v>0.39</v>
      </c>
      <c r="AH218" s="3">
        <v>0.39</v>
      </c>
      <c r="AI218" s="3">
        <v>0.39</v>
      </c>
      <c r="AJ218" s="3">
        <v>0.39</v>
      </c>
      <c r="AK218" s="3">
        <v>0.39</v>
      </c>
      <c r="AL218" s="3">
        <v>0.39</v>
      </c>
      <c r="AM218" s="3">
        <v>0.39</v>
      </c>
      <c r="AN218" s="3">
        <v>0.39</v>
      </c>
      <c r="AO218" s="3">
        <v>0.39</v>
      </c>
      <c r="AP218" s="3">
        <v>0.39</v>
      </c>
      <c r="AQ218" s="3">
        <v>0.39</v>
      </c>
      <c r="AR218" s="3">
        <v>0.39</v>
      </c>
      <c r="AS218" s="3">
        <v>0.39</v>
      </c>
      <c r="AT218" s="3">
        <v>0.39</v>
      </c>
      <c r="AU218" s="3">
        <v>0.39</v>
      </c>
      <c r="AV218" s="3">
        <v>0.39</v>
      </c>
      <c r="AW218" s="3">
        <v>0.39</v>
      </c>
      <c r="AX218" s="3">
        <v>0.39</v>
      </c>
      <c r="AY218" s="3">
        <v>0.39</v>
      </c>
      <c r="AZ218" s="3">
        <v>0.39</v>
      </c>
      <c r="BA218" s="3">
        <v>0.39</v>
      </c>
    </row>
    <row r="219" spans="3:53">
      <c r="C219" t="str">
        <f t="shared" si="156"/>
        <v>ETB</v>
      </c>
      <c r="D219" t="str">
        <f t="shared" si="157"/>
        <v>TRT</v>
      </c>
      <c r="E219" t="s">
        <v>418</v>
      </c>
      <c r="F219" s="3">
        <v>0.44</v>
      </c>
      <c r="G219" s="3">
        <v>0.44</v>
      </c>
      <c r="H219" s="3">
        <v>0.44</v>
      </c>
      <c r="I219" s="3">
        <v>0.44</v>
      </c>
      <c r="J219" s="3">
        <v>0.44</v>
      </c>
      <c r="K219" s="3">
        <v>0.44</v>
      </c>
      <c r="L219" s="3">
        <v>0.44</v>
      </c>
      <c r="M219" s="3">
        <v>0.44</v>
      </c>
      <c r="N219" s="3">
        <v>0.44</v>
      </c>
      <c r="O219" s="3">
        <v>0.44</v>
      </c>
      <c r="P219" s="3">
        <v>0.44</v>
      </c>
      <c r="Q219" s="3">
        <v>0.44</v>
      </c>
      <c r="R219" s="3">
        <v>0.44</v>
      </c>
      <c r="S219" s="3">
        <v>0.44</v>
      </c>
      <c r="T219" s="3">
        <v>0.44</v>
      </c>
      <c r="U219" s="3">
        <v>0.44</v>
      </c>
      <c r="V219" s="3">
        <v>0.44</v>
      </c>
      <c r="W219" s="3">
        <v>0.44</v>
      </c>
      <c r="X219" s="3">
        <v>0.44</v>
      </c>
      <c r="Y219" s="3">
        <v>0.44</v>
      </c>
      <c r="Z219" s="3">
        <v>0.44</v>
      </c>
      <c r="AA219" s="3">
        <v>0.44</v>
      </c>
      <c r="AB219" s="3">
        <v>0.44</v>
      </c>
      <c r="AC219" s="3">
        <v>0.44</v>
      </c>
      <c r="AD219" s="3">
        <v>0.44</v>
      </c>
      <c r="AE219" s="3">
        <v>0.44</v>
      </c>
      <c r="AF219" s="3">
        <v>0.44</v>
      </c>
      <c r="AG219" s="3">
        <v>0.44</v>
      </c>
      <c r="AH219" s="3">
        <v>0.44</v>
      </c>
      <c r="AI219" s="3">
        <v>0.44</v>
      </c>
      <c r="AJ219" s="3">
        <v>0.44</v>
      </c>
      <c r="AK219" s="3">
        <v>0.44</v>
      </c>
      <c r="AL219" s="3">
        <v>0.44</v>
      </c>
      <c r="AM219" s="3">
        <v>0.44</v>
      </c>
      <c r="AN219" s="3">
        <v>0.44</v>
      </c>
      <c r="AO219" s="3">
        <v>0.44</v>
      </c>
      <c r="AP219" s="3">
        <v>0.44</v>
      </c>
      <c r="AQ219" s="3">
        <v>0.44</v>
      </c>
      <c r="AR219" s="3">
        <v>0.44</v>
      </c>
      <c r="AS219" s="3">
        <v>0.44</v>
      </c>
      <c r="AT219" s="3">
        <v>0.44</v>
      </c>
      <c r="AU219" s="3">
        <v>0.44</v>
      </c>
      <c r="AV219" s="3">
        <v>0.44</v>
      </c>
      <c r="AW219" s="3">
        <v>0.44</v>
      </c>
      <c r="AX219" s="3">
        <v>0.44</v>
      </c>
      <c r="AY219" s="3">
        <v>0.44</v>
      </c>
      <c r="AZ219" s="3">
        <v>0.44</v>
      </c>
      <c r="BA219" s="3">
        <v>0.44</v>
      </c>
    </row>
    <row r="220" spans="3:53">
      <c r="C220" t="str">
        <f t="shared" si="156"/>
        <v>ETH</v>
      </c>
      <c r="D220" t="str">
        <f t="shared" si="157"/>
        <v>TRT</v>
      </c>
      <c r="E220" t="s">
        <v>419</v>
      </c>
      <c r="F220" s="3">
        <v>0.34</v>
      </c>
      <c r="G220" s="3">
        <v>0.34</v>
      </c>
      <c r="H220" s="3">
        <v>0.34</v>
      </c>
      <c r="I220" s="3">
        <v>0.34</v>
      </c>
      <c r="J220" s="3">
        <v>0.34</v>
      </c>
      <c r="K220" s="3">
        <v>0.34</v>
      </c>
      <c r="L220" s="3">
        <v>0.34</v>
      </c>
      <c r="M220" s="3">
        <v>0.34</v>
      </c>
      <c r="N220" s="3">
        <v>0.34</v>
      </c>
      <c r="O220" s="3">
        <v>0.34</v>
      </c>
      <c r="P220" s="3">
        <v>0.34</v>
      </c>
      <c r="Q220" s="3">
        <v>0.34</v>
      </c>
      <c r="R220" s="3">
        <v>0.34</v>
      </c>
      <c r="S220" s="3">
        <v>0.34</v>
      </c>
      <c r="T220" s="3">
        <v>0.34</v>
      </c>
      <c r="U220" s="3">
        <v>0.34</v>
      </c>
      <c r="V220" s="3">
        <v>0.34</v>
      </c>
      <c r="W220" s="3">
        <v>0.34</v>
      </c>
      <c r="X220" s="3">
        <v>0.34</v>
      </c>
      <c r="Y220" s="3">
        <v>0.34</v>
      </c>
      <c r="Z220" s="3">
        <v>0.34</v>
      </c>
      <c r="AA220" s="3">
        <v>0.34</v>
      </c>
      <c r="AB220" s="3">
        <v>0.34</v>
      </c>
      <c r="AC220" s="3">
        <v>0.34</v>
      </c>
      <c r="AD220" s="3">
        <v>0.34</v>
      </c>
      <c r="AE220" s="3">
        <v>0.34</v>
      </c>
      <c r="AF220" s="3">
        <v>0.34</v>
      </c>
      <c r="AG220" s="3">
        <v>0.34</v>
      </c>
      <c r="AH220" s="3">
        <v>0.34</v>
      </c>
      <c r="AI220" s="3">
        <v>0.34</v>
      </c>
      <c r="AJ220" s="3">
        <v>0.34</v>
      </c>
      <c r="AK220" s="3">
        <v>0.34</v>
      </c>
      <c r="AL220" s="3">
        <v>0.34</v>
      </c>
      <c r="AM220" s="3">
        <v>0.34</v>
      </c>
      <c r="AN220" s="3">
        <v>0.34</v>
      </c>
      <c r="AO220" s="3">
        <v>0.34</v>
      </c>
      <c r="AP220" s="3">
        <v>0.34</v>
      </c>
      <c r="AQ220" s="3">
        <v>0.34</v>
      </c>
      <c r="AR220" s="3">
        <v>0.34</v>
      </c>
      <c r="AS220" s="3">
        <v>0.34</v>
      </c>
      <c r="AT220" s="3">
        <v>0.34</v>
      </c>
      <c r="AU220" s="3">
        <v>0.34</v>
      </c>
      <c r="AV220" s="3">
        <v>0.34</v>
      </c>
      <c r="AW220" s="3">
        <v>0.34</v>
      </c>
      <c r="AX220" s="3">
        <v>0.34</v>
      </c>
      <c r="AY220" s="3">
        <v>0.34</v>
      </c>
      <c r="AZ220" s="3">
        <v>0.34</v>
      </c>
      <c r="BA220" s="3">
        <v>0.34</v>
      </c>
    </row>
    <row r="221" spans="3:53">
      <c r="C221" t="str">
        <f t="shared" si="156"/>
        <v>GCA</v>
      </c>
      <c r="D221" t="str">
        <f t="shared" si="157"/>
        <v>TRT</v>
      </c>
      <c r="E221" t="s">
        <v>420</v>
      </c>
      <c r="F221" s="3">
        <v>0.34</v>
      </c>
      <c r="G221" s="3">
        <v>0.34</v>
      </c>
      <c r="H221" s="3">
        <v>0.34</v>
      </c>
      <c r="I221" s="3">
        <v>0.34</v>
      </c>
      <c r="J221" s="3">
        <v>0.34</v>
      </c>
      <c r="K221" s="3">
        <v>0.34</v>
      </c>
      <c r="L221" s="3">
        <v>0.34</v>
      </c>
      <c r="M221" s="3">
        <v>0.34</v>
      </c>
      <c r="N221" s="3">
        <v>0.34</v>
      </c>
      <c r="O221" s="3">
        <v>0.34</v>
      </c>
      <c r="P221" s="3">
        <v>0.34</v>
      </c>
      <c r="Q221" s="3">
        <v>0.34</v>
      </c>
      <c r="R221" s="3">
        <v>0.34</v>
      </c>
      <c r="S221" s="3">
        <v>0.34</v>
      </c>
      <c r="T221" s="3">
        <v>0.34</v>
      </c>
      <c r="U221" s="3">
        <v>0.34</v>
      </c>
      <c r="V221" s="3">
        <v>0.34</v>
      </c>
      <c r="W221" s="3">
        <v>0.34</v>
      </c>
      <c r="X221" s="3">
        <v>0.34</v>
      </c>
      <c r="Y221" s="3">
        <v>0.34</v>
      </c>
      <c r="Z221" s="3">
        <v>0.34</v>
      </c>
      <c r="AA221" s="3">
        <v>0.34</v>
      </c>
      <c r="AB221" s="3">
        <v>0.34</v>
      </c>
      <c r="AC221" s="3">
        <v>0.34</v>
      </c>
      <c r="AD221" s="3">
        <v>0.34</v>
      </c>
      <c r="AE221" s="3">
        <v>0.34</v>
      </c>
      <c r="AF221" s="3">
        <v>0.34</v>
      </c>
      <c r="AG221" s="3">
        <v>0.34</v>
      </c>
      <c r="AH221" s="3">
        <v>0.34</v>
      </c>
      <c r="AI221" s="3">
        <v>0.34</v>
      </c>
      <c r="AJ221" s="3">
        <v>0.34</v>
      </c>
      <c r="AK221" s="3">
        <v>0.34</v>
      </c>
      <c r="AL221" s="3">
        <v>0.34</v>
      </c>
      <c r="AM221" s="3">
        <v>0.34</v>
      </c>
      <c r="AN221" s="3">
        <v>0.34</v>
      </c>
      <c r="AO221" s="3">
        <v>0.34</v>
      </c>
      <c r="AP221" s="3">
        <v>0.34</v>
      </c>
      <c r="AQ221" s="3">
        <v>0.34</v>
      </c>
      <c r="AR221" s="3">
        <v>0.34</v>
      </c>
      <c r="AS221" s="3">
        <v>0.34</v>
      </c>
      <c r="AT221" s="3">
        <v>0.34</v>
      </c>
      <c r="AU221" s="3">
        <v>0.34</v>
      </c>
      <c r="AV221" s="3">
        <v>0.34</v>
      </c>
      <c r="AW221" s="3">
        <v>0.34</v>
      </c>
      <c r="AX221" s="3">
        <v>0.34</v>
      </c>
      <c r="AY221" s="3">
        <v>0.34</v>
      </c>
      <c r="AZ221" s="3">
        <v>0.34</v>
      </c>
      <c r="BA221" s="3">
        <v>0.34</v>
      </c>
    </row>
    <row r="222" spans="3:53">
      <c r="C222" t="str">
        <f t="shared" si="156"/>
        <v>GCB</v>
      </c>
      <c r="D222" t="str">
        <f t="shared" si="157"/>
        <v>TRT</v>
      </c>
      <c r="E222" t="s">
        <v>421</v>
      </c>
      <c r="F222" s="3">
        <v>0.39</v>
      </c>
      <c r="G222" s="3">
        <v>0.39</v>
      </c>
      <c r="H222" s="3">
        <v>0.39</v>
      </c>
      <c r="I222" s="3">
        <v>0.39</v>
      </c>
      <c r="J222" s="3">
        <v>0.39</v>
      </c>
      <c r="K222" s="3">
        <v>0.39</v>
      </c>
      <c r="L222" s="3">
        <v>0.39</v>
      </c>
      <c r="M222" s="3">
        <v>0.39</v>
      </c>
      <c r="N222" s="3">
        <v>0.39</v>
      </c>
      <c r="O222" s="3">
        <v>0.39</v>
      </c>
      <c r="P222" s="3">
        <v>0.39</v>
      </c>
      <c r="Q222" s="3">
        <v>0.39</v>
      </c>
      <c r="R222" s="3">
        <v>0.39</v>
      </c>
      <c r="S222" s="3">
        <v>0.39</v>
      </c>
      <c r="T222" s="3">
        <v>0.39</v>
      </c>
      <c r="U222" s="3">
        <v>0.39</v>
      </c>
      <c r="V222" s="3">
        <v>0.39</v>
      </c>
      <c r="W222" s="3">
        <v>0.39</v>
      </c>
      <c r="X222" s="3">
        <v>0.39</v>
      </c>
      <c r="Y222" s="3">
        <v>0.39</v>
      </c>
      <c r="Z222" s="3">
        <v>0.39</v>
      </c>
      <c r="AA222" s="3">
        <v>0.39</v>
      </c>
      <c r="AB222" s="3">
        <v>0.39</v>
      </c>
      <c r="AC222" s="3">
        <v>0.39</v>
      </c>
      <c r="AD222" s="3">
        <v>0.39</v>
      </c>
      <c r="AE222" s="3">
        <v>0.39</v>
      </c>
      <c r="AF222" s="3">
        <v>0.39</v>
      </c>
      <c r="AG222" s="3">
        <v>0.39</v>
      </c>
      <c r="AH222" s="3">
        <v>0.39</v>
      </c>
      <c r="AI222" s="3">
        <v>0.39</v>
      </c>
      <c r="AJ222" s="3">
        <v>0.39</v>
      </c>
      <c r="AK222" s="3">
        <v>0.39</v>
      </c>
      <c r="AL222" s="3">
        <v>0.39</v>
      </c>
      <c r="AM222" s="3">
        <v>0.39</v>
      </c>
      <c r="AN222" s="3">
        <v>0.39</v>
      </c>
      <c r="AO222" s="3">
        <v>0.39</v>
      </c>
      <c r="AP222" s="3">
        <v>0.39</v>
      </c>
      <c r="AQ222" s="3">
        <v>0.39</v>
      </c>
      <c r="AR222" s="3">
        <v>0.39</v>
      </c>
      <c r="AS222" s="3">
        <v>0.39</v>
      </c>
      <c r="AT222" s="3">
        <v>0.39</v>
      </c>
      <c r="AU222" s="3">
        <v>0.39</v>
      </c>
      <c r="AV222" s="3">
        <v>0.39</v>
      </c>
      <c r="AW222" s="3">
        <v>0.39</v>
      </c>
      <c r="AX222" s="3">
        <v>0.39</v>
      </c>
      <c r="AY222" s="3">
        <v>0.39</v>
      </c>
      <c r="AZ222" s="3">
        <v>0.39</v>
      </c>
      <c r="BA222" s="3">
        <v>0.39</v>
      </c>
    </row>
    <row r="223" spans="3:53">
      <c r="C223" t="str">
        <f t="shared" si="156"/>
        <v>GCC</v>
      </c>
      <c r="D223" t="str">
        <f t="shared" si="157"/>
        <v>TRT</v>
      </c>
      <c r="E223" t="s">
        <v>422</v>
      </c>
      <c r="F223" s="3">
        <v>0.44</v>
      </c>
      <c r="G223" s="3">
        <v>0.44</v>
      </c>
      <c r="H223" s="3">
        <v>0.44</v>
      </c>
      <c r="I223" s="3">
        <v>0.44</v>
      </c>
      <c r="J223" s="3">
        <v>0.44</v>
      </c>
      <c r="K223" s="3">
        <v>0.44</v>
      </c>
      <c r="L223" s="3">
        <v>0.44</v>
      </c>
      <c r="M223" s="3">
        <v>0.44</v>
      </c>
      <c r="N223" s="3">
        <v>0.44</v>
      </c>
      <c r="O223" s="3">
        <v>0.44</v>
      </c>
      <c r="P223" s="3">
        <v>0.44</v>
      </c>
      <c r="Q223" s="3">
        <v>0.44</v>
      </c>
      <c r="R223" s="3">
        <v>0.44</v>
      </c>
      <c r="S223" s="3">
        <v>0.44</v>
      </c>
      <c r="T223" s="3">
        <v>0.44</v>
      </c>
      <c r="U223" s="3">
        <v>0.44</v>
      </c>
      <c r="V223" s="3">
        <v>0.44</v>
      </c>
      <c r="W223" s="3">
        <v>0.44</v>
      </c>
      <c r="X223" s="3">
        <v>0.44</v>
      </c>
      <c r="Y223" s="3">
        <v>0.44</v>
      </c>
      <c r="Z223" s="3">
        <v>0.44</v>
      </c>
      <c r="AA223" s="3">
        <v>0.44</v>
      </c>
      <c r="AB223" s="3">
        <v>0.44</v>
      </c>
      <c r="AC223" s="3">
        <v>0.44</v>
      </c>
      <c r="AD223" s="3">
        <v>0.44</v>
      </c>
      <c r="AE223" s="3">
        <v>0.44</v>
      </c>
      <c r="AF223" s="3">
        <v>0.44</v>
      </c>
      <c r="AG223" s="3">
        <v>0.44</v>
      </c>
      <c r="AH223" s="3">
        <v>0.44</v>
      </c>
      <c r="AI223" s="3">
        <v>0.44</v>
      </c>
      <c r="AJ223" s="3">
        <v>0.44</v>
      </c>
      <c r="AK223" s="3">
        <v>0.44</v>
      </c>
      <c r="AL223" s="3">
        <v>0.44</v>
      </c>
      <c r="AM223" s="3">
        <v>0.44</v>
      </c>
      <c r="AN223" s="3">
        <v>0.44</v>
      </c>
      <c r="AO223" s="3">
        <v>0.44</v>
      </c>
      <c r="AP223" s="3">
        <v>0.44</v>
      </c>
      <c r="AQ223" s="3">
        <v>0.44</v>
      </c>
      <c r="AR223" s="3">
        <v>0.44</v>
      </c>
      <c r="AS223" s="3">
        <v>0.44</v>
      </c>
      <c r="AT223" s="3">
        <v>0.44</v>
      </c>
      <c r="AU223" s="3">
        <v>0.44</v>
      </c>
      <c r="AV223" s="3">
        <v>0.44</v>
      </c>
      <c r="AW223" s="3">
        <v>0.44</v>
      </c>
      <c r="AX223" s="3">
        <v>0.44</v>
      </c>
      <c r="AY223" s="3">
        <v>0.44</v>
      </c>
      <c r="AZ223" s="3">
        <v>0.44</v>
      </c>
      <c r="BA223" s="3">
        <v>0.44</v>
      </c>
    </row>
    <row r="224" spans="3:53">
      <c r="C224" t="str">
        <f t="shared" si="156"/>
        <v>HYB</v>
      </c>
      <c r="D224" t="str">
        <f t="shared" si="157"/>
        <v>TRT</v>
      </c>
      <c r="E224" t="s">
        <v>423</v>
      </c>
      <c r="F224" s="3">
        <v>0.52</v>
      </c>
      <c r="G224" s="3">
        <v>0.52</v>
      </c>
      <c r="H224" s="3">
        <v>0.52</v>
      </c>
      <c r="I224" s="3">
        <v>0.52</v>
      </c>
      <c r="J224" s="3">
        <v>0.52</v>
      </c>
      <c r="K224" s="3">
        <v>0.52</v>
      </c>
      <c r="L224" s="3">
        <v>0.52</v>
      </c>
      <c r="M224" s="3">
        <v>0.52</v>
      </c>
      <c r="N224" s="3">
        <v>0.52</v>
      </c>
      <c r="O224" s="3">
        <v>0.52</v>
      </c>
      <c r="P224" s="3">
        <v>0.52</v>
      </c>
      <c r="Q224" s="3">
        <v>0.52</v>
      </c>
      <c r="R224" s="3">
        <v>0.52</v>
      </c>
      <c r="S224" s="3">
        <v>0.52</v>
      </c>
      <c r="T224" s="3">
        <v>0.52</v>
      </c>
      <c r="U224" s="3">
        <v>0.52</v>
      </c>
      <c r="V224" s="3">
        <v>0.52</v>
      </c>
      <c r="W224" s="3">
        <v>0.52</v>
      </c>
      <c r="X224" s="3">
        <v>0.52</v>
      </c>
      <c r="Y224" s="3">
        <v>0.52</v>
      </c>
      <c r="Z224" s="3">
        <v>0.52</v>
      </c>
      <c r="AA224" s="3">
        <v>0.52</v>
      </c>
      <c r="AB224" s="3">
        <v>0.52</v>
      </c>
      <c r="AC224" s="3">
        <v>0.52</v>
      </c>
      <c r="AD224" s="3">
        <v>0.52</v>
      </c>
      <c r="AE224" s="3">
        <v>0.52</v>
      </c>
      <c r="AF224" s="3">
        <v>0.52</v>
      </c>
      <c r="AG224" s="3">
        <v>0.52</v>
      </c>
      <c r="AH224" s="3">
        <v>0.52</v>
      </c>
      <c r="AI224" s="3">
        <v>0.52</v>
      </c>
      <c r="AJ224" s="3">
        <v>0.52</v>
      </c>
      <c r="AK224" s="3">
        <v>0.52</v>
      </c>
      <c r="AL224" s="3">
        <v>0.52</v>
      </c>
      <c r="AM224" s="3">
        <v>0.52</v>
      </c>
      <c r="AN224" s="3">
        <v>0.52</v>
      </c>
      <c r="AO224" s="3">
        <v>0.52</v>
      </c>
      <c r="AP224" s="3">
        <v>0.52</v>
      </c>
      <c r="AQ224" s="3">
        <v>0.52</v>
      </c>
      <c r="AR224" s="3">
        <v>0.52</v>
      </c>
      <c r="AS224" s="3">
        <v>0.52</v>
      </c>
      <c r="AT224" s="3">
        <v>0.52</v>
      </c>
      <c r="AU224" s="3">
        <v>0.52</v>
      </c>
      <c r="AV224" s="3">
        <v>0.52</v>
      </c>
      <c r="AW224" s="3">
        <v>0.52</v>
      </c>
      <c r="AX224" s="3">
        <v>0.52</v>
      </c>
      <c r="AY224" s="3">
        <v>0.52</v>
      </c>
      <c r="AZ224" s="3">
        <v>0.52</v>
      </c>
      <c r="BA224" s="3">
        <v>0.52</v>
      </c>
    </row>
    <row r="225" spans="3:53">
      <c r="C225" t="str">
        <f t="shared" si="156"/>
        <v>LPG</v>
      </c>
      <c r="D225" t="str">
        <f t="shared" si="157"/>
        <v>TRT</v>
      </c>
      <c r="E225" t="s">
        <v>424</v>
      </c>
      <c r="F225" s="3">
        <v>0.34</v>
      </c>
      <c r="G225" s="3">
        <v>0.34</v>
      </c>
      <c r="H225" s="3">
        <v>0.34</v>
      </c>
      <c r="I225" s="3">
        <v>0.34</v>
      </c>
      <c r="J225" s="3">
        <v>0.34</v>
      </c>
      <c r="K225" s="3">
        <v>0.34</v>
      </c>
      <c r="L225" s="3">
        <v>0.34</v>
      </c>
      <c r="M225" s="3">
        <v>0.34</v>
      </c>
      <c r="N225" s="3">
        <v>0.34</v>
      </c>
      <c r="O225" s="3">
        <v>0.34</v>
      </c>
      <c r="P225" s="3">
        <v>0.34</v>
      </c>
      <c r="Q225" s="3">
        <v>0.34</v>
      </c>
      <c r="R225" s="3">
        <v>0.34</v>
      </c>
      <c r="S225" s="3">
        <v>0.34</v>
      </c>
      <c r="T225" s="3">
        <v>0.34</v>
      </c>
      <c r="U225" s="3">
        <v>0.34</v>
      </c>
      <c r="V225" s="3">
        <v>0.34</v>
      </c>
      <c r="W225" s="3">
        <v>0.34</v>
      </c>
      <c r="X225" s="3">
        <v>0.34</v>
      </c>
      <c r="Y225" s="3">
        <v>0.34</v>
      </c>
      <c r="Z225" s="3">
        <v>0.34</v>
      </c>
      <c r="AA225" s="3">
        <v>0.34</v>
      </c>
      <c r="AB225" s="3">
        <v>0.34</v>
      </c>
      <c r="AC225" s="3">
        <v>0.34</v>
      </c>
      <c r="AD225" s="3">
        <v>0.34</v>
      </c>
      <c r="AE225" s="3">
        <v>0.34</v>
      </c>
      <c r="AF225" s="3">
        <v>0.34</v>
      </c>
      <c r="AG225" s="3">
        <v>0.34</v>
      </c>
      <c r="AH225" s="3">
        <v>0.34</v>
      </c>
      <c r="AI225" s="3">
        <v>0.34</v>
      </c>
      <c r="AJ225" s="3">
        <v>0.34</v>
      </c>
      <c r="AK225" s="3">
        <v>0.34</v>
      </c>
      <c r="AL225" s="3">
        <v>0.34</v>
      </c>
      <c r="AM225" s="3">
        <v>0.34</v>
      </c>
      <c r="AN225" s="3">
        <v>0.34</v>
      </c>
      <c r="AO225" s="3">
        <v>0.34</v>
      </c>
      <c r="AP225" s="3">
        <v>0.34</v>
      </c>
      <c r="AQ225" s="3">
        <v>0.34</v>
      </c>
      <c r="AR225" s="3">
        <v>0.34</v>
      </c>
      <c r="AS225" s="3">
        <v>0.34</v>
      </c>
      <c r="AT225" s="3">
        <v>0.34</v>
      </c>
      <c r="AU225" s="3">
        <v>0.34</v>
      </c>
      <c r="AV225" s="3">
        <v>0.34</v>
      </c>
      <c r="AW225" s="3">
        <v>0.34</v>
      </c>
      <c r="AX225" s="3">
        <v>0.34</v>
      </c>
      <c r="AY225" s="3">
        <v>0.34</v>
      </c>
      <c r="AZ225" s="3">
        <v>0.34</v>
      </c>
      <c r="BA225" s="3">
        <v>0.34</v>
      </c>
    </row>
    <row r="226" spans="3:53">
      <c r="C226" t="str">
        <f t="shared" si="156"/>
        <v>MET</v>
      </c>
      <c r="D226" t="str">
        <f t="shared" si="157"/>
        <v>TRT</v>
      </c>
      <c r="E226" t="s">
        <v>425</v>
      </c>
      <c r="F226" s="3">
        <v>0.37</v>
      </c>
      <c r="G226" s="3">
        <v>0.37</v>
      </c>
      <c r="H226" s="3">
        <v>0.37</v>
      </c>
      <c r="I226" s="3">
        <v>0.37</v>
      </c>
      <c r="J226" s="3">
        <v>0.37</v>
      </c>
      <c r="K226" s="3">
        <v>0.37</v>
      </c>
      <c r="L226" s="3">
        <v>0.37</v>
      </c>
      <c r="M226" s="3">
        <v>0.37</v>
      </c>
      <c r="N226" s="3">
        <v>0.37</v>
      </c>
      <c r="O226" s="3">
        <v>0.37</v>
      </c>
      <c r="P226" s="3">
        <v>0.37</v>
      </c>
      <c r="Q226" s="3">
        <v>0.37</v>
      </c>
      <c r="R226" s="3">
        <v>0.37</v>
      </c>
      <c r="S226" s="3">
        <v>0.37</v>
      </c>
      <c r="T226" s="3">
        <v>0.37</v>
      </c>
      <c r="U226" s="3">
        <v>0.37</v>
      </c>
      <c r="V226" s="3">
        <v>0.37</v>
      </c>
      <c r="W226" s="3">
        <v>0.37</v>
      </c>
      <c r="X226" s="3">
        <v>0.37</v>
      </c>
      <c r="Y226" s="3">
        <v>0.37</v>
      </c>
      <c r="Z226" s="3">
        <v>0.37</v>
      </c>
      <c r="AA226" s="3">
        <v>0.37</v>
      </c>
      <c r="AB226" s="3">
        <v>0.37</v>
      </c>
      <c r="AC226" s="3">
        <v>0.37</v>
      </c>
      <c r="AD226" s="3">
        <v>0.37</v>
      </c>
      <c r="AE226" s="3">
        <v>0.37</v>
      </c>
      <c r="AF226" s="3">
        <v>0.37</v>
      </c>
      <c r="AG226" s="3">
        <v>0.37</v>
      </c>
      <c r="AH226" s="3">
        <v>0.37</v>
      </c>
      <c r="AI226" s="3">
        <v>0.37</v>
      </c>
      <c r="AJ226" s="3">
        <v>0.37</v>
      </c>
      <c r="AK226" s="3">
        <v>0.37</v>
      </c>
      <c r="AL226" s="3">
        <v>0.37</v>
      </c>
      <c r="AM226" s="3">
        <v>0.37</v>
      </c>
      <c r="AN226" s="3">
        <v>0.37</v>
      </c>
      <c r="AO226" s="3">
        <v>0.37</v>
      </c>
      <c r="AP226" s="3">
        <v>0.37</v>
      </c>
      <c r="AQ226" s="3">
        <v>0.37</v>
      </c>
      <c r="AR226" s="3">
        <v>0.37</v>
      </c>
      <c r="AS226" s="3">
        <v>0.37</v>
      </c>
      <c r="AT226" s="3">
        <v>0.37</v>
      </c>
      <c r="AU226" s="3">
        <v>0.37</v>
      </c>
      <c r="AV226" s="3">
        <v>0.37</v>
      </c>
      <c r="AW226" s="3">
        <v>0.37</v>
      </c>
      <c r="AX226" s="3">
        <v>0.37</v>
      </c>
      <c r="AY226" s="3">
        <v>0.37</v>
      </c>
      <c r="AZ226" s="3">
        <v>0.37</v>
      </c>
      <c r="BA226" s="3">
        <v>0.37</v>
      </c>
    </row>
    <row r="227" spans="3:53">
      <c r="C227" t="str">
        <f t="shared" ref="C227:C233" si="160">MID(E227,4,3)</f>
        <v>NGA</v>
      </c>
      <c r="D227" t="str">
        <f t="shared" ref="D227:D233" si="161">LEFT(E227,3)</f>
        <v>TRT</v>
      </c>
      <c r="E227" t="s">
        <v>426</v>
      </c>
      <c r="F227" s="3">
        <v>0.34</v>
      </c>
      <c r="G227" s="3">
        <v>0.34</v>
      </c>
      <c r="H227" s="3">
        <v>0.34</v>
      </c>
      <c r="I227" s="3">
        <v>0.34</v>
      </c>
      <c r="J227" s="3">
        <v>0.34</v>
      </c>
      <c r="K227" s="3">
        <v>0.34</v>
      </c>
      <c r="L227" s="3">
        <v>0.34</v>
      </c>
      <c r="M227" s="3">
        <v>0.34</v>
      </c>
      <c r="N227" s="3">
        <v>0.34</v>
      </c>
      <c r="O227" s="3">
        <v>0.34</v>
      </c>
      <c r="P227" s="3">
        <v>0.34</v>
      </c>
      <c r="Q227" s="3">
        <v>0.34</v>
      </c>
      <c r="R227" s="3">
        <v>0.34</v>
      </c>
      <c r="S227" s="3">
        <v>0.34</v>
      </c>
      <c r="T227" s="3">
        <v>0.34</v>
      </c>
      <c r="U227" s="3">
        <v>0.34</v>
      </c>
      <c r="V227" s="3">
        <v>0.34</v>
      </c>
      <c r="W227" s="3">
        <v>0.34</v>
      </c>
      <c r="X227" s="3">
        <v>0.34</v>
      </c>
      <c r="Y227" s="3">
        <v>0.34</v>
      </c>
      <c r="Z227" s="3">
        <v>0.34</v>
      </c>
      <c r="AA227" s="3">
        <v>0.34</v>
      </c>
      <c r="AB227" s="3">
        <v>0.34</v>
      </c>
      <c r="AC227" s="3">
        <v>0.34</v>
      </c>
      <c r="AD227" s="3">
        <v>0.34</v>
      </c>
      <c r="AE227" s="3">
        <v>0.34</v>
      </c>
      <c r="AF227" s="3">
        <v>0.34</v>
      </c>
      <c r="AG227" s="3">
        <v>0.34</v>
      </c>
      <c r="AH227" s="3">
        <v>0.34</v>
      </c>
      <c r="AI227" s="3">
        <v>0.34</v>
      </c>
      <c r="AJ227" s="3">
        <v>0.34</v>
      </c>
      <c r="AK227" s="3">
        <v>0.34</v>
      </c>
      <c r="AL227" s="3">
        <v>0.34</v>
      </c>
      <c r="AM227" s="3">
        <v>0.34</v>
      </c>
      <c r="AN227" s="3">
        <v>0.34</v>
      </c>
      <c r="AO227" s="3">
        <v>0.34</v>
      </c>
      <c r="AP227" s="3">
        <v>0.34</v>
      </c>
      <c r="AQ227" s="3">
        <v>0.34</v>
      </c>
      <c r="AR227" s="3">
        <v>0.34</v>
      </c>
      <c r="AS227" s="3">
        <v>0.34</v>
      </c>
      <c r="AT227" s="3">
        <v>0.34</v>
      </c>
      <c r="AU227" s="3">
        <v>0.34</v>
      </c>
      <c r="AV227" s="3">
        <v>0.34</v>
      </c>
      <c r="AW227" s="3">
        <v>0.34</v>
      </c>
      <c r="AX227" s="3">
        <v>0.34</v>
      </c>
      <c r="AY227" s="3">
        <v>0.34</v>
      </c>
      <c r="AZ227" s="3">
        <v>0.34</v>
      </c>
      <c r="BA227" s="3">
        <v>0.34</v>
      </c>
    </row>
    <row r="228" spans="3:53">
      <c r="C228" t="str">
        <f t="shared" si="160"/>
        <v>MCG</v>
      </c>
      <c r="D228" t="str">
        <f t="shared" si="161"/>
        <v>TRW</v>
      </c>
      <c r="E228" t="s">
        <v>427</v>
      </c>
      <c r="F228" s="3">
        <v>0.7</v>
      </c>
      <c r="G228" s="3">
        <v>0.7</v>
      </c>
      <c r="H228" s="3">
        <v>0.7</v>
      </c>
      <c r="I228" s="3">
        <v>0.7</v>
      </c>
      <c r="J228" s="3">
        <v>0.7</v>
      </c>
      <c r="K228" s="3">
        <v>0.7</v>
      </c>
      <c r="L228" s="3">
        <v>0.7</v>
      </c>
      <c r="M228" s="3">
        <v>0.7</v>
      </c>
      <c r="N228" s="3">
        <v>0.7</v>
      </c>
      <c r="O228" s="3">
        <v>0.7</v>
      </c>
      <c r="P228" s="3">
        <v>0.7</v>
      </c>
      <c r="Q228" s="3">
        <v>0.7</v>
      </c>
      <c r="R228" s="3">
        <v>0.7</v>
      </c>
      <c r="S228" s="3">
        <v>0.7</v>
      </c>
      <c r="T228" s="3">
        <v>0.7</v>
      </c>
      <c r="U228" s="3">
        <v>0.7</v>
      </c>
      <c r="V228" s="3">
        <v>0.7</v>
      </c>
      <c r="W228" s="3">
        <v>0.7</v>
      </c>
      <c r="X228" s="3">
        <v>0.7</v>
      </c>
      <c r="Y228" s="3">
        <v>0.7</v>
      </c>
      <c r="Z228" s="3">
        <v>0.7</v>
      </c>
      <c r="AA228" s="3">
        <v>0.7</v>
      </c>
      <c r="AB228" s="3">
        <v>0.7</v>
      </c>
      <c r="AC228" s="3">
        <v>0.7</v>
      </c>
      <c r="AD228" s="3">
        <v>0.7</v>
      </c>
      <c r="AE228" s="3">
        <v>0.7</v>
      </c>
      <c r="AF228" s="3">
        <v>0.7</v>
      </c>
      <c r="AG228" s="3">
        <v>0.7</v>
      </c>
      <c r="AH228" s="3">
        <v>0.7</v>
      </c>
      <c r="AI228" s="3">
        <v>0.7</v>
      </c>
      <c r="AJ228" s="3">
        <v>0.7</v>
      </c>
      <c r="AK228" s="3">
        <v>0.7</v>
      </c>
      <c r="AL228" s="3">
        <v>0.7</v>
      </c>
      <c r="AM228" s="3">
        <v>0.7</v>
      </c>
      <c r="AN228" s="3">
        <v>0.7</v>
      </c>
      <c r="AO228" s="3">
        <v>0.7</v>
      </c>
      <c r="AP228" s="3">
        <v>0.7</v>
      </c>
      <c r="AQ228" s="3">
        <v>0.7</v>
      </c>
      <c r="AR228" s="3">
        <v>0.7</v>
      </c>
      <c r="AS228" s="3">
        <v>0.7</v>
      </c>
      <c r="AT228" s="3">
        <v>0.7</v>
      </c>
      <c r="AU228" s="3">
        <v>0.7</v>
      </c>
      <c r="AV228" s="3">
        <v>0.7</v>
      </c>
      <c r="AW228" s="3">
        <v>0.7</v>
      </c>
      <c r="AX228" s="3">
        <v>0.7</v>
      </c>
      <c r="AY228" s="3">
        <v>0.7</v>
      </c>
      <c r="AZ228" s="3">
        <v>0.7</v>
      </c>
      <c r="BA228" s="3">
        <v>0.7</v>
      </c>
    </row>
    <row r="229" spans="3:53">
      <c r="C229" t="str">
        <f t="shared" si="160"/>
        <v>MPG</v>
      </c>
      <c r="D229" t="str">
        <f t="shared" si="161"/>
        <v>TRW</v>
      </c>
      <c r="E229" t="s">
        <v>428</v>
      </c>
      <c r="F229" s="3">
        <v>1</v>
      </c>
      <c r="G229" s="3">
        <v>1</v>
      </c>
      <c r="H229" s="3">
        <v>1</v>
      </c>
      <c r="I229" s="3">
        <v>1</v>
      </c>
      <c r="J229" s="3">
        <v>1</v>
      </c>
      <c r="K229" s="3">
        <v>1</v>
      </c>
      <c r="L229" s="3">
        <v>1</v>
      </c>
      <c r="M229" s="3">
        <v>1</v>
      </c>
      <c r="N229" s="3">
        <v>1</v>
      </c>
      <c r="O229" s="3">
        <v>1</v>
      </c>
      <c r="P229" s="3">
        <v>1</v>
      </c>
      <c r="Q229" s="3">
        <v>1</v>
      </c>
      <c r="R229" s="3">
        <v>1</v>
      </c>
      <c r="S229" s="3">
        <v>1</v>
      </c>
      <c r="T229" s="3">
        <v>1</v>
      </c>
      <c r="U229" s="3">
        <v>1</v>
      </c>
      <c r="V229" s="3">
        <v>1</v>
      </c>
      <c r="W229" s="3">
        <v>1</v>
      </c>
      <c r="X229" s="3">
        <v>1</v>
      </c>
      <c r="Y229" s="3">
        <v>1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3">
        <v>1</v>
      </c>
      <c r="AG229" s="3">
        <v>1</v>
      </c>
      <c r="AH229" s="3">
        <v>1</v>
      </c>
      <c r="AI229" s="3">
        <v>1</v>
      </c>
      <c r="AJ229" s="3">
        <v>1</v>
      </c>
      <c r="AK229" s="3">
        <v>1</v>
      </c>
      <c r="AL229" s="3">
        <v>1</v>
      </c>
      <c r="AM229" s="3">
        <v>1</v>
      </c>
      <c r="AN229" s="3">
        <v>1</v>
      </c>
      <c r="AO229" s="3">
        <v>1</v>
      </c>
      <c r="AP229" s="3">
        <v>1</v>
      </c>
      <c r="AQ229" s="3">
        <v>1</v>
      </c>
      <c r="AR229" s="3">
        <v>1</v>
      </c>
      <c r="AS229" s="3">
        <v>1</v>
      </c>
      <c r="AT229" s="3">
        <v>1</v>
      </c>
      <c r="AU229" s="3">
        <v>1</v>
      </c>
      <c r="AV229" s="3">
        <v>1</v>
      </c>
      <c r="AW229" s="3">
        <v>1</v>
      </c>
      <c r="AX229" s="3">
        <v>1</v>
      </c>
      <c r="AY229" s="3">
        <v>1</v>
      </c>
      <c r="AZ229" s="3">
        <v>1</v>
      </c>
      <c r="BA229" s="3">
        <v>1</v>
      </c>
    </row>
    <row r="230" spans="3:53">
      <c r="C230" t="str">
        <f t="shared" si="160"/>
        <v>005</v>
      </c>
      <c r="D230" t="str">
        <f t="shared" si="161"/>
        <v>TTF</v>
      </c>
      <c r="E230" t="s">
        <v>429</v>
      </c>
      <c r="F230" s="3">
        <v>1</v>
      </c>
      <c r="G230" s="3">
        <v>1</v>
      </c>
      <c r="H230" s="3">
        <v>1</v>
      </c>
      <c r="I230" s="3">
        <v>1</v>
      </c>
      <c r="J230" s="3">
        <v>1</v>
      </c>
      <c r="K230" s="3">
        <v>1</v>
      </c>
      <c r="L230" s="3">
        <v>1</v>
      </c>
      <c r="M230" s="3">
        <v>1</v>
      </c>
      <c r="N230" s="3">
        <v>1</v>
      </c>
      <c r="O230" s="3">
        <v>1</v>
      </c>
      <c r="P230" s="3">
        <v>1</v>
      </c>
      <c r="Q230" s="3">
        <v>1</v>
      </c>
      <c r="R230" s="3">
        <v>1</v>
      </c>
      <c r="S230" s="3">
        <v>1</v>
      </c>
      <c r="T230" s="3">
        <v>1</v>
      </c>
      <c r="U230" s="3">
        <v>1</v>
      </c>
      <c r="V230" s="3">
        <v>1</v>
      </c>
      <c r="W230" s="3">
        <v>1</v>
      </c>
      <c r="X230" s="3">
        <v>1</v>
      </c>
      <c r="Y230" s="3">
        <v>1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3">
        <v>1</v>
      </c>
      <c r="AG230" s="3">
        <v>1</v>
      </c>
      <c r="AH230" s="3">
        <v>1</v>
      </c>
      <c r="AI230" s="3">
        <v>1</v>
      </c>
      <c r="AJ230" s="3">
        <v>1</v>
      </c>
      <c r="AK230" s="3">
        <v>1</v>
      </c>
      <c r="AL230" s="3">
        <v>1</v>
      </c>
      <c r="AM230" s="3">
        <v>1</v>
      </c>
      <c r="AN230" s="3">
        <v>1</v>
      </c>
      <c r="AO230" s="3">
        <v>1</v>
      </c>
      <c r="AP230" s="3">
        <v>1</v>
      </c>
      <c r="AQ230" s="3">
        <v>1</v>
      </c>
      <c r="AR230" s="3">
        <v>1</v>
      </c>
      <c r="AS230" s="3">
        <v>1</v>
      </c>
      <c r="AT230" s="3">
        <v>1</v>
      </c>
      <c r="AU230" s="3">
        <v>1</v>
      </c>
      <c r="AV230" s="3">
        <v>1</v>
      </c>
      <c r="AW230" s="3">
        <v>1</v>
      </c>
      <c r="AX230" s="3">
        <v>1</v>
      </c>
      <c r="AY230" s="3">
        <v>1</v>
      </c>
      <c r="AZ230" s="3">
        <v>1</v>
      </c>
      <c r="BA230" s="3">
        <v>1</v>
      </c>
    </row>
    <row r="231" spans="3:53">
      <c r="C231" t="str">
        <f t="shared" si="160"/>
        <v>005</v>
      </c>
      <c r="D231" t="str">
        <f t="shared" si="161"/>
        <v>TTP</v>
      </c>
      <c r="E231" t="s">
        <v>430</v>
      </c>
      <c r="F231" s="3">
        <v>1</v>
      </c>
      <c r="G231" s="3">
        <v>1</v>
      </c>
      <c r="H231" s="3">
        <v>1</v>
      </c>
      <c r="I231" s="3">
        <v>1</v>
      </c>
      <c r="J231" s="3">
        <v>1</v>
      </c>
      <c r="K231" s="3">
        <v>1</v>
      </c>
      <c r="L231" s="3">
        <v>1</v>
      </c>
      <c r="M231" s="3">
        <v>1</v>
      </c>
      <c r="N231" s="3">
        <v>1</v>
      </c>
      <c r="O231" s="3">
        <v>1</v>
      </c>
      <c r="P231" s="3">
        <v>1</v>
      </c>
      <c r="Q231" s="3">
        <v>1</v>
      </c>
      <c r="R231" s="3">
        <v>1</v>
      </c>
      <c r="S231" s="3">
        <v>1</v>
      </c>
      <c r="T231" s="3">
        <v>1</v>
      </c>
      <c r="U231" s="3">
        <v>1</v>
      </c>
      <c r="V231" s="3">
        <v>1</v>
      </c>
      <c r="W231" s="3">
        <v>1</v>
      </c>
      <c r="X231" s="3">
        <v>1</v>
      </c>
      <c r="Y231" s="3">
        <v>1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3">
        <v>1</v>
      </c>
      <c r="AG231" s="3">
        <v>1</v>
      </c>
      <c r="AH231" s="3">
        <v>1</v>
      </c>
      <c r="AI231" s="3">
        <v>1</v>
      </c>
      <c r="AJ231" s="3">
        <v>1</v>
      </c>
      <c r="AK231" s="3">
        <v>1</v>
      </c>
      <c r="AL231" s="3">
        <v>1</v>
      </c>
      <c r="AM231" s="3">
        <v>1</v>
      </c>
      <c r="AN231" s="3">
        <v>1</v>
      </c>
      <c r="AO231" s="3">
        <v>1</v>
      </c>
      <c r="AP231" s="3">
        <v>1</v>
      </c>
      <c r="AQ231" s="3">
        <v>1</v>
      </c>
      <c r="AR231" s="3">
        <v>1</v>
      </c>
      <c r="AS231" s="3">
        <v>1</v>
      </c>
      <c r="AT231" s="3">
        <v>1</v>
      </c>
      <c r="AU231" s="3">
        <v>1</v>
      </c>
      <c r="AV231" s="3">
        <v>1</v>
      </c>
      <c r="AW231" s="3">
        <v>1</v>
      </c>
      <c r="AX231" s="3">
        <v>1</v>
      </c>
      <c r="AY231" s="3">
        <v>1</v>
      </c>
      <c r="AZ231" s="3">
        <v>1</v>
      </c>
      <c r="BA231" s="3">
        <v>1</v>
      </c>
    </row>
    <row r="232" spans="3:53">
      <c r="C232" t="str">
        <f t="shared" si="160"/>
        <v>005</v>
      </c>
      <c r="D232" t="str">
        <f t="shared" si="161"/>
        <v>TWD</v>
      </c>
      <c r="E232" t="s">
        <v>431</v>
      </c>
      <c r="F232" s="3">
        <v>2.64</v>
      </c>
      <c r="G232" s="3">
        <v>2.64</v>
      </c>
      <c r="H232" s="3">
        <v>2.64</v>
      </c>
      <c r="I232" s="3">
        <v>2.64</v>
      </c>
      <c r="J232" s="3">
        <v>2.64</v>
      </c>
      <c r="K232" s="3">
        <v>2.64</v>
      </c>
      <c r="L232" s="3">
        <v>2.64</v>
      </c>
      <c r="M232" s="3">
        <v>2.64</v>
      </c>
      <c r="N232" s="3">
        <v>2.64</v>
      </c>
      <c r="O232" s="3">
        <v>2.64</v>
      </c>
      <c r="P232" s="3">
        <v>2.64</v>
      </c>
      <c r="Q232" s="3">
        <v>2.64</v>
      </c>
      <c r="R232" s="3">
        <v>2.64</v>
      </c>
      <c r="S232" s="3">
        <v>2.64</v>
      </c>
      <c r="T232" s="3">
        <v>2.64</v>
      </c>
      <c r="U232" s="3">
        <v>2.64</v>
      </c>
      <c r="V232" s="3">
        <v>2.64</v>
      </c>
      <c r="W232" s="3">
        <v>2.64</v>
      </c>
      <c r="X232" s="3">
        <v>2.64</v>
      </c>
      <c r="Y232" s="3">
        <v>2.64</v>
      </c>
      <c r="Z232" s="3">
        <v>2.64</v>
      </c>
      <c r="AA232" s="3">
        <v>2.64</v>
      </c>
      <c r="AB232" s="3">
        <v>2.64</v>
      </c>
      <c r="AC232" s="3">
        <v>2.64</v>
      </c>
      <c r="AD232" s="3">
        <v>2.64</v>
      </c>
      <c r="AE232" s="3">
        <v>2.64</v>
      </c>
      <c r="AF232" s="3">
        <v>2.64</v>
      </c>
      <c r="AG232" s="3">
        <v>2.64</v>
      </c>
      <c r="AH232" s="3">
        <v>2.64</v>
      </c>
      <c r="AI232" s="3">
        <v>2.64</v>
      </c>
      <c r="AJ232" s="3">
        <v>2.64</v>
      </c>
      <c r="AK232" s="3">
        <v>2.64</v>
      </c>
      <c r="AL232" s="3">
        <v>2.64</v>
      </c>
      <c r="AM232" s="3">
        <v>2.64</v>
      </c>
      <c r="AN232" s="3">
        <v>2.64</v>
      </c>
      <c r="AO232" s="3">
        <v>2.64</v>
      </c>
      <c r="AP232" s="3">
        <v>2.64</v>
      </c>
      <c r="AQ232" s="3">
        <v>2.64</v>
      </c>
      <c r="AR232" s="3">
        <v>2.64</v>
      </c>
      <c r="AS232" s="3">
        <v>2.64</v>
      </c>
      <c r="AT232" s="3">
        <v>2.64</v>
      </c>
      <c r="AU232" s="3">
        <v>2.64</v>
      </c>
      <c r="AV232" s="3">
        <v>2.64</v>
      </c>
      <c r="AW232" s="3">
        <v>2.64</v>
      </c>
      <c r="AX232" s="3">
        <v>2.64</v>
      </c>
      <c r="AY232" s="3">
        <v>2.64</v>
      </c>
      <c r="AZ232" s="3">
        <v>2.64</v>
      </c>
      <c r="BA232" s="3">
        <v>2.64</v>
      </c>
    </row>
    <row r="233" spans="3:53">
      <c r="C233" t="str">
        <f t="shared" si="160"/>
        <v>005</v>
      </c>
      <c r="D233" t="str">
        <f t="shared" si="161"/>
        <v>TWI</v>
      </c>
      <c r="E233" t="s">
        <v>432</v>
      </c>
      <c r="F233" s="3">
        <v>2.64</v>
      </c>
      <c r="G233" s="3">
        <v>2.64</v>
      </c>
      <c r="H233" s="3">
        <v>2.64</v>
      </c>
      <c r="I233" s="3">
        <v>2.64</v>
      </c>
      <c r="J233" s="3">
        <v>2.64</v>
      </c>
      <c r="K233" s="3">
        <v>2.64</v>
      </c>
      <c r="L233" s="3">
        <v>2.64</v>
      </c>
      <c r="M233" s="3">
        <v>2.64</v>
      </c>
      <c r="N233" s="3">
        <v>2.64</v>
      </c>
      <c r="O233" s="3">
        <v>2.64</v>
      </c>
      <c r="P233" s="3">
        <v>2.64</v>
      </c>
      <c r="Q233" s="3">
        <v>2.64</v>
      </c>
      <c r="R233" s="3">
        <v>2.64</v>
      </c>
      <c r="S233" s="3">
        <v>2.64</v>
      </c>
      <c r="T233" s="3">
        <v>2.64</v>
      </c>
      <c r="U233" s="3">
        <v>2.64</v>
      </c>
      <c r="V233" s="3">
        <v>2.64</v>
      </c>
      <c r="W233" s="3">
        <v>2.64</v>
      </c>
      <c r="X233" s="3">
        <v>2.64</v>
      </c>
      <c r="Y233" s="3">
        <v>2.64</v>
      </c>
      <c r="Z233" s="3">
        <v>2.64</v>
      </c>
      <c r="AA233" s="3">
        <v>2.64</v>
      </c>
      <c r="AB233" s="3">
        <v>2.64</v>
      </c>
      <c r="AC233" s="3">
        <v>2.64</v>
      </c>
      <c r="AD233" s="3">
        <v>2.64</v>
      </c>
      <c r="AE233" s="3">
        <v>2.64</v>
      </c>
      <c r="AF233" s="3">
        <v>2.64</v>
      </c>
      <c r="AG233" s="3">
        <v>2.64</v>
      </c>
      <c r="AH233" s="3">
        <v>2.64</v>
      </c>
      <c r="AI233" s="3">
        <v>2.64</v>
      </c>
      <c r="AJ233" s="3">
        <v>2.64</v>
      </c>
      <c r="AK233" s="3">
        <v>2.64</v>
      </c>
      <c r="AL233" s="3">
        <v>2.64</v>
      </c>
      <c r="AM233" s="3">
        <v>2.64</v>
      </c>
      <c r="AN233" s="3">
        <v>2.64</v>
      </c>
      <c r="AO233" s="3">
        <v>2.64</v>
      </c>
      <c r="AP233" s="3">
        <v>2.64</v>
      </c>
      <c r="AQ233" s="3">
        <v>2.64</v>
      </c>
      <c r="AR233" s="3">
        <v>2.64</v>
      </c>
      <c r="AS233" s="3">
        <v>2.64</v>
      </c>
      <c r="AT233" s="3">
        <v>2.64</v>
      </c>
      <c r="AU233" s="3">
        <v>2.64</v>
      </c>
      <c r="AV233" s="3">
        <v>2.64</v>
      </c>
      <c r="AW233" s="3">
        <v>2.64</v>
      </c>
      <c r="AX233" s="3">
        <v>2.64</v>
      </c>
      <c r="AY233" s="3">
        <v>2.64</v>
      </c>
      <c r="AZ233" s="3">
        <v>2.64</v>
      </c>
      <c r="BA233" s="3">
        <v>2.64</v>
      </c>
    </row>
  </sheetData>
  <sortState ref="DP109:DP168">
    <sortCondition ref="DP109:DP168"/>
  </sortState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D77"/>
  <sheetViews>
    <sheetView tabSelected="1" zoomScale="68" zoomScaleNormal="68" workbookViewId="0">
      <selection activeCell="E15" sqref="E15"/>
    </sheetView>
  </sheetViews>
  <sheetFormatPr defaultColWidth="9" defaultRowHeight="14.5"/>
  <cols>
    <col min="1" max="1" width="5" customWidth="1"/>
    <col min="3" max="3" width="18.6" customWidth="1"/>
    <col min="4" max="5" width="9.4" customWidth="1"/>
    <col min="6" max="6" width="11.1363636363636" customWidth="1"/>
    <col min="7" max="7" width="11.4636363636364" customWidth="1"/>
    <col min="8" max="8" width="11.4545454545455" customWidth="1"/>
    <col min="9" max="9" width="8.36363636363636" customWidth="1"/>
    <col min="10" max="10" width="7" customWidth="1"/>
    <col min="11" max="11" width="6.45454545454545" customWidth="1"/>
    <col min="12" max="15" width="4.4" customWidth="1"/>
    <col min="16" max="16" width="11" customWidth="1"/>
    <col min="17" max="23" width="4.4" customWidth="1"/>
    <col min="24" max="24" width="4.6" customWidth="1"/>
    <col min="25" max="25" width="4.86363636363636" customWidth="1"/>
    <col min="26" max="27" width="4.6" customWidth="1"/>
    <col min="28" max="28" width="8.52727272727273" customWidth="1"/>
    <col min="29" max="29" width="4.6" customWidth="1"/>
    <col min="30" max="30" width="6.92727272727273" customWidth="1"/>
    <col min="31" max="31" width="4.6" customWidth="1"/>
    <col min="32" max="32" width="5" customWidth="1"/>
    <col min="33" max="33" width="4.86363636363636" customWidth="1"/>
    <col min="34" max="34" width="5" customWidth="1"/>
    <col min="35" max="36" width="4.6" customWidth="1"/>
    <col min="37" max="37" width="5.13636363636364" customWidth="1"/>
    <col min="38" max="38" width="6.86363636363636" customWidth="1"/>
    <col min="39" max="40" width="5.13636363636364" customWidth="1"/>
    <col min="41" max="41" width="11.5454545454545" customWidth="1"/>
    <col min="42" max="52" width="5.13636363636364" customWidth="1"/>
    <col min="53" max="53" width="5.6" customWidth="1"/>
    <col min="54" max="54" width="8.13636363636364" customWidth="1"/>
    <col min="56" max="56" width="16.4" customWidth="1"/>
    <col min="57" max="77" width="6.6" customWidth="1"/>
    <col min="78" max="78" width="5.6" customWidth="1"/>
    <col min="79" max="79" width="6.6" customWidth="1"/>
    <col min="80" max="80" width="6.4" customWidth="1"/>
    <col min="81" max="84" width="6.6" customWidth="1"/>
    <col min="85" max="85" width="5.6" customWidth="1"/>
    <col min="86" max="86" width="7.6" customWidth="1"/>
    <col min="87" max="102" width="6.6" customWidth="1"/>
    <col min="106" max="133" width="6.6" customWidth="1"/>
    <col min="134" max="134" width="6" customWidth="1"/>
    <col min="135" max="135" width="7.6" customWidth="1"/>
    <col min="136" max="151" width="6.6" customWidth="1"/>
    <col min="154" max="154" width="18.6" customWidth="1"/>
    <col min="155" max="155" width="42.7272727272727" customWidth="1"/>
    <col min="156" max="156" width="5.86363636363636" customWidth="1"/>
    <col min="157" max="157" width="7.86363636363636" customWidth="1"/>
    <col min="158" max="158" width="5" customWidth="1"/>
    <col min="159" max="159" width="10.2636363636364" customWidth="1"/>
    <col min="160" max="160" width="7.86363636363636" customWidth="1"/>
  </cols>
  <sheetData>
    <row r="1" spans="1:160">
      <c r="A1" s="39"/>
      <c r="B1" s="39"/>
      <c r="C1" s="39"/>
      <c r="D1" s="39"/>
      <c r="E1" s="39"/>
      <c r="F1" s="39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1"/>
      <c r="BB1" s="40"/>
      <c r="BC1" s="40"/>
      <c r="BD1" s="39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 t="s">
        <v>131</v>
      </c>
      <c r="EX1" s="39"/>
      <c r="EY1" s="39"/>
      <c r="EZ1" s="39"/>
      <c r="FA1" s="39"/>
      <c r="FB1" s="39"/>
      <c r="FC1" s="39"/>
      <c r="FD1" s="39"/>
    </row>
    <row r="2" spans="1:160">
      <c r="A2" s="39"/>
      <c r="B2" s="39"/>
      <c r="C2" s="39"/>
      <c r="D2" s="39"/>
      <c r="E2" s="39"/>
      <c r="F2" s="39" t="s">
        <v>433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 t="s">
        <v>434</v>
      </c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42" t="s">
        <v>161</v>
      </c>
      <c r="DB2" s="42" t="str">
        <f>G3</f>
        <v>Africa_North</v>
      </c>
      <c r="DC2" s="42" t="str">
        <f t="shared" ref="DC2:EU2" si="0">H3</f>
        <v>Africa_Other</v>
      </c>
      <c r="DD2" s="42" t="str">
        <f t="shared" si="0"/>
        <v>Australia</v>
      </c>
      <c r="DE2" s="42" t="str">
        <f t="shared" si="0"/>
        <v>Austria</v>
      </c>
      <c r="DF2" s="42" t="str">
        <f t="shared" si="0"/>
        <v>Baltics</v>
      </c>
      <c r="DG2" s="42" t="str">
        <f t="shared" si="0"/>
        <v>BeNeLux</v>
      </c>
      <c r="DH2" s="42" t="str">
        <f t="shared" si="0"/>
        <v>Brazil</v>
      </c>
      <c r="DI2" s="42" t="str">
        <f t="shared" si="0"/>
        <v>China</v>
      </c>
      <c r="DJ2" s="42" t="str">
        <f t="shared" si="0"/>
        <v>CroSloven</v>
      </c>
      <c r="DK2" s="42" t="str">
        <f t="shared" si="0"/>
        <v>CzechSlovak</v>
      </c>
      <c r="DL2" s="42" t="str">
        <f t="shared" si="0"/>
        <v>France</v>
      </c>
      <c r="DM2" s="42" t="str">
        <f t="shared" si="0"/>
        <v>Germany</v>
      </c>
      <c r="DN2" s="42" t="str">
        <f t="shared" si="0"/>
        <v>GreeceCyp</v>
      </c>
      <c r="DO2" s="42" t="str">
        <f t="shared" si="0"/>
        <v>HunRomBul</v>
      </c>
      <c r="DP2" s="42" t="str">
        <f t="shared" si="0"/>
        <v>Iceland</v>
      </c>
      <c r="DQ2" s="42" t="str">
        <f t="shared" si="0"/>
        <v>India</v>
      </c>
      <c r="DR2" s="42" t="str">
        <f t="shared" si="0"/>
        <v>Ireland</v>
      </c>
      <c r="DS2" s="42" t="str">
        <f t="shared" si="0"/>
        <v>ItalyMal</v>
      </c>
      <c r="DT2" s="42" t="str">
        <f t="shared" si="0"/>
        <v>Japan</v>
      </c>
      <c r="DU2" s="42" t="str">
        <f t="shared" si="0"/>
        <v>LatAm</v>
      </c>
      <c r="DV2" s="42" t="str">
        <f t="shared" si="0"/>
        <v>MidEast</v>
      </c>
      <c r="DW2" s="42" t="str">
        <f t="shared" si="0"/>
        <v>NorthAm</v>
      </c>
      <c r="DX2" s="42" t="str">
        <f t="shared" si="0"/>
        <v>Norway</v>
      </c>
      <c r="DY2" s="42" t="str">
        <f t="shared" si="0"/>
        <v>Poland</v>
      </c>
      <c r="DZ2" s="42" t="str">
        <f t="shared" si="0"/>
        <v>ROW</v>
      </c>
      <c r="EA2" s="42" t="str">
        <f t="shared" si="0"/>
        <v>Russia</v>
      </c>
      <c r="EB2" s="42" t="str">
        <f t="shared" si="0"/>
        <v>SaudiArabia</v>
      </c>
      <c r="EC2" s="42" t="str">
        <f t="shared" si="0"/>
        <v>SouthAfrica</v>
      </c>
      <c r="ED2" s="42" t="str">
        <f t="shared" si="0"/>
        <v>SpainPor</v>
      </c>
      <c r="EE2" s="42" t="str">
        <f t="shared" si="0"/>
        <v>SweFinDen</v>
      </c>
      <c r="EF2" s="42" t="str">
        <f t="shared" si="0"/>
        <v>Switzerland</v>
      </c>
      <c r="EG2" s="42" t="str">
        <f t="shared" si="0"/>
        <v>Turkey</v>
      </c>
      <c r="EH2" s="42" t="str">
        <f t="shared" si="0"/>
        <v>UK</v>
      </c>
      <c r="EI2" s="42" t="str">
        <f t="shared" si="0"/>
        <v>Ukraine</v>
      </c>
      <c r="EJ2" s="42" t="str">
        <f t="shared" si="0"/>
        <v>WestBalkans</v>
      </c>
      <c r="EK2" s="42" t="str">
        <f t="shared" si="0"/>
        <v>\I:</v>
      </c>
      <c r="EL2" s="42" t="str">
        <f t="shared" si="0"/>
        <v>\I:</v>
      </c>
      <c r="EM2" s="42" t="str">
        <f t="shared" si="0"/>
        <v>\I:</v>
      </c>
      <c r="EN2" s="42" t="str">
        <f t="shared" si="0"/>
        <v>\I:</v>
      </c>
      <c r="EO2" s="42" t="str">
        <f t="shared" si="0"/>
        <v>\I:</v>
      </c>
      <c r="EP2" s="42" t="str">
        <f t="shared" si="0"/>
        <v>\I:</v>
      </c>
      <c r="EQ2" s="42" t="str">
        <f t="shared" si="0"/>
        <v>\I:</v>
      </c>
      <c r="ER2" s="42" t="str">
        <f t="shared" si="0"/>
        <v>\I:</v>
      </c>
      <c r="ES2" s="42" t="str">
        <f t="shared" si="0"/>
        <v>\I:</v>
      </c>
      <c r="ET2" s="42" t="str">
        <f t="shared" si="0"/>
        <v>\I:</v>
      </c>
      <c r="EU2" s="42" t="str">
        <f t="shared" si="0"/>
        <v>\I:</v>
      </c>
      <c r="EV2" s="39"/>
      <c r="EW2" s="42" t="s">
        <v>138</v>
      </c>
      <c r="EX2" s="42" t="s">
        <v>139</v>
      </c>
      <c r="EY2" s="42" t="s">
        <v>140</v>
      </c>
      <c r="EZ2" s="42" t="s">
        <v>141</v>
      </c>
      <c r="FA2" s="42" t="s">
        <v>142</v>
      </c>
      <c r="FB2" s="42" t="s">
        <v>435</v>
      </c>
      <c r="FC2" s="42" t="s">
        <v>436</v>
      </c>
      <c r="FD2" s="42" t="s">
        <v>143</v>
      </c>
    </row>
    <row r="3" spans="1:160">
      <c r="A3" s="39"/>
      <c r="B3" s="39"/>
      <c r="C3" s="42" t="s">
        <v>437</v>
      </c>
      <c r="D3" s="42" t="s">
        <v>236</v>
      </c>
      <c r="E3" s="42" t="s">
        <v>438</v>
      </c>
      <c r="F3" s="42" t="s">
        <v>237</v>
      </c>
      <c r="G3" s="42" t="str">
        <f>'TRA balance'!E4</f>
        <v>Africa_North</v>
      </c>
      <c r="H3" s="42" t="str">
        <f>'TRA balance'!F4</f>
        <v>Africa_Other</v>
      </c>
      <c r="I3" s="42" t="str">
        <f>'TRA balance'!G4</f>
        <v>Australia</v>
      </c>
      <c r="J3" s="42" t="str">
        <f>'TRA balance'!H4</f>
        <v>Austria</v>
      </c>
      <c r="K3" s="42" t="str">
        <f>'TRA balance'!I4</f>
        <v>Baltics</v>
      </c>
      <c r="L3" s="42" t="str">
        <f>'TRA balance'!J4</f>
        <v>BeNeLux</v>
      </c>
      <c r="M3" s="42" t="str">
        <f>'TRA balance'!K4</f>
        <v>Brazil</v>
      </c>
      <c r="N3" s="42" t="str">
        <f>'TRA balance'!L4</f>
        <v>China</v>
      </c>
      <c r="O3" s="42" t="str">
        <f>'TRA balance'!M4</f>
        <v>CroSloven</v>
      </c>
      <c r="P3" s="42" t="str">
        <f>'TRA balance'!N4</f>
        <v>CzechSlovak</v>
      </c>
      <c r="Q3" s="42" t="str">
        <f>'TRA balance'!O4</f>
        <v>France</v>
      </c>
      <c r="R3" s="42" t="str">
        <f>'TRA balance'!P4</f>
        <v>Germany</v>
      </c>
      <c r="S3" s="42" t="str">
        <f>'TRA balance'!Q4</f>
        <v>GreeceCyp</v>
      </c>
      <c r="T3" s="42" t="str">
        <f>'TRA balance'!R4</f>
        <v>HunRomBul</v>
      </c>
      <c r="U3" s="42" t="str">
        <f>'TRA balance'!S4</f>
        <v>Iceland</v>
      </c>
      <c r="V3" s="42" t="str">
        <f>'TRA balance'!T4</f>
        <v>India</v>
      </c>
      <c r="W3" s="42" t="str">
        <f>'TRA balance'!U4</f>
        <v>Ireland</v>
      </c>
      <c r="X3" s="42" t="str">
        <f>'TRA balance'!V4</f>
        <v>ItalyMal</v>
      </c>
      <c r="Y3" s="42" t="str">
        <f>'TRA balance'!W4</f>
        <v>Japan</v>
      </c>
      <c r="Z3" s="42" t="str">
        <f>'TRA balance'!X4</f>
        <v>LatAm</v>
      </c>
      <c r="AA3" s="42" t="str">
        <f>'TRA balance'!Y4</f>
        <v>MidEast</v>
      </c>
      <c r="AB3" s="42" t="str">
        <f>'TRA balance'!Z4</f>
        <v>NorthAm</v>
      </c>
      <c r="AC3" s="42" t="str">
        <f>'TRA balance'!AA4</f>
        <v>Norway</v>
      </c>
      <c r="AD3" s="42" t="str">
        <f>'TRA balance'!AB4</f>
        <v>Poland</v>
      </c>
      <c r="AE3" s="42" t="str">
        <f>'TRA balance'!AC4</f>
        <v>ROW</v>
      </c>
      <c r="AF3" s="42" t="str">
        <f>'TRA balance'!AD4</f>
        <v>Russia</v>
      </c>
      <c r="AG3" s="42" t="str">
        <f>'TRA balance'!AE4</f>
        <v>SaudiArabia</v>
      </c>
      <c r="AH3" s="42" t="str">
        <f>'TRA balance'!AF4</f>
        <v>SouthAfrica</v>
      </c>
      <c r="AI3" s="42" t="str">
        <f>'TRA balance'!AG4</f>
        <v>SpainPor</v>
      </c>
      <c r="AJ3" s="42" t="str">
        <f>'TRA balance'!AH4</f>
        <v>SweFinDen</v>
      </c>
      <c r="AK3" s="42" t="str">
        <f>'TRA balance'!AI4</f>
        <v>Switzerland</v>
      </c>
      <c r="AL3" s="42" t="str">
        <f>'TRA balance'!AJ4</f>
        <v>Turkey</v>
      </c>
      <c r="AM3" s="42" t="str">
        <f>'TRA balance'!AK4</f>
        <v>UK</v>
      </c>
      <c r="AN3" s="42" t="str">
        <f>'TRA balance'!AL4</f>
        <v>Ukraine</v>
      </c>
      <c r="AO3" s="42" t="str">
        <f>'TRA balance'!AM4</f>
        <v>WestBalkans</v>
      </c>
      <c r="AP3" s="42" t="str">
        <f>'TRA balance'!AN4</f>
        <v>\I:</v>
      </c>
      <c r="AQ3" s="42" t="str">
        <f>'TRA balance'!AO4</f>
        <v>\I:</v>
      </c>
      <c r="AR3" s="42" t="str">
        <f>'TRA balance'!AP4</f>
        <v>\I:</v>
      </c>
      <c r="AS3" s="42" t="str">
        <f>'TRA balance'!AQ4</f>
        <v>\I:</v>
      </c>
      <c r="AT3" s="42" t="str">
        <f>'TRA balance'!AR4</f>
        <v>\I:</v>
      </c>
      <c r="AU3" s="42" t="str">
        <f>'TRA balance'!AS4</f>
        <v>\I:</v>
      </c>
      <c r="AV3" s="42" t="str">
        <f>'TRA balance'!AT4</f>
        <v>\I:</v>
      </c>
      <c r="AW3" s="42" t="str">
        <f>'TRA balance'!AU4</f>
        <v>\I:</v>
      </c>
      <c r="AX3" s="42" t="str">
        <f>'TRA balance'!AV4</f>
        <v>\I:</v>
      </c>
      <c r="AY3" s="42" t="str">
        <f>'TRA balance'!AW4</f>
        <v>\I:</v>
      </c>
      <c r="AZ3" s="42" t="str">
        <f>'TRA balance'!AX4</f>
        <v>\I:</v>
      </c>
      <c r="BC3" s="39"/>
      <c r="BD3" s="42" t="s">
        <v>139</v>
      </c>
      <c r="BE3" s="42" t="str">
        <f t="shared" ref="BE3" si="1">G3</f>
        <v>Africa_North</v>
      </c>
      <c r="BF3" s="42" t="str">
        <f t="shared" ref="BF3" si="2">H3</f>
        <v>Africa_Other</v>
      </c>
      <c r="BG3" s="42" t="str">
        <f t="shared" ref="BG3" si="3">I3</f>
        <v>Australia</v>
      </c>
      <c r="BH3" s="42" t="str">
        <f t="shared" ref="BH3" si="4">J3</f>
        <v>Austria</v>
      </c>
      <c r="BI3" s="42" t="str">
        <f t="shared" ref="BI3" si="5">K3</f>
        <v>Baltics</v>
      </c>
      <c r="BJ3" s="42" t="str">
        <f t="shared" ref="BJ3" si="6">L3</f>
        <v>BeNeLux</v>
      </c>
      <c r="BK3" s="42" t="str">
        <f t="shared" ref="BK3" si="7">M3</f>
        <v>Brazil</v>
      </c>
      <c r="BL3" s="42" t="str">
        <f t="shared" ref="BL3" si="8">N3</f>
        <v>China</v>
      </c>
      <c r="BM3" s="42" t="str">
        <f t="shared" ref="BM3" si="9">O3</f>
        <v>CroSloven</v>
      </c>
      <c r="BN3" s="42" t="str">
        <f t="shared" ref="BN3" si="10">P3</f>
        <v>CzechSlovak</v>
      </c>
      <c r="BO3" s="42" t="str">
        <f t="shared" ref="BO3" si="11">Q3</f>
        <v>France</v>
      </c>
      <c r="BP3" s="42" t="str">
        <f t="shared" ref="BP3" si="12">R3</f>
        <v>Germany</v>
      </c>
      <c r="BQ3" s="42" t="str">
        <f t="shared" ref="BQ3" si="13">S3</f>
        <v>GreeceCyp</v>
      </c>
      <c r="BR3" s="42" t="str">
        <f t="shared" ref="BR3" si="14">T3</f>
        <v>HunRomBul</v>
      </c>
      <c r="BS3" s="42" t="str">
        <f t="shared" ref="BS3" si="15">U3</f>
        <v>Iceland</v>
      </c>
      <c r="BT3" s="42" t="str">
        <f t="shared" ref="BT3" si="16">V3</f>
        <v>India</v>
      </c>
      <c r="BU3" s="42" t="str">
        <f t="shared" ref="BU3" si="17">W3</f>
        <v>Ireland</v>
      </c>
      <c r="BV3" s="42" t="str">
        <f t="shared" ref="BV3" si="18">X3</f>
        <v>ItalyMal</v>
      </c>
      <c r="BW3" s="42" t="str">
        <f t="shared" ref="BW3" si="19">Y3</f>
        <v>Japan</v>
      </c>
      <c r="BX3" s="42" t="str">
        <f t="shared" ref="BX3" si="20">Z3</f>
        <v>LatAm</v>
      </c>
      <c r="BY3" s="42" t="str">
        <f t="shared" ref="BY3" si="21">AA3</f>
        <v>MidEast</v>
      </c>
      <c r="BZ3" s="42" t="str">
        <f t="shared" ref="BZ3" si="22">AB3</f>
        <v>NorthAm</v>
      </c>
      <c r="CA3" s="42" t="str">
        <f t="shared" ref="CA3" si="23">AC3</f>
        <v>Norway</v>
      </c>
      <c r="CB3" s="42" t="str">
        <f t="shared" ref="CB3" si="24">AD3</f>
        <v>Poland</v>
      </c>
      <c r="CC3" s="42" t="str">
        <f t="shared" ref="CC3" si="25">AE3</f>
        <v>ROW</v>
      </c>
      <c r="CD3" s="42" t="str">
        <f t="shared" ref="CD3" si="26">AF3</f>
        <v>Russia</v>
      </c>
      <c r="CE3" s="42" t="str">
        <f t="shared" ref="CE3" si="27">AG3</f>
        <v>SaudiArabia</v>
      </c>
      <c r="CF3" s="42" t="str">
        <f t="shared" ref="CF3" si="28">AH3</f>
        <v>SouthAfrica</v>
      </c>
      <c r="CG3" s="42" t="str">
        <f t="shared" ref="CG3" si="29">AI3</f>
        <v>SpainPor</v>
      </c>
      <c r="CH3" s="42" t="str">
        <f t="shared" ref="CH3" si="30">AJ3</f>
        <v>SweFinDen</v>
      </c>
      <c r="CI3" s="42" t="str">
        <f t="shared" ref="CI3" si="31">AK3</f>
        <v>Switzerland</v>
      </c>
      <c r="CJ3" s="42" t="str">
        <f t="shared" ref="CJ3" si="32">AL3</f>
        <v>Turkey</v>
      </c>
      <c r="CK3" s="42" t="str">
        <f t="shared" ref="CK3" si="33">AM3</f>
        <v>UK</v>
      </c>
      <c r="CL3" s="42" t="str">
        <f t="shared" ref="CL3" si="34">AN3</f>
        <v>Ukraine</v>
      </c>
      <c r="CM3" s="42" t="str">
        <f t="shared" ref="CM3" si="35">AO3</f>
        <v>WestBalkans</v>
      </c>
      <c r="CN3" s="42" t="str">
        <f t="shared" ref="CN3" si="36">AP3</f>
        <v>\I:</v>
      </c>
      <c r="CO3" s="42" t="str">
        <f t="shared" ref="CO3" si="37">AQ3</f>
        <v>\I:</v>
      </c>
      <c r="CP3" s="42" t="str">
        <f t="shared" ref="CP3" si="38">AR3</f>
        <v>\I:</v>
      </c>
      <c r="CQ3" s="42" t="str">
        <f t="shared" ref="CQ3" si="39">AS3</f>
        <v>\I:</v>
      </c>
      <c r="CR3" s="42" t="str">
        <f t="shared" ref="CR3" si="40">AT3</f>
        <v>\I:</v>
      </c>
      <c r="CS3" s="42" t="str">
        <f t="shared" ref="CS3" si="41">AU3</f>
        <v>\I:</v>
      </c>
      <c r="CT3" s="42" t="str">
        <f t="shared" ref="CT3" si="42">AV3</f>
        <v>\I:</v>
      </c>
      <c r="CU3" s="42" t="str">
        <f t="shared" ref="CU3" si="43">AW3</f>
        <v>\I:</v>
      </c>
      <c r="CV3" s="42" t="str">
        <f t="shared" ref="CV3" si="44">AX3</f>
        <v>\I:</v>
      </c>
      <c r="CW3" s="42" t="str">
        <f t="shared" ref="CW3" si="45">AY3</f>
        <v>\I:</v>
      </c>
      <c r="CX3" s="42" t="str">
        <f t="shared" ref="CX3" si="46">AZ3</f>
        <v>\I:</v>
      </c>
      <c r="CY3" s="39"/>
      <c r="CZ3" s="39"/>
      <c r="DA3" s="39" t="s">
        <v>194</v>
      </c>
      <c r="DB3" s="43">
        <f ca="1">SUMIF(Assumptions!$G$3:$G$103,'non-road'!$DA3,Assumptions!BD$3:BD$103)</f>
        <v>7.17129799668</v>
      </c>
      <c r="DC3" s="43">
        <f ca="1">SUMIF(Assumptions!$G$3:$G$103,'non-road'!$DA3,Assumptions!BE$3:BE$103)</f>
        <v>10.73068005852</v>
      </c>
      <c r="DD3" s="43">
        <f ca="1">SUMIF(Assumptions!$G$3:$G$103,'non-road'!$DA3,Assumptions!BF$3:BF$103)</f>
        <v>36.89098713612</v>
      </c>
      <c r="DE3" s="43">
        <f ca="1">SUMIF(Assumptions!$G$3:$G$103,'non-road'!$DA3,Assumptions!BG$3:BG$103)</f>
        <v>1.2678635232</v>
      </c>
      <c r="DF3" s="43">
        <f ca="1">SUMIF(Assumptions!$G$3:$G$103,'non-road'!$DA3,Assumptions!BH$3:BH$103)</f>
        <v>4.3332710112</v>
      </c>
      <c r="DG3" s="43">
        <f ca="1">SUMIF(Assumptions!$G$3:$G$103,'non-road'!$DA3,Assumptions!BI$3:BI$103)</f>
        <v>1.77212715804</v>
      </c>
      <c r="DH3" s="43">
        <f ca="1">SUMIF(Assumptions!$G$3:$G$103,'non-road'!$DA3,Assumptions!BJ$3:BJ$103)</f>
        <v>36.54754602552</v>
      </c>
      <c r="DI3" s="43">
        <f ca="1">SUMIF(Assumptions!$G$3:$G$103,'non-road'!$DA3,Assumptions!BK$3:BK$103)</f>
        <v>138.68937280368</v>
      </c>
      <c r="DJ3" s="43">
        <f ca="1">SUMIF(Assumptions!$G$3:$G$103,'non-road'!$DA3,Assumptions!BL$3:BL$103)</f>
        <v>0.99851076936</v>
      </c>
      <c r="DK3" s="43">
        <f ca="1">SUMIF(Assumptions!$G$3:$G$103,'non-road'!$DA3,Assumptions!BM$3:BM$103)</f>
        <v>3.87681686424</v>
      </c>
      <c r="DL3" s="43">
        <f ca="1">SUMIF(Assumptions!$G$3:$G$103,'non-road'!$DA3,Assumptions!BN$3:BN$103)</f>
        <v>4.72945407876</v>
      </c>
      <c r="DM3" s="43">
        <f ca="1">SUMIF(Assumptions!$G$3:$G$103,'non-road'!$DA3,Assumptions!BO$3:BO$103)</f>
        <v>10.19603156004</v>
      </c>
      <c r="DN3" s="43">
        <f ca="1">SUMIF(Assumptions!$G$3:$G$103,'non-road'!$DA3,Assumptions!BP$3:BP$103)</f>
        <v>0.40984459596</v>
      </c>
      <c r="DO3" s="43">
        <f ca="1">SUMIF(Assumptions!$G$3:$G$103,'non-road'!$DA3,Assumptions!BQ$3:BQ$103)</f>
        <v>7.5946374864</v>
      </c>
      <c r="DP3" s="43">
        <f ca="1">SUMIF(Assumptions!$G$3:$G$103,'non-road'!$DA3,Assumptions!BR$3:BR$103)</f>
        <v>0</v>
      </c>
      <c r="DQ3" s="43">
        <f ca="1">SUMIF(Assumptions!$G$3:$G$103,'non-road'!$DA3,Assumptions!BS$3:BS$103)</f>
        <v>75.65784907824</v>
      </c>
      <c r="DR3" s="43">
        <f ca="1">SUMIF(Assumptions!$G$3:$G$103,'non-road'!$DA3,Assumptions!BT$3:BT$103)</f>
        <v>1.47555434268</v>
      </c>
      <c r="DS3" s="43">
        <f ca="1">SUMIF(Assumptions!$G$3:$G$103,'non-road'!$DA3,Assumptions!BU$3:BU$103)</f>
        <v>1.64862032616</v>
      </c>
      <c r="DT3" s="43">
        <f ca="1">SUMIF(Assumptions!$G$3:$G$103,'non-road'!$DA3,Assumptions!BV$3:BV$103)</f>
        <v>2.009579510376</v>
      </c>
      <c r="DU3" s="43">
        <f ca="1">SUMIF(Assumptions!$G$3:$G$103,'non-road'!$DA3,Assumptions!BW$3:BW$103)</f>
        <v>1.84501055376</v>
      </c>
      <c r="DV3" s="43">
        <f ca="1">SUMIF(Assumptions!$G$3:$G$103,'non-road'!$DA3,Assumptions!BX$3:BX$103)</f>
        <v>2.40085514592</v>
      </c>
      <c r="DW3" s="43">
        <f ca="1">SUMIF(Assumptions!$G$3:$G$103,'non-road'!$DA3,Assumptions!BY$3:BY$103)</f>
        <v>673.277877332894</v>
      </c>
      <c r="DX3" s="43">
        <f ca="1">SUMIF(Assumptions!$G$3:$G$103,'non-road'!$DA3,Assumptions!BZ$3:BZ$103)</f>
        <v>0.51252837804</v>
      </c>
      <c r="DY3" s="43">
        <f ca="1">SUMIF(Assumptions!$G$3:$G$103,'non-road'!$DA3,Assumptions!CA$3:CA$103)</f>
        <v>4.3567505856</v>
      </c>
      <c r="DZ3" s="43">
        <f ca="1">SUMIF(Assumptions!$G$3:$G$103,'non-road'!$DA3,Assumptions!CB$3:CB$103)</f>
        <v>66.02657162076</v>
      </c>
      <c r="EA3" s="43">
        <f ca="1">SUMIF(Assumptions!$G$3:$G$103,'non-road'!$DA3,Assumptions!CC$3:CC$103)</f>
        <v>194.24876774148</v>
      </c>
      <c r="EB3" s="43">
        <f ca="1">SUMIF(Assumptions!$G$3:$G$103,'non-road'!$DA3,Assumptions!CD$3:CD$103)</f>
        <v>0</v>
      </c>
      <c r="EC3" s="43">
        <f ca="1">SUMIF(Assumptions!$G$3:$G$103,'non-road'!$DA3,Assumptions!CE$3:CE$103)</f>
        <v>9.17342910612</v>
      </c>
      <c r="ED3" s="43">
        <f ca="1">SUMIF(Assumptions!$G$3:$G$103,'non-road'!$DA3,Assumptions!CF$3:CF$103)</f>
        <v>3.47931621072</v>
      </c>
      <c r="EE3" s="43">
        <f ca="1">SUMIF(Assumptions!$G$3:$G$103,'non-road'!$DA3,Assumptions!CG$3:CG$103)</f>
        <v>4.09802016204</v>
      </c>
      <c r="EF3" s="43">
        <f ca="1">SUMIF(Assumptions!$G$3:$G$103,'non-road'!$DA3,Assumptions!CH$3:CH$103)</f>
        <v>0.35317835136</v>
      </c>
      <c r="EG3" s="43">
        <f ca="1">SUMIF(Assumptions!$G$3:$G$103,'non-road'!$DA3,Assumptions!CI$3:CI$103)</f>
        <v>3.86304145488</v>
      </c>
      <c r="EH3" s="43">
        <f ca="1">SUMIF(Assumptions!$G$3:$G$103,'non-road'!$DA3,Assumptions!CJ$3:CJ$103)</f>
        <v>24.73856274456</v>
      </c>
      <c r="EI3" s="43">
        <f ca="1">SUMIF(Assumptions!$G$3:$G$103,'non-road'!$DA3,Assumptions!CK$3:CK$103)</f>
        <v>5.28999584184</v>
      </c>
      <c r="EJ3" s="43">
        <f ca="1">SUMIF(Assumptions!$G$3:$G$103,'non-road'!$DA3,Assumptions!CL$3:CL$103)</f>
        <v>0.87357288924</v>
      </c>
      <c r="EK3" s="43">
        <f ca="1">SUMIF(Assumptions!$G$3:$G$103,'non-road'!$DA3,Assumptions!CM$3:CM$103)</f>
        <v>0</v>
      </c>
      <c r="EL3" s="43">
        <f ca="1">SUMIF(Assumptions!$G$3:$G$103,'non-road'!$DA3,Assumptions!CN$3:CN$103)</f>
        <v>0</v>
      </c>
      <c r="EM3" s="43">
        <f ca="1">SUMIF(Assumptions!$G$3:$G$103,'non-road'!$DA3,Assumptions!CO$3:CO$103)</f>
        <v>0</v>
      </c>
      <c r="EN3" s="43">
        <f ca="1">SUMIF(Assumptions!$G$3:$G$103,'non-road'!$DA3,Assumptions!CP$3:CP$103)</f>
        <v>0</v>
      </c>
      <c r="EO3" s="43">
        <f ca="1">SUMIF(Assumptions!$G$3:$G$103,'non-road'!$DA3,Assumptions!CQ$3:CQ$103)</f>
        <v>0</v>
      </c>
      <c r="EP3" s="43">
        <f ca="1">SUMIF(Assumptions!$G$3:$G$103,'non-road'!$DA3,Assumptions!CR$3:CR$103)</f>
        <v>0</v>
      </c>
      <c r="EQ3" s="43">
        <f ca="1">SUMIF(Assumptions!$G$3:$G$103,'non-road'!$DA3,Assumptions!CS$3:CS$103)</f>
        <v>0</v>
      </c>
      <c r="ER3" s="43">
        <f ca="1">SUMIF(Assumptions!$G$3:$G$103,'non-road'!$DA3,Assumptions!CT$3:CT$103)</f>
        <v>0</v>
      </c>
      <c r="ES3" s="43">
        <f ca="1">SUMIF(Assumptions!$G$3:$G$103,'non-road'!$DA3,Assumptions!CU$3:CU$103)</f>
        <v>0</v>
      </c>
      <c r="ET3" s="43">
        <f ca="1">SUMIF(Assumptions!$G$3:$G$103,'non-road'!$DA3,Assumptions!CV$3:CV$103)</f>
        <v>0</v>
      </c>
      <c r="EU3" s="43">
        <f ca="1">SUMIF(Assumptions!$G$3:$G$103,'non-road'!$DA3,Assumptions!CW$3:CW$103)</f>
        <v>0</v>
      </c>
      <c r="EV3" s="39"/>
      <c r="EW3" s="39" t="str">
        <f>IF(EX3="","\I:","DMD")</f>
        <v>DMD</v>
      </c>
      <c r="EX3" s="39" t="str">
        <f t="shared" ref="EX3:EX9" si="47">C4</f>
        <v>TTF_Generic</v>
      </c>
      <c r="EY3" s="39" t="s">
        <v>439</v>
      </c>
      <c r="EZ3" s="39" t="s">
        <v>85</v>
      </c>
      <c r="FA3" s="39" t="s">
        <v>440</v>
      </c>
      <c r="FB3" s="39"/>
      <c r="FC3" s="39"/>
      <c r="FD3" s="39"/>
    </row>
    <row r="4" spans="1:160">
      <c r="A4" s="39" t="s">
        <v>441</v>
      </c>
      <c r="B4" s="39"/>
      <c r="C4" s="39" t="str">
        <f>IF(F4&lt;&gt;F3,F4&amp;"_Generic","")</f>
        <v>TTF_Generic</v>
      </c>
      <c r="D4" s="39" t="s">
        <v>56</v>
      </c>
      <c r="E4" s="39"/>
      <c r="F4" s="39" t="s">
        <v>194</v>
      </c>
      <c r="G4" s="40">
        <f ca="1">SUMIFS(Assumptions!BD$3:BD$103,Assumptions!$G$3:$G$103,'non-road'!$F4,Assumptions!$B$3:$B$103,'non-road'!$D4)/SUMIF(Assumptions!$G$3:$G$103,'non-road'!$F4,Assumptions!BD$3:BD$103)</f>
        <v>0</v>
      </c>
      <c r="H4" s="40">
        <f ca="1">SUMIFS(Assumptions!BE$3:BE$103,Assumptions!$G$3:$G$103,'non-road'!$F4,Assumptions!$B$3:$B$103,'non-road'!$D4)/SUMIF(Assumptions!$G$3:$G$103,'non-road'!$F4,Assumptions!BE$3:BE$103)</f>
        <v>0.0108963831110744</v>
      </c>
      <c r="I4" s="40">
        <f ca="1">SUMIFS(Assumptions!BF$3:BF$103,Assumptions!$G$3:$G$103,'non-road'!$F4,Assumptions!$B$3:$B$103,'non-road'!$D4)/SUMIF(Assumptions!$G$3:$G$103,'non-road'!$F4,Assumptions!BF$3:BF$103)</f>
        <v>0</v>
      </c>
      <c r="J4" s="40">
        <f ca="1">SUMIFS(Assumptions!BG$3:BG$103,Assumptions!$G$3:$G$103,'non-road'!$F4,Assumptions!$B$3:$B$103,'non-road'!$D4)/SUMIF(Assumptions!$G$3:$G$103,'non-road'!$F4,Assumptions!BG$3:BG$103)</f>
        <v>0.00339140887115949</v>
      </c>
      <c r="K4" s="40">
        <f ca="1">SUMIFS(Assumptions!BH$3:BH$103,Assumptions!$G$3:$G$103,'non-road'!$F4,Assumptions!$B$3:$B$103,'non-road'!$D4)/SUMIF(Assumptions!$G$3:$G$103,'non-road'!$F4,Assumptions!BH$3:BH$103)</f>
        <v>0</v>
      </c>
      <c r="L4" s="40">
        <f ca="1">SUMIFS(Assumptions!BI$3:BI$103,Assumptions!$G$3:$G$103,'non-road'!$F4,Assumptions!$B$3:$B$103,'non-road'!$D4)/SUMIF(Assumptions!$G$3:$G$103,'non-road'!$F4,Assumptions!BI$3:BI$103)</f>
        <v>0.00148370301085395</v>
      </c>
      <c r="M4" s="40">
        <f ca="1">SUMIFS(Assumptions!BJ$3:BJ$103,Assumptions!$G$3:$G$103,'non-road'!$F4,Assumptions!$B$3:$B$103,'non-road'!$D4)/SUMIF(Assumptions!$G$3:$G$103,'non-road'!$F4,Assumptions!BJ$3:BJ$103)</f>
        <v>0</v>
      </c>
      <c r="N4" s="40">
        <f ca="1">SUMIFS(Assumptions!BK$3:BK$103,Assumptions!$G$3:$G$103,'non-road'!$F4,Assumptions!$B$3:$B$103,'non-road'!$D4)/SUMIF(Assumptions!$G$3:$G$103,'non-road'!$F4,Assumptions!BK$3:BK$103)</f>
        <v>0</v>
      </c>
      <c r="O4" s="40">
        <f ca="1">SUMIFS(Assumptions!BL$3:BL$103,Assumptions!$G$3:$G$103,'non-road'!$F4,Assumptions!$B$3:$B$103,'non-road'!$D4)/SUMIF(Assumptions!$G$3:$G$103,'non-road'!$F4,Assumptions!BL$3:BL$103)</f>
        <v>0.003445005287429</v>
      </c>
      <c r="P4" s="40">
        <f ca="1">SUMIFS(Assumptions!BM$3:BM$103,Assumptions!$G$3:$G$103,'non-road'!$F4,Assumptions!$B$3:$B$103,'non-road'!$D4)/SUMIF(Assumptions!$G$3:$G$103,'non-road'!$F4,Assumptions!BM$3:BM$103)</f>
        <v>0.00271631075925594</v>
      </c>
      <c r="Q4" s="40">
        <f ca="1">SUMIFS(Assumptions!BN$3:BN$103,Assumptions!$G$3:$G$103,'non-road'!$F4,Assumptions!$B$3:$B$103,'non-road'!$D4)/SUMIF(Assumptions!$G$3:$G$103,'non-road'!$F4,Assumptions!BN$3:BN$103)</f>
        <v>0</v>
      </c>
      <c r="R4" s="40">
        <f ca="1">SUMIFS(Assumptions!BO$3:BO$103,Assumptions!$G$3:$G$103,'non-road'!$F4,Assumptions!$B$3:$B$103,'non-road'!$D4)/SUMIF(Assumptions!$G$3:$G$103,'non-road'!$F4,Assumptions!BO$3:BO$103)</f>
        <v>0</v>
      </c>
      <c r="S4" s="40">
        <f ca="1">SUMIFS(Assumptions!BP$3:BP$103,Assumptions!$G$3:$G$103,'non-road'!$F4,Assumptions!$B$3:$B$103,'non-road'!$D4)/SUMIF(Assumptions!$G$3:$G$103,'non-road'!$F4,Assumptions!BP$3:BP$103)</f>
        <v>0</v>
      </c>
      <c r="T4" s="40">
        <f ca="1">SUMIFS(Assumptions!BQ$3:BQ$103,Assumptions!$G$3:$G$103,'non-road'!$F4,Assumptions!$B$3:$B$103,'non-road'!$D4)/SUMIF(Assumptions!$G$3:$G$103,'non-road'!$F4,Assumptions!BQ$3:BQ$103)</f>
        <v>0</v>
      </c>
      <c r="U4" s="40" t="e">
        <f ca="1">SUMIFS(Assumptions!BR$3:BR$103,Assumptions!$G$3:$G$103,'non-road'!$F4,Assumptions!$B$3:$B$103,'non-road'!$D4)/SUMIF(Assumptions!$G$3:$G$103,'non-road'!$F4,Assumptions!BR$3:BR$103)</f>
        <v>#DIV/0!</v>
      </c>
      <c r="V4" s="40">
        <f ca="1">SUMIFS(Assumptions!BS$3:BS$103,Assumptions!$G$3:$G$103,'non-road'!$F4,Assumptions!$B$3:$B$103,'non-road'!$D4)/SUMIF(Assumptions!$G$3:$G$103,'non-road'!$F4,Assumptions!BS$3:BS$103)</f>
        <v>0</v>
      </c>
      <c r="W4" s="40">
        <f ca="1">SUMIFS(Assumptions!BT$3:BT$103,Assumptions!$G$3:$G$103,'non-road'!$F4,Assumptions!$B$3:$B$103,'non-road'!$D4)/SUMIF(Assumptions!$G$3:$G$103,'non-road'!$F4,Assumptions!BT$3:BT$103)</f>
        <v>0</v>
      </c>
      <c r="X4" s="40">
        <f ca="1">SUMIFS(Assumptions!BU$3:BU$103,Assumptions!$G$3:$G$103,'non-road'!$F4,Assumptions!$B$3:$B$103,'non-road'!$D4)/SUMIF(Assumptions!$G$3:$G$103,'non-road'!$F4,Assumptions!BU$3:BU$103)</f>
        <v>0</v>
      </c>
      <c r="Y4" s="40">
        <f ca="1">SUMIFS(Assumptions!BV$3:BV$103,Assumptions!$G$3:$G$103,'non-road'!$F4,Assumptions!$B$3:$B$103,'non-road'!$D4)/SUMIF(Assumptions!$G$3:$G$103,'non-road'!$F4,Assumptions!BV$3:BV$103)</f>
        <v>0.00125363603828178</v>
      </c>
      <c r="Z4" s="40">
        <f ca="1">SUMIFS(Assumptions!BW$3:BW$103,Assumptions!$G$3:$G$103,'non-road'!$F4,Assumptions!$B$3:$B$103,'non-road'!$D4)/SUMIF(Assumptions!$G$3:$G$103,'non-road'!$F4,Assumptions!BW$3:BW$103)</f>
        <v>0</v>
      </c>
      <c r="AA4" s="40">
        <f ca="1">SUMIFS(Assumptions!BX$3:BX$103,Assumptions!$G$3:$G$103,'non-road'!$F4,Assumptions!$B$3:$B$103,'non-road'!$D4)/SUMIF(Assumptions!$G$3:$G$103,'non-road'!$F4,Assumptions!BX$3:BX$103)</f>
        <v>0</v>
      </c>
      <c r="AB4" s="40">
        <f ca="1">SUMIFS(Assumptions!BY$3:BY$103,Assumptions!$G$3:$G$103,'non-road'!$F4,Assumptions!$B$3:$B$103,'non-road'!$D4)/SUMIF(Assumptions!$G$3:$G$103,'non-road'!$F4,Assumptions!BY$3:BY$103)</f>
        <v>0</v>
      </c>
      <c r="AC4" s="40">
        <f ca="1">SUMIFS(Assumptions!BZ$3:BZ$103,Assumptions!$G$3:$G$103,'non-road'!$F4,Assumptions!$B$3:$B$103,'non-road'!$D4)/SUMIF(Assumptions!$G$3:$G$103,'non-road'!$F4,Assumptions!BZ$3:BZ$103)</f>
        <v>0</v>
      </c>
      <c r="AD4" s="40">
        <f ca="1">SUMIFS(Assumptions!CA$3:CA$103,Assumptions!$G$3:$G$103,'non-road'!$F4,Assumptions!$B$3:$B$103,'non-road'!$D4)/SUMIF(Assumptions!$G$3:$G$103,'non-road'!$F4,Assumptions!CA$3:CA$103)</f>
        <v>0</v>
      </c>
      <c r="AE4" s="40">
        <f ca="1">SUMIFS(Assumptions!CB$3:CB$103,Assumptions!$G$3:$G$103,'non-road'!$F4,Assumptions!$B$3:$B$103,'non-road'!$D4)/SUMIF(Assumptions!$G$3:$G$103,'non-road'!$F4,Assumptions!CB$3:CB$103)</f>
        <v>0.0177110011526378</v>
      </c>
      <c r="AF4" s="40">
        <f ca="1">SUMIFS(Assumptions!CC$3:CC$103,Assumptions!$G$3:$G$103,'non-road'!$F4,Assumptions!$B$3:$B$103,'non-road'!$D4)/SUMIF(Assumptions!$G$3:$G$103,'non-road'!$F4,Assumptions!CC$3:CC$103)</f>
        <v>0.000998820552098508</v>
      </c>
      <c r="AG4" s="40" t="e">
        <f ca="1">SUMIFS(Assumptions!CD$3:CD$103,Assumptions!$G$3:$G$103,'non-road'!$F4,Assumptions!$B$3:$B$103,'non-road'!$D4)/SUMIF(Assumptions!$G$3:$G$103,'non-road'!$F4,Assumptions!CD$3:CD$103)</f>
        <v>#DIV/0!</v>
      </c>
      <c r="AH4" s="40">
        <f ca="1">SUMIFS(Assumptions!CE$3:CE$103,Assumptions!$G$3:$G$103,'non-road'!$F4,Assumptions!$B$3:$B$103,'non-road'!$D4)/SUMIF(Assumptions!$G$3:$G$103,'non-road'!$F4,Assumptions!CE$3:CE$103)</f>
        <v>0</v>
      </c>
      <c r="AI4" s="40">
        <f ca="1">SUMIFS(Assumptions!CF$3:CF$103,Assumptions!$G$3:$G$103,'non-road'!$F4,Assumptions!$B$3:$B$103,'non-road'!$D4)/SUMIF(Assumptions!$G$3:$G$103,'non-road'!$F4,Assumptions!CF$3:CF$103)</f>
        <v>0</v>
      </c>
      <c r="AJ4" s="40">
        <f ca="1">SUMIFS(Assumptions!CG$3:CG$103,Assumptions!$G$3:$G$103,'non-road'!$F4,Assumptions!$B$3:$B$103,'non-road'!$D4)/SUMIF(Assumptions!$G$3:$G$103,'non-road'!$F4,Assumptions!CG$3:CG$103)</f>
        <v>0</v>
      </c>
      <c r="AK4" s="40">
        <f ca="1">SUMIFS(Assumptions!CH$3:CH$103,Assumptions!$G$3:$G$103,'non-road'!$F4,Assumptions!$B$3:$B$103,'non-road'!$D4)/SUMIF(Assumptions!$G$3:$G$103,'non-road'!$F4,Assumptions!CH$3:CH$103)</f>
        <v>0</v>
      </c>
      <c r="AL4" s="40">
        <f ca="1">SUMIFS(Assumptions!CI$3:CI$103,Assumptions!$G$3:$G$103,'non-road'!$F4,Assumptions!$B$3:$B$103,'non-road'!$D4)/SUMIF(Assumptions!$G$3:$G$103,'non-road'!$F4,Assumptions!CI$3:CI$103)</f>
        <v>0</v>
      </c>
      <c r="AM4" s="40">
        <f ca="1">SUMIFS(Assumptions!CJ$3:CJ$103,Assumptions!$G$3:$G$103,'non-road'!$F4,Assumptions!$B$3:$B$103,'non-road'!$D4)/SUMIF(Assumptions!$G$3:$G$103,'non-road'!$F4,Assumptions!CJ$3:CJ$103)</f>
        <v>0.0166009325699533</v>
      </c>
      <c r="AN4" s="40">
        <f ca="1">SUMIFS(Assumptions!CK$3:CK$103,Assumptions!$G$3:$G$103,'non-road'!$F4,Assumptions!$B$3:$B$103,'non-road'!$D4)/SUMIF(Assumptions!$G$3:$G$103,'non-road'!$F4,Assumptions!CK$3:CK$103)</f>
        <v>0.0299202101347866</v>
      </c>
      <c r="AO4" s="40">
        <f ca="1">SUMIFS(Assumptions!CL$3:CL$103,Assumptions!$G$3:$G$103,'non-road'!$F4,Assumptions!$B$3:$B$103,'non-road'!$D4)/SUMIF(Assumptions!$G$3:$G$103,'non-road'!$F4,Assumptions!CL$3:CL$103)</f>
        <v>0</v>
      </c>
      <c r="AP4" s="40" t="e">
        <f ca="1">SUMIFS(Assumptions!CM$3:CM$103,Assumptions!$G$3:$G$103,'non-road'!$F4,Assumptions!$B$3:$B$103,'non-road'!$D4)/SUMIF(Assumptions!$G$3:$G$103,'non-road'!$F4,Assumptions!CM$3:CM$103)</f>
        <v>#DIV/0!</v>
      </c>
      <c r="AQ4" s="40" t="e">
        <f ca="1">SUMIFS(Assumptions!CN$3:CN$103,Assumptions!$G$3:$G$103,'non-road'!$F4,Assumptions!$B$3:$B$103,'non-road'!$D4)/SUMIF(Assumptions!$G$3:$G$103,'non-road'!$F4,Assumptions!CN$3:CN$103)</f>
        <v>#DIV/0!</v>
      </c>
      <c r="AR4" s="40" t="e">
        <f ca="1">SUMIFS(Assumptions!CO$3:CO$103,Assumptions!$G$3:$G$103,'non-road'!$F4,Assumptions!$B$3:$B$103,'non-road'!$D4)/SUMIF(Assumptions!$G$3:$G$103,'non-road'!$F4,Assumptions!CO$3:CO$103)</f>
        <v>#DIV/0!</v>
      </c>
      <c r="AS4" s="40" t="e">
        <f ca="1">SUMIFS(Assumptions!CP$3:CP$103,Assumptions!$G$3:$G$103,'non-road'!$F4,Assumptions!$B$3:$B$103,'non-road'!$D4)/SUMIF(Assumptions!$G$3:$G$103,'non-road'!$F4,Assumptions!CP$3:CP$103)</f>
        <v>#DIV/0!</v>
      </c>
      <c r="AT4" s="40" t="e">
        <f ca="1">SUMIFS(Assumptions!CQ$3:CQ$103,Assumptions!$G$3:$G$103,'non-road'!$F4,Assumptions!$B$3:$B$103,'non-road'!$D4)/SUMIF(Assumptions!$G$3:$G$103,'non-road'!$F4,Assumptions!CQ$3:CQ$103)</f>
        <v>#DIV/0!</v>
      </c>
      <c r="AU4" s="40" t="e">
        <f ca="1">SUMIFS(Assumptions!CR$3:CR$103,Assumptions!$G$3:$G$103,'non-road'!$F4,Assumptions!$B$3:$B$103,'non-road'!$D4)/SUMIF(Assumptions!$G$3:$G$103,'non-road'!$F4,Assumptions!CR$3:CR$103)</f>
        <v>#DIV/0!</v>
      </c>
      <c r="AV4" s="40" t="e">
        <f ca="1">SUMIFS(Assumptions!CS$3:CS$103,Assumptions!$G$3:$G$103,'non-road'!$F4,Assumptions!$B$3:$B$103,'non-road'!$D4)/SUMIF(Assumptions!$G$3:$G$103,'non-road'!$F4,Assumptions!CS$3:CS$103)</f>
        <v>#DIV/0!</v>
      </c>
      <c r="AW4" s="40" t="e">
        <f ca="1">SUMIFS(Assumptions!CT$3:CT$103,Assumptions!$G$3:$G$103,'non-road'!$F4,Assumptions!$B$3:$B$103,'non-road'!$D4)/SUMIF(Assumptions!$G$3:$G$103,'non-road'!$F4,Assumptions!CT$3:CT$103)</f>
        <v>#DIV/0!</v>
      </c>
      <c r="AX4" s="40" t="e">
        <f ca="1">SUMIFS(Assumptions!CU$3:CU$103,Assumptions!$G$3:$G$103,'non-road'!$F4,Assumptions!$B$3:$B$103,'non-road'!$D4)/SUMIF(Assumptions!$G$3:$G$103,'non-road'!$F4,Assumptions!CU$3:CU$103)</f>
        <v>#DIV/0!</v>
      </c>
      <c r="AY4" s="40" t="e">
        <f ca="1">SUMIFS(Assumptions!CV$3:CV$103,Assumptions!$G$3:$G$103,'non-road'!$F4,Assumptions!$B$3:$B$103,'non-road'!$D4)/SUMIF(Assumptions!$G$3:$G$103,'non-road'!$F4,Assumptions!CV$3:CV$103)</f>
        <v>#DIV/0!</v>
      </c>
      <c r="AZ4" s="40" t="e">
        <f ca="1">SUMIFS(Assumptions!CW$3:CW$103,Assumptions!$G$3:$G$103,'non-road'!$F4,Assumptions!$B$3:$B$103,'non-road'!$D4)/SUMIF(Assumptions!$G$3:$G$103,'non-road'!$F4,Assumptions!CW$3:CW$103)</f>
        <v>#DIV/0!</v>
      </c>
      <c r="BA4" s="41"/>
      <c r="BB4" s="40"/>
      <c r="BC4" s="40"/>
      <c r="BD4" s="39" t="str">
        <f>IF(C4="","\I:",C4)</f>
        <v>TTF_Generic</v>
      </c>
      <c r="BE4" s="40">
        <f>VLOOKUP($F4,Assumptions!$E$152:$BC$157,COLUMN()-COLUMN($BC$4),FALSE)</f>
        <v>1</v>
      </c>
      <c r="BF4" s="40">
        <f>VLOOKUP($F4,Assumptions!$E$152:$BC$157,COLUMN()-COLUMN($BC$4),FALSE)</f>
        <v>1</v>
      </c>
      <c r="BG4" s="40">
        <f>VLOOKUP($F4,Assumptions!$E$152:$BC$157,COLUMN()-COLUMN($BC$4),FALSE)</f>
        <v>1</v>
      </c>
      <c r="BH4" s="40">
        <f>VLOOKUP($F4,Assumptions!$E$152:$BC$157,COLUMN()-COLUMN($BC$4),FALSE)</f>
        <v>1</v>
      </c>
      <c r="BI4" s="40">
        <f>VLOOKUP($F4,Assumptions!$E$152:$BC$157,COLUMN()-COLUMN($BC$4),FALSE)</f>
        <v>1</v>
      </c>
      <c r="BJ4" s="40">
        <f>VLOOKUP($F4,Assumptions!$E$152:$BC$157,COLUMN()-COLUMN($BC$4),FALSE)</f>
        <v>1</v>
      </c>
      <c r="BK4" s="40">
        <f>VLOOKUP($F4,Assumptions!$E$152:$BC$157,COLUMN()-COLUMN($BC$4),FALSE)</f>
        <v>1</v>
      </c>
      <c r="BL4" s="40">
        <f>VLOOKUP($F4,Assumptions!$E$152:$BC$157,COLUMN()-COLUMN($BC$4),FALSE)</f>
        <v>1</v>
      </c>
      <c r="BM4" s="40">
        <f>VLOOKUP($F4,Assumptions!$E$152:$BC$157,COLUMN()-COLUMN($BC$4),FALSE)</f>
        <v>1</v>
      </c>
      <c r="BN4" s="40">
        <f>VLOOKUP($F4,Assumptions!$E$152:$BC$157,COLUMN()-COLUMN($BC$4),FALSE)</f>
        <v>1</v>
      </c>
      <c r="BO4" s="40">
        <f>VLOOKUP($F4,Assumptions!$E$152:$BC$157,COLUMN()-COLUMN($BC$4),FALSE)</f>
        <v>1</v>
      </c>
      <c r="BP4" s="40">
        <f>VLOOKUP($F4,Assumptions!$E$152:$BC$157,COLUMN()-COLUMN($BC$4),FALSE)</f>
        <v>1</v>
      </c>
      <c r="BQ4" s="40">
        <f>VLOOKUP($F4,Assumptions!$E$152:$BC$157,COLUMN()-COLUMN($BC$4),FALSE)</f>
        <v>1</v>
      </c>
      <c r="BR4" s="40">
        <f>VLOOKUP($F4,Assumptions!$E$152:$BC$157,COLUMN()-COLUMN($BC$4),FALSE)</f>
        <v>1</v>
      </c>
      <c r="BS4" s="40">
        <f>VLOOKUP($F4,Assumptions!$E$152:$BC$157,COLUMN()-COLUMN($BC$4),FALSE)</f>
        <v>1</v>
      </c>
      <c r="BT4" s="40">
        <f>VLOOKUP($F4,Assumptions!$E$152:$BC$157,COLUMN()-COLUMN($BC$4),FALSE)</f>
        <v>1</v>
      </c>
      <c r="BU4" s="40">
        <f>VLOOKUP($F4,Assumptions!$E$152:$BC$157,COLUMN()-COLUMN($BC$4),FALSE)</f>
        <v>1</v>
      </c>
      <c r="BV4" s="40">
        <f>VLOOKUP($F4,Assumptions!$E$152:$BC$157,COLUMN()-COLUMN($BC$4),FALSE)</f>
        <v>1</v>
      </c>
      <c r="BW4" s="40">
        <f>VLOOKUP($F4,Assumptions!$E$152:$BC$157,COLUMN()-COLUMN($BC$4),FALSE)</f>
        <v>1</v>
      </c>
      <c r="BX4" s="40">
        <f>VLOOKUP($F4,Assumptions!$E$152:$BC$157,COLUMN()-COLUMN($BC$4),FALSE)</f>
        <v>1</v>
      </c>
      <c r="BY4" s="40">
        <f>VLOOKUP($F4,Assumptions!$E$152:$BC$157,COLUMN()-COLUMN($BC$4),FALSE)</f>
        <v>1</v>
      </c>
      <c r="BZ4" s="40">
        <f>VLOOKUP($F4,Assumptions!$E$152:$BC$157,COLUMN()-COLUMN($BC$4),FALSE)</f>
        <v>1</v>
      </c>
      <c r="CA4" s="40">
        <f>VLOOKUP($F4,Assumptions!$E$152:$BC$157,COLUMN()-COLUMN($BC$4),FALSE)</f>
        <v>1</v>
      </c>
      <c r="CB4" s="40">
        <f>VLOOKUP($F4,Assumptions!$E$152:$BC$157,COLUMN()-COLUMN($BC$4),FALSE)</f>
        <v>1</v>
      </c>
      <c r="CC4" s="40">
        <f>VLOOKUP($F4,Assumptions!$E$152:$BC$157,COLUMN()-COLUMN($BC$4),FALSE)</f>
        <v>1</v>
      </c>
      <c r="CD4" s="40">
        <f>VLOOKUP($F4,Assumptions!$E$152:$BC$157,COLUMN()-COLUMN($BC$4),FALSE)</f>
        <v>1</v>
      </c>
      <c r="CE4" s="40">
        <f>VLOOKUP($F4,Assumptions!$E$152:$BC$157,COLUMN()-COLUMN($BC$4),FALSE)</f>
        <v>1</v>
      </c>
      <c r="CF4" s="40">
        <f>VLOOKUP($F4,Assumptions!$E$152:$BC$157,COLUMN()-COLUMN($BC$4),FALSE)</f>
        <v>1</v>
      </c>
      <c r="CG4" s="40">
        <f>VLOOKUP($F4,Assumptions!$E$152:$BC$157,COLUMN()-COLUMN($BC$4),FALSE)</f>
        <v>1</v>
      </c>
      <c r="CH4" s="40">
        <f>VLOOKUP($F4,Assumptions!$E$152:$BC$157,COLUMN()-COLUMN($BC$4),FALSE)</f>
        <v>1</v>
      </c>
      <c r="CI4" s="40">
        <f>VLOOKUP($F4,Assumptions!$E$152:$BC$157,COLUMN()-COLUMN($BC$4),FALSE)</f>
        <v>1</v>
      </c>
      <c r="CJ4" s="40">
        <f>VLOOKUP($F4,Assumptions!$E$152:$BC$157,COLUMN()-COLUMN($BC$4),FALSE)</f>
        <v>1</v>
      </c>
      <c r="CK4" s="40">
        <f>VLOOKUP($F4,Assumptions!$E$152:$BC$157,COLUMN()-COLUMN($BC$4),FALSE)</f>
        <v>1</v>
      </c>
      <c r="CL4" s="40">
        <f>VLOOKUP($F4,Assumptions!$E$152:$BC$157,COLUMN()-COLUMN($BC$4),FALSE)</f>
        <v>1</v>
      </c>
      <c r="CM4" s="40">
        <f>VLOOKUP($F4,Assumptions!$E$152:$BC$157,COLUMN()-COLUMN($BC$4),FALSE)</f>
        <v>1</v>
      </c>
      <c r="CN4" s="40">
        <f>VLOOKUP($F4,Assumptions!$E$152:$BC$157,COLUMN()-COLUMN($BC$4),FALSE)</f>
        <v>1</v>
      </c>
      <c r="CO4" s="40">
        <f>VLOOKUP($F4,Assumptions!$E$152:$BC$157,COLUMN()-COLUMN($BC$4),FALSE)</f>
        <v>1</v>
      </c>
      <c r="CP4" s="40">
        <f>VLOOKUP($F4,Assumptions!$E$152:$BC$157,COLUMN()-COLUMN($BC$4),FALSE)</f>
        <v>1</v>
      </c>
      <c r="CQ4" s="40">
        <f>VLOOKUP($F4,Assumptions!$E$152:$BC$157,COLUMN()-COLUMN($BC$4),FALSE)</f>
        <v>1</v>
      </c>
      <c r="CR4" s="40">
        <f>VLOOKUP($F4,Assumptions!$E$152:$BC$157,COLUMN()-COLUMN($BC$4),FALSE)</f>
        <v>1</v>
      </c>
      <c r="CS4" s="40">
        <f>VLOOKUP($F4,Assumptions!$E$152:$BC$157,COLUMN()-COLUMN($BC$4),FALSE)</f>
        <v>1</v>
      </c>
      <c r="CT4" s="40">
        <f>VLOOKUP($F4,Assumptions!$E$152:$BC$157,COLUMN()-COLUMN($BC$4),FALSE)</f>
        <v>1</v>
      </c>
      <c r="CU4" s="40">
        <f>VLOOKUP($F4,Assumptions!$E$152:$BC$157,COLUMN()-COLUMN($BC$4),FALSE)</f>
        <v>1</v>
      </c>
      <c r="CV4" s="40">
        <f>VLOOKUP($F4,Assumptions!$E$152:$BC$157,COLUMN()-COLUMN($BC$4),FALSE)</f>
        <v>1</v>
      </c>
      <c r="CW4" s="40">
        <f>VLOOKUP($F4,Assumptions!$E$152:$BC$157,COLUMN()-COLUMN($BC$4),FALSE)</f>
        <v>1</v>
      </c>
      <c r="CX4" s="40">
        <f>VLOOKUP($F4,Assumptions!$E$152:$BC$157,COLUMN()-COLUMN($BC$4),FALSE)</f>
        <v>1</v>
      </c>
      <c r="CY4" s="39"/>
      <c r="CZ4" s="39"/>
      <c r="DA4" s="39" t="s">
        <v>198</v>
      </c>
      <c r="DB4" s="43">
        <f ca="1">SUMIF(Assumptions!$G$3:$G$103,'non-road'!$DA4,Assumptions!BD$3:BD$103)</f>
        <v>7.52259898692</v>
      </c>
      <c r="DC4" s="43">
        <f ca="1">SUMIF(Assumptions!$G$3:$G$103,'non-road'!$DA4,Assumptions!BE$3:BE$103)</f>
        <v>4.68191882628</v>
      </c>
      <c r="DD4" s="43">
        <f ca="1">SUMIF(Assumptions!$G$3:$G$103,'non-road'!$DA4,Assumptions!BF$3:BF$103)</f>
        <v>22.48756698708</v>
      </c>
      <c r="DE4" s="43">
        <f ca="1">SUMIF(Assumptions!$G$3:$G$103,'non-road'!$DA4,Assumptions!BG$3:BG$103)</f>
        <v>7.2926017344</v>
      </c>
      <c r="DF4" s="43">
        <f ca="1">SUMIF(Assumptions!$G$3:$G$103,'non-road'!$DA4,Assumptions!BH$3:BH$103)</f>
        <v>0.7464771324</v>
      </c>
      <c r="DG4" s="43">
        <f ca="1">SUMIF(Assumptions!$G$3:$G$103,'non-road'!$DA4,Assumptions!BI$3:BI$103)</f>
        <v>12.35651414436</v>
      </c>
      <c r="DH4" s="43">
        <f ca="1">SUMIF(Assumptions!$G$3:$G$103,'non-road'!$DA4,Assumptions!BJ$3:BJ$103)</f>
        <v>16.73255289888</v>
      </c>
      <c r="DI4" s="43">
        <f ca="1">SUMIF(Assumptions!$G$3:$G$103,'non-road'!$DA4,Assumptions!BK$3:BK$103)</f>
        <v>326.52113141232</v>
      </c>
      <c r="DJ4" s="43">
        <f ca="1">SUMIF(Assumptions!$G$3:$G$103,'non-road'!$DA4,Assumptions!BL$3:BL$103)</f>
        <v>1.59014161584</v>
      </c>
      <c r="DK4" s="43">
        <f ca="1">SUMIF(Assumptions!$G$3:$G$103,'non-road'!$DA4,Assumptions!BM$3:BM$103)</f>
        <v>7.07763551256</v>
      </c>
      <c r="DL4" s="43">
        <f ca="1">SUMIF(Assumptions!$G$3:$G$103,'non-road'!$DA4,Assumptions!BN$3:BN$103)</f>
        <v>31.01840309844</v>
      </c>
      <c r="DM4" s="43">
        <f ca="1">SUMIF(Assumptions!$G$3:$G$103,'non-road'!$DA4,Assumptions!BO$3:BO$103)</f>
        <v>41.70129292836</v>
      </c>
      <c r="DN4" s="43">
        <f ca="1">SUMIF(Assumptions!$G$3:$G$103,'non-road'!$DA4,Assumptions!BP$3:BP$103)</f>
        <v>0.70057431324</v>
      </c>
      <c r="DO4" s="43">
        <f ca="1">SUMIF(Assumptions!$G$3:$G$103,'non-road'!$DA4,Assumptions!BQ$3:BQ$103)</f>
        <v>8.7175707408</v>
      </c>
      <c r="DP4" s="43">
        <f ca="1">SUMIF(Assumptions!$G$3:$G$103,'non-road'!$DA4,Assumptions!BR$3:BR$103)</f>
        <v>0</v>
      </c>
      <c r="DQ4" s="43">
        <f ca="1">SUMIF(Assumptions!$G$3:$G$103,'non-road'!$DA4,Assumptions!BS$3:BS$103)</f>
        <v>103.23096836976</v>
      </c>
      <c r="DR4" s="43">
        <f ca="1">SUMIF(Assumptions!$G$3:$G$103,'non-road'!$DA4,Assumptions!BT$3:BT$103)</f>
        <v>0.35056034532</v>
      </c>
      <c r="DS4" s="43">
        <f ca="1">SUMIF(Assumptions!$G$3:$G$103,'non-road'!$DA4,Assumptions!BU$3:BU$103)</f>
        <v>20.16264825144</v>
      </c>
      <c r="DT4" s="43">
        <f ca="1">SUMIF(Assumptions!$G$3:$G$103,'non-road'!$DA4,Assumptions!BV$3:BV$103)</f>
        <v>67.010814948024</v>
      </c>
      <c r="DU4" s="43">
        <f ca="1">SUMIF(Assumptions!$G$3:$G$103,'non-road'!$DA4,Assumptions!BW$3:BW$103)</f>
        <v>5.33483228304</v>
      </c>
      <c r="DV4" s="43">
        <f ca="1">SUMIF(Assumptions!$G$3:$G$103,'non-road'!$DA4,Assumptions!BX$3:BX$103)</f>
        <v>1.02893791968</v>
      </c>
      <c r="DW4" s="43">
        <f ca="1">SUMIF(Assumptions!$G$3:$G$103,'non-road'!$DA4,Assumptions!BY$3:BY$103)</f>
        <v>58.2017690287063</v>
      </c>
      <c r="DX4" s="43">
        <f ca="1">SUMIF(Assumptions!$G$3:$G$103,'non-road'!$DA4,Assumptions!BZ$3:BZ$103)</f>
        <v>2.17014697476</v>
      </c>
      <c r="DY4" s="43">
        <f ca="1">SUMIF(Assumptions!$G$3:$G$103,'non-road'!$DA4,Assumptions!CA$3:CA$103)</f>
        <v>10.5532145856</v>
      </c>
      <c r="DZ4" s="43">
        <f ca="1">SUMIF(Assumptions!$G$3:$G$103,'non-road'!$DA4,Assumptions!CB$3:CB$103)</f>
        <v>64.30092171084</v>
      </c>
      <c r="EA4" s="43">
        <f ca="1">SUMIF(Assumptions!$G$3:$G$103,'non-road'!$DA4,Assumptions!CC$3:CC$103)</f>
        <v>172.11817527732</v>
      </c>
      <c r="EB4" s="43">
        <f ca="1">SUMIF(Assumptions!$G$3:$G$103,'non-road'!$DA4,Assumptions!CD$3:CD$103)</f>
        <v>0</v>
      </c>
      <c r="EC4" s="43">
        <f ca="1">SUMIF(Assumptions!$G$3:$G$103,'non-road'!$DA4,Assumptions!CE$3:CE$103)</f>
        <v>9.66210067908</v>
      </c>
      <c r="ED4" s="43">
        <f ca="1">SUMIF(Assumptions!$G$3:$G$103,'non-road'!$DA4,Assumptions!CF$3:CF$103)</f>
        <v>14.61933258768</v>
      </c>
      <c r="EE4" s="43">
        <f ca="1">SUMIF(Assumptions!$G$3:$G$103,'non-road'!$DA4,Assumptions!CG$3:CG$103)</f>
        <v>13.70996841996</v>
      </c>
      <c r="EF4" s="43">
        <f ca="1">SUMIF(Assumptions!$G$3:$G$103,'non-road'!$DA4,Assumptions!CH$3:CH$103)</f>
        <v>10.98924384744</v>
      </c>
      <c r="EG4" s="43">
        <f ca="1">SUMIF(Assumptions!$G$3:$G$103,'non-road'!$DA4,Assumptions!CI$3:CI$103)</f>
        <v>5.62897842912</v>
      </c>
      <c r="EH4" s="43">
        <f ca="1">SUMIF(Assumptions!$G$3:$G$103,'non-road'!$DA4,Assumptions!CJ$3:CJ$103)</f>
        <v>23.05987198344</v>
      </c>
      <c r="EI4" s="43">
        <f ca="1">SUMIF(Assumptions!$G$3:$G$103,'non-road'!$DA4,Assumptions!CK$3:CK$103)</f>
        <v>15.59563824456</v>
      </c>
      <c r="EJ4" s="43">
        <f ca="1">SUMIF(Assumptions!$G$3:$G$103,'non-road'!$DA4,Assumptions!CL$3:CL$103)</f>
        <v>1.59649257276</v>
      </c>
      <c r="EK4" s="43">
        <f ca="1">SUMIF(Assumptions!$G$3:$G$103,'non-road'!$DA4,Assumptions!CM$3:CM$103)</f>
        <v>0</v>
      </c>
      <c r="EL4" s="43">
        <f ca="1">SUMIF(Assumptions!$G$3:$G$103,'non-road'!$DA4,Assumptions!CN$3:CN$103)</f>
        <v>0</v>
      </c>
      <c r="EM4" s="43">
        <f ca="1">SUMIF(Assumptions!$G$3:$G$103,'non-road'!$DA4,Assumptions!CO$3:CO$103)</f>
        <v>0</v>
      </c>
      <c r="EN4" s="43">
        <f ca="1">SUMIF(Assumptions!$G$3:$G$103,'non-road'!$DA4,Assumptions!CP$3:CP$103)</f>
        <v>0</v>
      </c>
      <c r="EO4" s="43">
        <f ca="1">SUMIF(Assumptions!$G$3:$G$103,'non-road'!$DA4,Assumptions!CQ$3:CQ$103)</f>
        <v>0</v>
      </c>
      <c r="EP4" s="43">
        <f ca="1">SUMIF(Assumptions!$G$3:$G$103,'non-road'!$DA4,Assumptions!CR$3:CR$103)</f>
        <v>0</v>
      </c>
      <c r="EQ4" s="43">
        <f ca="1">SUMIF(Assumptions!$G$3:$G$103,'non-road'!$DA4,Assumptions!CS$3:CS$103)</f>
        <v>0</v>
      </c>
      <c r="ER4" s="43">
        <f ca="1">SUMIF(Assumptions!$G$3:$G$103,'non-road'!$DA4,Assumptions!CT$3:CT$103)</f>
        <v>0</v>
      </c>
      <c r="ES4" s="43">
        <f ca="1">SUMIF(Assumptions!$G$3:$G$103,'non-road'!$DA4,Assumptions!CU$3:CU$103)</f>
        <v>0</v>
      </c>
      <c r="ET4" s="43">
        <f ca="1">SUMIF(Assumptions!$G$3:$G$103,'non-road'!$DA4,Assumptions!CV$3:CV$103)</f>
        <v>0</v>
      </c>
      <c r="EU4" s="43">
        <f ca="1">SUMIF(Assumptions!$G$3:$G$103,'non-road'!$DA4,Assumptions!CW$3:CW$103)</f>
        <v>0</v>
      </c>
      <c r="EV4" s="39"/>
      <c r="EW4" s="39" t="str">
        <f t="shared" ref="EW4:EW40" si="48">IF(EX4="","\I:","DMD")</f>
        <v>\I:</v>
      </c>
      <c r="EX4" s="39" t="str">
        <f t="shared" si="47"/>
        <v/>
      </c>
      <c r="EY4" s="39" t="s">
        <v>133</v>
      </c>
      <c r="EZ4" s="39" t="s">
        <v>85</v>
      </c>
      <c r="FA4" s="39" t="s">
        <v>440</v>
      </c>
      <c r="FB4" s="39"/>
      <c r="FC4" s="39"/>
      <c r="FD4" s="39"/>
    </row>
    <row r="5" spans="1:160">
      <c r="A5" s="39" t="s">
        <v>442</v>
      </c>
      <c r="B5" s="39"/>
      <c r="C5" s="39" t="str">
        <f t="shared" ref="C5:C11" si="49">IF(F5&lt;&gt;F4,F5&amp;"_Generic","")</f>
        <v/>
      </c>
      <c r="D5" s="39" t="s">
        <v>60</v>
      </c>
      <c r="E5" s="39"/>
      <c r="F5" s="39" t="s">
        <v>194</v>
      </c>
      <c r="G5" s="40">
        <f ca="1">SUMIFS(Assumptions!BD$3:BD$103,Assumptions!$G$3:$G$103,'non-road'!$F5,Assumptions!$B$3:$B$103,'non-road'!$D5)/SUMIF(Assumptions!$G$3:$G$103,'non-road'!$F5,Assumptions!BD$3:BD$103)</f>
        <v>0.260409539715761</v>
      </c>
      <c r="H5" s="40">
        <f ca="1">SUMIFS(Assumptions!BE$3:BE$103,Assumptions!$G$3:$G$103,'non-road'!$F5,Assumptions!$B$3:$B$103,'non-road'!$D5)/SUMIF(Assumptions!$G$3:$G$103,'non-road'!$F5,Assumptions!BE$3:BE$103)</f>
        <v>0.984018557468421</v>
      </c>
      <c r="I5" s="40">
        <f ca="1">SUMIFS(Assumptions!BF$3:BF$103,Assumptions!$G$3:$G$103,'non-road'!$F5,Assumptions!$B$3:$B$103,'non-road'!$D5)/SUMIF(Assumptions!$G$3:$G$103,'non-road'!$F5,Assumptions!BF$3:BF$103)</f>
        <v>0.904497470957874</v>
      </c>
      <c r="J5" s="40">
        <f ca="1">SUMIFS(Assumptions!BG$3:BG$103,Assumptions!$G$3:$G$103,'non-road'!$F5,Assumptions!$B$3:$B$103,'non-road'!$D5)/SUMIF(Assumptions!$G$3:$G$103,'non-road'!$F5,Assumptions!BG$3:BG$103)</f>
        <v>0.941941193564579</v>
      </c>
      <c r="K5" s="40">
        <f ca="1">SUMIFS(Assumptions!BH$3:BH$103,Assumptions!$G$3:$G$103,'non-road'!$F5,Assumptions!$B$3:$B$103,'non-road'!$D5)/SUMIF(Assumptions!$G$3:$G$103,'non-road'!$F5,Assumptions!BH$3:BH$103)</f>
        <v>0.957608716656489</v>
      </c>
      <c r="L5" s="40">
        <f ca="1">SUMIFS(Assumptions!BI$3:BI$103,Assumptions!$G$3:$G$103,'non-road'!$F5,Assumptions!$B$3:$B$103,'non-road'!$D5)/SUMIF(Assumptions!$G$3:$G$103,'non-road'!$F5,Assumptions!BI$3:BI$103)</f>
        <v>0.963297959931986</v>
      </c>
      <c r="M5" s="40">
        <f ca="1">SUMIFS(Assumptions!BJ$3:BJ$103,Assumptions!$G$3:$G$103,'non-road'!$F5,Assumptions!$B$3:$B$103,'non-road'!$D5)/SUMIF(Assumptions!$G$3:$G$103,'non-road'!$F5,Assumptions!BJ$3:BJ$103)</f>
        <v>0.892771750786673</v>
      </c>
      <c r="N5" s="40">
        <f ca="1">SUMIFS(Assumptions!BK$3:BK$103,Assumptions!$G$3:$G$103,'non-road'!$F5,Assumptions!$B$3:$B$103,'non-road'!$D5)/SUMIF(Assumptions!$G$3:$G$103,'non-road'!$F5,Assumptions!BK$3:BK$103)</f>
        <v>0.493699744663516</v>
      </c>
      <c r="O5" s="40">
        <f ca="1">SUMIFS(Assumptions!BL$3:BL$103,Assumptions!$G$3:$G$103,'non-road'!$F5,Assumptions!$B$3:$B$103,'non-road'!$D5)/SUMIF(Assumptions!$G$3:$G$103,'non-road'!$F5,Assumptions!BL$3:BL$103)</f>
        <v>0.82995108394391</v>
      </c>
      <c r="P5" s="40">
        <f ca="1">SUMIFS(Assumptions!BM$3:BM$103,Assumptions!$G$3:$G$103,'non-road'!$F5,Assumptions!$B$3:$B$103,'non-road'!$D5)/SUMIF(Assumptions!$G$3:$G$103,'non-road'!$F5,Assumptions!BM$3:BM$103)</f>
        <v>0.761495560616</v>
      </c>
      <c r="Q5" s="40">
        <f ca="1">SUMIFS(Assumptions!BN$3:BN$103,Assumptions!$G$3:$G$103,'non-road'!$F5,Assumptions!$B$3:$B$103,'non-road'!$D5)/SUMIF(Assumptions!$G$3:$G$103,'non-road'!$F5,Assumptions!BN$3:BN$103)</f>
        <v>0.934931476835338</v>
      </c>
      <c r="R5" s="40">
        <f ca="1">SUMIFS(Assumptions!BO$3:BO$103,Assumptions!$G$3:$G$103,'non-road'!$F5,Assumptions!$B$3:$B$103,'non-road'!$D5)/SUMIF(Assumptions!$G$3:$G$103,'non-road'!$F5,Assumptions!BO$3:BO$103)</f>
        <v>0.947592028728685</v>
      </c>
      <c r="S5" s="40">
        <f ca="1">SUMIFS(Assumptions!BP$3:BP$103,Assumptions!$G$3:$G$103,'non-road'!$F5,Assumptions!$B$3:$B$103,'non-road'!$D5)/SUMIF(Assumptions!$G$3:$G$103,'non-road'!$F5,Assumptions!BP$3:BP$103)</f>
        <v>0.975329375817885</v>
      </c>
      <c r="T5" s="40">
        <f ca="1">SUMIFS(Assumptions!BQ$3:BQ$103,Assumptions!$G$3:$G$103,'non-road'!$F5,Assumptions!$B$3:$B$103,'non-road'!$D5)/SUMIF(Assumptions!$G$3:$G$103,'non-road'!$F5,Assumptions!BQ$3:BQ$103)</f>
        <v>0.883365895825018</v>
      </c>
      <c r="U5" s="40" t="e">
        <f ca="1">SUMIFS(Assumptions!BR$3:BR$103,Assumptions!$G$3:$G$103,'non-road'!$F5,Assumptions!$B$3:$B$103,'non-road'!$D5)/SUMIF(Assumptions!$G$3:$G$103,'non-road'!$F5,Assumptions!BR$3:BR$103)</f>
        <v>#DIV/0!</v>
      </c>
      <c r="V5" s="40">
        <f ca="1">SUMIFS(Assumptions!BS$3:BS$103,Assumptions!$G$3:$G$103,'non-road'!$F5,Assumptions!$B$3:$B$103,'non-road'!$D5)/SUMIF(Assumptions!$G$3:$G$103,'non-road'!$F5,Assumptions!BS$3:BS$103)</f>
        <v>0.72666630467839</v>
      </c>
      <c r="W5" s="40">
        <f ca="1">SUMIFS(Assumptions!BT$3:BT$103,Assumptions!$G$3:$G$103,'non-road'!$F5,Assumptions!$B$3:$B$103,'non-road'!$D5)/SUMIF(Assumptions!$G$3:$G$103,'non-road'!$F5,Assumptions!BT$3:BT$103)</f>
        <v>1</v>
      </c>
      <c r="X5" s="40">
        <f ca="1">SUMIFS(Assumptions!BU$3:BU$103,Assumptions!$G$3:$G$103,'non-road'!$F5,Assumptions!$B$3:$B$103,'non-road'!$D5)/SUMIF(Assumptions!$G$3:$G$103,'non-road'!$F5,Assumptions!BU$3:BU$103)</f>
        <v>1</v>
      </c>
      <c r="Y5" s="40">
        <f ca="1">SUMIFS(Assumptions!BV$3:BV$103,Assumptions!$G$3:$G$103,'non-road'!$F5,Assumptions!$B$3:$B$103,'non-road'!$D5)/SUMIF(Assumptions!$G$3:$G$103,'non-road'!$F5,Assumptions!BV$3:BV$103)</f>
        <v>0.998746363961718</v>
      </c>
      <c r="Z5" s="40">
        <f ca="1">SUMIFS(Assumptions!BW$3:BW$103,Assumptions!$G$3:$G$103,'non-road'!$F5,Assumptions!$B$3:$B$103,'non-road'!$D5)/SUMIF(Assumptions!$G$3:$G$103,'non-road'!$F5,Assumptions!BW$3:BW$103)</f>
        <v>0.846916944347875</v>
      </c>
      <c r="AA5" s="40">
        <f ca="1">SUMIFS(Assumptions!BX$3:BX$103,Assumptions!$G$3:$G$103,'non-road'!$F5,Assumptions!$B$3:$B$103,'non-road'!$D5)/SUMIF(Assumptions!$G$3:$G$103,'non-road'!$F5,Assumptions!BX$3:BX$103)</f>
        <v>1</v>
      </c>
      <c r="AB5" s="40">
        <f ca="1">SUMIFS(Assumptions!BY$3:BY$103,Assumptions!$G$3:$G$103,'non-road'!$F5,Assumptions!$B$3:$B$103,'non-road'!$D5)/SUMIF(Assumptions!$G$3:$G$103,'non-road'!$F5,Assumptions!BY$3:BY$103)</f>
        <v>0.975454116875588</v>
      </c>
      <c r="AC5" s="40">
        <f ca="1">SUMIFS(Assumptions!BZ$3:BZ$103,Assumptions!$G$3:$G$103,'non-road'!$F5,Assumptions!$B$3:$B$103,'non-road'!$D5)/SUMIF(Assumptions!$G$3:$G$103,'non-road'!$F5,Assumptions!BZ$3:BZ$103)</f>
        <v>1</v>
      </c>
      <c r="AD5" s="40">
        <f ca="1">SUMIFS(Assumptions!CA$3:CA$103,Assumptions!$G$3:$G$103,'non-road'!$F5,Assumptions!$B$3:$B$103,'non-road'!$D5)/SUMIF(Assumptions!$G$3:$G$103,'non-road'!$F5,Assumptions!CA$3:CA$103)</f>
        <v>0.73999492596522</v>
      </c>
      <c r="AE5" s="40">
        <f ca="1">SUMIFS(Assumptions!CB$3:CB$103,Assumptions!$G$3:$G$103,'non-road'!$F5,Assumptions!$B$3:$B$103,'non-road'!$D5)/SUMIF(Assumptions!$G$3:$G$103,'non-road'!$F5,Assumptions!CB$3:CB$103)</f>
        <v>0.942760327013985</v>
      </c>
      <c r="AF5" s="40">
        <f ca="1">SUMIFS(Assumptions!CC$3:CC$103,Assumptions!$G$3:$G$103,'non-road'!$F5,Assumptions!$B$3:$B$103,'non-road'!$D5)/SUMIF(Assumptions!$G$3:$G$103,'non-road'!$F5,Assumptions!CC$3:CC$103)</f>
        <v>0.796981019359647</v>
      </c>
      <c r="AG5" s="40" t="e">
        <f ca="1">SUMIFS(Assumptions!CD$3:CD$103,Assumptions!$G$3:$G$103,'non-road'!$F5,Assumptions!$B$3:$B$103,'non-road'!$D5)/SUMIF(Assumptions!$G$3:$G$103,'non-road'!$F5,Assumptions!CD$3:CD$103)</f>
        <v>#DIV/0!</v>
      </c>
      <c r="AH5" s="40">
        <f ca="1">SUMIFS(Assumptions!CE$3:CE$103,Assumptions!$G$3:$G$103,'non-road'!$F5,Assumptions!$B$3:$B$103,'non-road'!$D5)/SUMIF(Assumptions!$G$3:$G$103,'non-road'!$F5,Assumptions!CE$3:CE$103)</f>
        <v>0.385203273027156</v>
      </c>
      <c r="AI5" s="40">
        <f ca="1">SUMIFS(Assumptions!CF$3:CF$103,Assumptions!$G$3:$G$103,'non-road'!$F5,Assumptions!$B$3:$B$103,'non-road'!$D5)/SUMIF(Assumptions!$G$3:$G$103,'non-road'!$F5,Assumptions!CF$3:CF$103)</f>
        <v>1</v>
      </c>
      <c r="AJ5" s="40">
        <f ca="1">SUMIFS(Assumptions!CG$3:CG$103,Assumptions!$G$3:$G$103,'non-road'!$F5,Assumptions!$B$3:$B$103,'non-road'!$D5)/SUMIF(Assumptions!$G$3:$G$103,'non-road'!$F5,Assumptions!CG$3:CG$103)</f>
        <v>0.999978545054313</v>
      </c>
      <c r="AK5" s="40">
        <f ca="1">SUMIFS(Assumptions!CH$3:CH$103,Assumptions!$G$3:$G$103,'non-road'!$F5,Assumptions!$B$3:$B$103,'non-road'!$D5)/SUMIF(Assumptions!$G$3:$G$103,'non-road'!$F5,Assumptions!CH$3:CH$103)</f>
        <v>0.966914902697166</v>
      </c>
      <c r="AL5" s="40">
        <f ca="1">SUMIFS(Assumptions!CI$3:CI$103,Assumptions!$G$3:$G$103,'non-road'!$F5,Assumptions!$B$3:$B$103,'non-road'!$D5)/SUMIF(Assumptions!$G$3:$G$103,'non-road'!$F5,Assumptions!CI$3:CI$103)</f>
        <v>0.88000074999599</v>
      </c>
      <c r="AM5" s="40">
        <f ca="1">SUMIFS(Assumptions!CJ$3:CJ$103,Assumptions!$G$3:$G$103,'non-road'!$F5,Assumptions!$B$3:$B$103,'non-road'!$D5)/SUMIF(Assumptions!$G$3:$G$103,'non-road'!$F5,Assumptions!CJ$3:CJ$103)</f>
        <v>0.983399067430047</v>
      </c>
      <c r="AN5" s="40">
        <f ca="1">SUMIFS(Assumptions!CK$3:CK$103,Assumptions!$G$3:$G$103,'non-road'!$F5,Assumptions!$B$3:$B$103,'non-road'!$D5)/SUMIF(Assumptions!$G$3:$G$103,'non-road'!$F5,Assumptions!CK$3:CK$103)</f>
        <v>0.241627145301386</v>
      </c>
      <c r="AO5" s="40">
        <f ca="1">SUMIFS(Assumptions!CL$3:CL$103,Assumptions!$G$3:$G$103,'non-road'!$F5,Assumptions!$B$3:$B$103,'non-road'!$D5)/SUMIF(Assumptions!$G$3:$G$103,'non-road'!$F5,Assumptions!CL$3:CL$103)</f>
        <v>0.806901341149958</v>
      </c>
      <c r="AP5" s="40" t="e">
        <f ca="1">SUMIFS(Assumptions!CM$3:CM$103,Assumptions!$G$3:$G$103,'non-road'!$F5,Assumptions!$B$3:$B$103,'non-road'!$D5)/SUMIF(Assumptions!$G$3:$G$103,'non-road'!$F5,Assumptions!CM$3:CM$103)</f>
        <v>#DIV/0!</v>
      </c>
      <c r="AQ5" s="40" t="e">
        <f ca="1">SUMIFS(Assumptions!CN$3:CN$103,Assumptions!$G$3:$G$103,'non-road'!$F5,Assumptions!$B$3:$B$103,'non-road'!$D5)/SUMIF(Assumptions!$G$3:$G$103,'non-road'!$F5,Assumptions!CN$3:CN$103)</f>
        <v>#DIV/0!</v>
      </c>
      <c r="AR5" s="40" t="e">
        <f ca="1">SUMIFS(Assumptions!CO$3:CO$103,Assumptions!$G$3:$G$103,'non-road'!$F5,Assumptions!$B$3:$B$103,'non-road'!$D5)/SUMIF(Assumptions!$G$3:$G$103,'non-road'!$F5,Assumptions!CO$3:CO$103)</f>
        <v>#DIV/0!</v>
      </c>
      <c r="AS5" s="40" t="e">
        <f ca="1">SUMIFS(Assumptions!CP$3:CP$103,Assumptions!$G$3:$G$103,'non-road'!$F5,Assumptions!$B$3:$B$103,'non-road'!$D5)/SUMIF(Assumptions!$G$3:$G$103,'non-road'!$F5,Assumptions!CP$3:CP$103)</f>
        <v>#DIV/0!</v>
      </c>
      <c r="AT5" s="40" t="e">
        <f ca="1">SUMIFS(Assumptions!CQ$3:CQ$103,Assumptions!$G$3:$G$103,'non-road'!$F5,Assumptions!$B$3:$B$103,'non-road'!$D5)/SUMIF(Assumptions!$G$3:$G$103,'non-road'!$F5,Assumptions!CQ$3:CQ$103)</f>
        <v>#DIV/0!</v>
      </c>
      <c r="AU5" s="40" t="e">
        <f ca="1">SUMIFS(Assumptions!CR$3:CR$103,Assumptions!$G$3:$G$103,'non-road'!$F5,Assumptions!$B$3:$B$103,'non-road'!$D5)/SUMIF(Assumptions!$G$3:$G$103,'non-road'!$F5,Assumptions!CR$3:CR$103)</f>
        <v>#DIV/0!</v>
      </c>
      <c r="AV5" s="40" t="e">
        <f ca="1">SUMIFS(Assumptions!CS$3:CS$103,Assumptions!$G$3:$G$103,'non-road'!$F5,Assumptions!$B$3:$B$103,'non-road'!$D5)/SUMIF(Assumptions!$G$3:$G$103,'non-road'!$F5,Assumptions!CS$3:CS$103)</f>
        <v>#DIV/0!</v>
      </c>
      <c r="AW5" s="40" t="e">
        <f ca="1">SUMIFS(Assumptions!CT$3:CT$103,Assumptions!$G$3:$G$103,'non-road'!$F5,Assumptions!$B$3:$B$103,'non-road'!$D5)/SUMIF(Assumptions!$G$3:$G$103,'non-road'!$F5,Assumptions!CT$3:CT$103)</f>
        <v>#DIV/0!</v>
      </c>
      <c r="AX5" s="40" t="e">
        <f ca="1">SUMIFS(Assumptions!CU$3:CU$103,Assumptions!$G$3:$G$103,'non-road'!$F5,Assumptions!$B$3:$B$103,'non-road'!$D5)/SUMIF(Assumptions!$G$3:$G$103,'non-road'!$F5,Assumptions!CU$3:CU$103)</f>
        <v>#DIV/0!</v>
      </c>
      <c r="AY5" s="40" t="e">
        <f ca="1">SUMIFS(Assumptions!CV$3:CV$103,Assumptions!$G$3:$G$103,'non-road'!$F5,Assumptions!$B$3:$B$103,'non-road'!$D5)/SUMIF(Assumptions!$G$3:$G$103,'non-road'!$F5,Assumptions!CV$3:CV$103)</f>
        <v>#DIV/0!</v>
      </c>
      <c r="AZ5" s="40" t="e">
        <f ca="1">SUMIFS(Assumptions!CW$3:CW$103,Assumptions!$G$3:$G$103,'non-road'!$F5,Assumptions!$B$3:$B$103,'non-road'!$D5)/SUMIF(Assumptions!$G$3:$G$103,'non-road'!$F5,Assumptions!CW$3:CW$103)</f>
        <v>#DIV/0!</v>
      </c>
      <c r="BA5" s="41"/>
      <c r="BB5" s="40"/>
      <c r="BC5" s="40"/>
      <c r="BD5" s="39" t="str">
        <f t="shared" ref="BD5:BD11" si="50">IF(C5="","\I:",C5)</f>
        <v>\I:</v>
      </c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39"/>
      <c r="CZ5" s="39"/>
      <c r="DA5" s="39" t="s">
        <v>76</v>
      </c>
      <c r="DB5" s="39">
        <f>SUMIF(Assumptions!$BB$105:$BB$128,'non-road'!$DA5,Assumptions!BD$105:BD$128)</f>
        <v>99.1230300972</v>
      </c>
      <c r="DC5" s="39">
        <f>SUMIF(Assumptions!$BB$105:$BB$128,'non-road'!$DA5,Assumptions!BE$105:BE$128)</f>
        <v>192.0928039704</v>
      </c>
      <c r="DD5" s="39">
        <f>SUMIF(Assumptions!$BB$105:$BB$128,'non-road'!$DA5,Assumptions!BF$105:BF$128)</f>
        <v>211.3565345388</v>
      </c>
      <c r="DE5" s="39">
        <f>SUMIF(Assumptions!$BB$105:$BB$128,'non-road'!$DA5,Assumptions!BG$105:BG$128)</f>
        <v>39.6794089152</v>
      </c>
      <c r="DF5" s="39">
        <f>SUMIF(Assumptions!$BB$105:$BB$128,'non-road'!$DA5,Assumptions!BH$105:BH$128)</f>
        <v>14.5334462472</v>
      </c>
      <c r="DG5" s="39">
        <f>SUMIF(Assumptions!$BB$105:$BB$128,'non-road'!$DA5,Assumptions!BI$105:BI$128)</f>
        <v>260.8231662324</v>
      </c>
      <c r="DH5" s="39">
        <f>SUMIF(Assumptions!$BB$105:$BB$128,'non-road'!$DA5,Assumptions!BJ$105:BJ$128)</f>
        <v>101.4462184284</v>
      </c>
      <c r="DI5" s="39">
        <f>SUMIF(Assumptions!$BB$105:$BB$128,'non-road'!$DA5,Assumptions!BK$105:BK$128)</f>
        <v>449.183894364</v>
      </c>
      <c r="DJ5" s="39">
        <f>SUMIF(Assumptions!$BB$105:$BB$128,'non-road'!$DA5,Assumptions!BL$105:BL$128)</f>
        <v>9.4939499988</v>
      </c>
      <c r="DK5" s="39">
        <f>SUMIF(Assumptions!$BB$105:$BB$128,'non-road'!$DA5,Assumptions!BM$105:BM$128)</f>
        <v>19.3069969596</v>
      </c>
      <c r="DL5" s="39">
        <f>SUMIF(Assumptions!$BB$105:$BB$128,'non-road'!$DA5,Assumptions!BN$105:BN$128)</f>
        <v>260.0460249768</v>
      </c>
      <c r="DM5" s="39">
        <f>SUMIF(Assumptions!$BB$105:$BB$128,'non-road'!$DA5,Assumptions!BO$105:BO$128)</f>
        <v>409.8760011468</v>
      </c>
      <c r="DN5" s="39">
        <f>SUMIF(Assumptions!$BB$105:$BB$128,'non-road'!$DA5,Assumptions!BP$105:BP$128)</f>
        <v>60.3557197488</v>
      </c>
      <c r="DO5" s="39">
        <f>SUMIF(Assumptions!$BB$105:$BB$128,'non-road'!$DA5,Assumptions!BQ$105:BQ$128)</f>
        <v>28.1800487052</v>
      </c>
      <c r="DP5" s="39">
        <f>SUMIF(Assumptions!$BB$105:$BB$128,'non-road'!$DA5,Assumptions!BR$105:BR$128)</f>
        <v>13.0422420648</v>
      </c>
      <c r="DQ5" s="39">
        <f>SUMIF(Assumptions!$BB$105:$BB$128,'non-road'!$DA5,Assumptions!BS$105:BS$128)</f>
        <v>177.4691070624</v>
      </c>
      <c r="DR5" s="39">
        <f>SUMIF(Assumptions!$BB$105:$BB$128,'non-road'!$DA5,Assumptions!BT$105:BT$128)</f>
        <v>45.3314591244</v>
      </c>
      <c r="DS5" s="39">
        <f>SUMIF(Assumptions!$BB$105:$BB$128,'non-road'!$DA5,Assumptions!BU$105:BU$128)</f>
        <v>173.0543776704</v>
      </c>
      <c r="DT5" s="39">
        <f>SUMIF(Assumptions!$BB$105:$BB$128,'non-road'!$DA5,Assumptions!BV$105:BV$128)</f>
        <v>305.523649476</v>
      </c>
      <c r="DU5" s="39">
        <f>SUMIF(Assumptions!$BB$105:$BB$128,'non-road'!$DA5,Assumptions!BW$105:BW$128)</f>
        <v>322.4176638048</v>
      </c>
      <c r="DV5" s="39">
        <f>SUMIF(Assumptions!$BB$105:$BB$128,'non-road'!$DA5,Assumptions!BX$105:BX$128)</f>
        <v>762.824241792</v>
      </c>
      <c r="DW5" s="39">
        <f>SUMIF(Assumptions!$BB$105:$BB$128,'non-road'!$DA5,Assumptions!BY$105:BY$128)</f>
        <v>1284.8589878796</v>
      </c>
      <c r="DX5" s="39">
        <f>SUMIF(Assumptions!$BB$105:$BB$128,'non-road'!$DA5,Assumptions!BZ$105:BZ$128)</f>
        <v>22.9425293772</v>
      </c>
      <c r="DY5" s="39">
        <f>SUMIF(Assumptions!$BB$105:$BB$128,'non-road'!$DA5,Assumptions!CA$105:CA$128)</f>
        <v>45.0546614028</v>
      </c>
      <c r="DZ5" s="39">
        <f>SUMIF(Assumptions!$BB$105:$BB$128,'non-road'!$DA5,Assumptions!CB$105:CB$128)</f>
        <v>1737.5925643272</v>
      </c>
      <c r="EA5" s="39">
        <f>SUMIF(Assumptions!$BB$105:$BB$128,'non-road'!$DA5,Assumptions!CC$105:CC$128)</f>
        <v>253.1128809564</v>
      </c>
      <c r="EB5" s="39">
        <f>SUMIF(Assumptions!$BB$105:$BB$128,'non-road'!$DA5,Assumptions!CD$105:CD$128)</f>
        <v>153.0961909596</v>
      </c>
      <c r="EC5" s="39">
        <f>SUMIF(Assumptions!$BB$105:$BB$128,'non-road'!$DA5,Assumptions!CE$105:CE$128)</f>
        <v>46.0725980868</v>
      </c>
      <c r="ED5" s="39">
        <f>SUMIF(Assumptions!$BB$105:$BB$128,'non-road'!$DA5,Assumptions!CF$105:CF$128)</f>
        <v>260.6991071616</v>
      </c>
      <c r="EE5" s="39">
        <f>SUMIF(Assumptions!$BB$105:$BB$128,'non-road'!$DA5,Assumptions!CG$105:CG$128)</f>
        <v>115.4657935908</v>
      </c>
      <c r="EF5" s="39">
        <f>SUMIF(Assumptions!$BB$105:$BB$128,'non-road'!$DA5,Assumptions!CH$105:CH$128)</f>
        <v>77.9501857176</v>
      </c>
      <c r="EG5" s="39">
        <f>SUMIF(Assumptions!$BB$105:$BB$128,'non-road'!$DA5,Assumptions!CI$105:CI$128)</f>
        <v>184.4269992576</v>
      </c>
      <c r="EH5" s="39">
        <f>SUMIF(Assumptions!$BB$105:$BB$128,'non-road'!$DA5,Assumptions!CJ$105:CJ$128)</f>
        <v>493.2392126616</v>
      </c>
      <c r="EI5" s="39">
        <f>SUMIF(Assumptions!$BB$105:$BB$128,'non-road'!$DA5,Assumptions!CK$105:CK$128)</f>
        <v>7.2917392536</v>
      </c>
      <c r="EJ5" s="39">
        <f>SUMIF(Assumptions!$BB$105:$BB$128,'non-road'!$DA5,Assumptions!CL$105:CL$128)</f>
        <v>9.5715565236</v>
      </c>
      <c r="EK5" s="39">
        <f>SUMIF(Assumptions!$BB$105:$BB$128,'non-road'!$DA5,Assumptions!CM$105:CM$128)</f>
        <v>0</v>
      </c>
      <c r="EL5" s="39">
        <f>SUMIF(Assumptions!$BB$105:$BB$128,'non-road'!$DA5,Assumptions!CN$105:CN$128)</f>
        <v>0</v>
      </c>
      <c r="EM5" s="39">
        <f>SUMIF(Assumptions!$BB$105:$BB$128,'non-road'!$DA5,Assumptions!CO$105:CO$128)</f>
        <v>0</v>
      </c>
      <c r="EN5" s="39">
        <f>SUMIF(Assumptions!$BB$105:$BB$128,'non-road'!$DA5,Assumptions!CP$105:CP$128)</f>
        <v>0</v>
      </c>
      <c r="EO5" s="39">
        <f>SUMIF(Assumptions!$BB$105:$BB$128,'non-road'!$DA5,Assumptions!CQ$105:CQ$128)</f>
        <v>0</v>
      </c>
      <c r="EP5" s="39">
        <f>SUMIF(Assumptions!$BB$105:$BB$128,'non-road'!$DA5,Assumptions!CR$105:CR$128)</f>
        <v>0</v>
      </c>
      <c r="EQ5" s="39">
        <f>SUMIF(Assumptions!$BB$105:$BB$128,'non-road'!$DA5,Assumptions!CS$105:CS$128)</f>
        <v>0</v>
      </c>
      <c r="ER5" s="39">
        <f>SUMIF(Assumptions!$BB$105:$BB$128,'non-road'!$DA5,Assumptions!CT$105:CT$128)</f>
        <v>0</v>
      </c>
      <c r="ES5" s="39">
        <f>SUMIF(Assumptions!$BB$105:$BB$128,'non-road'!$DA5,Assumptions!CU$105:CU$128)</f>
        <v>0</v>
      </c>
      <c r="ET5" s="39">
        <f>SUMIF(Assumptions!$BB$105:$BB$128,'non-road'!$DA5,Assumptions!CV$105:CV$128)</f>
        <v>0</v>
      </c>
      <c r="EU5" s="39">
        <f>SUMIF(Assumptions!$BB$105:$BB$128,'non-road'!$DA5,Assumptions!CW$105:CW$128)</f>
        <v>0</v>
      </c>
      <c r="EV5" s="39"/>
      <c r="EW5" s="39" t="str">
        <f t="shared" si="48"/>
        <v>\I:</v>
      </c>
      <c r="EX5" s="39" t="str">
        <f t="shared" si="47"/>
        <v/>
      </c>
      <c r="EY5" s="39" t="s">
        <v>133</v>
      </c>
      <c r="EZ5" s="39" t="s">
        <v>85</v>
      </c>
      <c r="FA5" s="39" t="s">
        <v>440</v>
      </c>
      <c r="FB5" s="39"/>
      <c r="FC5" s="39"/>
      <c r="FD5" s="39"/>
    </row>
    <row r="6" spans="1:160">
      <c r="A6" s="39" t="s">
        <v>294</v>
      </c>
      <c r="B6" s="39"/>
      <c r="C6" s="39" t="str">
        <f t="shared" si="49"/>
        <v/>
      </c>
      <c r="D6" s="39" t="s">
        <v>66</v>
      </c>
      <c r="E6" s="39"/>
      <c r="F6" s="39" t="s">
        <v>194</v>
      </c>
      <c r="G6" s="40">
        <f ca="1">SUMIFS(Assumptions!BD$3:BD$103,Assumptions!$G$3:$G$103,'non-road'!$F6,Assumptions!$B$3:$B$103,'non-road'!$D6)/SUMIF(Assumptions!$G$3:$G$103,'non-road'!$F6,Assumptions!BD$3:BD$103)</f>
        <v>0</v>
      </c>
      <c r="H6" s="40">
        <f ca="1">SUMIFS(Assumptions!BE$3:BE$103,Assumptions!$G$3:$G$103,'non-road'!$F6,Assumptions!$B$3:$B$103,'non-road'!$D6)/SUMIF(Assumptions!$G$3:$G$103,'non-road'!$F6,Assumptions!BE$3:BE$103)</f>
        <v>0</v>
      </c>
      <c r="I6" s="40">
        <f ca="1">SUMIFS(Assumptions!BF$3:BF$103,Assumptions!$G$3:$G$103,'non-road'!$F6,Assumptions!$B$3:$B$103,'non-road'!$D6)/SUMIF(Assumptions!$G$3:$G$103,'non-road'!$F6,Assumptions!BF$3:BF$103)</f>
        <v>0.000603886329140475</v>
      </c>
      <c r="J6" s="40">
        <f ca="1">SUMIFS(Assumptions!BG$3:BG$103,Assumptions!$G$3:$G$103,'non-road'!$F6,Assumptions!$B$3:$B$103,'non-road'!$D6)/SUMIF(Assumptions!$G$3:$G$103,'non-road'!$F6,Assumptions!BG$3:BG$103)</f>
        <v>0</v>
      </c>
      <c r="K6" s="40">
        <f ca="1">SUMIFS(Assumptions!BH$3:BH$103,Assumptions!$G$3:$G$103,'non-road'!$F6,Assumptions!$B$3:$B$103,'non-road'!$D6)/SUMIF(Assumptions!$G$3:$G$103,'non-road'!$F6,Assumptions!BH$3:BH$103)</f>
        <v>0</v>
      </c>
      <c r="L6" s="40">
        <f ca="1">SUMIFS(Assumptions!BI$3:BI$103,Assumptions!$G$3:$G$103,'non-road'!$F6,Assumptions!$B$3:$B$103,'non-road'!$D6)/SUMIF(Assumptions!$G$3:$G$103,'non-road'!$F6,Assumptions!BI$3:BI$103)</f>
        <v>0</v>
      </c>
      <c r="M6" s="40">
        <f ca="1">SUMIFS(Assumptions!BJ$3:BJ$103,Assumptions!$G$3:$G$103,'non-road'!$F6,Assumptions!$B$3:$B$103,'non-road'!$D6)/SUMIF(Assumptions!$G$3:$G$103,'non-road'!$F6,Assumptions!BJ$3:BJ$103)</f>
        <v>0</v>
      </c>
      <c r="N6" s="40">
        <f ca="1">SUMIFS(Assumptions!BK$3:BK$103,Assumptions!$G$3:$G$103,'non-road'!$F6,Assumptions!$B$3:$B$103,'non-road'!$D6)/SUMIF(Assumptions!$G$3:$G$103,'non-road'!$F6,Assumptions!BK$3:BK$103)</f>
        <v>0</v>
      </c>
      <c r="O6" s="40">
        <f ca="1">SUMIFS(Assumptions!BL$3:BL$103,Assumptions!$G$3:$G$103,'non-road'!$F6,Assumptions!$B$3:$B$103,'non-road'!$D6)/SUMIF(Assumptions!$G$3:$G$103,'non-road'!$F6,Assumptions!BL$3:BL$103)</f>
        <v>0</v>
      </c>
      <c r="P6" s="40">
        <f ca="1">SUMIFS(Assumptions!BM$3:BM$103,Assumptions!$G$3:$G$103,'non-road'!$F6,Assumptions!$B$3:$B$103,'non-road'!$D6)/SUMIF(Assumptions!$G$3:$G$103,'non-road'!$F6,Assumptions!BM$3:BM$103)</f>
        <v>0</v>
      </c>
      <c r="Q6" s="40">
        <f ca="1">SUMIFS(Assumptions!BN$3:BN$103,Assumptions!$G$3:$G$103,'non-road'!$F6,Assumptions!$B$3:$B$103,'non-road'!$D6)/SUMIF(Assumptions!$G$3:$G$103,'non-road'!$F6,Assumptions!BN$3:BN$103)</f>
        <v>0</v>
      </c>
      <c r="R6" s="40">
        <f ca="1">SUMIFS(Assumptions!BO$3:BO$103,Assumptions!$G$3:$G$103,'non-road'!$F6,Assumptions!$B$3:$B$103,'non-road'!$D6)/SUMIF(Assumptions!$G$3:$G$103,'non-road'!$F6,Assumptions!BO$3:BO$103)</f>
        <v>0</v>
      </c>
      <c r="S6" s="40">
        <f ca="1">SUMIFS(Assumptions!BP$3:BP$103,Assumptions!$G$3:$G$103,'non-road'!$F6,Assumptions!$B$3:$B$103,'non-road'!$D6)/SUMIF(Assumptions!$G$3:$G$103,'non-road'!$F6,Assumptions!BP$3:BP$103)</f>
        <v>0.0246706241821152</v>
      </c>
      <c r="T6" s="40">
        <f ca="1">SUMIFS(Assumptions!BQ$3:BQ$103,Assumptions!$G$3:$G$103,'non-road'!$F6,Assumptions!$B$3:$B$103,'non-road'!$D6)/SUMIF(Assumptions!$G$3:$G$103,'non-road'!$F6,Assumptions!BQ$3:BQ$103)</f>
        <v>0</v>
      </c>
      <c r="U6" s="40" t="e">
        <f ca="1">SUMIFS(Assumptions!BR$3:BR$103,Assumptions!$G$3:$G$103,'non-road'!$F6,Assumptions!$B$3:$B$103,'non-road'!$D6)/SUMIF(Assumptions!$G$3:$G$103,'non-road'!$F6,Assumptions!BR$3:BR$103)</f>
        <v>#DIV/0!</v>
      </c>
      <c r="V6" s="40">
        <f ca="1">SUMIFS(Assumptions!BS$3:BS$103,Assumptions!$G$3:$G$103,'non-road'!$F6,Assumptions!$B$3:$B$103,'non-road'!$D6)/SUMIF(Assumptions!$G$3:$G$103,'non-road'!$F6,Assumptions!BS$3:BS$103)</f>
        <v>0</v>
      </c>
      <c r="W6" s="40">
        <f ca="1">SUMIFS(Assumptions!BT$3:BT$103,Assumptions!$G$3:$G$103,'non-road'!$F6,Assumptions!$B$3:$B$103,'non-road'!$D6)/SUMIF(Assumptions!$G$3:$G$103,'non-road'!$F6,Assumptions!BT$3:BT$103)</f>
        <v>0</v>
      </c>
      <c r="X6" s="40">
        <f ca="1">SUMIFS(Assumptions!BU$3:BU$103,Assumptions!$G$3:$G$103,'non-road'!$F6,Assumptions!$B$3:$B$103,'non-road'!$D6)/SUMIF(Assumptions!$G$3:$G$103,'non-road'!$F6,Assumptions!BU$3:BU$103)</f>
        <v>0</v>
      </c>
      <c r="Y6" s="40">
        <f ca="1">SUMIFS(Assumptions!BV$3:BV$103,Assumptions!$G$3:$G$103,'non-road'!$F6,Assumptions!$B$3:$B$103,'non-road'!$D6)/SUMIF(Assumptions!$G$3:$G$103,'non-road'!$F6,Assumptions!BV$3:BV$103)</f>
        <v>0</v>
      </c>
      <c r="Z6" s="40">
        <f ca="1">SUMIFS(Assumptions!BW$3:BW$103,Assumptions!$G$3:$G$103,'non-road'!$F6,Assumptions!$B$3:$B$103,'non-road'!$D6)/SUMIF(Assumptions!$G$3:$G$103,'non-road'!$F6,Assumptions!BW$3:BW$103)</f>
        <v>0.0120429379413134</v>
      </c>
      <c r="AA6" s="40">
        <f ca="1">SUMIFS(Assumptions!BX$3:BX$103,Assumptions!$G$3:$G$103,'non-road'!$F6,Assumptions!$B$3:$B$103,'non-road'!$D6)/SUMIF(Assumptions!$G$3:$G$103,'non-road'!$F6,Assumptions!BX$3:BX$103)</f>
        <v>0</v>
      </c>
      <c r="AB6" s="40">
        <f ca="1">SUMIFS(Assumptions!BY$3:BY$103,Assumptions!$G$3:$G$103,'non-road'!$F6,Assumptions!$B$3:$B$103,'non-road'!$D6)/SUMIF(Assumptions!$G$3:$G$103,'non-road'!$F6,Assumptions!BY$3:BY$103)</f>
        <v>0</v>
      </c>
      <c r="AC6" s="40">
        <f ca="1">SUMIFS(Assumptions!BZ$3:BZ$103,Assumptions!$G$3:$G$103,'non-road'!$F6,Assumptions!$B$3:$B$103,'non-road'!$D6)/SUMIF(Assumptions!$G$3:$G$103,'non-road'!$F6,Assumptions!BZ$3:BZ$103)</f>
        <v>0</v>
      </c>
      <c r="AD6" s="40">
        <f ca="1">SUMIFS(Assumptions!CA$3:CA$103,Assumptions!$G$3:$G$103,'non-road'!$F6,Assumptions!$B$3:$B$103,'non-road'!$D6)/SUMIF(Assumptions!$G$3:$G$103,'non-road'!$F6,Assumptions!CA$3:CA$103)</f>
        <v>0</v>
      </c>
      <c r="AE6" s="40">
        <f ca="1">SUMIFS(Assumptions!CB$3:CB$103,Assumptions!$G$3:$G$103,'non-road'!$F6,Assumptions!$B$3:$B$103,'non-road'!$D6)/SUMIF(Assumptions!$G$3:$G$103,'non-road'!$F6,Assumptions!CB$3:CB$103)</f>
        <v>0.000626086873591396</v>
      </c>
      <c r="AF6" s="40">
        <f ca="1">SUMIFS(Assumptions!CC$3:CC$103,Assumptions!$G$3:$G$103,'non-road'!$F6,Assumptions!$B$3:$B$103,'non-road'!$D6)/SUMIF(Assumptions!$G$3:$G$103,'non-road'!$F6,Assumptions!CC$3:CC$103)</f>
        <v>0.00308058831135749</v>
      </c>
      <c r="AG6" s="40" t="e">
        <f ca="1">SUMIFS(Assumptions!CD$3:CD$103,Assumptions!$G$3:$G$103,'non-road'!$F6,Assumptions!$B$3:$B$103,'non-road'!$D6)/SUMIF(Assumptions!$G$3:$G$103,'non-road'!$F6,Assumptions!CD$3:CD$103)</f>
        <v>#DIV/0!</v>
      </c>
      <c r="AH6" s="40">
        <f ca="1">SUMIFS(Assumptions!CE$3:CE$103,Assumptions!$G$3:$G$103,'non-road'!$F6,Assumptions!$B$3:$B$103,'non-road'!$D6)/SUMIF(Assumptions!$G$3:$G$103,'non-road'!$F6,Assumptions!CE$3:CE$103)</f>
        <v>0.0728847026194322</v>
      </c>
      <c r="AI6" s="40">
        <f ca="1">SUMIFS(Assumptions!CF$3:CF$103,Assumptions!$G$3:$G$103,'non-road'!$F6,Assumptions!$B$3:$B$103,'non-road'!$D6)/SUMIF(Assumptions!$G$3:$G$103,'non-road'!$F6,Assumptions!CF$3:CF$103)</f>
        <v>0</v>
      </c>
      <c r="AJ6" s="40">
        <f ca="1">SUMIFS(Assumptions!CG$3:CG$103,Assumptions!$G$3:$G$103,'non-road'!$F6,Assumptions!$B$3:$B$103,'non-road'!$D6)/SUMIF(Assumptions!$G$3:$G$103,'non-road'!$F6,Assumptions!CG$3:CG$103)</f>
        <v>2.1454945686805e-5</v>
      </c>
      <c r="AK6" s="40">
        <f ca="1">SUMIFS(Assumptions!CH$3:CH$103,Assumptions!$G$3:$G$103,'non-road'!$F6,Assumptions!$B$3:$B$103,'non-road'!$D6)/SUMIF(Assumptions!$G$3:$G$103,'non-road'!$F6,Assumptions!CH$3:CH$103)</f>
        <v>0</v>
      </c>
      <c r="AL6" s="40">
        <f ca="1">SUMIFS(Assumptions!CI$3:CI$103,Assumptions!$G$3:$G$103,'non-road'!$F6,Assumptions!$B$3:$B$103,'non-road'!$D6)/SUMIF(Assumptions!$G$3:$G$103,'non-road'!$F6,Assumptions!CI$3:CI$103)</f>
        <v>0</v>
      </c>
      <c r="AM6" s="40">
        <f ca="1">SUMIFS(Assumptions!CJ$3:CJ$103,Assumptions!$G$3:$G$103,'non-road'!$F6,Assumptions!$B$3:$B$103,'non-road'!$D6)/SUMIF(Assumptions!$G$3:$G$103,'non-road'!$F6,Assumptions!CJ$3:CJ$103)</f>
        <v>0</v>
      </c>
      <c r="AN6" s="40">
        <f ca="1">SUMIFS(Assumptions!CK$3:CK$103,Assumptions!$G$3:$G$103,'non-road'!$F6,Assumptions!$B$3:$B$103,'non-road'!$D6)/SUMIF(Assumptions!$G$3:$G$103,'non-road'!$F6,Assumptions!CK$3:CK$103)</f>
        <v>0</v>
      </c>
      <c r="AO6" s="40">
        <f ca="1">SUMIFS(Assumptions!CL$3:CL$103,Assumptions!$G$3:$G$103,'non-road'!$F6,Assumptions!$B$3:$B$103,'non-road'!$D6)/SUMIF(Assumptions!$G$3:$G$103,'non-road'!$F6,Assumptions!CL$3:CL$103)</f>
        <v>0</v>
      </c>
      <c r="AP6" s="40" t="e">
        <f ca="1">SUMIFS(Assumptions!CM$3:CM$103,Assumptions!$G$3:$G$103,'non-road'!$F6,Assumptions!$B$3:$B$103,'non-road'!$D6)/SUMIF(Assumptions!$G$3:$G$103,'non-road'!$F6,Assumptions!CM$3:CM$103)</f>
        <v>#DIV/0!</v>
      </c>
      <c r="AQ6" s="40" t="e">
        <f ca="1">SUMIFS(Assumptions!CN$3:CN$103,Assumptions!$G$3:$G$103,'non-road'!$F6,Assumptions!$B$3:$B$103,'non-road'!$D6)/SUMIF(Assumptions!$G$3:$G$103,'non-road'!$F6,Assumptions!CN$3:CN$103)</f>
        <v>#DIV/0!</v>
      </c>
      <c r="AR6" s="40" t="e">
        <f ca="1">SUMIFS(Assumptions!CO$3:CO$103,Assumptions!$G$3:$G$103,'non-road'!$F6,Assumptions!$B$3:$B$103,'non-road'!$D6)/SUMIF(Assumptions!$G$3:$G$103,'non-road'!$F6,Assumptions!CO$3:CO$103)</f>
        <v>#DIV/0!</v>
      </c>
      <c r="AS6" s="40" t="e">
        <f ca="1">SUMIFS(Assumptions!CP$3:CP$103,Assumptions!$G$3:$G$103,'non-road'!$F6,Assumptions!$B$3:$B$103,'non-road'!$D6)/SUMIF(Assumptions!$G$3:$G$103,'non-road'!$F6,Assumptions!CP$3:CP$103)</f>
        <v>#DIV/0!</v>
      </c>
      <c r="AT6" s="40" t="e">
        <f ca="1">SUMIFS(Assumptions!CQ$3:CQ$103,Assumptions!$G$3:$G$103,'non-road'!$F6,Assumptions!$B$3:$B$103,'non-road'!$D6)/SUMIF(Assumptions!$G$3:$G$103,'non-road'!$F6,Assumptions!CQ$3:CQ$103)</f>
        <v>#DIV/0!</v>
      </c>
      <c r="AU6" s="40" t="e">
        <f ca="1">SUMIFS(Assumptions!CR$3:CR$103,Assumptions!$G$3:$G$103,'non-road'!$F6,Assumptions!$B$3:$B$103,'non-road'!$D6)/SUMIF(Assumptions!$G$3:$G$103,'non-road'!$F6,Assumptions!CR$3:CR$103)</f>
        <v>#DIV/0!</v>
      </c>
      <c r="AV6" s="40" t="e">
        <f ca="1">SUMIFS(Assumptions!CS$3:CS$103,Assumptions!$G$3:$G$103,'non-road'!$F6,Assumptions!$B$3:$B$103,'non-road'!$D6)/SUMIF(Assumptions!$G$3:$G$103,'non-road'!$F6,Assumptions!CS$3:CS$103)</f>
        <v>#DIV/0!</v>
      </c>
      <c r="AW6" s="40" t="e">
        <f ca="1">SUMIFS(Assumptions!CT$3:CT$103,Assumptions!$G$3:$G$103,'non-road'!$F6,Assumptions!$B$3:$B$103,'non-road'!$D6)/SUMIF(Assumptions!$G$3:$G$103,'non-road'!$F6,Assumptions!CT$3:CT$103)</f>
        <v>#DIV/0!</v>
      </c>
      <c r="AX6" s="40" t="e">
        <f ca="1">SUMIFS(Assumptions!CU$3:CU$103,Assumptions!$G$3:$G$103,'non-road'!$F6,Assumptions!$B$3:$B$103,'non-road'!$D6)/SUMIF(Assumptions!$G$3:$G$103,'non-road'!$F6,Assumptions!CU$3:CU$103)</f>
        <v>#DIV/0!</v>
      </c>
      <c r="AY6" s="40" t="e">
        <f ca="1">SUMIFS(Assumptions!CV$3:CV$103,Assumptions!$G$3:$G$103,'non-road'!$F6,Assumptions!$B$3:$B$103,'non-road'!$D6)/SUMIF(Assumptions!$G$3:$G$103,'non-road'!$F6,Assumptions!CV$3:CV$103)</f>
        <v>#DIV/0!</v>
      </c>
      <c r="AZ6" s="40" t="e">
        <f ca="1">SUMIFS(Assumptions!CW$3:CW$103,Assumptions!$G$3:$G$103,'non-road'!$F6,Assumptions!$B$3:$B$103,'non-road'!$D6)/SUMIF(Assumptions!$G$3:$G$103,'non-road'!$F6,Assumptions!CW$3:CW$103)</f>
        <v>#DIV/0!</v>
      </c>
      <c r="BA6" s="41"/>
      <c r="BB6" s="40"/>
      <c r="BC6" s="40"/>
      <c r="BD6" s="39" t="str">
        <f t="shared" si="50"/>
        <v>\I:</v>
      </c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39"/>
      <c r="CZ6" s="39"/>
      <c r="DA6" s="39" t="s">
        <v>62</v>
      </c>
      <c r="DB6" s="39">
        <f>SUMIF(Assumptions!$BB$105:$BB$128,'non-road'!$DA6,Assumptions!BD$105:BD$128)</f>
        <v>28.9046665548</v>
      </c>
      <c r="DC6" s="39">
        <f>SUMIF(Assumptions!$BB$105:$BB$128,'non-road'!$DA6,Assumptions!BE$105:BE$128)</f>
        <v>22.6721667672</v>
      </c>
      <c r="DD6" s="39">
        <f>SUMIF(Assumptions!$BB$105:$BB$128,'non-road'!$DA6,Assumptions!BF$105:BF$128)</f>
        <v>123.7186965204</v>
      </c>
      <c r="DE6" s="39">
        <f>SUMIF(Assumptions!$BB$105:$BB$128,'non-road'!$DA6,Assumptions!BG$105:BG$128)</f>
        <v>1.3079814408</v>
      </c>
      <c r="DF6" s="39">
        <f>SUMIF(Assumptions!$BB$105:$BB$128,'non-road'!$DA6,Assumptions!BH$105:BH$128)</f>
        <v>0.0886638636</v>
      </c>
      <c r="DG6" s="39">
        <f>SUMIF(Assumptions!$BB$105:$BB$128,'non-road'!$DA6,Assumptions!BI$105:BI$128)</f>
        <v>0.552531996</v>
      </c>
      <c r="DH6" s="39">
        <f>SUMIF(Assumptions!$BB$105:$BB$128,'non-road'!$DA6,Assumptions!BJ$105:BJ$128)</f>
        <v>140.169186378</v>
      </c>
      <c r="DI6" s="39">
        <f>SUMIF(Assumptions!$BB$105:$BB$128,'non-road'!$DA6,Assumptions!BK$105:BK$128)</f>
        <v>1141.7510237796</v>
      </c>
      <c r="DJ6" s="39">
        <f>SUMIF(Assumptions!$BB$105:$BB$128,'non-road'!$DA6,Assumptions!BL$105:BL$128)</f>
        <v>0.469675224</v>
      </c>
      <c r="DK6" s="39">
        <f>SUMIF(Assumptions!$BB$105:$BB$128,'non-road'!$DA6,Assumptions!BM$105:BM$128)</f>
        <v>1.9810011672</v>
      </c>
      <c r="DL6" s="39">
        <f>SUMIF(Assumptions!$BB$105:$BB$128,'non-road'!$DA6,Assumptions!BN$105:BN$128)</f>
        <v>67.7992305024</v>
      </c>
      <c r="DM6" s="39">
        <f>SUMIF(Assumptions!$BB$105:$BB$128,'non-road'!$DA6,Assumptions!BO$105:BO$128)</f>
        <v>30.7530005904</v>
      </c>
      <c r="DN6" s="39">
        <f>SUMIF(Assumptions!$BB$105:$BB$128,'non-road'!$DA6,Assumptions!BP$105:BP$128)</f>
        <v>9.4633277436</v>
      </c>
      <c r="DO6" s="39">
        <f>SUMIF(Assumptions!$BB$105:$BB$128,'non-road'!$DA6,Assumptions!BQ$105:BQ$128)</f>
        <v>3.19829652</v>
      </c>
      <c r="DP6" s="39">
        <f>SUMIF(Assumptions!$BB$105:$BB$128,'non-road'!$DA6,Assumptions!BR$105:BR$128)</f>
        <v>0.3797260128</v>
      </c>
      <c r="DQ6" s="39">
        <f>SUMIF(Assumptions!$BB$105:$BB$128,'non-road'!$DA6,Assumptions!BS$105:BS$128)</f>
        <v>179.286291306</v>
      </c>
      <c r="DR6" s="39">
        <f>SUMIF(Assumptions!$BB$105:$BB$128,'non-road'!$DA6,Assumptions!BT$105:BT$128)</f>
        <v>0.2450282832</v>
      </c>
      <c r="DS6" s="39">
        <f>SUMIF(Assumptions!$BB$105:$BB$128,'non-road'!$DA6,Assumptions!BU$105:BU$128)</f>
        <v>37.9845252864</v>
      </c>
      <c r="DT6" s="39">
        <f>SUMIF(Assumptions!$BB$105:$BB$128,'non-road'!$DA6,Assumptions!BV$105:BV$128)</f>
        <v>147.5997682932</v>
      </c>
      <c r="DU6" s="39">
        <f>SUMIF(Assumptions!$BB$105:$BB$128,'non-road'!$DA6,Assumptions!BW$105:BW$128)</f>
        <v>90.0659894256</v>
      </c>
      <c r="DV6" s="39">
        <f>SUMIF(Assumptions!$BB$105:$BB$128,'non-road'!$DA6,Assumptions!BX$105:BX$128)</f>
        <v>60.2006741712</v>
      </c>
      <c r="DW6" s="39">
        <f>SUMIF(Assumptions!$BB$105:$BB$128,'non-road'!$DA6,Assumptions!BY$105:BY$128)</f>
        <v>2814.8464867644</v>
      </c>
      <c r="DX6" s="39">
        <f>SUMIF(Assumptions!$BB$105:$BB$128,'non-road'!$DA6,Assumptions!BZ$105:BZ$128)</f>
        <v>14.7001143816</v>
      </c>
      <c r="DY6" s="39">
        <f>SUMIF(Assumptions!$BB$105:$BB$128,'non-road'!$DA6,Assumptions!CA$105:CA$128)</f>
        <v>1.416206034</v>
      </c>
      <c r="DZ6" s="39">
        <f>SUMIF(Assumptions!$BB$105:$BB$128,'non-road'!$DA6,Assumptions!CB$105:CB$128)</f>
        <v>364.155282666</v>
      </c>
      <c r="EA6" s="39">
        <f>SUMIF(Assumptions!$BB$105:$BB$128,'non-road'!$DA6,Assumptions!CC$105:CC$128)</f>
        <v>245.790197064</v>
      </c>
      <c r="EB6" s="39">
        <f>SUMIF(Assumptions!$BB$105:$BB$128,'non-road'!$DA6,Assumptions!CD$105:CD$128)</f>
        <v>40.8475344888</v>
      </c>
      <c r="EC6" s="39">
        <f>SUMIF(Assumptions!$BB$105:$BB$128,'non-road'!$DA6,Assumptions!CE$105:CE$128)</f>
        <v>52.743296736</v>
      </c>
      <c r="ED6" s="39">
        <f>SUMIF(Assumptions!$BB$105:$BB$128,'non-road'!$DA6,Assumptions!CF$105:CF$128)</f>
        <v>104.0678460504</v>
      </c>
      <c r="EE6" s="39">
        <f>SUMIF(Assumptions!$BB$105:$BB$128,'non-road'!$DA6,Assumptions!CG$105:CG$128)</f>
        <v>10.7713929204</v>
      </c>
      <c r="EF6" s="39">
        <f>SUMIF(Assumptions!$BB$105:$BB$128,'non-road'!$DA6,Assumptions!CH$105:CH$128)</f>
        <v>2.769819408</v>
      </c>
      <c r="EG6" s="39">
        <f>SUMIF(Assumptions!$BB$105:$BB$128,'non-road'!$DA6,Assumptions!CI$105:CI$128)</f>
        <v>50.4389992464</v>
      </c>
      <c r="EH6" s="39">
        <f>SUMIF(Assumptions!$BB$105:$BB$128,'non-road'!$DA6,Assumptions!CJ$105:CJ$128)</f>
        <v>37.1254944096</v>
      </c>
      <c r="EI6" s="39">
        <f>SUMIF(Assumptions!$BB$105:$BB$128,'non-road'!$DA6,Assumptions!CK$105:CK$128)</f>
        <v>7.6400014644</v>
      </c>
      <c r="EJ6" s="39">
        <f>SUMIF(Assumptions!$BB$105:$BB$128,'non-road'!$DA6,Assumptions!CL$105:CL$128)</f>
        <v>0</v>
      </c>
      <c r="EK6" s="39">
        <f>SUMIF(Assumptions!$BB$105:$BB$128,'non-road'!$DA6,Assumptions!CM$105:CM$128)</f>
        <v>0</v>
      </c>
      <c r="EL6" s="39">
        <f>SUMIF(Assumptions!$BB$105:$BB$128,'non-road'!$DA6,Assumptions!CN$105:CN$128)</f>
        <v>0</v>
      </c>
      <c r="EM6" s="39">
        <f>SUMIF(Assumptions!$BB$105:$BB$128,'non-road'!$DA6,Assumptions!CO$105:CO$128)</f>
        <v>0</v>
      </c>
      <c r="EN6" s="39">
        <f>SUMIF(Assumptions!$BB$105:$BB$128,'non-road'!$DA6,Assumptions!CP$105:CP$128)</f>
        <v>0</v>
      </c>
      <c r="EO6" s="39">
        <f>SUMIF(Assumptions!$BB$105:$BB$128,'non-road'!$DA6,Assumptions!CQ$105:CQ$128)</f>
        <v>0</v>
      </c>
      <c r="EP6" s="39">
        <f>SUMIF(Assumptions!$BB$105:$BB$128,'non-road'!$DA6,Assumptions!CR$105:CR$128)</f>
        <v>0</v>
      </c>
      <c r="EQ6" s="39">
        <f>SUMIF(Assumptions!$BB$105:$BB$128,'non-road'!$DA6,Assumptions!CS$105:CS$128)</f>
        <v>0</v>
      </c>
      <c r="ER6" s="39">
        <f>SUMIF(Assumptions!$BB$105:$BB$128,'non-road'!$DA6,Assumptions!CT$105:CT$128)</f>
        <v>0</v>
      </c>
      <c r="ES6" s="39">
        <f>SUMIF(Assumptions!$BB$105:$BB$128,'non-road'!$DA6,Assumptions!CU$105:CU$128)</f>
        <v>0</v>
      </c>
      <c r="ET6" s="39">
        <f>SUMIF(Assumptions!$BB$105:$BB$128,'non-road'!$DA6,Assumptions!CV$105:CV$128)</f>
        <v>0</v>
      </c>
      <c r="EU6" s="39">
        <f>SUMIF(Assumptions!$BB$105:$BB$128,'non-road'!$DA6,Assumptions!CW$105:CW$128)</f>
        <v>0</v>
      </c>
      <c r="EV6" s="39"/>
      <c r="EW6" s="39" t="str">
        <f t="shared" si="48"/>
        <v>\I:</v>
      </c>
      <c r="EX6" s="39" t="str">
        <f t="shared" si="47"/>
        <v/>
      </c>
      <c r="EY6" s="39" t="s">
        <v>133</v>
      </c>
      <c r="EZ6" s="39" t="s">
        <v>85</v>
      </c>
      <c r="FA6" s="39" t="s">
        <v>440</v>
      </c>
      <c r="FB6" s="39"/>
      <c r="FC6" s="39"/>
      <c r="FD6" s="39"/>
    </row>
    <row r="7" spans="1:160">
      <c r="A7" s="39" t="s">
        <v>443</v>
      </c>
      <c r="B7" s="39"/>
      <c r="C7" s="39" t="str">
        <f t="shared" si="49"/>
        <v/>
      </c>
      <c r="D7" s="39" t="s">
        <v>69</v>
      </c>
      <c r="E7" s="39"/>
      <c r="F7" s="39" t="s">
        <v>194</v>
      </c>
      <c r="G7" s="40">
        <f ca="1">SUMIFS(Assumptions!BD$3:BD$103,Assumptions!$G$3:$G$103,'non-road'!$F7,Assumptions!$B$3:$B$103,'non-road'!$D7)/SUMIF(Assumptions!$G$3:$G$103,'non-road'!$F7,Assumptions!BD$3:BD$103)</f>
        <v>0.413872240240756</v>
      </c>
      <c r="H7" s="40">
        <f ca="1">SUMIFS(Assumptions!BE$3:BE$103,Assumptions!$G$3:$G$103,'non-road'!$F7,Assumptions!$B$3:$B$103,'non-road'!$D7)/SUMIF(Assumptions!$G$3:$G$103,'non-road'!$F7,Assumptions!BE$3:BE$103)</f>
        <v>0</v>
      </c>
      <c r="I7" s="40">
        <f ca="1">SUMIFS(Assumptions!BF$3:BF$103,Assumptions!$G$3:$G$103,'non-road'!$F7,Assumptions!$B$3:$B$103,'non-road'!$D7)/SUMIF(Assumptions!$G$3:$G$103,'non-road'!$F7,Assumptions!BF$3:BF$103)</f>
        <v>4.61908919301209e-5</v>
      </c>
      <c r="J7" s="40">
        <f ca="1">SUMIFS(Assumptions!BG$3:BG$103,Assumptions!$G$3:$G$103,'non-road'!$F7,Assumptions!$B$3:$B$103,'non-road'!$D7)/SUMIF(Assumptions!$G$3:$G$103,'non-road'!$F7,Assumptions!BG$3:BG$103)</f>
        <v>0</v>
      </c>
      <c r="K7" s="40">
        <f ca="1">SUMIFS(Assumptions!BH$3:BH$103,Assumptions!$G$3:$G$103,'non-road'!$F7,Assumptions!$B$3:$B$103,'non-road'!$D7)/SUMIF(Assumptions!$G$3:$G$103,'non-road'!$F7,Assumptions!BH$3:BH$103)</f>
        <v>0</v>
      </c>
      <c r="L7" s="40">
        <f ca="1">SUMIFS(Assumptions!BI$3:BI$103,Assumptions!$G$3:$G$103,'non-road'!$F7,Assumptions!$B$3:$B$103,'non-road'!$D7)/SUMIF(Assumptions!$G$3:$G$103,'non-road'!$F7,Assumptions!BI$3:BI$103)</f>
        <v>0</v>
      </c>
      <c r="M7" s="40">
        <f ca="1">SUMIFS(Assumptions!BJ$3:BJ$103,Assumptions!$G$3:$G$103,'non-road'!$F7,Assumptions!$B$3:$B$103,'non-road'!$D7)/SUMIF(Assumptions!$G$3:$G$103,'non-road'!$F7,Assumptions!BJ$3:BJ$103)</f>
        <v>0</v>
      </c>
      <c r="N7" s="40">
        <f ca="1">SUMIFS(Assumptions!BK$3:BK$103,Assumptions!$G$3:$G$103,'non-road'!$F7,Assumptions!$B$3:$B$103,'non-road'!$D7)/SUMIF(Assumptions!$G$3:$G$103,'non-road'!$F7,Assumptions!BK$3:BK$103)</f>
        <v>0</v>
      </c>
      <c r="O7" s="40">
        <f ca="1">SUMIFS(Assumptions!BL$3:BL$103,Assumptions!$G$3:$G$103,'non-road'!$F7,Assumptions!$B$3:$B$103,'non-road'!$D7)/SUMIF(Assumptions!$G$3:$G$103,'non-road'!$F7,Assumptions!BL$3:BL$103)</f>
        <v>0</v>
      </c>
      <c r="P7" s="40">
        <f ca="1">SUMIFS(Assumptions!BM$3:BM$103,Assumptions!$G$3:$G$103,'non-road'!$F7,Assumptions!$B$3:$B$103,'non-road'!$D7)/SUMIF(Assumptions!$G$3:$G$103,'non-road'!$F7,Assumptions!BM$3:BM$103)</f>
        <v>0</v>
      </c>
      <c r="Q7" s="40">
        <f ca="1">SUMIFS(Assumptions!BN$3:BN$103,Assumptions!$G$3:$G$103,'non-road'!$F7,Assumptions!$B$3:$B$103,'non-road'!$D7)/SUMIF(Assumptions!$G$3:$G$103,'non-road'!$F7,Assumptions!BN$3:BN$103)</f>
        <v>0</v>
      </c>
      <c r="R7" s="40">
        <f ca="1">SUMIFS(Assumptions!BO$3:BO$103,Assumptions!$G$3:$G$103,'non-road'!$F7,Assumptions!$B$3:$B$103,'non-road'!$D7)/SUMIF(Assumptions!$G$3:$G$103,'non-road'!$F7,Assumptions!BO$3:BO$103)</f>
        <v>0</v>
      </c>
      <c r="S7" s="40">
        <f ca="1">SUMIFS(Assumptions!BP$3:BP$103,Assumptions!$G$3:$G$103,'non-road'!$F7,Assumptions!$B$3:$B$103,'non-road'!$D7)/SUMIF(Assumptions!$G$3:$G$103,'non-road'!$F7,Assumptions!BP$3:BP$103)</f>
        <v>0</v>
      </c>
      <c r="T7" s="40">
        <f ca="1">SUMIFS(Assumptions!BQ$3:BQ$103,Assumptions!$G$3:$G$103,'non-road'!$F7,Assumptions!$B$3:$B$103,'non-road'!$D7)/SUMIF(Assumptions!$G$3:$G$103,'non-road'!$F7,Assumptions!BQ$3:BQ$103)</f>
        <v>0</v>
      </c>
      <c r="U7" s="40" t="e">
        <f ca="1">SUMIFS(Assumptions!BR$3:BR$103,Assumptions!$G$3:$G$103,'non-road'!$F7,Assumptions!$B$3:$B$103,'non-road'!$D7)/SUMIF(Assumptions!$G$3:$G$103,'non-road'!$F7,Assumptions!BR$3:BR$103)</f>
        <v>#DIV/0!</v>
      </c>
      <c r="V7" s="40">
        <f ca="1">SUMIFS(Assumptions!BS$3:BS$103,Assumptions!$G$3:$G$103,'non-road'!$F7,Assumptions!$B$3:$B$103,'non-road'!$D7)/SUMIF(Assumptions!$G$3:$G$103,'non-road'!$F7,Assumptions!BS$3:BS$103)</f>
        <v>0</v>
      </c>
      <c r="W7" s="40">
        <f ca="1">SUMIFS(Assumptions!BT$3:BT$103,Assumptions!$G$3:$G$103,'non-road'!$F7,Assumptions!$B$3:$B$103,'non-road'!$D7)/SUMIF(Assumptions!$G$3:$G$103,'non-road'!$F7,Assumptions!BT$3:BT$103)</f>
        <v>0</v>
      </c>
      <c r="X7" s="40">
        <f ca="1">SUMIFS(Assumptions!BU$3:BU$103,Assumptions!$G$3:$G$103,'non-road'!$F7,Assumptions!$B$3:$B$103,'non-road'!$D7)/SUMIF(Assumptions!$G$3:$G$103,'non-road'!$F7,Assumptions!BU$3:BU$103)</f>
        <v>0</v>
      </c>
      <c r="Y7" s="40">
        <f ca="1">SUMIFS(Assumptions!BV$3:BV$103,Assumptions!$G$3:$G$103,'non-road'!$F7,Assumptions!$B$3:$B$103,'non-road'!$D7)/SUMIF(Assumptions!$G$3:$G$103,'non-road'!$F7,Assumptions!BV$3:BV$103)</f>
        <v>0</v>
      </c>
      <c r="Z7" s="40">
        <f ca="1">SUMIFS(Assumptions!BW$3:BW$103,Assumptions!$G$3:$G$103,'non-road'!$F7,Assumptions!$B$3:$B$103,'non-road'!$D7)/SUMIF(Assumptions!$G$3:$G$103,'non-road'!$F7,Assumptions!BW$3:BW$103)</f>
        <v>0</v>
      </c>
      <c r="AA7" s="40">
        <f ca="1">SUMIFS(Assumptions!BX$3:BX$103,Assumptions!$G$3:$G$103,'non-road'!$F7,Assumptions!$B$3:$B$103,'non-road'!$D7)/SUMIF(Assumptions!$G$3:$G$103,'non-road'!$F7,Assumptions!BX$3:BX$103)</f>
        <v>0</v>
      </c>
      <c r="AB7" s="40">
        <f ca="1">SUMIFS(Assumptions!BY$3:BY$103,Assumptions!$G$3:$G$103,'non-road'!$F7,Assumptions!$B$3:$B$103,'non-road'!$D7)/SUMIF(Assumptions!$G$3:$G$103,'non-road'!$F7,Assumptions!BY$3:BY$103)</f>
        <v>0</v>
      </c>
      <c r="AC7" s="40">
        <f ca="1">SUMIFS(Assumptions!BZ$3:BZ$103,Assumptions!$G$3:$G$103,'non-road'!$F7,Assumptions!$B$3:$B$103,'non-road'!$D7)/SUMIF(Assumptions!$G$3:$G$103,'non-road'!$F7,Assumptions!BZ$3:BZ$103)</f>
        <v>0</v>
      </c>
      <c r="AD7" s="40">
        <f ca="1">SUMIFS(Assumptions!CA$3:CA$103,Assumptions!$G$3:$G$103,'non-road'!$F7,Assumptions!$B$3:$B$103,'non-road'!$D7)/SUMIF(Assumptions!$G$3:$G$103,'non-road'!$F7,Assumptions!CA$3:CA$103)</f>
        <v>0</v>
      </c>
      <c r="AE7" s="40">
        <f ca="1">SUMIFS(Assumptions!CB$3:CB$103,Assumptions!$G$3:$G$103,'non-road'!$F7,Assumptions!$B$3:$B$103,'non-road'!$D7)/SUMIF(Assumptions!$G$3:$G$103,'non-road'!$F7,Assumptions!CB$3:CB$103)</f>
        <v>0.000304010563433355</v>
      </c>
      <c r="AF7" s="40">
        <f ca="1">SUMIFS(Assumptions!CC$3:CC$103,Assumptions!$G$3:$G$103,'non-road'!$F7,Assumptions!$B$3:$B$103,'non-road'!$D7)/SUMIF(Assumptions!$G$3:$G$103,'non-road'!$F7,Assumptions!CC$3:CC$103)</f>
        <v>0.000404010981137574</v>
      </c>
      <c r="AG7" s="40" t="e">
        <f ca="1">SUMIFS(Assumptions!CD$3:CD$103,Assumptions!$G$3:$G$103,'non-road'!$F7,Assumptions!$B$3:$B$103,'non-road'!$D7)/SUMIF(Assumptions!$G$3:$G$103,'non-road'!$F7,Assumptions!CD$3:CD$103)</f>
        <v>#DIV/0!</v>
      </c>
      <c r="AH7" s="40">
        <f ca="1">SUMIFS(Assumptions!CE$3:CE$103,Assumptions!$G$3:$G$103,'non-road'!$F7,Assumptions!$B$3:$B$103,'non-road'!$D7)/SUMIF(Assumptions!$G$3:$G$103,'non-road'!$F7,Assumptions!CE$3:CE$103)</f>
        <v>0.2358105131915</v>
      </c>
      <c r="AI7" s="40">
        <f ca="1">SUMIFS(Assumptions!CF$3:CF$103,Assumptions!$G$3:$G$103,'non-road'!$F7,Assumptions!$B$3:$B$103,'non-road'!$D7)/SUMIF(Assumptions!$G$3:$G$103,'non-road'!$F7,Assumptions!CF$3:CF$103)</f>
        <v>0</v>
      </c>
      <c r="AJ7" s="40">
        <f ca="1">SUMIFS(Assumptions!CG$3:CG$103,Assumptions!$G$3:$G$103,'non-road'!$F7,Assumptions!$B$3:$B$103,'non-road'!$D7)/SUMIF(Assumptions!$G$3:$G$103,'non-road'!$F7,Assumptions!CG$3:CG$103)</f>
        <v>0</v>
      </c>
      <c r="AK7" s="40">
        <f ca="1">SUMIFS(Assumptions!CH$3:CH$103,Assumptions!$G$3:$G$103,'non-road'!$F7,Assumptions!$B$3:$B$103,'non-road'!$D7)/SUMIF(Assumptions!$G$3:$G$103,'non-road'!$F7,Assumptions!CH$3:CH$103)</f>
        <v>0</v>
      </c>
      <c r="AL7" s="40">
        <f ca="1">SUMIFS(Assumptions!CI$3:CI$103,Assumptions!$G$3:$G$103,'non-road'!$F7,Assumptions!$B$3:$B$103,'non-road'!$D7)/SUMIF(Assumptions!$G$3:$G$103,'non-road'!$F7,Assumptions!CI$3:CI$103)</f>
        <v>0</v>
      </c>
      <c r="AM7" s="40">
        <f ca="1">SUMIFS(Assumptions!CJ$3:CJ$103,Assumptions!$G$3:$G$103,'non-road'!$F7,Assumptions!$B$3:$B$103,'non-road'!$D7)/SUMIF(Assumptions!$G$3:$G$103,'non-road'!$F7,Assumptions!CJ$3:CJ$103)</f>
        <v>0</v>
      </c>
      <c r="AN7" s="40">
        <f ca="1">SUMIFS(Assumptions!CK$3:CK$103,Assumptions!$G$3:$G$103,'non-road'!$F7,Assumptions!$B$3:$B$103,'non-road'!$D7)/SUMIF(Assumptions!$G$3:$G$103,'non-road'!$F7,Assumptions!CK$3:CK$103)</f>
        <v>0</v>
      </c>
      <c r="AO7" s="40">
        <f ca="1">SUMIFS(Assumptions!CL$3:CL$103,Assumptions!$G$3:$G$103,'non-road'!$F7,Assumptions!$B$3:$B$103,'non-road'!$D7)/SUMIF(Assumptions!$G$3:$G$103,'non-road'!$F7,Assumptions!CL$3:CL$103)</f>
        <v>0</v>
      </c>
      <c r="AP7" s="40" t="e">
        <f ca="1">SUMIFS(Assumptions!CM$3:CM$103,Assumptions!$G$3:$G$103,'non-road'!$F7,Assumptions!$B$3:$B$103,'non-road'!$D7)/SUMIF(Assumptions!$G$3:$G$103,'non-road'!$F7,Assumptions!CM$3:CM$103)</f>
        <v>#DIV/0!</v>
      </c>
      <c r="AQ7" s="40" t="e">
        <f ca="1">SUMIFS(Assumptions!CN$3:CN$103,Assumptions!$G$3:$G$103,'non-road'!$F7,Assumptions!$B$3:$B$103,'non-road'!$D7)/SUMIF(Assumptions!$G$3:$G$103,'non-road'!$F7,Assumptions!CN$3:CN$103)</f>
        <v>#DIV/0!</v>
      </c>
      <c r="AR7" s="40" t="e">
        <f ca="1">SUMIFS(Assumptions!CO$3:CO$103,Assumptions!$G$3:$G$103,'non-road'!$F7,Assumptions!$B$3:$B$103,'non-road'!$D7)/SUMIF(Assumptions!$G$3:$G$103,'non-road'!$F7,Assumptions!CO$3:CO$103)</f>
        <v>#DIV/0!</v>
      </c>
      <c r="AS7" s="40" t="e">
        <f ca="1">SUMIFS(Assumptions!CP$3:CP$103,Assumptions!$G$3:$G$103,'non-road'!$F7,Assumptions!$B$3:$B$103,'non-road'!$D7)/SUMIF(Assumptions!$G$3:$G$103,'non-road'!$F7,Assumptions!CP$3:CP$103)</f>
        <v>#DIV/0!</v>
      </c>
      <c r="AT7" s="40" t="e">
        <f ca="1">SUMIFS(Assumptions!CQ$3:CQ$103,Assumptions!$G$3:$G$103,'non-road'!$F7,Assumptions!$B$3:$B$103,'non-road'!$D7)/SUMIF(Assumptions!$G$3:$G$103,'non-road'!$F7,Assumptions!CQ$3:CQ$103)</f>
        <v>#DIV/0!</v>
      </c>
      <c r="AU7" s="40" t="e">
        <f ca="1">SUMIFS(Assumptions!CR$3:CR$103,Assumptions!$G$3:$G$103,'non-road'!$F7,Assumptions!$B$3:$B$103,'non-road'!$D7)/SUMIF(Assumptions!$G$3:$G$103,'non-road'!$F7,Assumptions!CR$3:CR$103)</f>
        <v>#DIV/0!</v>
      </c>
      <c r="AV7" s="40" t="e">
        <f ca="1">SUMIFS(Assumptions!CS$3:CS$103,Assumptions!$G$3:$G$103,'non-road'!$F7,Assumptions!$B$3:$B$103,'non-road'!$D7)/SUMIF(Assumptions!$G$3:$G$103,'non-road'!$F7,Assumptions!CS$3:CS$103)</f>
        <v>#DIV/0!</v>
      </c>
      <c r="AW7" s="40" t="e">
        <f ca="1">SUMIFS(Assumptions!CT$3:CT$103,Assumptions!$G$3:$G$103,'non-road'!$F7,Assumptions!$B$3:$B$103,'non-road'!$D7)/SUMIF(Assumptions!$G$3:$G$103,'non-road'!$F7,Assumptions!CT$3:CT$103)</f>
        <v>#DIV/0!</v>
      </c>
      <c r="AX7" s="40" t="e">
        <f ca="1">SUMIFS(Assumptions!CU$3:CU$103,Assumptions!$G$3:$G$103,'non-road'!$F7,Assumptions!$B$3:$B$103,'non-road'!$D7)/SUMIF(Assumptions!$G$3:$G$103,'non-road'!$F7,Assumptions!CU$3:CU$103)</f>
        <v>#DIV/0!</v>
      </c>
      <c r="AY7" s="40" t="e">
        <f ca="1">SUMIFS(Assumptions!CV$3:CV$103,Assumptions!$G$3:$G$103,'non-road'!$F7,Assumptions!$B$3:$B$103,'non-road'!$D7)/SUMIF(Assumptions!$G$3:$G$103,'non-road'!$F7,Assumptions!CV$3:CV$103)</f>
        <v>#DIV/0!</v>
      </c>
      <c r="AZ7" s="40" t="e">
        <f ca="1">SUMIFS(Assumptions!CW$3:CW$103,Assumptions!$G$3:$G$103,'non-road'!$F7,Assumptions!$B$3:$B$103,'non-road'!$D7)/SUMIF(Assumptions!$G$3:$G$103,'non-road'!$F7,Assumptions!CW$3:CW$103)</f>
        <v>#DIV/0!</v>
      </c>
      <c r="BA7" s="41"/>
      <c r="BB7" s="40"/>
      <c r="BC7" s="40"/>
      <c r="BD7" s="39" t="str">
        <f t="shared" si="50"/>
        <v>\I:</v>
      </c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39"/>
      <c r="CZ7" s="39"/>
      <c r="DA7" s="39" t="s">
        <v>87</v>
      </c>
      <c r="DB7" s="39">
        <f>SUMIF(Assumptions!$BB$105:$BB$128,'non-road'!$DA7,Assumptions!BD$105:BD$128)</f>
        <v>12.03307254</v>
      </c>
      <c r="DC7" s="39">
        <f>SUMIF(Assumptions!$BB$105:$BB$128,'non-road'!$DA7,Assumptions!BE$105:BE$128)</f>
        <v>23.5543757688</v>
      </c>
      <c r="DD7" s="39">
        <f>SUMIF(Assumptions!$BB$105:$BB$128,'non-road'!$DA7,Assumptions!BF$105:BF$128)</f>
        <v>29.1869322372</v>
      </c>
      <c r="DE7" s="39">
        <f>SUMIF(Assumptions!$BB$105:$BB$128,'non-road'!$DA7,Assumptions!BG$105:BG$128)</f>
        <v>1.1377042848</v>
      </c>
      <c r="DF7" s="39">
        <f>SUMIF(Assumptions!$BB$105:$BB$128,'non-road'!$DA7,Assumptions!BH$105:BH$128)</f>
        <v>0.5212021716</v>
      </c>
      <c r="DG7" s="39">
        <f>SUMIF(Assumptions!$BB$105:$BB$128,'non-road'!$DA7,Assumptions!BI$105:BI$128)</f>
        <v>17.9581774716</v>
      </c>
      <c r="DH7" s="39">
        <f>SUMIF(Assumptions!$BB$105:$BB$128,'non-road'!$DA7,Assumptions!BJ$105:BJ$128)</f>
        <v>54.3115338516</v>
      </c>
      <c r="DI7" s="39">
        <f>SUMIF(Assumptions!$BB$105:$BB$128,'non-road'!$DA7,Assumptions!BK$105:BK$128)</f>
        <v>1018.0260679932</v>
      </c>
      <c r="DJ7" s="39">
        <f>SUMIF(Assumptions!$BB$105:$BB$128,'non-road'!$DA7,Assumptions!BL$105:BL$128)</f>
        <v>2.0970592632</v>
      </c>
      <c r="DK7" s="39">
        <f>SUMIF(Assumptions!$BB$105:$BB$128,'non-road'!$DA7,Assumptions!BM$105:BM$128)</f>
        <v>0.2129992632</v>
      </c>
      <c r="DL7" s="39">
        <f>SUMIF(Assumptions!$BB$105:$BB$128,'non-road'!$DA7,Assumptions!BN$105:BN$128)</f>
        <v>21.093370542</v>
      </c>
      <c r="DM7" s="39">
        <f>SUMIF(Assumptions!$BB$105:$BB$128,'non-road'!$DA7,Assumptions!BO$105:BO$128)</f>
        <v>11.2463979408</v>
      </c>
      <c r="DN7" s="39">
        <f>SUMIF(Assumptions!$BB$105:$BB$128,'non-road'!$DA7,Assumptions!BP$105:BP$128)</f>
        <v>26.8634424564</v>
      </c>
      <c r="DO7" s="39">
        <f>SUMIF(Assumptions!$BB$105:$BB$128,'non-road'!$DA7,Assumptions!BQ$105:BQ$128)</f>
        <v>2.037966768</v>
      </c>
      <c r="DP7" s="39">
        <f>SUMIF(Assumptions!$BB$105:$BB$128,'non-road'!$DA7,Assumptions!BR$105:BR$128)</f>
        <v>0.6990113808</v>
      </c>
      <c r="DQ7" s="39">
        <f>SUMIF(Assumptions!$BB$105:$BB$128,'non-road'!$DA7,Assumptions!BS$105:BS$128)</f>
        <v>64.3754036268</v>
      </c>
      <c r="DR7" s="39">
        <f>SUMIF(Assumptions!$BB$105:$BB$128,'non-road'!$DA7,Assumptions!BT$105:BT$128)</f>
        <v>3.6805991328</v>
      </c>
      <c r="DS7" s="39">
        <f>SUMIF(Assumptions!$BB$105:$BB$128,'non-road'!$DA7,Assumptions!BU$105:BU$128)</f>
        <v>25.9399641672</v>
      </c>
      <c r="DT7" s="39">
        <f>SUMIF(Assumptions!$BB$105:$BB$128,'non-road'!$DA7,Assumptions!BV$105:BV$128)</f>
        <v>131.0018151528</v>
      </c>
      <c r="DU7" s="39">
        <f>SUMIF(Assumptions!$BB$105:$BB$128,'non-road'!$DA7,Assumptions!BW$105:BW$128)</f>
        <v>51.9456443472</v>
      </c>
      <c r="DV7" s="39">
        <f>SUMIF(Assumptions!$BB$105:$BB$128,'non-road'!$DA7,Assumptions!BX$105:BX$128)</f>
        <v>0</v>
      </c>
      <c r="DW7" s="39">
        <f>SUMIF(Assumptions!$BB$105:$BB$128,'non-road'!$DA7,Assumptions!BY$105:BY$128)</f>
        <v>445.680296388</v>
      </c>
      <c r="DX7" s="39">
        <f>SUMIF(Assumptions!$BB$105:$BB$128,'non-road'!$DA7,Assumptions!BZ$105:BZ$128)</f>
        <v>42.0007801752</v>
      </c>
      <c r="DY7" s="39">
        <f>SUMIF(Assumptions!$BB$105:$BB$128,'non-road'!$DA7,Assumptions!CA$105:CA$128)</f>
        <v>0.077958216</v>
      </c>
      <c r="DZ7" s="39">
        <f>SUMIF(Assumptions!$BB$105:$BB$128,'non-road'!$DA7,Assumptions!CB$105:CB$128)</f>
        <v>280.9286320068</v>
      </c>
      <c r="EA7" s="39">
        <f>SUMIF(Assumptions!$BB$105:$BB$128,'non-road'!$DA7,Assumptions!CC$105:CC$128)</f>
        <v>25.594159608</v>
      </c>
      <c r="EB7" s="39">
        <f>SUMIF(Assumptions!$BB$105:$BB$128,'non-road'!$DA7,Assumptions!CD$105:CD$128)</f>
        <v>0</v>
      </c>
      <c r="EC7" s="39">
        <f>SUMIF(Assumptions!$BB$105:$BB$128,'non-road'!$DA7,Assumptions!CE$105:CE$128)</f>
        <v>11.0551951584</v>
      </c>
      <c r="ED7" s="39">
        <f>SUMIF(Assumptions!$BB$105:$BB$128,'non-road'!$DA7,Assumptions!CF$105:CF$128)</f>
        <v>46.7004380544</v>
      </c>
      <c r="EE7" s="39">
        <f>SUMIF(Assumptions!$BB$105:$BB$128,'non-road'!$DA7,Assumptions!CG$105:CG$128)</f>
        <v>16.4468640888</v>
      </c>
      <c r="EF7" s="39">
        <f>SUMIF(Assumptions!$BB$105:$BB$128,'non-road'!$DA7,Assumptions!CH$105:CH$128)</f>
        <v>1.548676386</v>
      </c>
      <c r="EG7" s="39">
        <f>SUMIF(Assumptions!$BB$105:$BB$128,'non-road'!$DA7,Assumptions!CI$105:CI$128)</f>
        <v>16.2248004036</v>
      </c>
      <c r="EH7" s="39">
        <f>SUMIF(Assumptions!$BB$105:$BB$128,'non-road'!$DA7,Assumptions!CJ$105:CJ$128)</f>
        <v>37.1789765928</v>
      </c>
      <c r="EI7" s="39">
        <f>SUMIF(Assumptions!$BB$105:$BB$128,'non-road'!$DA7,Assumptions!CK$105:CK$128)</f>
        <v>5.6338711236</v>
      </c>
      <c r="EJ7" s="39">
        <f>SUMIF(Assumptions!$BB$105:$BB$128,'non-road'!$DA7,Assumptions!CL$105:CL$128)</f>
        <v>1.8217478556</v>
      </c>
      <c r="EK7" s="39">
        <f>SUMIF(Assumptions!$BB$105:$BB$128,'non-road'!$DA7,Assumptions!CM$105:CM$128)</f>
        <v>0</v>
      </c>
      <c r="EL7" s="39">
        <f>SUMIF(Assumptions!$BB$105:$BB$128,'non-road'!$DA7,Assumptions!CN$105:CN$128)</f>
        <v>0</v>
      </c>
      <c r="EM7" s="39">
        <f>SUMIF(Assumptions!$BB$105:$BB$128,'non-road'!$DA7,Assumptions!CO$105:CO$128)</f>
        <v>0</v>
      </c>
      <c r="EN7" s="39">
        <f>SUMIF(Assumptions!$BB$105:$BB$128,'non-road'!$DA7,Assumptions!CP$105:CP$128)</f>
        <v>0</v>
      </c>
      <c r="EO7" s="39">
        <f>SUMIF(Assumptions!$BB$105:$BB$128,'non-road'!$DA7,Assumptions!CQ$105:CQ$128)</f>
        <v>0</v>
      </c>
      <c r="EP7" s="39">
        <f>SUMIF(Assumptions!$BB$105:$BB$128,'non-road'!$DA7,Assumptions!CR$105:CR$128)</f>
        <v>0</v>
      </c>
      <c r="EQ7" s="39">
        <f>SUMIF(Assumptions!$BB$105:$BB$128,'non-road'!$DA7,Assumptions!CS$105:CS$128)</f>
        <v>0</v>
      </c>
      <c r="ER7" s="39">
        <f>SUMIF(Assumptions!$BB$105:$BB$128,'non-road'!$DA7,Assumptions!CT$105:CT$128)</f>
        <v>0</v>
      </c>
      <c r="ES7" s="39">
        <f>SUMIF(Assumptions!$BB$105:$BB$128,'non-road'!$DA7,Assumptions!CU$105:CU$128)</f>
        <v>0</v>
      </c>
      <c r="ET7" s="39">
        <f>SUMIF(Assumptions!$BB$105:$BB$128,'non-road'!$DA7,Assumptions!CV$105:CV$128)</f>
        <v>0</v>
      </c>
      <c r="EU7" s="39">
        <f>SUMIF(Assumptions!$BB$105:$BB$128,'non-road'!$DA7,Assumptions!CW$105:CW$128)</f>
        <v>0</v>
      </c>
      <c r="EV7" s="39"/>
      <c r="EW7" s="39" t="str">
        <f t="shared" si="48"/>
        <v>\I:</v>
      </c>
      <c r="EX7" s="39" t="str">
        <f t="shared" si="47"/>
        <v/>
      </c>
      <c r="EY7" s="39" t="s">
        <v>133</v>
      </c>
      <c r="EZ7" s="39" t="s">
        <v>85</v>
      </c>
      <c r="FA7" s="39" t="s">
        <v>440</v>
      </c>
      <c r="FB7" s="39"/>
      <c r="FC7" s="39"/>
      <c r="FD7" s="39"/>
    </row>
    <row r="8" spans="1:160">
      <c r="A8" s="39" t="s">
        <v>444</v>
      </c>
      <c r="B8" s="39"/>
      <c r="C8" s="39" t="str">
        <f t="shared" si="49"/>
        <v/>
      </c>
      <c r="D8" s="39" t="s">
        <v>74</v>
      </c>
      <c r="E8" s="39"/>
      <c r="F8" s="39" t="s">
        <v>194</v>
      </c>
      <c r="G8" s="40">
        <f ca="1">SUMIFS(Assumptions!BD$3:BD$103,Assumptions!$G$3:$G$103,'non-road'!$F8,Assumptions!$B$3:$B$103,'non-road'!$D8)/SUMIF(Assumptions!$G$3:$G$103,'non-road'!$F8,Assumptions!BD$3:BD$103)</f>
        <v>0</v>
      </c>
      <c r="H8" s="40">
        <f ca="1">SUMIFS(Assumptions!BE$3:BE$103,Assumptions!$G$3:$G$103,'non-road'!$F8,Assumptions!$B$3:$B$103,'non-road'!$D8)/SUMIF(Assumptions!$G$3:$G$103,'non-road'!$F8,Assumptions!BE$3:BE$103)</f>
        <v>0</v>
      </c>
      <c r="I8" s="40">
        <f ca="1">SUMIFS(Assumptions!BF$3:BF$103,Assumptions!$G$3:$G$103,'non-road'!$F8,Assumptions!$B$3:$B$103,'non-road'!$D8)/SUMIF(Assumptions!$G$3:$G$103,'non-road'!$F8,Assumptions!BF$3:BF$103)</f>
        <v>0</v>
      </c>
      <c r="J8" s="40">
        <f ca="1">SUMIFS(Assumptions!BG$3:BG$103,Assumptions!$G$3:$G$103,'non-road'!$F8,Assumptions!$B$3:$B$103,'non-road'!$D8)/SUMIF(Assumptions!$G$3:$G$103,'non-road'!$F8,Assumptions!BG$3:BG$103)</f>
        <v>0</v>
      </c>
      <c r="K8" s="40">
        <f ca="1">SUMIFS(Assumptions!BH$3:BH$103,Assumptions!$G$3:$G$103,'non-road'!$F8,Assumptions!$B$3:$B$103,'non-road'!$D8)/SUMIF(Assumptions!$G$3:$G$103,'non-road'!$F8,Assumptions!BH$3:BH$103)</f>
        <v>0</v>
      </c>
      <c r="L8" s="40">
        <f ca="1">SUMIFS(Assumptions!BI$3:BI$103,Assumptions!$G$3:$G$103,'non-road'!$F8,Assumptions!$B$3:$B$103,'non-road'!$D8)/SUMIF(Assumptions!$G$3:$G$103,'non-road'!$F8,Assumptions!BI$3:BI$103)</f>
        <v>0</v>
      </c>
      <c r="M8" s="40">
        <f ca="1">SUMIFS(Assumptions!BJ$3:BJ$103,Assumptions!$G$3:$G$103,'non-road'!$F8,Assumptions!$B$3:$B$103,'non-road'!$D8)/SUMIF(Assumptions!$G$3:$G$103,'non-road'!$F8,Assumptions!BJ$3:BJ$103)</f>
        <v>0</v>
      </c>
      <c r="N8" s="40">
        <f ca="1">SUMIFS(Assumptions!BK$3:BK$103,Assumptions!$G$3:$G$103,'non-road'!$F8,Assumptions!$B$3:$B$103,'non-road'!$D8)/SUMIF(Assumptions!$G$3:$G$103,'non-road'!$F8,Assumptions!BK$3:BK$103)</f>
        <v>0</v>
      </c>
      <c r="O8" s="40">
        <f ca="1">SUMIFS(Assumptions!BL$3:BL$103,Assumptions!$G$3:$G$103,'non-road'!$F8,Assumptions!$B$3:$B$103,'non-road'!$D8)/SUMIF(Assumptions!$G$3:$G$103,'non-road'!$F8,Assumptions!BL$3:BL$103)</f>
        <v>0</v>
      </c>
      <c r="P8" s="40">
        <f ca="1">SUMIFS(Assumptions!BM$3:BM$103,Assumptions!$G$3:$G$103,'non-road'!$F8,Assumptions!$B$3:$B$103,'non-road'!$D8)/SUMIF(Assumptions!$G$3:$G$103,'non-road'!$F8,Assumptions!BM$3:BM$103)</f>
        <v>0</v>
      </c>
      <c r="Q8" s="40">
        <f ca="1">SUMIFS(Assumptions!BN$3:BN$103,Assumptions!$G$3:$G$103,'non-road'!$F8,Assumptions!$B$3:$B$103,'non-road'!$D8)/SUMIF(Assumptions!$G$3:$G$103,'non-road'!$F8,Assumptions!BN$3:BN$103)</f>
        <v>0</v>
      </c>
      <c r="R8" s="40">
        <f ca="1">SUMIFS(Assumptions!BO$3:BO$103,Assumptions!$G$3:$G$103,'non-road'!$F8,Assumptions!$B$3:$B$103,'non-road'!$D8)/SUMIF(Assumptions!$G$3:$G$103,'non-road'!$F8,Assumptions!BO$3:BO$103)</f>
        <v>0</v>
      </c>
      <c r="S8" s="40">
        <f ca="1">SUMIFS(Assumptions!BP$3:BP$103,Assumptions!$G$3:$G$103,'non-road'!$F8,Assumptions!$B$3:$B$103,'non-road'!$D8)/SUMIF(Assumptions!$G$3:$G$103,'non-road'!$F8,Assumptions!BP$3:BP$103)</f>
        <v>0</v>
      </c>
      <c r="T8" s="40">
        <f ca="1">SUMIFS(Assumptions!BQ$3:BQ$103,Assumptions!$G$3:$G$103,'non-road'!$F8,Assumptions!$B$3:$B$103,'non-road'!$D8)/SUMIF(Assumptions!$G$3:$G$103,'non-road'!$F8,Assumptions!BQ$3:BQ$103)</f>
        <v>0</v>
      </c>
      <c r="U8" s="40" t="e">
        <f ca="1">SUMIFS(Assumptions!BR$3:BR$103,Assumptions!$G$3:$G$103,'non-road'!$F8,Assumptions!$B$3:$B$103,'non-road'!$D8)/SUMIF(Assumptions!$G$3:$G$103,'non-road'!$F8,Assumptions!BR$3:BR$103)</f>
        <v>#DIV/0!</v>
      </c>
      <c r="V8" s="40">
        <f ca="1">SUMIFS(Assumptions!BS$3:BS$103,Assumptions!$G$3:$G$103,'non-road'!$F8,Assumptions!$B$3:$B$103,'non-road'!$D8)/SUMIF(Assumptions!$G$3:$G$103,'non-road'!$F8,Assumptions!BS$3:BS$103)</f>
        <v>0</v>
      </c>
      <c r="W8" s="40">
        <f ca="1">SUMIFS(Assumptions!BT$3:BT$103,Assumptions!$G$3:$G$103,'non-road'!$F8,Assumptions!$B$3:$B$103,'non-road'!$D8)/SUMIF(Assumptions!$G$3:$G$103,'non-road'!$F8,Assumptions!BT$3:BT$103)</f>
        <v>0</v>
      </c>
      <c r="X8" s="40">
        <f ca="1">SUMIFS(Assumptions!BU$3:BU$103,Assumptions!$G$3:$G$103,'non-road'!$F8,Assumptions!$B$3:$B$103,'non-road'!$D8)/SUMIF(Assumptions!$G$3:$G$103,'non-road'!$F8,Assumptions!BU$3:BU$103)</f>
        <v>0</v>
      </c>
      <c r="Y8" s="40">
        <f ca="1">SUMIFS(Assumptions!BV$3:BV$103,Assumptions!$G$3:$G$103,'non-road'!$F8,Assumptions!$B$3:$B$103,'non-road'!$D8)/SUMIF(Assumptions!$G$3:$G$103,'non-road'!$F8,Assumptions!BV$3:BV$103)</f>
        <v>0</v>
      </c>
      <c r="Z8" s="40">
        <f ca="1">SUMIFS(Assumptions!BW$3:BW$103,Assumptions!$G$3:$G$103,'non-road'!$F8,Assumptions!$B$3:$B$103,'non-road'!$D8)/SUMIF(Assumptions!$G$3:$G$103,'non-road'!$F8,Assumptions!BW$3:BW$103)</f>
        <v>0</v>
      </c>
      <c r="AA8" s="40">
        <f ca="1">SUMIFS(Assumptions!BX$3:BX$103,Assumptions!$G$3:$G$103,'non-road'!$F8,Assumptions!$B$3:$B$103,'non-road'!$D8)/SUMIF(Assumptions!$G$3:$G$103,'non-road'!$F8,Assumptions!BX$3:BX$103)</f>
        <v>0</v>
      </c>
      <c r="AB8" s="40">
        <f ca="1">SUMIFS(Assumptions!BY$3:BY$103,Assumptions!$G$3:$G$103,'non-road'!$F8,Assumptions!$B$3:$B$103,'non-road'!$D8)/SUMIF(Assumptions!$G$3:$G$103,'non-road'!$F8,Assumptions!BY$3:BY$103)</f>
        <v>0</v>
      </c>
      <c r="AC8" s="40">
        <f ca="1">SUMIFS(Assumptions!BZ$3:BZ$103,Assumptions!$G$3:$G$103,'non-road'!$F8,Assumptions!$B$3:$B$103,'non-road'!$D8)/SUMIF(Assumptions!$G$3:$G$103,'non-road'!$F8,Assumptions!BZ$3:BZ$103)</f>
        <v>0</v>
      </c>
      <c r="AD8" s="40">
        <f ca="1">SUMIFS(Assumptions!CA$3:CA$103,Assumptions!$G$3:$G$103,'non-road'!$F8,Assumptions!$B$3:$B$103,'non-road'!$D8)/SUMIF(Assumptions!$G$3:$G$103,'non-road'!$F8,Assumptions!CA$3:CA$103)</f>
        <v>0</v>
      </c>
      <c r="AE8" s="40">
        <f ca="1">SUMIFS(Assumptions!CB$3:CB$103,Assumptions!$G$3:$G$103,'non-road'!$F8,Assumptions!$B$3:$B$103,'non-road'!$D8)/SUMIF(Assumptions!$G$3:$G$103,'non-road'!$F8,Assumptions!CB$3:CB$103)</f>
        <v>0</v>
      </c>
      <c r="AF8" s="40">
        <f ca="1">SUMIFS(Assumptions!CC$3:CC$103,Assumptions!$G$3:$G$103,'non-road'!$F8,Assumptions!$B$3:$B$103,'non-road'!$D8)/SUMIF(Assumptions!$G$3:$G$103,'non-road'!$F8,Assumptions!CC$3:CC$103)</f>
        <v>0</v>
      </c>
      <c r="AG8" s="40" t="e">
        <f ca="1">SUMIFS(Assumptions!CD$3:CD$103,Assumptions!$G$3:$G$103,'non-road'!$F8,Assumptions!$B$3:$B$103,'non-road'!$D8)/SUMIF(Assumptions!$G$3:$G$103,'non-road'!$F8,Assumptions!CD$3:CD$103)</f>
        <v>#DIV/0!</v>
      </c>
      <c r="AH8" s="40">
        <f ca="1">SUMIFS(Assumptions!CE$3:CE$103,Assumptions!$G$3:$G$103,'non-road'!$F8,Assumptions!$B$3:$B$103,'non-road'!$D8)/SUMIF(Assumptions!$G$3:$G$103,'non-road'!$F8,Assumptions!CE$3:CE$103)</f>
        <v>0</v>
      </c>
      <c r="AI8" s="40">
        <f ca="1">SUMIFS(Assumptions!CF$3:CF$103,Assumptions!$G$3:$G$103,'non-road'!$F8,Assumptions!$B$3:$B$103,'non-road'!$D8)/SUMIF(Assumptions!$G$3:$G$103,'non-road'!$F8,Assumptions!CF$3:CF$103)</f>
        <v>0</v>
      </c>
      <c r="AJ8" s="40">
        <f ca="1">SUMIFS(Assumptions!CG$3:CG$103,Assumptions!$G$3:$G$103,'non-road'!$F8,Assumptions!$B$3:$B$103,'non-road'!$D8)/SUMIF(Assumptions!$G$3:$G$103,'non-road'!$F8,Assumptions!CG$3:CG$103)</f>
        <v>0</v>
      </c>
      <c r="AK8" s="40">
        <f ca="1">SUMIFS(Assumptions!CH$3:CH$103,Assumptions!$G$3:$G$103,'non-road'!$F8,Assumptions!$B$3:$B$103,'non-road'!$D8)/SUMIF(Assumptions!$G$3:$G$103,'non-road'!$F8,Assumptions!CH$3:CH$103)</f>
        <v>0</v>
      </c>
      <c r="AL8" s="40">
        <f ca="1">SUMIFS(Assumptions!CI$3:CI$103,Assumptions!$G$3:$G$103,'non-road'!$F8,Assumptions!$B$3:$B$103,'non-road'!$D8)/SUMIF(Assumptions!$G$3:$G$103,'non-road'!$F8,Assumptions!CI$3:CI$103)</f>
        <v>0</v>
      </c>
      <c r="AM8" s="40">
        <f ca="1">SUMIFS(Assumptions!CJ$3:CJ$103,Assumptions!$G$3:$G$103,'non-road'!$F8,Assumptions!$B$3:$B$103,'non-road'!$D8)/SUMIF(Assumptions!$G$3:$G$103,'non-road'!$F8,Assumptions!CJ$3:CJ$103)</f>
        <v>0</v>
      </c>
      <c r="AN8" s="40">
        <f ca="1">SUMIFS(Assumptions!CK$3:CK$103,Assumptions!$G$3:$G$103,'non-road'!$F8,Assumptions!$B$3:$B$103,'non-road'!$D8)/SUMIF(Assumptions!$G$3:$G$103,'non-road'!$F8,Assumptions!CK$3:CK$103)</f>
        <v>0</v>
      </c>
      <c r="AO8" s="40">
        <f ca="1">SUMIFS(Assumptions!CL$3:CL$103,Assumptions!$G$3:$G$103,'non-road'!$F8,Assumptions!$B$3:$B$103,'non-road'!$D8)/SUMIF(Assumptions!$G$3:$G$103,'non-road'!$F8,Assumptions!CL$3:CL$103)</f>
        <v>0</v>
      </c>
      <c r="AP8" s="40" t="e">
        <f ca="1">SUMIFS(Assumptions!CM$3:CM$103,Assumptions!$G$3:$G$103,'non-road'!$F8,Assumptions!$B$3:$B$103,'non-road'!$D8)/SUMIF(Assumptions!$G$3:$G$103,'non-road'!$F8,Assumptions!CM$3:CM$103)</f>
        <v>#DIV/0!</v>
      </c>
      <c r="AQ8" s="40" t="e">
        <f ca="1">SUMIFS(Assumptions!CN$3:CN$103,Assumptions!$G$3:$G$103,'non-road'!$F8,Assumptions!$B$3:$B$103,'non-road'!$D8)/SUMIF(Assumptions!$G$3:$G$103,'non-road'!$F8,Assumptions!CN$3:CN$103)</f>
        <v>#DIV/0!</v>
      </c>
      <c r="AR8" s="40" t="e">
        <f ca="1">SUMIFS(Assumptions!CO$3:CO$103,Assumptions!$G$3:$G$103,'non-road'!$F8,Assumptions!$B$3:$B$103,'non-road'!$D8)/SUMIF(Assumptions!$G$3:$G$103,'non-road'!$F8,Assumptions!CO$3:CO$103)</f>
        <v>#DIV/0!</v>
      </c>
      <c r="AS8" s="40" t="e">
        <f ca="1">SUMIFS(Assumptions!CP$3:CP$103,Assumptions!$G$3:$G$103,'non-road'!$F8,Assumptions!$B$3:$B$103,'non-road'!$D8)/SUMIF(Assumptions!$G$3:$G$103,'non-road'!$F8,Assumptions!CP$3:CP$103)</f>
        <v>#DIV/0!</v>
      </c>
      <c r="AT8" s="40" t="e">
        <f ca="1">SUMIFS(Assumptions!CQ$3:CQ$103,Assumptions!$G$3:$G$103,'non-road'!$F8,Assumptions!$B$3:$B$103,'non-road'!$D8)/SUMIF(Assumptions!$G$3:$G$103,'non-road'!$F8,Assumptions!CQ$3:CQ$103)</f>
        <v>#DIV/0!</v>
      </c>
      <c r="AU8" s="40" t="e">
        <f ca="1">SUMIFS(Assumptions!CR$3:CR$103,Assumptions!$G$3:$G$103,'non-road'!$F8,Assumptions!$B$3:$B$103,'non-road'!$D8)/SUMIF(Assumptions!$G$3:$G$103,'non-road'!$F8,Assumptions!CR$3:CR$103)</f>
        <v>#DIV/0!</v>
      </c>
      <c r="AV8" s="40" t="e">
        <f ca="1">SUMIFS(Assumptions!CS$3:CS$103,Assumptions!$G$3:$G$103,'non-road'!$F8,Assumptions!$B$3:$B$103,'non-road'!$D8)/SUMIF(Assumptions!$G$3:$G$103,'non-road'!$F8,Assumptions!CS$3:CS$103)</f>
        <v>#DIV/0!</v>
      </c>
      <c r="AW8" s="40" t="e">
        <f ca="1">SUMIFS(Assumptions!CT$3:CT$103,Assumptions!$G$3:$G$103,'non-road'!$F8,Assumptions!$B$3:$B$103,'non-road'!$D8)/SUMIF(Assumptions!$G$3:$G$103,'non-road'!$F8,Assumptions!CT$3:CT$103)</f>
        <v>#DIV/0!</v>
      </c>
      <c r="AX8" s="40" t="e">
        <f ca="1">SUMIFS(Assumptions!CU$3:CU$103,Assumptions!$G$3:$G$103,'non-road'!$F8,Assumptions!$B$3:$B$103,'non-road'!$D8)/SUMIF(Assumptions!$G$3:$G$103,'non-road'!$F8,Assumptions!CU$3:CU$103)</f>
        <v>#DIV/0!</v>
      </c>
      <c r="AY8" s="40" t="e">
        <f ca="1">SUMIFS(Assumptions!CV$3:CV$103,Assumptions!$G$3:$G$103,'non-road'!$F8,Assumptions!$B$3:$B$103,'non-road'!$D8)/SUMIF(Assumptions!$G$3:$G$103,'non-road'!$F8,Assumptions!CV$3:CV$103)</f>
        <v>#DIV/0!</v>
      </c>
      <c r="AZ8" s="40" t="e">
        <f ca="1">SUMIFS(Assumptions!CW$3:CW$103,Assumptions!$G$3:$G$103,'non-road'!$F8,Assumptions!$B$3:$B$103,'non-road'!$D8)/SUMIF(Assumptions!$G$3:$G$103,'non-road'!$F8,Assumptions!CW$3:CW$103)</f>
        <v>#DIV/0!</v>
      </c>
      <c r="BA8" s="41"/>
      <c r="BB8" s="40"/>
      <c r="BC8" s="40"/>
      <c r="BD8" s="39" t="str">
        <f t="shared" si="50"/>
        <v>\I:</v>
      </c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39"/>
      <c r="CZ8" s="39"/>
      <c r="DA8" s="39" t="s">
        <v>88</v>
      </c>
      <c r="DB8" s="39">
        <f>SUMIF(Assumptions!$BB$105:$BB$128,'non-road'!$DA8,Assumptions!BD$105:BD$128)</f>
        <v>35.8465693608</v>
      </c>
      <c r="DC8" s="39">
        <f>SUMIF(Assumptions!$BB$105:$BB$128,'non-road'!$DA8,Assumptions!BE$105:BE$128)</f>
        <v>88.4268823464</v>
      </c>
      <c r="DD8" s="39">
        <f>SUMIF(Assumptions!$BB$105:$BB$128,'non-road'!$DA8,Assumptions!BF$105:BF$128)</f>
        <v>32.0973108948</v>
      </c>
      <c r="DE8" s="39">
        <f>SUMIF(Assumptions!$BB$105:$BB$128,'non-road'!$DA8,Assumptions!BG$105:BG$128)</f>
        <v>0.6130145088</v>
      </c>
      <c r="DF8" s="39">
        <f>SUMIF(Assumptions!$BB$105:$BB$128,'non-road'!$DA8,Assumptions!BH$105:BH$128)</f>
        <v>28.1848384044</v>
      </c>
      <c r="DG8" s="39">
        <f>SUMIF(Assumptions!$BB$105:$BB$128,'non-road'!$DA8,Assumptions!BI$105:BI$128)</f>
        <v>811.0212724404</v>
      </c>
      <c r="DH8" s="39">
        <f>SUMIF(Assumptions!$BB$105:$BB$128,'non-road'!$DA8,Assumptions!BJ$105:BJ$128)</f>
        <v>139.1539459932</v>
      </c>
      <c r="DI8" s="39">
        <f>SUMIF(Assumptions!$BB$105:$BB$128,'non-road'!$DA8,Assumptions!BK$105:BK$128)</f>
        <v>475.6065128352</v>
      </c>
      <c r="DJ8" s="39">
        <f>SUMIF(Assumptions!$BB$105:$BB$128,'non-road'!$DA8,Assumptions!BL$105:BL$128)</f>
        <v>8.84492901</v>
      </c>
      <c r="DK8" s="39">
        <f>SUMIF(Assumptions!$BB$105:$BB$128,'non-road'!$DA8,Assumptions!BM$105:BM$128)</f>
        <v>0</v>
      </c>
      <c r="DL8" s="39">
        <f>SUMIF(Assumptions!$BB$105:$BB$128,'non-road'!$DA8,Assumptions!BN$105:BN$128)</f>
        <v>71.088116814</v>
      </c>
      <c r="DM8" s="39">
        <f>SUMIF(Assumptions!$BB$105:$BB$128,'non-road'!$DA8,Assumptions!BO$105:BO$128)</f>
        <v>56.7955999728</v>
      </c>
      <c r="DN8" s="39">
        <f>SUMIF(Assumptions!$BB$105:$BB$128,'non-road'!$DA8,Assumptions!BP$105:BP$128)</f>
        <v>117.0844439652</v>
      </c>
      <c r="DO8" s="39">
        <f>SUMIF(Assumptions!$BB$105:$BB$128,'non-road'!$DA8,Assumptions!BQ$105:BQ$128)</f>
        <v>4.6074729168</v>
      </c>
      <c r="DP8" s="39">
        <f>SUMIF(Assumptions!$BB$105:$BB$128,'non-road'!$DA8,Assumptions!BR$105:BR$128)</f>
        <v>2.6983800396</v>
      </c>
      <c r="DQ8" s="39">
        <f>SUMIF(Assumptions!$BB$105:$BB$128,'non-road'!$DA8,Assumptions!BS$105:BS$128)</f>
        <v>68.148941346</v>
      </c>
      <c r="DR8" s="39">
        <f>SUMIF(Assumptions!$BB$105:$BB$128,'non-road'!$DA8,Assumptions!BT$105:BT$128)</f>
        <v>5.8469541228</v>
      </c>
      <c r="DS8" s="39">
        <f>SUMIF(Assumptions!$BB$105:$BB$128,'non-road'!$DA8,Assumptions!BU$105:BU$128)</f>
        <v>205.8285182796</v>
      </c>
      <c r="DT8" s="39">
        <f>SUMIF(Assumptions!$BB$105:$BB$128,'non-road'!$DA8,Assumptions!BV$105:BV$128)</f>
        <v>188.1684912096</v>
      </c>
      <c r="DU8" s="39">
        <f>SUMIF(Assumptions!$BB$105:$BB$128,'non-road'!$DA8,Assumptions!BW$105:BW$128)</f>
        <v>361.0962056196</v>
      </c>
      <c r="DV8" s="39">
        <f>SUMIF(Assumptions!$BB$105:$BB$128,'non-road'!$DA8,Assumptions!BX$105:BX$128)</f>
        <v>869.3089223292</v>
      </c>
      <c r="DW8" s="39">
        <f>SUMIF(Assumptions!$BB$105:$BB$128,'non-road'!$DA8,Assumptions!BY$105:BY$128)</f>
        <v>1015.1062481016</v>
      </c>
      <c r="DX8" s="39">
        <f>SUMIF(Assumptions!$BB$105:$BB$128,'non-road'!$DA8,Assumptions!BZ$105:BZ$128)</f>
        <v>13.7777204736</v>
      </c>
      <c r="DY8" s="39">
        <f>SUMIF(Assumptions!$BB$105:$BB$128,'non-road'!$DA8,Assumptions!CA$105:CA$128)</f>
        <v>11.40212178</v>
      </c>
      <c r="DZ8" s="39">
        <f>SUMIF(Assumptions!$BB$105:$BB$128,'non-road'!$DA8,Assumptions!CB$105:CB$128)</f>
        <v>2875.1642824788</v>
      </c>
      <c r="EA8" s="39">
        <f>SUMIF(Assumptions!$BB$105:$BB$128,'non-road'!$DA8,Assumptions!CC$105:CC$128)</f>
        <v>452.4944431788</v>
      </c>
      <c r="EB8" s="39">
        <f>SUMIF(Assumptions!$BB$105:$BB$128,'non-road'!$DA8,Assumptions!CD$105:CD$128)</f>
        <v>135.0102909672</v>
      </c>
      <c r="EC8" s="39">
        <f>SUMIF(Assumptions!$BB$105:$BB$128,'non-road'!$DA8,Assumptions!CE$105:CE$128)</f>
        <v>126.3649634604</v>
      </c>
      <c r="ED8" s="39">
        <f>SUMIF(Assumptions!$BB$105:$BB$128,'non-road'!$DA8,Assumptions!CF$105:CF$128)</f>
        <v>337.7253247344</v>
      </c>
      <c r="EE8" s="39">
        <f>SUMIF(Assumptions!$BB$105:$BB$128,'non-road'!$DA8,Assumptions!CG$105:CG$128)</f>
        <v>128.5593700104</v>
      </c>
      <c r="EF8" s="39">
        <f>SUMIF(Assumptions!$BB$105:$BB$128,'non-road'!$DA8,Assumptions!CH$105:CH$128)</f>
        <v>0.1114861104</v>
      </c>
      <c r="EG8" s="39">
        <f>SUMIF(Assumptions!$BB$105:$BB$128,'non-road'!$DA8,Assumptions!CI$105:CI$128)</f>
        <v>36.8969997996</v>
      </c>
      <c r="EH8" s="39">
        <f>SUMIF(Assumptions!$BB$105:$BB$128,'non-road'!$DA8,Assumptions!CJ$105:CJ$128)</f>
        <v>95.2218200988</v>
      </c>
      <c r="EI8" s="39">
        <f>SUMIF(Assumptions!$BB$105:$BB$128,'non-road'!$DA8,Assumptions!CK$105:CK$128)</f>
        <v>0</v>
      </c>
      <c r="EJ8" s="39">
        <f>SUMIF(Assumptions!$BB$105:$BB$128,'non-road'!$DA8,Assumptions!CL$105:CL$128)</f>
        <v>2.0118118284</v>
      </c>
      <c r="EK8" s="39">
        <f>SUMIF(Assumptions!$BB$105:$BB$128,'non-road'!$DA8,Assumptions!CM$105:CM$128)</f>
        <v>0</v>
      </c>
      <c r="EL8" s="39">
        <f>SUMIF(Assumptions!$BB$105:$BB$128,'non-road'!$DA8,Assumptions!CN$105:CN$128)</f>
        <v>0</v>
      </c>
      <c r="EM8" s="39">
        <f>SUMIF(Assumptions!$BB$105:$BB$128,'non-road'!$DA8,Assumptions!CO$105:CO$128)</f>
        <v>0</v>
      </c>
      <c r="EN8" s="39">
        <f>SUMIF(Assumptions!$BB$105:$BB$128,'non-road'!$DA8,Assumptions!CP$105:CP$128)</f>
        <v>0</v>
      </c>
      <c r="EO8" s="39">
        <f>SUMIF(Assumptions!$BB$105:$BB$128,'non-road'!$DA8,Assumptions!CQ$105:CQ$128)</f>
        <v>0</v>
      </c>
      <c r="EP8" s="39">
        <f>SUMIF(Assumptions!$BB$105:$BB$128,'non-road'!$DA8,Assumptions!CR$105:CR$128)</f>
        <v>0</v>
      </c>
      <c r="EQ8" s="39">
        <f>SUMIF(Assumptions!$BB$105:$BB$128,'non-road'!$DA8,Assumptions!CS$105:CS$128)</f>
        <v>0</v>
      </c>
      <c r="ER8" s="39">
        <f>SUMIF(Assumptions!$BB$105:$BB$128,'non-road'!$DA8,Assumptions!CT$105:CT$128)</f>
        <v>0</v>
      </c>
      <c r="ES8" s="39">
        <f>SUMIF(Assumptions!$BB$105:$BB$128,'non-road'!$DA8,Assumptions!CU$105:CU$128)</f>
        <v>0</v>
      </c>
      <c r="ET8" s="39">
        <f>SUMIF(Assumptions!$BB$105:$BB$128,'non-road'!$DA8,Assumptions!CV$105:CV$128)</f>
        <v>0</v>
      </c>
      <c r="EU8" s="39">
        <f>SUMIF(Assumptions!$BB$105:$BB$128,'non-road'!$DA8,Assumptions!CW$105:CW$128)</f>
        <v>0</v>
      </c>
      <c r="EV8" s="39"/>
      <c r="EW8" s="39" t="str">
        <f t="shared" si="48"/>
        <v>\I:</v>
      </c>
      <c r="EX8" s="39" t="str">
        <f t="shared" si="47"/>
        <v/>
      </c>
      <c r="EY8" s="39" t="s">
        <v>133</v>
      </c>
      <c r="EZ8" s="39" t="s">
        <v>85</v>
      </c>
      <c r="FA8" s="39" t="s">
        <v>440</v>
      </c>
      <c r="FB8" s="39"/>
      <c r="FC8" s="39"/>
      <c r="FD8" s="39"/>
    </row>
    <row r="9" spans="1:160">
      <c r="A9" s="39" t="s">
        <v>442</v>
      </c>
      <c r="B9" s="39"/>
      <c r="C9" s="39" t="str">
        <f t="shared" si="49"/>
        <v/>
      </c>
      <c r="D9" s="39" t="s">
        <v>44</v>
      </c>
      <c r="E9" s="39"/>
      <c r="F9" s="39" t="s">
        <v>194</v>
      </c>
      <c r="G9" s="40">
        <f ca="1">SUMIFS(Assumptions!BD$3:BD$103,Assumptions!$G$3:$G$103,'non-road'!$F9,Assumptions!$B$3:$B$103,'non-road'!$D9)/SUMIF(Assumptions!$G$3:$G$103,'non-road'!$F9,Assumptions!BD$3:BD$103)</f>
        <v>0</v>
      </c>
      <c r="H9" s="40">
        <f ca="1">SUMIFS(Assumptions!BE$3:BE$103,Assumptions!$G$3:$G$103,'non-road'!$F9,Assumptions!$B$3:$B$103,'non-road'!$D9)/SUMIF(Assumptions!$G$3:$G$103,'non-road'!$F9,Assumptions!BE$3:BE$103)</f>
        <v>0</v>
      </c>
      <c r="I9" s="40">
        <f ca="1">SUMIFS(Assumptions!BF$3:BF$103,Assumptions!$G$3:$G$103,'non-road'!$F9,Assumptions!$B$3:$B$103,'non-road'!$D9)/SUMIF(Assumptions!$G$3:$G$103,'non-road'!$F9,Assumptions!BF$3:BF$103)</f>
        <v>0</v>
      </c>
      <c r="J9" s="40">
        <f ca="1">SUMIFS(Assumptions!BG$3:BG$103,Assumptions!$G$3:$G$103,'non-road'!$F9,Assumptions!$B$3:$B$103,'non-road'!$D9)/SUMIF(Assumptions!$G$3:$G$103,'non-road'!$F9,Assumptions!BG$3:BG$103)</f>
        <v>0.0546673975642618</v>
      </c>
      <c r="K9" s="40">
        <f ca="1">SUMIFS(Assumptions!BH$3:BH$103,Assumptions!$G$3:$G$103,'non-road'!$F9,Assumptions!$B$3:$B$103,'non-road'!$D9)/SUMIF(Assumptions!$G$3:$G$103,'non-road'!$F9,Assumptions!BH$3:BH$103)</f>
        <v>0.0266656296135979</v>
      </c>
      <c r="L9" s="40">
        <f ca="1">SUMIFS(Assumptions!BI$3:BI$103,Assumptions!$G$3:$G$103,'non-road'!$F9,Assumptions!$B$3:$B$103,'non-road'!$D9)/SUMIF(Assumptions!$G$3:$G$103,'non-road'!$F9,Assumptions!BI$3:BI$103)</f>
        <v>0.0352183370571601</v>
      </c>
      <c r="M9" s="40">
        <f ca="1">SUMIFS(Assumptions!BJ$3:BJ$103,Assumptions!$G$3:$G$103,'non-road'!$F9,Assumptions!$B$3:$B$103,'non-road'!$D9)/SUMIF(Assumptions!$G$3:$G$103,'non-road'!$F9,Assumptions!BJ$3:BJ$103)</f>
        <v>0.0961439972825099</v>
      </c>
      <c r="N9" s="40">
        <f ca="1">SUMIFS(Assumptions!BK$3:BK$103,Assumptions!$G$3:$G$103,'non-road'!$F9,Assumptions!$B$3:$B$103,'non-road'!$D9)/SUMIF(Assumptions!$G$3:$G$103,'non-road'!$F9,Assumptions!BK$3:BK$103)</f>
        <v>0</v>
      </c>
      <c r="O9" s="40">
        <f ca="1">SUMIFS(Assumptions!BL$3:BL$103,Assumptions!$G$3:$G$103,'non-road'!$F9,Assumptions!$B$3:$B$103,'non-road'!$D9)/SUMIF(Assumptions!$G$3:$G$103,'non-road'!$F9,Assumptions!BL$3:BL$103)</f>
        <v>0</v>
      </c>
      <c r="P9" s="40">
        <f ca="1">SUMIFS(Assumptions!BM$3:BM$103,Assumptions!$G$3:$G$103,'non-road'!$F9,Assumptions!$B$3:$B$103,'non-road'!$D9)/SUMIF(Assumptions!$G$3:$G$103,'non-road'!$F9,Assumptions!BM$3:BM$103)</f>
        <v>0.0429471280564706</v>
      </c>
      <c r="Q9" s="40">
        <f ca="1">SUMIFS(Assumptions!BN$3:BN$103,Assumptions!$G$3:$G$103,'non-road'!$F9,Assumptions!$B$3:$B$103,'non-road'!$D9)/SUMIF(Assumptions!$G$3:$G$103,'non-road'!$F9,Assumptions!BN$3:BN$103)</f>
        <v>0.065068523164662</v>
      </c>
      <c r="R9" s="40">
        <f ca="1">SUMIFS(Assumptions!BO$3:BO$103,Assumptions!$G$3:$G$103,'non-road'!$F9,Assumptions!$B$3:$B$103,'non-road'!$D9)/SUMIF(Assumptions!$G$3:$G$103,'non-road'!$F9,Assumptions!BO$3:BO$103)</f>
        <v>0.0524079712713153</v>
      </c>
      <c r="S9" s="40">
        <f ca="1">SUMIFS(Assumptions!BP$3:BP$103,Assumptions!$G$3:$G$103,'non-road'!$F9,Assumptions!$B$3:$B$103,'non-road'!$D9)/SUMIF(Assumptions!$G$3:$G$103,'non-road'!$F9,Assumptions!BP$3:BP$103)</f>
        <v>0</v>
      </c>
      <c r="T9" s="40">
        <f ca="1">SUMIFS(Assumptions!BQ$3:BQ$103,Assumptions!$G$3:$G$103,'non-road'!$F9,Assumptions!$B$3:$B$103,'non-road'!$D9)/SUMIF(Assumptions!$G$3:$G$103,'non-road'!$F9,Assumptions!BQ$3:BQ$103)</f>
        <v>0</v>
      </c>
      <c r="U9" s="40" t="e">
        <f ca="1">SUMIFS(Assumptions!BR$3:BR$103,Assumptions!$G$3:$G$103,'non-road'!$F9,Assumptions!$B$3:$B$103,'non-road'!$D9)/SUMIF(Assumptions!$G$3:$G$103,'non-road'!$F9,Assumptions!BR$3:BR$103)</f>
        <v>#DIV/0!</v>
      </c>
      <c r="V9" s="40">
        <f ca="1">SUMIFS(Assumptions!BS$3:BS$103,Assumptions!$G$3:$G$103,'non-road'!$F9,Assumptions!$B$3:$B$103,'non-road'!$D9)/SUMIF(Assumptions!$G$3:$G$103,'non-road'!$F9,Assumptions!BS$3:BS$103)</f>
        <v>0</v>
      </c>
      <c r="W9" s="40">
        <f ca="1">SUMIFS(Assumptions!BT$3:BT$103,Assumptions!$G$3:$G$103,'non-road'!$F9,Assumptions!$B$3:$B$103,'non-road'!$D9)/SUMIF(Assumptions!$G$3:$G$103,'non-road'!$F9,Assumptions!BT$3:BT$103)</f>
        <v>0</v>
      </c>
      <c r="X9" s="40">
        <f ca="1">SUMIFS(Assumptions!BU$3:BU$103,Assumptions!$G$3:$G$103,'non-road'!$F9,Assumptions!$B$3:$B$103,'non-road'!$D9)/SUMIF(Assumptions!$G$3:$G$103,'non-road'!$F9,Assumptions!BU$3:BU$103)</f>
        <v>0</v>
      </c>
      <c r="Y9" s="40">
        <f ca="1">SUMIFS(Assumptions!BV$3:BV$103,Assumptions!$G$3:$G$103,'non-road'!$F9,Assumptions!$B$3:$B$103,'non-road'!$D9)/SUMIF(Assumptions!$G$3:$G$103,'non-road'!$F9,Assumptions!BV$3:BV$103)</f>
        <v>0</v>
      </c>
      <c r="Z9" s="40">
        <f ca="1">SUMIFS(Assumptions!BW$3:BW$103,Assumptions!$G$3:$G$103,'non-road'!$F9,Assumptions!$B$3:$B$103,'non-road'!$D9)/SUMIF(Assumptions!$G$3:$G$103,'non-road'!$F9,Assumptions!BW$3:BW$103)</f>
        <v>0</v>
      </c>
      <c r="AA9" s="40">
        <f ca="1">SUMIFS(Assumptions!BX$3:BX$103,Assumptions!$G$3:$G$103,'non-road'!$F9,Assumptions!$B$3:$B$103,'non-road'!$D9)/SUMIF(Assumptions!$G$3:$G$103,'non-road'!$F9,Assumptions!BX$3:BX$103)</f>
        <v>0</v>
      </c>
      <c r="AB9" s="40">
        <f ca="1">SUMIFS(Assumptions!BY$3:BY$103,Assumptions!$G$3:$G$103,'non-road'!$F9,Assumptions!$B$3:$B$103,'non-road'!$D9)/SUMIF(Assumptions!$G$3:$G$103,'non-road'!$F9,Assumptions!BY$3:BY$103)</f>
        <v>0.0245458831244119</v>
      </c>
      <c r="AC9" s="40">
        <f ca="1">SUMIFS(Assumptions!BZ$3:BZ$103,Assumptions!$G$3:$G$103,'non-road'!$F9,Assumptions!$B$3:$B$103,'non-road'!$D9)/SUMIF(Assumptions!$G$3:$G$103,'non-road'!$F9,Assumptions!BZ$3:BZ$103)</f>
        <v>0</v>
      </c>
      <c r="AD9" s="40">
        <f ca="1">SUMIFS(Assumptions!CA$3:CA$103,Assumptions!$G$3:$G$103,'non-road'!$F9,Assumptions!$B$3:$B$103,'non-road'!$D9)/SUMIF(Assumptions!$G$3:$G$103,'non-road'!$F9,Assumptions!CA$3:CA$103)</f>
        <v>0</v>
      </c>
      <c r="AE9" s="40">
        <f ca="1">SUMIFS(Assumptions!CB$3:CB$103,Assumptions!$G$3:$G$103,'non-road'!$F9,Assumptions!$B$3:$B$103,'non-road'!$D9)/SUMIF(Assumptions!$G$3:$G$103,'non-road'!$F9,Assumptions!CB$3:CB$103)</f>
        <v>1.52693289270075e-5</v>
      </c>
      <c r="AF9" s="40">
        <f ca="1">SUMIFS(Assumptions!CC$3:CC$103,Assumptions!$G$3:$G$103,'non-road'!$F9,Assumptions!$B$3:$B$103,'non-road'!$D9)/SUMIF(Assumptions!$G$3:$G$103,'non-road'!$F9,Assumptions!CC$3:CC$103)</f>
        <v>0</v>
      </c>
      <c r="AG9" s="40" t="e">
        <f ca="1">SUMIFS(Assumptions!CD$3:CD$103,Assumptions!$G$3:$G$103,'non-road'!$F9,Assumptions!$B$3:$B$103,'non-road'!$D9)/SUMIF(Assumptions!$G$3:$G$103,'non-road'!$F9,Assumptions!CD$3:CD$103)</f>
        <v>#DIV/0!</v>
      </c>
      <c r="AH9" s="40">
        <f ca="1">SUMIFS(Assumptions!CE$3:CE$103,Assumptions!$G$3:$G$103,'non-road'!$F9,Assumptions!$B$3:$B$103,'non-road'!$D9)/SUMIF(Assumptions!$G$3:$G$103,'non-road'!$F9,Assumptions!CE$3:CE$103)</f>
        <v>0</v>
      </c>
      <c r="AI9" s="40">
        <f ca="1">SUMIFS(Assumptions!CF$3:CF$103,Assumptions!$G$3:$G$103,'non-road'!$F9,Assumptions!$B$3:$B$103,'non-road'!$D9)/SUMIF(Assumptions!$G$3:$G$103,'non-road'!$F9,Assumptions!CF$3:CF$103)</f>
        <v>0</v>
      </c>
      <c r="AJ9" s="40">
        <f ca="1">SUMIFS(Assumptions!CG$3:CG$103,Assumptions!$G$3:$G$103,'non-road'!$F9,Assumptions!$B$3:$B$103,'non-road'!$D9)/SUMIF(Assumptions!$G$3:$G$103,'non-road'!$F9,Assumptions!CG$3:CG$103)</f>
        <v>0</v>
      </c>
      <c r="AK9" s="40">
        <f ca="1">SUMIFS(Assumptions!CH$3:CH$103,Assumptions!$G$3:$G$103,'non-road'!$F9,Assumptions!$B$3:$B$103,'non-road'!$D9)/SUMIF(Assumptions!$G$3:$G$103,'non-road'!$F9,Assumptions!CH$3:CH$103)</f>
        <v>0.0330850973028337</v>
      </c>
      <c r="AL9" s="40">
        <f ca="1">SUMIFS(Assumptions!CI$3:CI$103,Assumptions!$G$3:$G$103,'non-road'!$F9,Assumptions!$B$3:$B$103,'non-road'!$D9)/SUMIF(Assumptions!$G$3:$G$103,'non-road'!$F9,Assumptions!CI$3:CI$103)</f>
        <v>0</v>
      </c>
      <c r="AM9" s="40">
        <f ca="1">SUMIFS(Assumptions!CJ$3:CJ$103,Assumptions!$G$3:$G$103,'non-road'!$F9,Assumptions!$B$3:$B$103,'non-road'!$D9)/SUMIF(Assumptions!$G$3:$G$103,'non-road'!$F9,Assumptions!CJ$3:CJ$103)</f>
        <v>0</v>
      </c>
      <c r="AN9" s="40">
        <f ca="1">SUMIFS(Assumptions!CK$3:CK$103,Assumptions!$G$3:$G$103,'non-road'!$F9,Assumptions!$B$3:$B$103,'non-road'!$D9)/SUMIF(Assumptions!$G$3:$G$103,'non-road'!$F9,Assumptions!CK$3:CK$103)</f>
        <v>0</v>
      </c>
      <c r="AO9" s="40">
        <f ca="1">SUMIFS(Assumptions!CL$3:CL$103,Assumptions!$G$3:$G$103,'non-road'!$F9,Assumptions!$B$3:$B$103,'non-road'!$D9)/SUMIF(Assumptions!$G$3:$G$103,'non-road'!$F9,Assumptions!CL$3:CL$103)</f>
        <v>0</v>
      </c>
      <c r="AP9" s="40" t="e">
        <f ca="1">SUMIFS(Assumptions!CM$3:CM$103,Assumptions!$G$3:$G$103,'non-road'!$F9,Assumptions!$B$3:$B$103,'non-road'!$D9)/SUMIF(Assumptions!$G$3:$G$103,'non-road'!$F9,Assumptions!CM$3:CM$103)</f>
        <v>#DIV/0!</v>
      </c>
      <c r="AQ9" s="40" t="e">
        <f ca="1">SUMIFS(Assumptions!CN$3:CN$103,Assumptions!$G$3:$G$103,'non-road'!$F9,Assumptions!$B$3:$B$103,'non-road'!$D9)/SUMIF(Assumptions!$G$3:$G$103,'non-road'!$F9,Assumptions!CN$3:CN$103)</f>
        <v>#DIV/0!</v>
      </c>
      <c r="AR9" s="40" t="e">
        <f ca="1">SUMIFS(Assumptions!CO$3:CO$103,Assumptions!$G$3:$G$103,'non-road'!$F9,Assumptions!$B$3:$B$103,'non-road'!$D9)/SUMIF(Assumptions!$G$3:$G$103,'non-road'!$F9,Assumptions!CO$3:CO$103)</f>
        <v>#DIV/0!</v>
      </c>
      <c r="AS9" s="40" t="e">
        <f ca="1">SUMIFS(Assumptions!CP$3:CP$103,Assumptions!$G$3:$G$103,'non-road'!$F9,Assumptions!$B$3:$B$103,'non-road'!$D9)/SUMIF(Assumptions!$G$3:$G$103,'non-road'!$F9,Assumptions!CP$3:CP$103)</f>
        <v>#DIV/0!</v>
      </c>
      <c r="AT9" s="40" t="e">
        <f ca="1">SUMIFS(Assumptions!CQ$3:CQ$103,Assumptions!$G$3:$G$103,'non-road'!$F9,Assumptions!$B$3:$B$103,'non-road'!$D9)/SUMIF(Assumptions!$G$3:$G$103,'non-road'!$F9,Assumptions!CQ$3:CQ$103)</f>
        <v>#DIV/0!</v>
      </c>
      <c r="AU9" s="40" t="e">
        <f ca="1">SUMIFS(Assumptions!CR$3:CR$103,Assumptions!$G$3:$G$103,'non-road'!$F9,Assumptions!$B$3:$B$103,'non-road'!$D9)/SUMIF(Assumptions!$G$3:$G$103,'non-road'!$F9,Assumptions!CR$3:CR$103)</f>
        <v>#DIV/0!</v>
      </c>
      <c r="AV9" s="40" t="e">
        <f ca="1">SUMIFS(Assumptions!CS$3:CS$103,Assumptions!$G$3:$G$103,'non-road'!$F9,Assumptions!$B$3:$B$103,'non-road'!$D9)/SUMIF(Assumptions!$G$3:$G$103,'non-road'!$F9,Assumptions!CS$3:CS$103)</f>
        <v>#DIV/0!</v>
      </c>
      <c r="AW9" s="40" t="e">
        <f ca="1">SUMIFS(Assumptions!CT$3:CT$103,Assumptions!$G$3:$G$103,'non-road'!$F9,Assumptions!$B$3:$B$103,'non-road'!$D9)/SUMIF(Assumptions!$G$3:$G$103,'non-road'!$F9,Assumptions!CT$3:CT$103)</f>
        <v>#DIV/0!</v>
      </c>
      <c r="AX9" s="40" t="e">
        <f ca="1">SUMIFS(Assumptions!CU$3:CU$103,Assumptions!$G$3:$G$103,'non-road'!$F9,Assumptions!$B$3:$B$103,'non-road'!$D9)/SUMIF(Assumptions!$G$3:$G$103,'non-road'!$F9,Assumptions!CU$3:CU$103)</f>
        <v>#DIV/0!</v>
      </c>
      <c r="AY9" s="40" t="e">
        <f ca="1">SUMIFS(Assumptions!CV$3:CV$103,Assumptions!$G$3:$G$103,'non-road'!$F9,Assumptions!$B$3:$B$103,'non-road'!$D9)/SUMIF(Assumptions!$G$3:$G$103,'non-road'!$F9,Assumptions!CV$3:CV$103)</f>
        <v>#DIV/0!</v>
      </c>
      <c r="AZ9" s="40" t="e">
        <f ca="1">SUMIFS(Assumptions!CW$3:CW$103,Assumptions!$G$3:$G$103,'non-road'!$F9,Assumptions!$B$3:$B$103,'non-road'!$D9)/SUMIF(Assumptions!$G$3:$G$103,'non-road'!$F9,Assumptions!CW$3:CW$103)</f>
        <v>#DIV/0!</v>
      </c>
      <c r="BA9" s="41"/>
      <c r="BB9" s="40"/>
      <c r="BC9" s="40"/>
      <c r="BD9" s="39" t="str">
        <f t="shared" si="50"/>
        <v>\I:</v>
      </c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 t="str">
        <f t="shared" si="48"/>
        <v>\I:</v>
      </c>
      <c r="EX9" s="39" t="str">
        <f t="shared" si="47"/>
        <v/>
      </c>
      <c r="EY9" s="39" t="s">
        <v>133</v>
      </c>
      <c r="EZ9" s="39" t="s">
        <v>85</v>
      </c>
      <c r="FA9" s="39" t="s">
        <v>440</v>
      </c>
      <c r="FB9" s="39"/>
      <c r="FC9" s="39"/>
      <c r="FD9" s="39"/>
    </row>
    <row r="10" spans="1:160">
      <c r="A10" s="39" t="s">
        <v>445</v>
      </c>
      <c r="B10" s="39"/>
      <c r="C10" s="39" t="str">
        <f t="shared" si="49"/>
        <v/>
      </c>
      <c r="D10" s="39" t="s">
        <v>64</v>
      </c>
      <c r="E10" s="39"/>
      <c r="F10" s="39" t="s">
        <v>194</v>
      </c>
      <c r="G10" s="40">
        <f ca="1">SUMIFS(Assumptions!BD$3:BD$103,Assumptions!$G$3:$G$103,'non-road'!$F10,Assumptions!$B$3:$B$103,'non-road'!$D10)/SUMIF(Assumptions!$G$3:$G$103,'non-road'!$F10,Assumptions!BD$3:BD$103)</f>
        <v>0.325718220043482</v>
      </c>
      <c r="H10" s="40">
        <f ca="1">SUMIFS(Assumptions!BE$3:BE$103,Assumptions!$G$3:$G$103,'non-road'!$F10,Assumptions!$B$3:$B$103,'non-road'!$D10)/SUMIF(Assumptions!$G$3:$G$103,'non-road'!$F10,Assumptions!BE$3:BE$103)</f>
        <v>0.00508505942050479</v>
      </c>
      <c r="I10" s="40">
        <f ca="1">SUMIFS(Assumptions!BF$3:BF$103,Assumptions!$G$3:$G$103,'non-road'!$F10,Assumptions!$B$3:$B$103,'non-road'!$D10)/SUMIF(Assumptions!$G$3:$G$103,'non-road'!$F10,Assumptions!BF$3:BF$103)</f>
        <v>0.0948524518210555</v>
      </c>
      <c r="J10" s="40">
        <f ca="1">SUMIFS(Assumptions!BG$3:BG$103,Assumptions!$G$3:$G$103,'non-road'!$F10,Assumptions!$B$3:$B$103,'non-road'!$D10)/SUMIF(Assumptions!$G$3:$G$103,'non-road'!$F10,Assumptions!BG$3:BG$103)</f>
        <v>0</v>
      </c>
      <c r="K10" s="40">
        <f ca="1">SUMIFS(Assumptions!BH$3:BH$103,Assumptions!$G$3:$G$103,'non-road'!$F10,Assumptions!$B$3:$B$103,'non-road'!$D10)/SUMIF(Assumptions!$G$3:$G$103,'non-road'!$F10,Assumptions!BH$3:BH$103)</f>
        <v>0.0157256537299127</v>
      </c>
      <c r="L10" s="40">
        <f ca="1">SUMIFS(Assumptions!BI$3:BI$103,Assumptions!$G$3:$G$103,'non-road'!$F10,Assumptions!$B$3:$B$103,'non-road'!$D10)/SUMIF(Assumptions!$G$3:$G$103,'non-road'!$F10,Assumptions!BI$3:BI$103)</f>
        <v>0</v>
      </c>
      <c r="M10" s="40">
        <f ca="1">SUMIFS(Assumptions!BJ$3:BJ$103,Assumptions!$G$3:$G$103,'non-road'!$F10,Assumptions!$B$3:$B$103,'non-road'!$D10)/SUMIF(Assumptions!$G$3:$G$103,'non-road'!$F10,Assumptions!BJ$3:BJ$103)</f>
        <v>0.0110842519308172</v>
      </c>
      <c r="N10" s="40">
        <f ca="1">SUMIFS(Assumptions!BK$3:BK$103,Assumptions!$G$3:$G$103,'non-road'!$F10,Assumptions!$B$3:$B$103,'non-road'!$D10)/SUMIF(Assumptions!$G$3:$G$103,'non-road'!$F10,Assumptions!BK$3:BK$103)</f>
        <v>0.506300255336484</v>
      </c>
      <c r="O10" s="40">
        <f ca="1">SUMIFS(Assumptions!BL$3:BL$103,Assumptions!$G$3:$G$103,'non-road'!$F10,Assumptions!$B$3:$B$103,'non-road'!$D10)/SUMIF(Assumptions!$G$3:$G$103,'non-road'!$F10,Assumptions!BL$3:BL$103)</f>
        <v>0.166603910768661</v>
      </c>
      <c r="P10" s="40">
        <f ca="1">SUMIFS(Assumptions!BM$3:BM$103,Assumptions!$G$3:$G$103,'non-road'!$F10,Assumptions!$B$3:$B$103,'non-road'!$D10)/SUMIF(Assumptions!$G$3:$G$103,'non-road'!$F10,Assumptions!BM$3:BM$103)</f>
        <v>0.192841000568274</v>
      </c>
      <c r="Q10" s="40">
        <f ca="1">SUMIFS(Assumptions!BN$3:BN$103,Assumptions!$G$3:$G$103,'non-road'!$F10,Assumptions!$B$3:$B$103,'non-road'!$D10)/SUMIF(Assumptions!$G$3:$G$103,'non-road'!$F10,Assumptions!BN$3:BN$103)</f>
        <v>0</v>
      </c>
      <c r="R10" s="40">
        <f ca="1">SUMIFS(Assumptions!BO$3:BO$103,Assumptions!$G$3:$G$103,'non-road'!$F10,Assumptions!$B$3:$B$103,'non-road'!$D10)/SUMIF(Assumptions!$G$3:$G$103,'non-road'!$F10,Assumptions!BO$3:BO$103)</f>
        <v>0</v>
      </c>
      <c r="S10" s="40">
        <f ca="1">SUMIFS(Assumptions!BP$3:BP$103,Assumptions!$G$3:$G$103,'non-road'!$F10,Assumptions!$B$3:$B$103,'non-road'!$D10)/SUMIF(Assumptions!$G$3:$G$103,'non-road'!$F10,Assumptions!BP$3:BP$103)</f>
        <v>0</v>
      </c>
      <c r="T10" s="40">
        <f ca="1">SUMIFS(Assumptions!BQ$3:BQ$103,Assumptions!$G$3:$G$103,'non-road'!$F10,Assumptions!$B$3:$B$103,'non-road'!$D10)/SUMIF(Assumptions!$G$3:$G$103,'non-road'!$F10,Assumptions!BQ$3:BQ$103)</f>
        <v>0.116634104174982</v>
      </c>
      <c r="U10" s="40" t="e">
        <f ca="1">SUMIFS(Assumptions!BR$3:BR$103,Assumptions!$G$3:$G$103,'non-road'!$F10,Assumptions!$B$3:$B$103,'non-road'!$D10)/SUMIF(Assumptions!$G$3:$G$103,'non-road'!$F10,Assumptions!BR$3:BR$103)</f>
        <v>#DIV/0!</v>
      </c>
      <c r="V10" s="40">
        <f ca="1">SUMIFS(Assumptions!BS$3:BS$103,Assumptions!$G$3:$G$103,'non-road'!$F10,Assumptions!$B$3:$B$103,'non-road'!$D10)/SUMIF(Assumptions!$G$3:$G$103,'non-road'!$F10,Assumptions!BS$3:BS$103)</f>
        <v>0.27333369532161</v>
      </c>
      <c r="W10" s="40">
        <f ca="1">SUMIFS(Assumptions!BT$3:BT$103,Assumptions!$G$3:$G$103,'non-road'!$F10,Assumptions!$B$3:$B$103,'non-road'!$D10)/SUMIF(Assumptions!$G$3:$G$103,'non-road'!$F10,Assumptions!BT$3:BT$103)</f>
        <v>0</v>
      </c>
      <c r="X10" s="40">
        <f ca="1">SUMIFS(Assumptions!BU$3:BU$103,Assumptions!$G$3:$G$103,'non-road'!$F10,Assumptions!$B$3:$B$103,'non-road'!$D10)/SUMIF(Assumptions!$G$3:$G$103,'non-road'!$F10,Assumptions!BU$3:BU$103)</f>
        <v>0</v>
      </c>
      <c r="Y10" s="40">
        <f ca="1">SUMIFS(Assumptions!BV$3:BV$103,Assumptions!$G$3:$G$103,'non-road'!$F10,Assumptions!$B$3:$B$103,'non-road'!$D10)/SUMIF(Assumptions!$G$3:$G$103,'non-road'!$F10,Assumptions!BV$3:BV$103)</f>
        <v>0</v>
      </c>
      <c r="Z10" s="40">
        <f ca="1">SUMIFS(Assumptions!BW$3:BW$103,Assumptions!$G$3:$G$103,'non-road'!$F10,Assumptions!$B$3:$B$103,'non-road'!$D10)/SUMIF(Assumptions!$G$3:$G$103,'non-road'!$F10,Assumptions!BW$3:BW$103)</f>
        <v>0.141040117710812</v>
      </c>
      <c r="AA10" s="40">
        <f ca="1">SUMIFS(Assumptions!BX$3:BX$103,Assumptions!$G$3:$G$103,'non-road'!$F10,Assumptions!$B$3:$B$103,'non-road'!$D10)/SUMIF(Assumptions!$G$3:$G$103,'non-road'!$F10,Assumptions!BX$3:BX$103)</f>
        <v>0</v>
      </c>
      <c r="AB10" s="40">
        <f ca="1">SUMIFS(Assumptions!BY$3:BY$103,Assumptions!$G$3:$G$103,'non-road'!$F10,Assumptions!$B$3:$B$103,'non-road'!$D10)/SUMIF(Assumptions!$G$3:$G$103,'non-road'!$F10,Assumptions!BY$3:BY$103)</f>
        <v>0</v>
      </c>
      <c r="AC10" s="40">
        <f ca="1">SUMIFS(Assumptions!BZ$3:BZ$103,Assumptions!$G$3:$G$103,'non-road'!$F10,Assumptions!$B$3:$B$103,'non-road'!$D10)/SUMIF(Assumptions!$G$3:$G$103,'non-road'!$F10,Assumptions!BZ$3:BZ$103)</f>
        <v>0</v>
      </c>
      <c r="AD10" s="40">
        <f ca="1">SUMIFS(Assumptions!CA$3:CA$103,Assumptions!$G$3:$G$103,'non-road'!$F10,Assumptions!$B$3:$B$103,'non-road'!$D10)/SUMIF(Assumptions!$G$3:$G$103,'non-road'!$F10,Assumptions!CA$3:CA$103)</f>
        <v>0.26000507403478</v>
      </c>
      <c r="AE10" s="40">
        <f ca="1">SUMIFS(Assumptions!CB$3:CB$103,Assumptions!$G$3:$G$103,'non-road'!$F10,Assumptions!$B$3:$B$103,'non-road'!$D10)/SUMIF(Assumptions!$G$3:$G$103,'non-road'!$F10,Assumptions!CB$3:CB$103)</f>
        <v>0.0385833050674255</v>
      </c>
      <c r="AF10" s="40">
        <f ca="1">SUMIFS(Assumptions!CC$3:CC$103,Assumptions!$G$3:$G$103,'non-road'!$F10,Assumptions!$B$3:$B$103,'non-road'!$D10)/SUMIF(Assumptions!$G$3:$G$103,'non-road'!$F10,Assumptions!CC$3:CC$103)</f>
        <v>0.19853556079576</v>
      </c>
      <c r="AG10" s="40" t="e">
        <f ca="1">SUMIFS(Assumptions!CD$3:CD$103,Assumptions!$G$3:$G$103,'non-road'!$F10,Assumptions!$B$3:$B$103,'non-road'!$D10)/SUMIF(Assumptions!$G$3:$G$103,'non-road'!$F10,Assumptions!CD$3:CD$103)</f>
        <v>#DIV/0!</v>
      </c>
      <c r="AH10" s="40">
        <f ca="1">SUMIFS(Assumptions!CE$3:CE$103,Assumptions!$G$3:$G$103,'non-road'!$F10,Assumptions!$B$3:$B$103,'non-road'!$D10)/SUMIF(Assumptions!$G$3:$G$103,'non-road'!$F10,Assumptions!CE$3:CE$103)</f>
        <v>0.306101511161912</v>
      </c>
      <c r="AI10" s="40">
        <f ca="1">SUMIFS(Assumptions!CF$3:CF$103,Assumptions!$G$3:$G$103,'non-road'!$F10,Assumptions!$B$3:$B$103,'non-road'!$D10)/SUMIF(Assumptions!$G$3:$G$103,'non-road'!$F10,Assumptions!CF$3:CF$103)</f>
        <v>0</v>
      </c>
      <c r="AJ10" s="40">
        <f ca="1">SUMIFS(Assumptions!CG$3:CG$103,Assumptions!$G$3:$G$103,'non-road'!$F10,Assumptions!$B$3:$B$103,'non-road'!$D10)/SUMIF(Assumptions!$G$3:$G$103,'non-road'!$F10,Assumptions!CG$3:CG$103)</f>
        <v>0</v>
      </c>
      <c r="AK10" s="40">
        <f ca="1">SUMIFS(Assumptions!CH$3:CH$103,Assumptions!$G$3:$G$103,'non-road'!$F10,Assumptions!$B$3:$B$103,'non-road'!$D10)/SUMIF(Assumptions!$G$3:$G$103,'non-road'!$F10,Assumptions!CH$3:CH$103)</f>
        <v>0</v>
      </c>
      <c r="AL10" s="40">
        <f ca="1">SUMIFS(Assumptions!CI$3:CI$103,Assumptions!$G$3:$G$103,'non-road'!$F10,Assumptions!$B$3:$B$103,'non-road'!$D10)/SUMIF(Assumptions!$G$3:$G$103,'non-road'!$F10,Assumptions!CI$3:CI$103)</f>
        <v>0.11999925000401</v>
      </c>
      <c r="AM10" s="40">
        <f ca="1">SUMIFS(Assumptions!CJ$3:CJ$103,Assumptions!$G$3:$G$103,'non-road'!$F10,Assumptions!$B$3:$B$103,'non-road'!$D10)/SUMIF(Assumptions!$G$3:$G$103,'non-road'!$F10,Assumptions!CJ$3:CJ$103)</f>
        <v>0</v>
      </c>
      <c r="AN10" s="40">
        <f ca="1">SUMIFS(Assumptions!CK$3:CK$103,Assumptions!$G$3:$G$103,'non-road'!$F10,Assumptions!$B$3:$B$103,'non-road'!$D10)/SUMIF(Assumptions!$G$3:$G$103,'non-road'!$F10,Assumptions!CK$3:CK$103)</f>
        <v>0.728452644563828</v>
      </c>
      <c r="AO10" s="40">
        <f ca="1">SUMIFS(Assumptions!CL$3:CL$103,Assumptions!$G$3:$G$103,'non-road'!$F10,Assumptions!$B$3:$B$103,'non-road'!$D10)/SUMIF(Assumptions!$G$3:$G$103,'non-road'!$F10,Assumptions!CL$3:CL$103)</f>
        <v>0.193098658850042</v>
      </c>
      <c r="AP10" s="40" t="e">
        <f ca="1">SUMIFS(Assumptions!CM$3:CM$103,Assumptions!$G$3:$G$103,'non-road'!$F10,Assumptions!$B$3:$B$103,'non-road'!$D10)/SUMIF(Assumptions!$G$3:$G$103,'non-road'!$F10,Assumptions!CM$3:CM$103)</f>
        <v>#DIV/0!</v>
      </c>
      <c r="AQ10" s="40" t="e">
        <f ca="1">SUMIFS(Assumptions!CN$3:CN$103,Assumptions!$G$3:$G$103,'non-road'!$F10,Assumptions!$B$3:$B$103,'non-road'!$D10)/SUMIF(Assumptions!$G$3:$G$103,'non-road'!$F10,Assumptions!CN$3:CN$103)</f>
        <v>#DIV/0!</v>
      </c>
      <c r="AR10" s="40" t="e">
        <f ca="1">SUMIFS(Assumptions!CO$3:CO$103,Assumptions!$G$3:$G$103,'non-road'!$F10,Assumptions!$B$3:$B$103,'non-road'!$D10)/SUMIF(Assumptions!$G$3:$G$103,'non-road'!$F10,Assumptions!CO$3:CO$103)</f>
        <v>#DIV/0!</v>
      </c>
      <c r="AS10" s="40" t="e">
        <f ca="1">SUMIFS(Assumptions!CP$3:CP$103,Assumptions!$G$3:$G$103,'non-road'!$F10,Assumptions!$B$3:$B$103,'non-road'!$D10)/SUMIF(Assumptions!$G$3:$G$103,'non-road'!$F10,Assumptions!CP$3:CP$103)</f>
        <v>#DIV/0!</v>
      </c>
      <c r="AT10" s="40" t="e">
        <f ca="1">SUMIFS(Assumptions!CQ$3:CQ$103,Assumptions!$G$3:$G$103,'non-road'!$F10,Assumptions!$B$3:$B$103,'non-road'!$D10)/SUMIF(Assumptions!$G$3:$G$103,'non-road'!$F10,Assumptions!CQ$3:CQ$103)</f>
        <v>#DIV/0!</v>
      </c>
      <c r="AU10" s="40" t="e">
        <f ca="1">SUMIFS(Assumptions!CR$3:CR$103,Assumptions!$G$3:$G$103,'non-road'!$F10,Assumptions!$B$3:$B$103,'non-road'!$D10)/SUMIF(Assumptions!$G$3:$G$103,'non-road'!$F10,Assumptions!CR$3:CR$103)</f>
        <v>#DIV/0!</v>
      </c>
      <c r="AV10" s="40" t="e">
        <f ca="1">SUMIFS(Assumptions!CS$3:CS$103,Assumptions!$G$3:$G$103,'non-road'!$F10,Assumptions!$B$3:$B$103,'non-road'!$D10)/SUMIF(Assumptions!$G$3:$G$103,'non-road'!$F10,Assumptions!CS$3:CS$103)</f>
        <v>#DIV/0!</v>
      </c>
      <c r="AW10" s="40" t="e">
        <f ca="1">SUMIFS(Assumptions!CT$3:CT$103,Assumptions!$G$3:$G$103,'non-road'!$F10,Assumptions!$B$3:$B$103,'non-road'!$D10)/SUMIF(Assumptions!$G$3:$G$103,'non-road'!$F10,Assumptions!CT$3:CT$103)</f>
        <v>#DIV/0!</v>
      </c>
      <c r="AX10" s="40" t="e">
        <f ca="1">SUMIFS(Assumptions!CU$3:CU$103,Assumptions!$G$3:$G$103,'non-road'!$F10,Assumptions!$B$3:$B$103,'non-road'!$D10)/SUMIF(Assumptions!$G$3:$G$103,'non-road'!$F10,Assumptions!CU$3:CU$103)</f>
        <v>#DIV/0!</v>
      </c>
      <c r="AY10" s="40" t="e">
        <f ca="1">SUMIFS(Assumptions!CV$3:CV$103,Assumptions!$G$3:$G$103,'non-road'!$F10,Assumptions!$B$3:$B$103,'non-road'!$D10)/SUMIF(Assumptions!$G$3:$G$103,'non-road'!$F10,Assumptions!CV$3:CV$103)</f>
        <v>#DIV/0!</v>
      </c>
      <c r="AZ10" s="40" t="e">
        <f ca="1">SUMIFS(Assumptions!CW$3:CW$103,Assumptions!$G$3:$G$103,'non-road'!$F10,Assumptions!$B$3:$B$103,'non-road'!$D10)/SUMIF(Assumptions!$G$3:$G$103,'non-road'!$F10,Assumptions!CW$3:CW$103)</f>
        <v>#DIV/0!</v>
      </c>
      <c r="BA10" s="41"/>
      <c r="BB10" s="40"/>
      <c r="BC10" s="40"/>
      <c r="BD10" s="39" t="str">
        <f t="shared" si="50"/>
        <v>\I:</v>
      </c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39"/>
      <c r="CZ10" s="39"/>
      <c r="EV10" s="39"/>
      <c r="EW10" s="39" t="str">
        <f t="shared" si="48"/>
        <v>DMD</v>
      </c>
      <c r="EX10" s="39" t="str">
        <f t="shared" ref="EX10:EX16" si="51">C11</f>
        <v>TTP_Generic</v>
      </c>
      <c r="EY10" s="39" t="s">
        <v>446</v>
      </c>
      <c r="EZ10" s="39" t="s">
        <v>85</v>
      </c>
      <c r="FA10" s="39" t="s">
        <v>440</v>
      </c>
      <c r="FB10" s="39"/>
      <c r="FC10" s="39"/>
      <c r="FD10" s="39"/>
    </row>
    <row r="11" spans="1:160">
      <c r="A11" s="39" t="s">
        <v>441</v>
      </c>
      <c r="B11" s="39"/>
      <c r="C11" s="39" t="str">
        <f t="shared" si="49"/>
        <v>TTP_Generic</v>
      </c>
      <c r="D11" s="39" t="s">
        <v>56</v>
      </c>
      <c r="E11" s="39"/>
      <c r="F11" s="39" t="s">
        <v>198</v>
      </c>
      <c r="G11" s="40">
        <f ca="1">SUMIFS(Assumptions!BD$3:BD$103,Assumptions!$G$3:$G$103,'non-road'!$F11,Assumptions!$B$3:$B$103,'non-road'!$D11)/SUMIF(Assumptions!$G$3:$G$103,'non-road'!$F11,Assumptions!BD$3:BD$103)</f>
        <v>0</v>
      </c>
      <c r="H11" s="40">
        <f ca="1">SUMIFS(Assumptions!BE$3:BE$103,Assumptions!$G$3:$G$103,'non-road'!$F11,Assumptions!$B$3:$B$103,'non-road'!$D11)/SUMIF(Assumptions!$G$3:$G$103,'non-road'!$F11,Assumptions!BE$3:BE$103)</f>
        <v>0.00624346583625537</v>
      </c>
      <c r="I11" s="40">
        <f ca="1">SUMIFS(Assumptions!BF$3:BF$103,Assumptions!$G$3:$G$103,'non-road'!$F11,Assumptions!$B$3:$B$103,'non-road'!$D11)/SUMIF(Assumptions!$G$3:$G$103,'non-road'!$F11,Assumptions!BF$3:BF$103)</f>
        <v>0</v>
      </c>
      <c r="J11" s="40">
        <f ca="1">SUMIFS(Assumptions!BG$3:BG$103,Assumptions!$G$3:$G$103,'non-road'!$F11,Assumptions!$B$3:$B$103,'non-road'!$D11)/SUMIF(Assumptions!$G$3:$G$103,'non-road'!$F11,Assumptions!BG$3:BG$103)</f>
        <v>0</v>
      </c>
      <c r="K11" s="40">
        <f ca="1">SUMIFS(Assumptions!BH$3:BH$103,Assumptions!$G$3:$G$103,'non-road'!$F11,Assumptions!$B$3:$B$103,'non-road'!$D11)/SUMIF(Assumptions!$G$3:$G$103,'non-road'!$F11,Assumptions!BH$3:BH$103)</f>
        <v>0</v>
      </c>
      <c r="L11" s="40">
        <f ca="1">SUMIFS(Assumptions!BI$3:BI$103,Assumptions!$G$3:$G$103,'non-road'!$F11,Assumptions!$B$3:$B$103,'non-road'!$D11)/SUMIF(Assumptions!$G$3:$G$103,'non-road'!$F11,Assumptions!BI$3:BI$103)</f>
        <v>0</v>
      </c>
      <c r="M11" s="40">
        <f ca="1">SUMIFS(Assumptions!BJ$3:BJ$103,Assumptions!$G$3:$G$103,'non-road'!$F11,Assumptions!$B$3:$B$103,'non-road'!$D11)/SUMIF(Assumptions!$G$3:$G$103,'non-road'!$F11,Assumptions!BJ$3:BJ$103)</f>
        <v>0</v>
      </c>
      <c r="N11" s="40">
        <f ca="1">SUMIFS(Assumptions!BK$3:BK$103,Assumptions!$G$3:$G$103,'non-road'!$F11,Assumptions!$B$3:$B$103,'non-road'!$D11)/SUMIF(Assumptions!$G$3:$G$103,'non-road'!$F11,Assumptions!BK$3:BK$103)</f>
        <v>0</v>
      </c>
      <c r="O11" s="40">
        <f ca="1">SUMIFS(Assumptions!BL$3:BL$103,Assumptions!$G$3:$G$103,'non-road'!$F11,Assumptions!$B$3:$B$103,'non-road'!$D11)/SUMIF(Assumptions!$G$3:$G$103,'non-road'!$F11,Assumptions!BL$3:BL$103)</f>
        <v>0.000540812661862017</v>
      </c>
      <c r="P11" s="40">
        <f ca="1">SUMIFS(Assumptions!BM$3:BM$103,Assumptions!$G$3:$G$103,'non-road'!$F11,Assumptions!$B$3:$B$103,'non-road'!$D11)/SUMIF(Assumptions!$G$3:$G$103,'non-road'!$F11,Assumptions!BM$3:BM$103)</f>
        <v>0.000371968835542332</v>
      </c>
      <c r="Q11" s="40">
        <f ca="1">SUMIFS(Assumptions!BN$3:BN$103,Assumptions!$G$3:$G$103,'non-road'!$F11,Assumptions!$B$3:$B$103,'non-road'!$D11)/SUMIF(Assumptions!$G$3:$G$103,'non-road'!$F11,Assumptions!BN$3:BN$103)</f>
        <v>0</v>
      </c>
      <c r="R11" s="40">
        <f ca="1">SUMIFS(Assumptions!BO$3:BO$103,Assumptions!$G$3:$G$103,'non-road'!$F11,Assumptions!$B$3:$B$103,'non-road'!$D11)/SUMIF(Assumptions!$G$3:$G$103,'non-road'!$F11,Assumptions!BO$3:BO$103)</f>
        <v>0</v>
      </c>
      <c r="S11" s="40">
        <f ca="1">SUMIFS(Assumptions!BP$3:BP$103,Assumptions!$G$3:$G$103,'non-road'!$F11,Assumptions!$B$3:$B$103,'non-road'!$D11)/SUMIF(Assumptions!$G$3:$G$103,'non-road'!$F11,Assumptions!BP$3:BP$103)</f>
        <v>0</v>
      </c>
      <c r="T11" s="40">
        <f ca="1">SUMIFS(Assumptions!BQ$3:BQ$103,Assumptions!$G$3:$G$103,'non-road'!$F11,Assumptions!$B$3:$B$103,'non-road'!$D11)/SUMIF(Assumptions!$G$3:$G$103,'non-road'!$F11,Assumptions!BQ$3:BQ$103)</f>
        <v>0</v>
      </c>
      <c r="U11" s="40" t="e">
        <f ca="1">SUMIFS(Assumptions!BR$3:BR$103,Assumptions!$G$3:$G$103,'non-road'!$F11,Assumptions!$B$3:$B$103,'non-road'!$D11)/SUMIF(Assumptions!$G$3:$G$103,'non-road'!$F11,Assumptions!BR$3:BR$103)</f>
        <v>#DIV/0!</v>
      </c>
      <c r="V11" s="40">
        <f ca="1">SUMIFS(Assumptions!BS$3:BS$103,Assumptions!$G$3:$G$103,'non-road'!$F11,Assumptions!$B$3:$B$103,'non-road'!$D11)/SUMIF(Assumptions!$G$3:$G$103,'non-road'!$F11,Assumptions!BS$3:BS$103)</f>
        <v>0</v>
      </c>
      <c r="W11" s="40">
        <f ca="1">SUMIFS(Assumptions!BT$3:BT$103,Assumptions!$G$3:$G$103,'non-road'!$F11,Assumptions!$B$3:$B$103,'non-road'!$D11)/SUMIF(Assumptions!$G$3:$G$103,'non-road'!$F11,Assumptions!BT$3:BT$103)</f>
        <v>0</v>
      </c>
      <c r="X11" s="40">
        <f ca="1">SUMIFS(Assumptions!BU$3:BU$103,Assumptions!$G$3:$G$103,'non-road'!$F11,Assumptions!$B$3:$B$103,'non-road'!$D11)/SUMIF(Assumptions!$G$3:$G$103,'non-road'!$F11,Assumptions!BU$3:BU$103)</f>
        <v>0</v>
      </c>
      <c r="Y11" s="40">
        <f ca="1">SUMIFS(Assumptions!BV$3:BV$103,Assumptions!$G$3:$G$103,'non-road'!$F11,Assumptions!$B$3:$B$103,'non-road'!$D11)/SUMIF(Assumptions!$G$3:$G$103,'non-road'!$F11,Assumptions!BV$3:BV$103)</f>
        <v>0.000499478353307013</v>
      </c>
      <c r="Z11" s="40">
        <f ca="1">SUMIFS(Assumptions!BW$3:BW$103,Assumptions!$G$3:$G$103,'non-road'!$F11,Assumptions!$B$3:$B$103,'non-road'!$D11)/SUMIF(Assumptions!$G$3:$G$103,'non-road'!$F11,Assumptions!BW$3:BW$103)</f>
        <v>0</v>
      </c>
      <c r="AA11" s="40">
        <f ca="1">SUMIFS(Assumptions!BX$3:BX$103,Assumptions!$G$3:$G$103,'non-road'!$F11,Assumptions!$B$3:$B$103,'non-road'!$D11)/SUMIF(Assumptions!$G$3:$G$103,'non-road'!$F11,Assumptions!BX$3:BX$103)</f>
        <v>0</v>
      </c>
      <c r="AB11" s="40">
        <f ca="1">SUMIFS(Assumptions!BY$3:BY$103,Assumptions!$G$3:$G$103,'non-road'!$F11,Assumptions!$B$3:$B$103,'non-road'!$D11)/SUMIF(Assumptions!$G$3:$G$103,'non-road'!$F11,Assumptions!BY$3:BY$103)</f>
        <v>0</v>
      </c>
      <c r="AC11" s="40">
        <f ca="1">SUMIFS(Assumptions!BZ$3:BZ$103,Assumptions!$G$3:$G$103,'non-road'!$F11,Assumptions!$B$3:$B$103,'non-road'!$D11)/SUMIF(Assumptions!$G$3:$G$103,'non-road'!$F11,Assumptions!BZ$3:BZ$103)</f>
        <v>0</v>
      </c>
      <c r="AD11" s="40">
        <f ca="1">SUMIFS(Assumptions!CA$3:CA$103,Assumptions!$G$3:$G$103,'non-road'!$F11,Assumptions!$B$3:$B$103,'non-road'!$D11)/SUMIF(Assumptions!$G$3:$G$103,'non-road'!$F11,Assumptions!CA$3:CA$103)</f>
        <v>0</v>
      </c>
      <c r="AE11" s="40">
        <f ca="1">SUMIFS(Assumptions!CB$3:CB$103,Assumptions!$G$3:$G$103,'non-road'!$F11,Assumptions!$B$3:$B$103,'non-road'!$D11)/SUMIF(Assumptions!$G$3:$G$103,'non-road'!$F11,Assumptions!CB$3:CB$103)</f>
        <v>0.00454657824089503</v>
      </c>
      <c r="AF11" s="40">
        <f ca="1">SUMIFS(Assumptions!CC$3:CC$103,Assumptions!$G$3:$G$103,'non-road'!$F11,Assumptions!$B$3:$B$103,'non-road'!$D11)/SUMIF(Assumptions!$G$3:$G$103,'non-road'!$F11,Assumptions!CC$3:CC$103)</f>
        <v>0.000281811698746213</v>
      </c>
      <c r="AG11" s="40" t="e">
        <f ca="1">SUMIFS(Assumptions!CD$3:CD$103,Assumptions!$G$3:$G$103,'non-road'!$F11,Assumptions!$B$3:$B$103,'non-road'!$D11)/SUMIF(Assumptions!$G$3:$G$103,'non-road'!$F11,Assumptions!CD$3:CD$103)</f>
        <v>#DIV/0!</v>
      </c>
      <c r="AH11" s="40">
        <f ca="1">SUMIFS(Assumptions!CE$3:CE$103,Assumptions!$G$3:$G$103,'non-road'!$F11,Assumptions!$B$3:$B$103,'non-road'!$D11)/SUMIF(Assumptions!$G$3:$G$103,'non-road'!$F11,Assumptions!CE$3:CE$103)</f>
        <v>0</v>
      </c>
      <c r="AI11" s="40">
        <f ca="1">SUMIFS(Assumptions!CF$3:CF$103,Assumptions!$G$3:$G$103,'non-road'!$F11,Assumptions!$B$3:$B$103,'non-road'!$D11)/SUMIF(Assumptions!$G$3:$G$103,'non-road'!$F11,Assumptions!CF$3:CF$103)</f>
        <v>0</v>
      </c>
      <c r="AJ11" s="40">
        <f ca="1">SUMIFS(Assumptions!CG$3:CG$103,Assumptions!$G$3:$G$103,'non-road'!$F11,Assumptions!$B$3:$B$103,'non-road'!$D11)/SUMIF(Assumptions!$G$3:$G$103,'non-road'!$F11,Assumptions!CG$3:CG$103)</f>
        <v>0</v>
      </c>
      <c r="AK11" s="40">
        <f ca="1">SUMIFS(Assumptions!CH$3:CH$103,Assumptions!$G$3:$G$103,'non-road'!$F11,Assumptions!$B$3:$B$103,'non-road'!$D11)/SUMIF(Assumptions!$G$3:$G$103,'non-road'!$F11,Assumptions!CH$3:CH$103)</f>
        <v>0</v>
      </c>
      <c r="AL11" s="40">
        <f ca="1">SUMIFS(Assumptions!CI$3:CI$103,Assumptions!$G$3:$G$103,'non-road'!$F11,Assumptions!$B$3:$B$103,'non-road'!$D11)/SUMIF(Assumptions!$G$3:$G$103,'non-road'!$F11,Assumptions!CI$3:CI$103)</f>
        <v>0</v>
      </c>
      <c r="AM11" s="40">
        <f ca="1">SUMIFS(Assumptions!CJ$3:CJ$103,Assumptions!$G$3:$G$103,'non-road'!$F11,Assumptions!$B$3:$B$103,'non-road'!$D11)/SUMIF(Assumptions!$G$3:$G$103,'non-road'!$F11,Assumptions!CJ$3:CJ$103)</f>
        <v>0</v>
      </c>
      <c r="AN11" s="40">
        <f ca="1">SUMIFS(Assumptions!CK$3:CK$103,Assumptions!$G$3:$G$103,'non-road'!$F11,Assumptions!$B$3:$B$103,'non-road'!$D11)/SUMIF(Assumptions!$G$3:$G$103,'non-road'!$F11,Assumptions!CK$3:CK$103)</f>
        <v>0.00253721240384647</v>
      </c>
      <c r="AO11" s="40">
        <f ca="1">SUMIFS(Assumptions!CL$3:CL$103,Assumptions!$G$3:$G$103,'non-road'!$F11,Assumptions!$B$3:$B$103,'non-road'!$D11)/SUMIF(Assumptions!$G$3:$G$103,'non-road'!$F11,Assumptions!CL$3:CL$103)</f>
        <v>0</v>
      </c>
      <c r="AP11" s="40" t="e">
        <f ca="1">SUMIFS(Assumptions!CM$3:CM$103,Assumptions!$G$3:$G$103,'non-road'!$F11,Assumptions!$B$3:$B$103,'non-road'!$D11)/SUMIF(Assumptions!$G$3:$G$103,'non-road'!$F11,Assumptions!CM$3:CM$103)</f>
        <v>#DIV/0!</v>
      </c>
      <c r="AQ11" s="40" t="e">
        <f ca="1">SUMIFS(Assumptions!CN$3:CN$103,Assumptions!$G$3:$G$103,'non-road'!$F11,Assumptions!$B$3:$B$103,'non-road'!$D11)/SUMIF(Assumptions!$G$3:$G$103,'non-road'!$F11,Assumptions!CN$3:CN$103)</f>
        <v>#DIV/0!</v>
      </c>
      <c r="AR11" s="40" t="e">
        <f ca="1">SUMIFS(Assumptions!CO$3:CO$103,Assumptions!$G$3:$G$103,'non-road'!$F11,Assumptions!$B$3:$B$103,'non-road'!$D11)/SUMIF(Assumptions!$G$3:$G$103,'non-road'!$F11,Assumptions!CO$3:CO$103)</f>
        <v>#DIV/0!</v>
      </c>
      <c r="AS11" s="40" t="e">
        <f ca="1">SUMIFS(Assumptions!CP$3:CP$103,Assumptions!$G$3:$G$103,'non-road'!$F11,Assumptions!$B$3:$B$103,'non-road'!$D11)/SUMIF(Assumptions!$G$3:$G$103,'non-road'!$F11,Assumptions!CP$3:CP$103)</f>
        <v>#DIV/0!</v>
      </c>
      <c r="AT11" s="40" t="e">
        <f ca="1">SUMIFS(Assumptions!CQ$3:CQ$103,Assumptions!$G$3:$G$103,'non-road'!$F11,Assumptions!$B$3:$B$103,'non-road'!$D11)/SUMIF(Assumptions!$G$3:$G$103,'non-road'!$F11,Assumptions!CQ$3:CQ$103)</f>
        <v>#DIV/0!</v>
      </c>
      <c r="AU11" s="40" t="e">
        <f ca="1">SUMIFS(Assumptions!CR$3:CR$103,Assumptions!$G$3:$G$103,'non-road'!$F11,Assumptions!$B$3:$B$103,'non-road'!$D11)/SUMIF(Assumptions!$G$3:$G$103,'non-road'!$F11,Assumptions!CR$3:CR$103)</f>
        <v>#DIV/0!</v>
      </c>
      <c r="AV11" s="40" t="e">
        <f ca="1">SUMIFS(Assumptions!CS$3:CS$103,Assumptions!$G$3:$G$103,'non-road'!$F11,Assumptions!$B$3:$B$103,'non-road'!$D11)/SUMIF(Assumptions!$G$3:$G$103,'non-road'!$F11,Assumptions!CS$3:CS$103)</f>
        <v>#DIV/0!</v>
      </c>
      <c r="AW11" s="40" t="e">
        <f ca="1">SUMIFS(Assumptions!CT$3:CT$103,Assumptions!$G$3:$G$103,'non-road'!$F11,Assumptions!$B$3:$B$103,'non-road'!$D11)/SUMIF(Assumptions!$G$3:$G$103,'non-road'!$F11,Assumptions!CT$3:CT$103)</f>
        <v>#DIV/0!</v>
      </c>
      <c r="AX11" s="40" t="e">
        <f ca="1">SUMIFS(Assumptions!CU$3:CU$103,Assumptions!$G$3:$G$103,'non-road'!$F11,Assumptions!$B$3:$B$103,'non-road'!$D11)/SUMIF(Assumptions!$G$3:$G$103,'non-road'!$F11,Assumptions!CU$3:CU$103)</f>
        <v>#DIV/0!</v>
      </c>
      <c r="AY11" s="40" t="e">
        <f ca="1">SUMIFS(Assumptions!CV$3:CV$103,Assumptions!$G$3:$G$103,'non-road'!$F11,Assumptions!$B$3:$B$103,'non-road'!$D11)/SUMIF(Assumptions!$G$3:$G$103,'non-road'!$F11,Assumptions!CV$3:CV$103)</f>
        <v>#DIV/0!</v>
      </c>
      <c r="AZ11" s="40" t="e">
        <f ca="1">SUMIFS(Assumptions!CW$3:CW$103,Assumptions!$G$3:$G$103,'non-road'!$F11,Assumptions!$B$3:$B$103,'non-road'!$D11)/SUMIF(Assumptions!$G$3:$G$103,'non-road'!$F11,Assumptions!CW$3:CW$103)</f>
        <v>#DIV/0!</v>
      </c>
      <c r="BA11" s="41"/>
      <c r="BB11" s="40"/>
      <c r="BC11" s="40"/>
      <c r="BD11" s="39" t="str">
        <f t="shared" si="50"/>
        <v>TTP_Generic</v>
      </c>
      <c r="BE11" s="40">
        <f>VLOOKUP($F11,Assumptions!$E$152:$BC$157,COLUMN()-COLUMN($BC$4),FALSE)</f>
        <v>1</v>
      </c>
      <c r="BF11" s="40">
        <f>VLOOKUP($F11,Assumptions!$E$152:$BC$157,COLUMN()-COLUMN($BC$4),FALSE)</f>
        <v>1</v>
      </c>
      <c r="BG11" s="40">
        <f>VLOOKUP($F11,Assumptions!$E$152:$BC$157,COLUMN()-COLUMN($BC$4),FALSE)</f>
        <v>1</v>
      </c>
      <c r="BH11" s="40">
        <f>VLOOKUP($F11,Assumptions!$E$152:$BC$157,COLUMN()-COLUMN($BC$4),FALSE)</f>
        <v>1</v>
      </c>
      <c r="BI11" s="40">
        <f>VLOOKUP($F11,Assumptions!$E$152:$BC$157,COLUMN()-COLUMN($BC$4),FALSE)</f>
        <v>1</v>
      </c>
      <c r="BJ11" s="40">
        <f>VLOOKUP($F11,Assumptions!$E$152:$BC$157,COLUMN()-COLUMN($BC$4),FALSE)</f>
        <v>1</v>
      </c>
      <c r="BK11" s="40">
        <f>VLOOKUP($F11,Assumptions!$E$152:$BC$157,COLUMN()-COLUMN($BC$4),FALSE)</f>
        <v>1</v>
      </c>
      <c r="BL11" s="40">
        <f>VLOOKUP($F11,Assumptions!$E$152:$BC$157,COLUMN()-COLUMN($BC$4),FALSE)</f>
        <v>1</v>
      </c>
      <c r="BM11" s="40">
        <f>VLOOKUP($F11,Assumptions!$E$152:$BC$157,COLUMN()-COLUMN($BC$4),FALSE)</f>
        <v>1</v>
      </c>
      <c r="BN11" s="40">
        <f>VLOOKUP($F11,Assumptions!$E$152:$BC$157,COLUMN()-COLUMN($BC$4),FALSE)</f>
        <v>1</v>
      </c>
      <c r="BO11" s="40">
        <f>VLOOKUP($F11,Assumptions!$E$152:$BC$157,COLUMN()-COLUMN($BC$4),FALSE)</f>
        <v>1</v>
      </c>
      <c r="BP11" s="40">
        <f>VLOOKUP($F11,Assumptions!$E$152:$BC$157,COLUMN()-COLUMN($BC$4),FALSE)</f>
        <v>1</v>
      </c>
      <c r="BQ11" s="40">
        <f>VLOOKUP($F11,Assumptions!$E$152:$BC$157,COLUMN()-COLUMN($BC$4),FALSE)</f>
        <v>1</v>
      </c>
      <c r="BR11" s="40">
        <f>VLOOKUP($F11,Assumptions!$E$152:$BC$157,COLUMN()-COLUMN($BC$4),FALSE)</f>
        <v>1</v>
      </c>
      <c r="BS11" s="40">
        <f>VLOOKUP($F11,Assumptions!$E$152:$BC$157,COLUMN()-COLUMN($BC$4),FALSE)</f>
        <v>1</v>
      </c>
      <c r="BT11" s="40">
        <f>VLOOKUP($F11,Assumptions!$E$152:$BC$157,COLUMN()-COLUMN($BC$4),FALSE)</f>
        <v>1</v>
      </c>
      <c r="BU11" s="40">
        <f>VLOOKUP($F11,Assumptions!$E$152:$BC$157,COLUMN()-COLUMN($BC$4),FALSE)</f>
        <v>1</v>
      </c>
      <c r="BV11" s="40">
        <f>VLOOKUP($F11,Assumptions!$E$152:$BC$157,COLUMN()-COLUMN($BC$4),FALSE)</f>
        <v>1</v>
      </c>
      <c r="BW11" s="40">
        <f>VLOOKUP($F11,Assumptions!$E$152:$BC$157,COLUMN()-COLUMN($BC$4),FALSE)</f>
        <v>1</v>
      </c>
      <c r="BX11" s="40">
        <f>VLOOKUP($F11,Assumptions!$E$152:$BC$157,COLUMN()-COLUMN($BC$4),FALSE)</f>
        <v>1</v>
      </c>
      <c r="BY11" s="40">
        <f>VLOOKUP($F11,Assumptions!$E$152:$BC$157,COLUMN()-COLUMN($BC$4),FALSE)</f>
        <v>1</v>
      </c>
      <c r="BZ11" s="40">
        <f>VLOOKUP($F11,Assumptions!$E$152:$BC$157,COLUMN()-COLUMN($BC$4),FALSE)</f>
        <v>1</v>
      </c>
      <c r="CA11" s="40">
        <f>VLOOKUP($F11,Assumptions!$E$152:$BC$157,COLUMN()-COLUMN($BC$4),FALSE)</f>
        <v>1</v>
      </c>
      <c r="CB11" s="40">
        <f>VLOOKUP($F11,Assumptions!$E$152:$BC$157,COLUMN()-COLUMN($BC$4),FALSE)</f>
        <v>1</v>
      </c>
      <c r="CC11" s="40">
        <f>VLOOKUP($F11,Assumptions!$E$152:$BC$157,COLUMN()-COLUMN($BC$4),FALSE)</f>
        <v>1</v>
      </c>
      <c r="CD11" s="40">
        <f>VLOOKUP($F11,Assumptions!$E$152:$BC$157,COLUMN()-COLUMN($BC$4),FALSE)</f>
        <v>1</v>
      </c>
      <c r="CE11" s="40">
        <f>VLOOKUP($F11,Assumptions!$E$152:$BC$157,COLUMN()-COLUMN($BC$4),FALSE)</f>
        <v>1</v>
      </c>
      <c r="CF11" s="40">
        <f>VLOOKUP($F11,Assumptions!$E$152:$BC$157,COLUMN()-COLUMN($BC$4),FALSE)</f>
        <v>1</v>
      </c>
      <c r="CG11" s="40">
        <f>VLOOKUP($F11,Assumptions!$E$152:$BC$157,COLUMN()-COLUMN($BC$4),FALSE)</f>
        <v>1</v>
      </c>
      <c r="CH11" s="40">
        <f>VLOOKUP($F11,Assumptions!$E$152:$BC$157,COLUMN()-COLUMN($BC$4),FALSE)</f>
        <v>1</v>
      </c>
      <c r="CI11" s="40">
        <f>VLOOKUP($F11,Assumptions!$E$152:$BC$157,COLUMN()-COLUMN($BC$4),FALSE)</f>
        <v>1</v>
      </c>
      <c r="CJ11" s="40">
        <f>VLOOKUP($F11,Assumptions!$E$152:$BC$157,COLUMN()-COLUMN($BC$4),FALSE)</f>
        <v>1</v>
      </c>
      <c r="CK11" s="40">
        <f>VLOOKUP($F11,Assumptions!$E$152:$BC$157,COLUMN()-COLUMN($BC$4),FALSE)</f>
        <v>1</v>
      </c>
      <c r="CL11" s="40">
        <f>VLOOKUP($F11,Assumptions!$E$152:$BC$157,COLUMN()-COLUMN($BC$4),FALSE)</f>
        <v>1</v>
      </c>
      <c r="CM11" s="40">
        <f>VLOOKUP($F11,Assumptions!$E$152:$BC$157,COLUMN()-COLUMN($BC$4),FALSE)</f>
        <v>1</v>
      </c>
      <c r="CN11" s="40">
        <f>VLOOKUP($F11,Assumptions!$E$152:$BC$157,COLUMN()-COLUMN($BC$4),FALSE)</f>
        <v>1</v>
      </c>
      <c r="CO11" s="40">
        <f>VLOOKUP($F11,Assumptions!$E$152:$BC$157,COLUMN()-COLUMN($BC$4),FALSE)</f>
        <v>1</v>
      </c>
      <c r="CP11" s="40">
        <f>VLOOKUP($F11,Assumptions!$E$152:$BC$157,COLUMN()-COLUMN($BC$4),FALSE)</f>
        <v>1</v>
      </c>
      <c r="CQ11" s="40">
        <f>VLOOKUP($F11,Assumptions!$E$152:$BC$157,COLUMN()-COLUMN($BC$4),FALSE)</f>
        <v>1</v>
      </c>
      <c r="CR11" s="40">
        <f>VLOOKUP($F11,Assumptions!$E$152:$BC$157,COLUMN()-COLUMN($BC$4),FALSE)</f>
        <v>1</v>
      </c>
      <c r="CS11" s="40">
        <f>VLOOKUP($F11,Assumptions!$E$152:$BC$157,COLUMN()-COLUMN($BC$4),FALSE)</f>
        <v>1</v>
      </c>
      <c r="CT11" s="40">
        <f>VLOOKUP($F11,Assumptions!$E$152:$BC$157,COLUMN()-COLUMN($BC$4),FALSE)</f>
        <v>1</v>
      </c>
      <c r="CU11" s="40">
        <f>VLOOKUP($F11,Assumptions!$E$152:$BC$157,COLUMN()-COLUMN($BC$4),FALSE)</f>
        <v>1</v>
      </c>
      <c r="CV11" s="40">
        <f>VLOOKUP($F11,Assumptions!$E$152:$BC$157,COLUMN()-COLUMN($BC$4),FALSE)</f>
        <v>1</v>
      </c>
      <c r="CW11" s="40">
        <f>VLOOKUP($F11,Assumptions!$E$152:$BC$157,COLUMN()-COLUMN($BC$4),FALSE)</f>
        <v>1</v>
      </c>
      <c r="CX11" s="40">
        <f>VLOOKUP($F11,Assumptions!$E$152:$BC$157,COLUMN()-COLUMN($BC$4),FALSE)</f>
        <v>1</v>
      </c>
      <c r="CY11" s="39"/>
      <c r="CZ11" s="39"/>
      <c r="DA11" s="39"/>
      <c r="DB11" s="39" t="str">
        <f t="shared" ref="DB11" si="52">DB2</f>
        <v>Africa_North</v>
      </c>
      <c r="DC11" s="39" t="str">
        <f t="shared" ref="DC11:EU11" si="53">DC2</f>
        <v>Africa_Other</v>
      </c>
      <c r="DD11" s="39" t="str">
        <f t="shared" si="53"/>
        <v>Australia</v>
      </c>
      <c r="DE11" s="39" t="str">
        <f t="shared" si="53"/>
        <v>Austria</v>
      </c>
      <c r="DF11" s="39" t="str">
        <f t="shared" si="53"/>
        <v>Baltics</v>
      </c>
      <c r="DG11" s="39" t="str">
        <f t="shared" si="53"/>
        <v>BeNeLux</v>
      </c>
      <c r="DH11" s="39" t="str">
        <f t="shared" si="53"/>
        <v>Brazil</v>
      </c>
      <c r="DI11" s="39" t="str">
        <f t="shared" si="53"/>
        <v>China</v>
      </c>
      <c r="DJ11" s="39" t="str">
        <f t="shared" si="53"/>
        <v>CroSloven</v>
      </c>
      <c r="DK11" s="39" t="str">
        <f t="shared" si="53"/>
        <v>CzechSlovak</v>
      </c>
      <c r="DL11" s="39" t="str">
        <f t="shared" si="53"/>
        <v>France</v>
      </c>
      <c r="DM11" s="39" t="str">
        <f t="shared" si="53"/>
        <v>Germany</v>
      </c>
      <c r="DN11" s="39" t="str">
        <f t="shared" si="53"/>
        <v>GreeceCyp</v>
      </c>
      <c r="DO11" s="39" t="str">
        <f t="shared" si="53"/>
        <v>HunRomBul</v>
      </c>
      <c r="DP11" s="39" t="str">
        <f t="shared" si="53"/>
        <v>Iceland</v>
      </c>
      <c r="DQ11" s="39" t="str">
        <f t="shared" si="53"/>
        <v>India</v>
      </c>
      <c r="DR11" s="39" t="str">
        <f t="shared" si="53"/>
        <v>Ireland</v>
      </c>
      <c r="DS11" s="39" t="str">
        <f t="shared" si="53"/>
        <v>ItalyMal</v>
      </c>
      <c r="DT11" s="39" t="str">
        <f t="shared" si="53"/>
        <v>Japan</v>
      </c>
      <c r="DU11" s="39" t="str">
        <f t="shared" si="53"/>
        <v>LatAm</v>
      </c>
      <c r="DV11" s="39" t="str">
        <f t="shared" si="53"/>
        <v>MidEast</v>
      </c>
      <c r="DW11" s="39" t="str">
        <f t="shared" si="53"/>
        <v>NorthAm</v>
      </c>
      <c r="DX11" s="39" t="str">
        <f t="shared" si="53"/>
        <v>Norway</v>
      </c>
      <c r="DY11" s="39" t="str">
        <f t="shared" si="53"/>
        <v>Poland</v>
      </c>
      <c r="DZ11" s="39" t="str">
        <f t="shared" si="53"/>
        <v>ROW</v>
      </c>
      <c r="EA11" s="39" t="str">
        <f t="shared" si="53"/>
        <v>Russia</v>
      </c>
      <c r="EB11" s="39" t="str">
        <f t="shared" si="53"/>
        <v>SaudiArabia</v>
      </c>
      <c r="EC11" s="39" t="str">
        <f t="shared" si="53"/>
        <v>SouthAfrica</v>
      </c>
      <c r="ED11" s="39" t="str">
        <f t="shared" si="53"/>
        <v>SpainPor</v>
      </c>
      <c r="EE11" s="39" t="str">
        <f t="shared" si="53"/>
        <v>SweFinDen</v>
      </c>
      <c r="EF11" s="39" t="str">
        <f t="shared" si="53"/>
        <v>Switzerland</v>
      </c>
      <c r="EG11" s="39" t="str">
        <f t="shared" si="53"/>
        <v>Turkey</v>
      </c>
      <c r="EH11" s="39" t="str">
        <f t="shared" si="53"/>
        <v>UK</v>
      </c>
      <c r="EI11" s="39" t="str">
        <f t="shared" si="53"/>
        <v>Ukraine</v>
      </c>
      <c r="EJ11" s="39" t="str">
        <f t="shared" si="53"/>
        <v>WestBalkans</v>
      </c>
      <c r="EK11" s="39" t="str">
        <f t="shared" si="53"/>
        <v>\I:</v>
      </c>
      <c r="EL11" s="39" t="str">
        <f t="shared" si="53"/>
        <v>\I:</v>
      </c>
      <c r="EM11" s="39" t="str">
        <f t="shared" si="53"/>
        <v>\I:</v>
      </c>
      <c r="EN11" s="39" t="str">
        <f t="shared" si="53"/>
        <v>\I:</v>
      </c>
      <c r="EO11" s="39" t="str">
        <f t="shared" si="53"/>
        <v>\I:</v>
      </c>
      <c r="EP11" s="39" t="str">
        <f t="shared" si="53"/>
        <v>\I:</v>
      </c>
      <c r="EQ11" s="39" t="str">
        <f t="shared" si="53"/>
        <v>\I:</v>
      </c>
      <c r="ER11" s="39" t="str">
        <f t="shared" si="53"/>
        <v>\I:</v>
      </c>
      <c r="ES11" s="39" t="str">
        <f t="shared" si="53"/>
        <v>\I:</v>
      </c>
      <c r="ET11" s="39" t="str">
        <f t="shared" si="53"/>
        <v>\I:</v>
      </c>
      <c r="EU11" s="39" t="str">
        <f t="shared" si="53"/>
        <v>\I:</v>
      </c>
      <c r="EV11" s="39"/>
      <c r="EW11" s="39" t="str">
        <f t="shared" si="48"/>
        <v>\I:</v>
      </c>
      <c r="EX11" s="39" t="str">
        <f t="shared" si="51"/>
        <v/>
      </c>
      <c r="EY11" s="39" t="s">
        <v>133</v>
      </c>
      <c r="EZ11" s="39" t="s">
        <v>85</v>
      </c>
      <c r="FA11" s="39" t="s">
        <v>440</v>
      </c>
      <c r="FB11" s="39"/>
      <c r="FC11" s="39"/>
      <c r="FD11" s="39"/>
    </row>
    <row r="12" spans="1:160">
      <c r="A12" s="39" t="s">
        <v>442</v>
      </c>
      <c r="B12" s="39"/>
      <c r="C12" s="39" t="str">
        <f t="shared" ref="C12:C41" si="54">IF(F12&lt;&gt;F11,F12&amp;"_Generic","")</f>
        <v/>
      </c>
      <c r="D12" s="39" t="s">
        <v>60</v>
      </c>
      <c r="E12" s="39"/>
      <c r="F12" s="39" t="s">
        <v>198</v>
      </c>
      <c r="G12" s="40">
        <f ca="1">SUMIFS(Assumptions!BD$3:BD$103,Assumptions!$G$3:$G$103,'non-road'!$F12,Assumptions!$B$3:$B$103,'non-road'!$D12)/SUMIF(Assumptions!$G$3:$G$103,'non-road'!$F12,Assumptions!BD$3:BD$103)</f>
        <v>0.106392242536338</v>
      </c>
      <c r="H12" s="40">
        <f ca="1">SUMIFS(Assumptions!BE$3:BE$103,Assumptions!$G$3:$G$103,'non-road'!$F12,Assumptions!$B$3:$B$103,'non-road'!$D12)/SUMIF(Assumptions!$G$3:$G$103,'non-road'!$F12,Assumptions!BE$3:BE$103)</f>
        <v>0.966562340628108</v>
      </c>
      <c r="I12" s="40">
        <f ca="1">SUMIFS(Assumptions!BF$3:BF$103,Assumptions!$G$3:$G$103,'non-road'!$F12,Assumptions!$B$3:$B$103,'non-road'!$D12)/SUMIF(Assumptions!$G$3:$G$103,'non-road'!$F12,Assumptions!BF$3:BF$103)</f>
        <v>0.635928630218476</v>
      </c>
      <c r="J12" s="40">
        <f ca="1">SUMIFS(Assumptions!BG$3:BG$103,Assumptions!$G$3:$G$103,'non-road'!$F12,Assumptions!$B$3:$B$103,'non-road'!$D12)/SUMIF(Assumptions!$G$3:$G$103,'non-road'!$F12,Assumptions!BG$3:BG$103)</f>
        <v>0.0181958057374866</v>
      </c>
      <c r="K12" s="40">
        <f ca="1">SUMIFS(Assumptions!BH$3:BH$103,Assumptions!$G$3:$G$103,'non-road'!$F12,Assumptions!$B$3:$B$103,'non-road'!$D12)/SUMIF(Assumptions!$G$3:$G$103,'non-road'!$F12,Assumptions!BH$3:BH$103)</f>
        <v>0.617653525376767</v>
      </c>
      <c r="L12" s="40">
        <f ca="1">SUMIFS(Assumptions!BI$3:BI$103,Assumptions!$G$3:$G$103,'non-road'!$F12,Assumptions!$B$3:$B$103,'non-road'!$D12)/SUMIF(Assumptions!$G$3:$G$103,'non-road'!$F12,Assumptions!BI$3:BI$103)</f>
        <v>0.0153503061546347</v>
      </c>
      <c r="M12" s="40">
        <f ca="1">SUMIFS(Assumptions!BJ$3:BJ$103,Assumptions!$G$3:$G$103,'non-road'!$F12,Assumptions!$B$3:$B$103,'non-road'!$D12)/SUMIF(Assumptions!$G$3:$G$103,'non-road'!$F12,Assumptions!BJ$3:BJ$103)</f>
        <v>0.487502069309818</v>
      </c>
      <c r="N12" s="40">
        <f ca="1">SUMIFS(Assumptions!BK$3:BK$103,Assumptions!$G$3:$G$103,'non-road'!$F12,Assumptions!$B$3:$B$103,'non-road'!$D12)/SUMIF(Assumptions!$G$3:$G$103,'non-road'!$F12,Assumptions!BK$3:BK$103)</f>
        <v>0.139798829444941</v>
      </c>
      <c r="O12" s="40">
        <f ca="1">SUMIFS(Assumptions!BL$3:BL$103,Assumptions!$G$3:$G$103,'non-road'!$F12,Assumptions!$B$3:$B$103,'non-road'!$D12)/SUMIF(Assumptions!$G$3:$G$103,'non-road'!$F12,Assumptions!BL$3:BL$103)</f>
        <v>0.0579064494147954</v>
      </c>
      <c r="P12" s="40">
        <f ca="1">SUMIFS(Assumptions!BM$3:BM$103,Assumptions!$G$3:$G$103,'non-road'!$F12,Assumptions!$B$3:$B$103,'non-road'!$D12)/SUMIF(Assumptions!$G$3:$G$103,'non-road'!$F12,Assumptions!BM$3:BM$103)</f>
        <v>0.0463459681666136</v>
      </c>
      <c r="Q12" s="40">
        <f ca="1">SUMIFS(Assumptions!BN$3:BN$103,Assumptions!$G$3:$G$103,'non-road'!$F12,Assumptions!$B$3:$B$103,'non-road'!$D12)/SUMIF(Assumptions!$G$3:$G$103,'non-road'!$F12,Assumptions!BN$3:BN$103)</f>
        <v>0.015839039784247</v>
      </c>
      <c r="R12" s="40">
        <f ca="1">SUMIFS(Assumptions!BO$3:BO$103,Assumptions!$G$3:$G$103,'non-road'!$F12,Assumptions!$B$3:$B$103,'non-road'!$D12)/SUMIF(Assumptions!$G$3:$G$103,'non-road'!$F12,Assumptions!BO$3:BO$103)</f>
        <v>0.0257430820018994</v>
      </c>
      <c r="S12" s="40">
        <f ca="1">SUMIFS(Assumptions!BP$3:BP$103,Assumptions!$G$3:$G$103,'non-road'!$F12,Assumptions!$B$3:$B$103,'non-road'!$D12)/SUMIF(Assumptions!$G$3:$G$103,'non-road'!$F12,Assumptions!BP$3:BP$103)</f>
        <v>0.0633977432523772</v>
      </c>
      <c r="T12" s="40">
        <f ca="1">SUMIFS(Assumptions!BQ$3:BQ$103,Assumptions!$G$3:$G$103,'non-road'!$F12,Assumptions!$B$3:$B$103,'non-road'!$D12)/SUMIF(Assumptions!$G$3:$G$103,'non-road'!$F12,Assumptions!BQ$3:BQ$103)</f>
        <v>0.0855085786079429</v>
      </c>
      <c r="U12" s="40" t="e">
        <f ca="1">SUMIFS(Assumptions!BR$3:BR$103,Assumptions!$G$3:$G$103,'non-road'!$F12,Assumptions!$B$3:$B$103,'non-road'!$D12)/SUMIF(Assumptions!$G$3:$G$103,'non-road'!$F12,Assumptions!BR$3:BR$103)</f>
        <v>#DIV/0!</v>
      </c>
      <c r="V12" s="40">
        <f ca="1">SUMIFS(Assumptions!BS$3:BS$103,Assumptions!$G$3:$G$103,'non-road'!$F12,Assumptions!$B$3:$B$103,'non-road'!$D12)/SUMIF(Assumptions!$G$3:$G$103,'non-road'!$F12,Assumptions!BS$3:BS$103)</f>
        <v>0.532572836212055</v>
      </c>
      <c r="W12" s="40">
        <f ca="1">SUMIFS(Assumptions!BT$3:BT$103,Assumptions!$G$3:$G$103,'non-road'!$F12,Assumptions!$B$3:$B$103,'non-road'!$D12)/SUMIF(Assumptions!$G$3:$G$103,'non-road'!$F12,Assumptions!BT$3:BT$103)</f>
        <v>0.467681198711571</v>
      </c>
      <c r="X12" s="40">
        <f ca="1">SUMIFS(Assumptions!BU$3:BU$103,Assumptions!$G$3:$G$103,'non-road'!$F12,Assumptions!$B$3:$B$103,'non-road'!$D12)/SUMIF(Assumptions!$G$3:$G$103,'non-road'!$F12,Assumptions!BU$3:BU$103)</f>
        <v>0.00908511788509317</v>
      </c>
      <c r="Y12" s="40">
        <f ca="1">SUMIFS(Assumptions!BV$3:BV$103,Assumptions!$G$3:$G$103,'non-road'!$F12,Assumptions!$B$3:$B$103,'non-road'!$D12)/SUMIF(Assumptions!$G$3:$G$103,'non-road'!$F12,Assumptions!BV$3:BV$103)</f>
        <v>0.0698863390656033</v>
      </c>
      <c r="Z12" s="40">
        <f ca="1">SUMIFS(Assumptions!BW$3:BW$103,Assumptions!$G$3:$G$103,'non-road'!$F12,Assumptions!$B$3:$B$103,'non-road'!$D12)/SUMIF(Assumptions!$G$3:$G$103,'non-road'!$F12,Assumptions!BW$3:BW$103)</f>
        <v>0.0732249214960131</v>
      </c>
      <c r="AA12" s="40">
        <f ca="1">SUMIFS(Assumptions!BX$3:BX$103,Assumptions!$G$3:$G$103,'non-road'!$F12,Assumptions!$B$3:$B$103,'non-road'!$D12)/SUMIF(Assumptions!$G$3:$G$103,'non-road'!$F12,Assumptions!BX$3:BX$103)</f>
        <v>1</v>
      </c>
      <c r="AB12" s="40">
        <f ca="1">SUMIFS(Assumptions!BY$3:BY$103,Assumptions!$G$3:$G$103,'non-road'!$F12,Assumptions!$B$3:$B$103,'non-road'!$D12)/SUMIF(Assumptions!$G$3:$G$103,'non-road'!$F12,Assumptions!BY$3:BY$103)</f>
        <v>0.466236925269191</v>
      </c>
      <c r="AC12" s="40">
        <f ca="1">SUMIFS(Assumptions!BZ$3:BZ$103,Assumptions!$G$3:$G$103,'non-road'!$F12,Assumptions!$B$3:$B$103,'non-road'!$D12)/SUMIF(Assumptions!$G$3:$G$103,'non-road'!$F12,Assumptions!BZ$3:BZ$103)</f>
        <v>0.0262413551811614</v>
      </c>
      <c r="AD12" s="40">
        <f ca="1">SUMIFS(Assumptions!CA$3:CA$103,Assumptions!$G$3:$G$103,'non-road'!$F12,Assumptions!$B$3:$B$103,'non-road'!$D12)/SUMIF(Assumptions!$G$3:$G$103,'non-road'!$F12,Assumptions!CA$3:CA$103)</f>
        <v>0.0339440893250475</v>
      </c>
      <c r="AE12" s="40">
        <f ca="1">SUMIFS(Assumptions!CB$3:CB$103,Assumptions!$G$3:$G$103,'non-road'!$F12,Assumptions!$B$3:$B$103,'non-road'!$D12)/SUMIF(Assumptions!$G$3:$G$103,'non-road'!$F12,Assumptions!CB$3:CB$103)</f>
        <v>0.242015318741171</v>
      </c>
      <c r="AF12" s="40">
        <f ca="1">SUMIFS(Assumptions!CC$3:CC$103,Assumptions!$G$3:$G$103,'non-road'!$F12,Assumptions!$B$3:$B$103,'non-road'!$D12)/SUMIF(Assumptions!$G$3:$G$103,'non-road'!$F12,Assumptions!CC$3:CC$103)</f>
        <v>0.0999394622486834</v>
      </c>
      <c r="AG12" s="40" t="e">
        <f ca="1">SUMIFS(Assumptions!CD$3:CD$103,Assumptions!$G$3:$G$103,'non-road'!$F12,Assumptions!$B$3:$B$103,'non-road'!$D12)/SUMIF(Assumptions!$G$3:$G$103,'non-road'!$F12,Assumptions!CD$3:CD$103)</f>
        <v>#DIV/0!</v>
      </c>
      <c r="AH12" s="40">
        <f ca="1">SUMIFS(Assumptions!CE$3:CE$103,Assumptions!$G$3:$G$103,'non-road'!$F12,Assumptions!$B$3:$B$103,'non-road'!$D12)/SUMIF(Assumptions!$G$3:$G$103,'non-road'!$F12,Assumptions!CE$3:CE$103)</f>
        <v>0.156737651007814</v>
      </c>
      <c r="AI12" s="40">
        <f ca="1">SUMIFS(Assumptions!CF$3:CF$103,Assumptions!$G$3:$G$103,'non-road'!$F12,Assumptions!$B$3:$B$103,'non-road'!$D12)/SUMIF(Assumptions!$G$3:$G$103,'non-road'!$F12,Assumptions!CF$3:CF$103)</f>
        <v>0.0264437988370131</v>
      </c>
      <c r="AJ12" s="40">
        <f ca="1">SUMIFS(Assumptions!CG$3:CG$103,Assumptions!$G$3:$G$103,'non-road'!$F12,Assumptions!$B$3:$B$103,'non-road'!$D12)/SUMIF(Assumptions!$G$3:$G$103,'non-road'!$F12,Assumptions!CG$3:CG$103)</f>
        <v>0.0332112949069308</v>
      </c>
      <c r="AK12" s="40">
        <f ca="1">SUMIFS(Assumptions!CH$3:CH$103,Assumptions!$G$3:$G$103,'non-road'!$F12,Assumptions!$B$3:$B$103,'non-road'!$D12)/SUMIF(Assumptions!$G$3:$G$103,'non-road'!$F12,Assumptions!CH$3:CH$103)</f>
        <v>0.00345280465942515</v>
      </c>
      <c r="AL12" s="40">
        <f ca="1">SUMIFS(Assumptions!CI$3:CI$103,Assumptions!$G$3:$G$103,'non-road'!$F12,Assumptions!$B$3:$B$103,'non-road'!$D12)/SUMIF(Assumptions!$G$3:$G$103,'non-road'!$F12,Assumptions!CI$3:CI$103)</f>
        <v>0.258824891867238</v>
      </c>
      <c r="AM12" s="40">
        <f ca="1">SUMIFS(Assumptions!CJ$3:CJ$103,Assumptions!$G$3:$G$103,'non-road'!$F12,Assumptions!$B$3:$B$103,'non-road'!$D12)/SUMIF(Assumptions!$G$3:$G$103,'non-road'!$F12,Assumptions!CJ$3:CJ$103)</f>
        <v>0.117220847009956</v>
      </c>
      <c r="AN12" s="40">
        <f ca="1">SUMIFS(Assumptions!CK$3:CK$103,Assumptions!$G$3:$G$103,'non-road'!$F12,Assumptions!$B$3:$B$103,'non-road'!$D12)/SUMIF(Assumptions!$G$3:$G$103,'non-road'!$F12,Assumptions!CK$3:CK$103)</f>
        <v>0.00910658176683085</v>
      </c>
      <c r="AO12" s="40">
        <f ca="1">SUMIFS(Assumptions!CL$3:CL$103,Assumptions!$G$3:$G$103,'non-road'!$F12,Assumptions!$B$3:$B$103,'non-road'!$D12)/SUMIF(Assumptions!$G$3:$G$103,'non-road'!$F12,Assumptions!CL$3:CL$103)</f>
        <v>0.0490580377361855</v>
      </c>
      <c r="AP12" s="40" t="e">
        <f ca="1">SUMIFS(Assumptions!CM$3:CM$103,Assumptions!$G$3:$G$103,'non-road'!$F12,Assumptions!$B$3:$B$103,'non-road'!$D12)/SUMIF(Assumptions!$G$3:$G$103,'non-road'!$F12,Assumptions!CM$3:CM$103)</f>
        <v>#DIV/0!</v>
      </c>
      <c r="AQ12" s="40" t="e">
        <f ca="1">SUMIFS(Assumptions!CN$3:CN$103,Assumptions!$G$3:$G$103,'non-road'!$F12,Assumptions!$B$3:$B$103,'non-road'!$D12)/SUMIF(Assumptions!$G$3:$G$103,'non-road'!$F12,Assumptions!CN$3:CN$103)</f>
        <v>#DIV/0!</v>
      </c>
      <c r="AR12" s="40" t="e">
        <f ca="1">SUMIFS(Assumptions!CO$3:CO$103,Assumptions!$G$3:$G$103,'non-road'!$F12,Assumptions!$B$3:$B$103,'non-road'!$D12)/SUMIF(Assumptions!$G$3:$G$103,'non-road'!$F12,Assumptions!CO$3:CO$103)</f>
        <v>#DIV/0!</v>
      </c>
      <c r="AS12" s="40" t="e">
        <f ca="1">SUMIFS(Assumptions!CP$3:CP$103,Assumptions!$G$3:$G$103,'non-road'!$F12,Assumptions!$B$3:$B$103,'non-road'!$D12)/SUMIF(Assumptions!$G$3:$G$103,'non-road'!$F12,Assumptions!CP$3:CP$103)</f>
        <v>#DIV/0!</v>
      </c>
      <c r="AT12" s="40" t="e">
        <f ca="1">SUMIFS(Assumptions!CQ$3:CQ$103,Assumptions!$G$3:$G$103,'non-road'!$F12,Assumptions!$B$3:$B$103,'non-road'!$D12)/SUMIF(Assumptions!$G$3:$G$103,'non-road'!$F12,Assumptions!CQ$3:CQ$103)</f>
        <v>#DIV/0!</v>
      </c>
      <c r="AU12" s="40" t="e">
        <f ca="1">SUMIFS(Assumptions!CR$3:CR$103,Assumptions!$G$3:$G$103,'non-road'!$F12,Assumptions!$B$3:$B$103,'non-road'!$D12)/SUMIF(Assumptions!$G$3:$G$103,'non-road'!$F12,Assumptions!CR$3:CR$103)</f>
        <v>#DIV/0!</v>
      </c>
      <c r="AV12" s="40" t="e">
        <f ca="1">SUMIFS(Assumptions!CS$3:CS$103,Assumptions!$G$3:$G$103,'non-road'!$F12,Assumptions!$B$3:$B$103,'non-road'!$D12)/SUMIF(Assumptions!$G$3:$G$103,'non-road'!$F12,Assumptions!CS$3:CS$103)</f>
        <v>#DIV/0!</v>
      </c>
      <c r="AW12" s="40" t="e">
        <f ca="1">SUMIFS(Assumptions!CT$3:CT$103,Assumptions!$G$3:$G$103,'non-road'!$F12,Assumptions!$B$3:$B$103,'non-road'!$D12)/SUMIF(Assumptions!$G$3:$G$103,'non-road'!$F12,Assumptions!CT$3:CT$103)</f>
        <v>#DIV/0!</v>
      </c>
      <c r="AX12" s="40" t="e">
        <f ca="1">SUMIFS(Assumptions!CU$3:CU$103,Assumptions!$G$3:$G$103,'non-road'!$F12,Assumptions!$B$3:$B$103,'non-road'!$D12)/SUMIF(Assumptions!$G$3:$G$103,'non-road'!$F12,Assumptions!CU$3:CU$103)</f>
        <v>#DIV/0!</v>
      </c>
      <c r="AY12" s="40" t="e">
        <f ca="1">SUMIFS(Assumptions!CV$3:CV$103,Assumptions!$G$3:$G$103,'non-road'!$F12,Assumptions!$B$3:$B$103,'non-road'!$D12)/SUMIF(Assumptions!$G$3:$G$103,'non-road'!$F12,Assumptions!CV$3:CV$103)</f>
        <v>#DIV/0!</v>
      </c>
      <c r="AZ12" s="40" t="e">
        <f ca="1">SUMIFS(Assumptions!CW$3:CW$103,Assumptions!$G$3:$G$103,'non-road'!$F12,Assumptions!$B$3:$B$103,'non-road'!$D12)/SUMIF(Assumptions!$G$3:$G$103,'non-road'!$F12,Assumptions!CW$3:CW$103)</f>
        <v>#DIV/0!</v>
      </c>
      <c r="BA12" s="41"/>
      <c r="BB12" s="40"/>
      <c r="BC12" s="40"/>
      <c r="BD12" s="39" t="str">
        <f t="shared" ref="BD12:BD41" si="55">IF(C12="","\I:",C12)</f>
        <v>\I:</v>
      </c>
      <c r="BE12" s="40">
        <f>VLOOKUP($F12,Assumptions!$E$152:$BC$157,COLUMN()-COLUMN($BC$4),FALSE)</f>
        <v>1</v>
      </c>
      <c r="BF12" s="40">
        <f>VLOOKUP($F12,Assumptions!$E$152:$BC$157,COLUMN()-COLUMN($BC$4),FALSE)</f>
        <v>1</v>
      </c>
      <c r="BG12" s="40">
        <f>VLOOKUP($F12,Assumptions!$E$152:$BC$157,COLUMN()-COLUMN($BC$4),FALSE)</f>
        <v>1</v>
      </c>
      <c r="BH12" s="40">
        <f>VLOOKUP($F12,Assumptions!$E$152:$BC$157,COLUMN()-COLUMN($BC$4),FALSE)</f>
        <v>1</v>
      </c>
      <c r="BI12" s="40">
        <f>VLOOKUP($F12,Assumptions!$E$152:$BC$157,COLUMN()-COLUMN($BC$4),FALSE)</f>
        <v>1</v>
      </c>
      <c r="BJ12" s="40">
        <f>VLOOKUP($F12,Assumptions!$E$152:$BC$157,COLUMN()-COLUMN($BC$4),FALSE)</f>
        <v>1</v>
      </c>
      <c r="BK12" s="40">
        <f>VLOOKUP($F12,Assumptions!$E$152:$BC$157,COLUMN()-COLUMN($BC$4),FALSE)</f>
        <v>1</v>
      </c>
      <c r="BL12" s="40">
        <f>VLOOKUP($F12,Assumptions!$E$152:$BC$157,COLUMN()-COLUMN($BC$4),FALSE)</f>
        <v>1</v>
      </c>
      <c r="BM12" s="40">
        <f>VLOOKUP($F12,Assumptions!$E$152:$BC$157,COLUMN()-COLUMN($BC$4),FALSE)</f>
        <v>1</v>
      </c>
      <c r="BN12" s="40">
        <f>VLOOKUP($F12,Assumptions!$E$152:$BC$157,COLUMN()-COLUMN($BC$4),FALSE)</f>
        <v>1</v>
      </c>
      <c r="BO12" s="40">
        <f>VLOOKUP($F12,Assumptions!$E$152:$BC$157,COLUMN()-COLUMN($BC$4),FALSE)</f>
        <v>1</v>
      </c>
      <c r="BP12" s="40">
        <f>VLOOKUP($F12,Assumptions!$E$152:$BC$157,COLUMN()-COLUMN($BC$4),FALSE)</f>
        <v>1</v>
      </c>
      <c r="BQ12" s="40">
        <f>VLOOKUP($F12,Assumptions!$E$152:$BC$157,COLUMN()-COLUMN($BC$4),FALSE)</f>
        <v>1</v>
      </c>
      <c r="BR12" s="40">
        <f>VLOOKUP($F12,Assumptions!$E$152:$BC$157,COLUMN()-COLUMN($BC$4),FALSE)</f>
        <v>1</v>
      </c>
      <c r="BS12" s="40">
        <f>VLOOKUP($F12,Assumptions!$E$152:$BC$157,COLUMN()-COLUMN($BC$4),FALSE)</f>
        <v>1</v>
      </c>
      <c r="BT12" s="40">
        <f>VLOOKUP($F12,Assumptions!$E$152:$BC$157,COLUMN()-COLUMN($BC$4),FALSE)</f>
        <v>1</v>
      </c>
      <c r="BU12" s="40">
        <f>VLOOKUP($F12,Assumptions!$E$152:$BC$157,COLUMN()-COLUMN($BC$4),FALSE)</f>
        <v>1</v>
      </c>
      <c r="BV12" s="40">
        <f>VLOOKUP($F12,Assumptions!$E$152:$BC$157,COLUMN()-COLUMN($BC$4),FALSE)</f>
        <v>1</v>
      </c>
      <c r="BW12" s="40">
        <f>VLOOKUP($F12,Assumptions!$E$152:$BC$157,COLUMN()-COLUMN($BC$4),FALSE)</f>
        <v>1</v>
      </c>
      <c r="BX12" s="40">
        <f>VLOOKUP($F12,Assumptions!$E$152:$BC$157,COLUMN()-COLUMN($BC$4),FALSE)</f>
        <v>1</v>
      </c>
      <c r="BY12" s="40">
        <f>VLOOKUP($F12,Assumptions!$E$152:$BC$157,COLUMN()-COLUMN($BC$4),FALSE)</f>
        <v>1</v>
      </c>
      <c r="BZ12" s="40">
        <f>VLOOKUP($F12,Assumptions!$E$152:$BC$157,COLUMN()-COLUMN($BC$4),FALSE)</f>
        <v>1</v>
      </c>
      <c r="CA12" s="40">
        <f>VLOOKUP($F12,Assumptions!$E$152:$BC$157,COLUMN()-COLUMN($BC$4),FALSE)</f>
        <v>1</v>
      </c>
      <c r="CB12" s="40">
        <f>VLOOKUP($F12,Assumptions!$E$152:$BC$157,COLUMN()-COLUMN($BC$4),FALSE)</f>
        <v>1</v>
      </c>
      <c r="CC12" s="40">
        <f>VLOOKUP($F12,Assumptions!$E$152:$BC$157,COLUMN()-COLUMN($BC$4),FALSE)</f>
        <v>1</v>
      </c>
      <c r="CD12" s="40">
        <f>VLOOKUP($F12,Assumptions!$E$152:$BC$157,COLUMN()-COLUMN($BC$4),FALSE)</f>
        <v>1</v>
      </c>
      <c r="CE12" s="40">
        <f>VLOOKUP($F12,Assumptions!$E$152:$BC$157,COLUMN()-COLUMN($BC$4),FALSE)</f>
        <v>1</v>
      </c>
      <c r="CF12" s="40">
        <f>VLOOKUP($F12,Assumptions!$E$152:$BC$157,COLUMN()-COLUMN($BC$4),FALSE)</f>
        <v>1</v>
      </c>
      <c r="CG12" s="40">
        <f>VLOOKUP($F12,Assumptions!$E$152:$BC$157,COLUMN()-COLUMN($BC$4),FALSE)</f>
        <v>1</v>
      </c>
      <c r="CH12" s="40">
        <f>VLOOKUP($F12,Assumptions!$E$152:$BC$157,COLUMN()-COLUMN($BC$4),FALSE)</f>
        <v>1</v>
      </c>
      <c r="CI12" s="40">
        <f>VLOOKUP($F12,Assumptions!$E$152:$BC$157,COLUMN()-COLUMN($BC$4),FALSE)</f>
        <v>1</v>
      </c>
      <c r="CJ12" s="40">
        <f>VLOOKUP($F12,Assumptions!$E$152:$BC$157,COLUMN()-COLUMN($BC$4),FALSE)</f>
        <v>1</v>
      </c>
      <c r="CK12" s="40">
        <f>VLOOKUP($F12,Assumptions!$E$152:$BC$157,COLUMN()-COLUMN($BC$4),FALSE)</f>
        <v>1</v>
      </c>
      <c r="CL12" s="40">
        <f>VLOOKUP($F12,Assumptions!$E$152:$BC$157,COLUMN()-COLUMN($BC$4),FALSE)</f>
        <v>1</v>
      </c>
      <c r="CM12" s="40">
        <f>VLOOKUP($F12,Assumptions!$E$152:$BC$157,COLUMN()-COLUMN($BC$4),FALSE)</f>
        <v>1</v>
      </c>
      <c r="CN12" s="40">
        <f>VLOOKUP($F12,Assumptions!$E$152:$BC$157,COLUMN()-COLUMN($BC$4),FALSE)</f>
        <v>1</v>
      </c>
      <c r="CO12" s="40">
        <f>VLOOKUP($F12,Assumptions!$E$152:$BC$157,COLUMN()-COLUMN($BC$4),FALSE)</f>
        <v>1</v>
      </c>
      <c r="CP12" s="40">
        <f>VLOOKUP($F12,Assumptions!$E$152:$BC$157,COLUMN()-COLUMN($BC$4),FALSE)</f>
        <v>1</v>
      </c>
      <c r="CQ12" s="40">
        <f>VLOOKUP($F12,Assumptions!$E$152:$BC$157,COLUMN()-COLUMN($BC$4),FALSE)</f>
        <v>1</v>
      </c>
      <c r="CR12" s="40">
        <f>VLOOKUP($F12,Assumptions!$E$152:$BC$157,COLUMN()-COLUMN($BC$4),FALSE)</f>
        <v>1</v>
      </c>
      <c r="CS12" s="40">
        <f>VLOOKUP($F12,Assumptions!$E$152:$BC$157,COLUMN()-COLUMN($BC$4),FALSE)</f>
        <v>1</v>
      </c>
      <c r="CT12" s="40">
        <f>VLOOKUP($F12,Assumptions!$E$152:$BC$157,COLUMN()-COLUMN($BC$4),FALSE)</f>
        <v>1</v>
      </c>
      <c r="CU12" s="40">
        <f>VLOOKUP($F12,Assumptions!$E$152:$BC$157,COLUMN()-COLUMN($BC$4),FALSE)</f>
        <v>1</v>
      </c>
      <c r="CV12" s="40">
        <f>VLOOKUP($F12,Assumptions!$E$152:$BC$157,COLUMN()-COLUMN($BC$4),FALSE)</f>
        <v>1</v>
      </c>
      <c r="CW12" s="40">
        <f>VLOOKUP($F12,Assumptions!$E$152:$BC$157,COLUMN()-COLUMN($BC$4),FALSE)</f>
        <v>1</v>
      </c>
      <c r="CX12" s="40">
        <f>VLOOKUP($F12,Assumptions!$E$152:$BC$157,COLUMN()-COLUMN($BC$4),FALSE)</f>
        <v>1</v>
      </c>
      <c r="CY12" s="39"/>
      <c r="CZ12" s="39"/>
      <c r="DA12" s="39" t="str">
        <f t="shared" ref="DA12:DA17" si="56">DA3</f>
        <v>TTF</v>
      </c>
      <c r="DB12" s="40">
        <f ca="1">IFERROR(DB3/DB$20,"")</f>
        <v>0.0035531835601509</v>
      </c>
      <c r="DC12" s="40">
        <f ca="1" t="shared" ref="DC12:EU12" si="57">IFERROR(DC3/DC$20,"")</f>
        <v>0.0038422529385064</v>
      </c>
      <c r="DD12" s="40">
        <f ca="1" t="shared" si="57"/>
        <v>0.0382297549237964</v>
      </c>
      <c r="DE12" s="40">
        <f ca="1" t="shared" si="57"/>
        <v>0.0036135160137602</v>
      </c>
      <c r="DF12" s="40">
        <f ca="1" t="shared" si="57"/>
        <v>0.030371131295588</v>
      </c>
      <c r="DG12" s="40">
        <f ca="1" t="shared" si="57"/>
        <v>0.00145829254099857</v>
      </c>
      <c r="DH12" s="40">
        <f ca="1" t="shared" si="57"/>
        <v>0.013412288031443</v>
      </c>
      <c r="DI12" s="40">
        <f ca="1" t="shared" si="57"/>
        <v>0.006508518637925</v>
      </c>
      <c r="DJ12" s="40">
        <f ca="1" t="shared" si="57"/>
        <v>0.00724682311236265</v>
      </c>
      <c r="DK12" s="40">
        <f ca="1" t="shared" si="57"/>
        <v>0.00845611720954581</v>
      </c>
      <c r="DL12" s="40">
        <f ca="1" t="shared" si="57"/>
        <v>0.00210169936397814</v>
      </c>
      <c r="DM12" s="40">
        <f ca="1" t="shared" si="57"/>
        <v>0.00316767944278094</v>
      </c>
      <c r="DN12" s="40">
        <f ca="1" t="shared" si="57"/>
        <v>0.00152232329231778</v>
      </c>
      <c r="DO12" s="40">
        <f ca="1" t="shared" si="57"/>
        <v>0.0113696943680274</v>
      </c>
      <c r="DP12" s="40">
        <f ca="1" t="shared" si="57"/>
        <v>0</v>
      </c>
      <c r="DQ12" s="40">
        <f ca="1" t="shared" si="57"/>
        <v>0.00906293674310048</v>
      </c>
      <c r="DR12" s="40">
        <f ca="1" t="shared" si="57"/>
        <v>0.00487399862152342</v>
      </c>
      <c r="DS12" s="40">
        <f ca="1" t="shared" si="57"/>
        <v>0.000944139498504663</v>
      </c>
      <c r="DT12" s="40">
        <f ca="1" t="shared" si="57"/>
        <v>0.000456803594813626</v>
      </c>
      <c r="DU12" s="40">
        <f ca="1" t="shared" si="57"/>
        <v>0.000500743134674196</v>
      </c>
      <c r="DV12" s="40">
        <f ca="1" t="shared" si="57"/>
        <v>0.00061596330605528</v>
      </c>
      <c r="DW12" s="40">
        <f ca="1" t="shared" si="57"/>
        <v>0.0335646264838188</v>
      </c>
      <c r="DX12" s="40">
        <f ca="1" t="shared" si="57"/>
        <v>0.00193087793774817</v>
      </c>
      <c r="DY12" s="40">
        <f ca="1" t="shared" si="57"/>
        <v>0.00473671055987058</v>
      </c>
      <c r="DZ12" s="40">
        <f ca="1" t="shared" si="57"/>
        <v>0.00472790196241546</v>
      </c>
      <c r="EA12" s="40">
        <f ca="1" t="shared" si="57"/>
        <v>0.0790491286803778</v>
      </c>
      <c r="EB12" s="40">
        <f ca="1" t="shared" si="57"/>
        <v>0</v>
      </c>
      <c r="EC12" s="40">
        <f ca="1" t="shared" si="57"/>
        <v>0.0146584423215279</v>
      </c>
      <c r="ED12" s="40">
        <f ca="1" t="shared" si="57"/>
        <v>0.00210145512736234</v>
      </c>
      <c r="EE12" s="40">
        <f ca="1" t="shared" si="57"/>
        <v>0.00500271029107867</v>
      </c>
      <c r="EF12" s="40">
        <f ca="1" t="shared" si="57"/>
        <v>0.000859810526654056</v>
      </c>
      <c r="EG12" s="40">
        <f ca="1" t="shared" si="57"/>
        <v>0.00250456525860996</v>
      </c>
      <c r="EH12" s="40">
        <f ca="1" t="shared" si="57"/>
        <v>0.0104659446738869</v>
      </c>
      <c r="EI12" s="40">
        <f ca="1" t="shared" si="57"/>
        <v>0.0137183743683513</v>
      </c>
      <c r="EJ12" s="40">
        <f ca="1" t="shared" si="57"/>
        <v>0.00462027222816052</v>
      </c>
      <c r="EK12" s="40">
        <f ca="1" t="shared" si="57"/>
        <v>0</v>
      </c>
      <c r="EL12" s="40">
        <f ca="1" t="shared" si="57"/>
        <v>0</v>
      </c>
      <c r="EM12" s="40">
        <f ca="1" t="shared" si="57"/>
        <v>0</v>
      </c>
      <c r="EN12" s="40">
        <f ca="1" t="shared" si="57"/>
        <v>0</v>
      </c>
      <c r="EO12" s="40">
        <f ca="1" t="shared" si="57"/>
        <v>0</v>
      </c>
      <c r="EP12" s="40">
        <f ca="1" t="shared" si="57"/>
        <v>0</v>
      </c>
      <c r="EQ12" s="40">
        <f ca="1" t="shared" si="57"/>
        <v>0</v>
      </c>
      <c r="ER12" s="40">
        <f ca="1" t="shared" si="57"/>
        <v>0</v>
      </c>
      <c r="ES12" s="40">
        <f ca="1" t="shared" si="57"/>
        <v>0</v>
      </c>
      <c r="ET12" s="40">
        <f ca="1" t="shared" si="57"/>
        <v>0</v>
      </c>
      <c r="EU12" s="40" t="str">
        <f ca="1" t="shared" si="57"/>
        <v/>
      </c>
      <c r="EV12" s="39"/>
      <c r="EW12" s="39" t="str">
        <f t="shared" si="48"/>
        <v>\I:</v>
      </c>
      <c r="EX12" s="39" t="str">
        <f t="shared" si="51"/>
        <v/>
      </c>
      <c r="EY12" s="39" t="s">
        <v>133</v>
      </c>
      <c r="EZ12" s="39" t="s">
        <v>85</v>
      </c>
      <c r="FA12" s="39" t="s">
        <v>440</v>
      </c>
      <c r="FB12" s="39"/>
      <c r="FC12" s="39"/>
      <c r="FD12" s="39"/>
    </row>
    <row r="13" spans="1:160">
      <c r="A13" s="39" t="s">
        <v>294</v>
      </c>
      <c r="B13" s="39"/>
      <c r="C13" s="39" t="str">
        <f t="shared" si="54"/>
        <v/>
      </c>
      <c r="D13" s="39" t="s">
        <v>66</v>
      </c>
      <c r="E13" s="39"/>
      <c r="F13" s="39" t="s">
        <v>198</v>
      </c>
      <c r="G13" s="40">
        <f ca="1">SUMIFS(Assumptions!BD$3:BD$103,Assumptions!$G$3:$G$103,'non-road'!$F13,Assumptions!$B$3:$B$103,'non-road'!$D13)/SUMIF(Assumptions!$G$3:$G$103,'non-road'!$F13,Assumptions!BD$3:BD$103)</f>
        <v>0</v>
      </c>
      <c r="H13" s="40">
        <f ca="1">SUMIFS(Assumptions!BE$3:BE$103,Assumptions!$G$3:$G$103,'non-road'!$F13,Assumptions!$B$3:$B$103,'non-road'!$D13)/SUMIF(Assumptions!$G$3:$G$103,'non-road'!$F13,Assumptions!BE$3:BE$103)</f>
        <v>0</v>
      </c>
      <c r="I13" s="40">
        <f ca="1">SUMIFS(Assumptions!BF$3:BF$103,Assumptions!$G$3:$G$103,'non-road'!$F13,Assumptions!$B$3:$B$103,'non-road'!$D13)/SUMIF(Assumptions!$G$3:$G$103,'non-road'!$F13,Assumptions!BF$3:BF$103)</f>
        <v>0.000990679107828765</v>
      </c>
      <c r="J13" s="40">
        <f ca="1">SUMIFS(Assumptions!BG$3:BG$103,Assumptions!$G$3:$G$103,'non-road'!$F13,Assumptions!$B$3:$B$103,'non-road'!$D13)/SUMIF(Assumptions!$G$3:$G$103,'non-road'!$F13,Assumptions!BG$3:BG$103)</f>
        <v>0</v>
      </c>
      <c r="K13" s="40">
        <f ca="1">SUMIFS(Assumptions!BH$3:BH$103,Assumptions!$G$3:$G$103,'non-road'!$F13,Assumptions!$B$3:$B$103,'non-road'!$D13)/SUMIF(Assumptions!$G$3:$G$103,'non-road'!$F13,Assumptions!BH$3:BH$103)</f>
        <v>0</v>
      </c>
      <c r="L13" s="40">
        <f ca="1">SUMIFS(Assumptions!BI$3:BI$103,Assumptions!$G$3:$G$103,'non-road'!$F13,Assumptions!$B$3:$B$103,'non-road'!$D13)/SUMIF(Assumptions!$G$3:$G$103,'non-road'!$F13,Assumptions!BI$3:BI$103)</f>
        <v>0</v>
      </c>
      <c r="M13" s="40">
        <f ca="1">SUMIFS(Assumptions!BJ$3:BJ$103,Assumptions!$G$3:$G$103,'non-road'!$F13,Assumptions!$B$3:$B$103,'non-road'!$D13)/SUMIF(Assumptions!$G$3:$G$103,'non-road'!$F13,Assumptions!BJ$3:BJ$103)</f>
        <v>0</v>
      </c>
      <c r="N13" s="40">
        <f ca="1">SUMIFS(Assumptions!BK$3:BK$103,Assumptions!$G$3:$G$103,'non-road'!$F13,Assumptions!$B$3:$B$103,'non-road'!$D13)/SUMIF(Assumptions!$G$3:$G$103,'non-road'!$F13,Assumptions!BK$3:BK$103)</f>
        <v>0</v>
      </c>
      <c r="O13" s="40">
        <f ca="1">SUMIFS(Assumptions!BL$3:BL$103,Assumptions!$G$3:$G$103,'non-road'!$F13,Assumptions!$B$3:$B$103,'non-road'!$D13)/SUMIF(Assumptions!$G$3:$G$103,'non-road'!$F13,Assumptions!BL$3:BL$103)</f>
        <v>0</v>
      </c>
      <c r="P13" s="40">
        <f ca="1">SUMIFS(Assumptions!BM$3:BM$103,Assumptions!$G$3:$G$103,'non-road'!$F13,Assumptions!$B$3:$B$103,'non-road'!$D13)/SUMIF(Assumptions!$G$3:$G$103,'non-road'!$F13,Assumptions!BM$3:BM$103)</f>
        <v>0</v>
      </c>
      <c r="Q13" s="40">
        <f ca="1">SUMIFS(Assumptions!BN$3:BN$103,Assumptions!$G$3:$G$103,'non-road'!$F13,Assumptions!$B$3:$B$103,'non-road'!$D13)/SUMIF(Assumptions!$G$3:$G$103,'non-road'!$F13,Assumptions!BN$3:BN$103)</f>
        <v>0</v>
      </c>
      <c r="R13" s="40">
        <f ca="1">SUMIFS(Assumptions!BO$3:BO$103,Assumptions!$G$3:$G$103,'non-road'!$F13,Assumptions!$B$3:$B$103,'non-road'!$D13)/SUMIF(Assumptions!$G$3:$G$103,'non-road'!$F13,Assumptions!BO$3:BO$103)</f>
        <v>0</v>
      </c>
      <c r="S13" s="40">
        <f ca="1">SUMIFS(Assumptions!BP$3:BP$103,Assumptions!$G$3:$G$103,'non-road'!$F13,Assumptions!$B$3:$B$103,'non-road'!$D13)/SUMIF(Assumptions!$G$3:$G$103,'non-road'!$F13,Assumptions!BP$3:BP$103)</f>
        <v>0</v>
      </c>
      <c r="T13" s="40">
        <f ca="1">SUMIFS(Assumptions!BQ$3:BQ$103,Assumptions!$G$3:$G$103,'non-road'!$F13,Assumptions!$B$3:$B$103,'non-road'!$D13)/SUMIF(Assumptions!$G$3:$G$103,'non-road'!$F13,Assumptions!BQ$3:BQ$103)</f>
        <v>0</v>
      </c>
      <c r="U13" s="40" t="e">
        <f ca="1">SUMIFS(Assumptions!BR$3:BR$103,Assumptions!$G$3:$G$103,'non-road'!$F13,Assumptions!$B$3:$B$103,'non-road'!$D13)/SUMIF(Assumptions!$G$3:$G$103,'non-road'!$F13,Assumptions!BR$3:BR$103)</f>
        <v>#DIV/0!</v>
      </c>
      <c r="V13" s="40">
        <f ca="1">SUMIFS(Assumptions!BS$3:BS$103,Assumptions!$G$3:$G$103,'non-road'!$F13,Assumptions!$B$3:$B$103,'non-road'!$D13)/SUMIF(Assumptions!$G$3:$G$103,'non-road'!$F13,Assumptions!BS$3:BS$103)</f>
        <v>0</v>
      </c>
      <c r="W13" s="40">
        <f ca="1">SUMIFS(Assumptions!BT$3:BT$103,Assumptions!$G$3:$G$103,'non-road'!$F13,Assumptions!$B$3:$B$103,'non-road'!$D13)/SUMIF(Assumptions!$G$3:$G$103,'non-road'!$F13,Assumptions!BT$3:BT$103)</f>
        <v>0</v>
      </c>
      <c r="X13" s="40">
        <f ca="1">SUMIFS(Assumptions!BU$3:BU$103,Assumptions!$G$3:$G$103,'non-road'!$F13,Assumptions!$B$3:$B$103,'non-road'!$D13)/SUMIF(Assumptions!$G$3:$G$103,'non-road'!$F13,Assumptions!BU$3:BU$103)</f>
        <v>0</v>
      </c>
      <c r="Y13" s="40">
        <f ca="1">SUMIFS(Assumptions!BV$3:BV$103,Assumptions!$G$3:$G$103,'non-road'!$F13,Assumptions!$B$3:$B$103,'non-road'!$D13)/SUMIF(Assumptions!$G$3:$G$103,'non-road'!$F13,Assumptions!BV$3:BV$103)</f>
        <v>0</v>
      </c>
      <c r="Z13" s="40">
        <f ca="1">SUMIFS(Assumptions!BW$3:BW$103,Assumptions!$G$3:$G$103,'non-road'!$F13,Assumptions!$B$3:$B$103,'non-road'!$D13)/SUMIF(Assumptions!$G$3:$G$103,'non-road'!$F13,Assumptions!BW$3:BW$103)</f>
        <v>0</v>
      </c>
      <c r="AA13" s="40">
        <f ca="1">SUMIFS(Assumptions!BX$3:BX$103,Assumptions!$G$3:$G$103,'non-road'!$F13,Assumptions!$B$3:$B$103,'non-road'!$D13)/SUMIF(Assumptions!$G$3:$G$103,'non-road'!$F13,Assumptions!BX$3:BX$103)</f>
        <v>0</v>
      </c>
      <c r="AB13" s="40">
        <f ca="1">SUMIFS(Assumptions!BY$3:BY$103,Assumptions!$G$3:$G$103,'non-road'!$F13,Assumptions!$B$3:$B$103,'non-road'!$D13)/SUMIF(Assumptions!$G$3:$G$103,'non-road'!$F13,Assumptions!BY$3:BY$103)</f>
        <v>0</v>
      </c>
      <c r="AC13" s="40">
        <f ca="1">SUMIFS(Assumptions!BZ$3:BZ$103,Assumptions!$G$3:$G$103,'non-road'!$F13,Assumptions!$B$3:$B$103,'non-road'!$D13)/SUMIF(Assumptions!$G$3:$G$103,'non-road'!$F13,Assumptions!BZ$3:BZ$103)</f>
        <v>0</v>
      </c>
      <c r="AD13" s="40">
        <f ca="1">SUMIFS(Assumptions!CA$3:CA$103,Assumptions!$G$3:$G$103,'non-road'!$F13,Assumptions!$B$3:$B$103,'non-road'!$D13)/SUMIF(Assumptions!$G$3:$G$103,'non-road'!$F13,Assumptions!CA$3:CA$103)</f>
        <v>0</v>
      </c>
      <c r="AE13" s="40">
        <f ca="1">SUMIFS(Assumptions!CB$3:CB$103,Assumptions!$G$3:$G$103,'non-road'!$F13,Assumptions!$B$3:$B$103,'non-road'!$D13)/SUMIF(Assumptions!$G$3:$G$103,'non-road'!$F13,Assumptions!CB$3:CB$103)</f>
        <v>0.000642889226159119</v>
      </c>
      <c r="AF13" s="40">
        <f ca="1">SUMIFS(Assumptions!CC$3:CC$103,Assumptions!$G$3:$G$103,'non-road'!$F13,Assumptions!$B$3:$B$103,'non-road'!$D13)/SUMIF(Assumptions!$G$3:$G$103,'non-road'!$F13,Assumptions!CC$3:CC$103)</f>
        <v>0.00347668386813796</v>
      </c>
      <c r="AG13" s="40" t="e">
        <f ca="1">SUMIFS(Assumptions!CD$3:CD$103,Assumptions!$G$3:$G$103,'non-road'!$F13,Assumptions!$B$3:$B$103,'non-road'!$D13)/SUMIF(Assumptions!$G$3:$G$103,'non-road'!$F13,Assumptions!CD$3:CD$103)</f>
        <v>#DIV/0!</v>
      </c>
      <c r="AH13" s="40">
        <f ca="1">SUMIFS(Assumptions!CE$3:CE$103,Assumptions!$G$3:$G$103,'non-road'!$F13,Assumptions!$B$3:$B$103,'non-road'!$D13)/SUMIF(Assumptions!$G$3:$G$103,'non-road'!$F13,Assumptions!CE$3:CE$103)</f>
        <v>0.0691984770814521</v>
      </c>
      <c r="AI13" s="40">
        <f ca="1">SUMIFS(Assumptions!CF$3:CF$103,Assumptions!$G$3:$G$103,'non-road'!$F13,Assumptions!$B$3:$B$103,'non-road'!$D13)/SUMIF(Assumptions!$G$3:$G$103,'non-road'!$F13,Assumptions!CF$3:CF$103)</f>
        <v>0</v>
      </c>
      <c r="AJ13" s="40">
        <f ca="1">SUMIFS(Assumptions!CG$3:CG$103,Assumptions!$G$3:$G$103,'non-road'!$F13,Assumptions!$B$3:$B$103,'non-road'!$D13)/SUMIF(Assumptions!$G$3:$G$103,'non-road'!$F13,Assumptions!CG$3:CG$103)</f>
        <v>0</v>
      </c>
      <c r="AK13" s="40">
        <f ca="1">SUMIFS(Assumptions!CH$3:CH$103,Assumptions!$G$3:$G$103,'non-road'!$F13,Assumptions!$B$3:$B$103,'non-road'!$D13)/SUMIF(Assumptions!$G$3:$G$103,'non-road'!$F13,Assumptions!CH$3:CH$103)</f>
        <v>0</v>
      </c>
      <c r="AL13" s="40">
        <f ca="1">SUMIFS(Assumptions!CI$3:CI$103,Assumptions!$G$3:$G$103,'non-road'!$F13,Assumptions!$B$3:$B$103,'non-road'!$D13)/SUMIF(Assumptions!$G$3:$G$103,'non-road'!$F13,Assumptions!CI$3:CI$103)</f>
        <v>0</v>
      </c>
      <c r="AM13" s="40">
        <f ca="1">SUMIFS(Assumptions!CJ$3:CJ$103,Assumptions!$G$3:$G$103,'non-road'!$F13,Assumptions!$B$3:$B$103,'non-road'!$D13)/SUMIF(Assumptions!$G$3:$G$103,'non-road'!$F13,Assumptions!CJ$3:CJ$103)</f>
        <v>0</v>
      </c>
      <c r="AN13" s="40">
        <f ca="1">SUMIFS(Assumptions!CK$3:CK$103,Assumptions!$G$3:$G$103,'non-road'!$F13,Assumptions!$B$3:$B$103,'non-road'!$D13)/SUMIF(Assumptions!$G$3:$G$103,'non-road'!$F13,Assumptions!CK$3:CK$103)</f>
        <v>0</v>
      </c>
      <c r="AO13" s="40">
        <f ca="1">SUMIFS(Assumptions!CL$3:CL$103,Assumptions!$G$3:$G$103,'non-road'!$F13,Assumptions!$B$3:$B$103,'non-road'!$D13)/SUMIF(Assumptions!$G$3:$G$103,'non-road'!$F13,Assumptions!CL$3:CL$103)</f>
        <v>0</v>
      </c>
      <c r="AP13" s="40" t="e">
        <f ca="1">SUMIFS(Assumptions!CM$3:CM$103,Assumptions!$G$3:$G$103,'non-road'!$F13,Assumptions!$B$3:$B$103,'non-road'!$D13)/SUMIF(Assumptions!$G$3:$G$103,'non-road'!$F13,Assumptions!CM$3:CM$103)</f>
        <v>#DIV/0!</v>
      </c>
      <c r="AQ13" s="40" t="e">
        <f ca="1">SUMIFS(Assumptions!CN$3:CN$103,Assumptions!$G$3:$G$103,'non-road'!$F13,Assumptions!$B$3:$B$103,'non-road'!$D13)/SUMIF(Assumptions!$G$3:$G$103,'non-road'!$F13,Assumptions!CN$3:CN$103)</f>
        <v>#DIV/0!</v>
      </c>
      <c r="AR13" s="40" t="e">
        <f ca="1">SUMIFS(Assumptions!CO$3:CO$103,Assumptions!$G$3:$G$103,'non-road'!$F13,Assumptions!$B$3:$B$103,'non-road'!$D13)/SUMIF(Assumptions!$G$3:$G$103,'non-road'!$F13,Assumptions!CO$3:CO$103)</f>
        <v>#DIV/0!</v>
      </c>
      <c r="AS13" s="40" t="e">
        <f ca="1">SUMIFS(Assumptions!CP$3:CP$103,Assumptions!$G$3:$G$103,'non-road'!$F13,Assumptions!$B$3:$B$103,'non-road'!$D13)/SUMIF(Assumptions!$G$3:$G$103,'non-road'!$F13,Assumptions!CP$3:CP$103)</f>
        <v>#DIV/0!</v>
      </c>
      <c r="AT13" s="40" t="e">
        <f ca="1">SUMIFS(Assumptions!CQ$3:CQ$103,Assumptions!$G$3:$G$103,'non-road'!$F13,Assumptions!$B$3:$B$103,'non-road'!$D13)/SUMIF(Assumptions!$G$3:$G$103,'non-road'!$F13,Assumptions!CQ$3:CQ$103)</f>
        <v>#DIV/0!</v>
      </c>
      <c r="AU13" s="40" t="e">
        <f ca="1">SUMIFS(Assumptions!CR$3:CR$103,Assumptions!$G$3:$G$103,'non-road'!$F13,Assumptions!$B$3:$B$103,'non-road'!$D13)/SUMIF(Assumptions!$G$3:$G$103,'non-road'!$F13,Assumptions!CR$3:CR$103)</f>
        <v>#DIV/0!</v>
      </c>
      <c r="AV13" s="40" t="e">
        <f ca="1">SUMIFS(Assumptions!CS$3:CS$103,Assumptions!$G$3:$G$103,'non-road'!$F13,Assumptions!$B$3:$B$103,'non-road'!$D13)/SUMIF(Assumptions!$G$3:$G$103,'non-road'!$F13,Assumptions!CS$3:CS$103)</f>
        <v>#DIV/0!</v>
      </c>
      <c r="AW13" s="40" t="e">
        <f ca="1">SUMIFS(Assumptions!CT$3:CT$103,Assumptions!$G$3:$G$103,'non-road'!$F13,Assumptions!$B$3:$B$103,'non-road'!$D13)/SUMIF(Assumptions!$G$3:$G$103,'non-road'!$F13,Assumptions!CT$3:CT$103)</f>
        <v>#DIV/0!</v>
      </c>
      <c r="AX13" s="40" t="e">
        <f ca="1">SUMIFS(Assumptions!CU$3:CU$103,Assumptions!$G$3:$G$103,'non-road'!$F13,Assumptions!$B$3:$B$103,'non-road'!$D13)/SUMIF(Assumptions!$G$3:$G$103,'non-road'!$F13,Assumptions!CU$3:CU$103)</f>
        <v>#DIV/0!</v>
      </c>
      <c r="AY13" s="40" t="e">
        <f ca="1">SUMIFS(Assumptions!CV$3:CV$103,Assumptions!$G$3:$G$103,'non-road'!$F13,Assumptions!$B$3:$B$103,'non-road'!$D13)/SUMIF(Assumptions!$G$3:$G$103,'non-road'!$F13,Assumptions!CV$3:CV$103)</f>
        <v>#DIV/0!</v>
      </c>
      <c r="AZ13" s="40" t="e">
        <f ca="1">SUMIFS(Assumptions!CW$3:CW$103,Assumptions!$G$3:$G$103,'non-road'!$F13,Assumptions!$B$3:$B$103,'non-road'!$D13)/SUMIF(Assumptions!$G$3:$G$103,'non-road'!$F13,Assumptions!CW$3:CW$103)</f>
        <v>#DIV/0!</v>
      </c>
      <c r="BA13" s="41"/>
      <c r="BB13" s="40"/>
      <c r="BC13" s="40"/>
      <c r="BD13" s="39" t="str">
        <f t="shared" si="55"/>
        <v>\I:</v>
      </c>
      <c r="BE13" s="40">
        <f>VLOOKUP($F13,Assumptions!$E$152:$BC$157,COLUMN()-COLUMN($BC$4),FALSE)</f>
        <v>1</v>
      </c>
      <c r="BF13" s="40">
        <f>VLOOKUP($F13,Assumptions!$E$152:$BC$157,COLUMN()-COLUMN($BC$4),FALSE)</f>
        <v>1</v>
      </c>
      <c r="BG13" s="40">
        <f>VLOOKUP($F13,Assumptions!$E$152:$BC$157,COLUMN()-COLUMN($BC$4),FALSE)</f>
        <v>1</v>
      </c>
      <c r="BH13" s="40">
        <f>VLOOKUP($F13,Assumptions!$E$152:$BC$157,COLUMN()-COLUMN($BC$4),FALSE)</f>
        <v>1</v>
      </c>
      <c r="BI13" s="40">
        <f>VLOOKUP($F13,Assumptions!$E$152:$BC$157,COLUMN()-COLUMN($BC$4),FALSE)</f>
        <v>1</v>
      </c>
      <c r="BJ13" s="40">
        <f>VLOOKUP($F13,Assumptions!$E$152:$BC$157,COLUMN()-COLUMN($BC$4),FALSE)</f>
        <v>1</v>
      </c>
      <c r="BK13" s="40">
        <f>VLOOKUP($F13,Assumptions!$E$152:$BC$157,COLUMN()-COLUMN($BC$4),FALSE)</f>
        <v>1</v>
      </c>
      <c r="BL13" s="40">
        <f>VLOOKUP($F13,Assumptions!$E$152:$BC$157,COLUMN()-COLUMN($BC$4),FALSE)</f>
        <v>1</v>
      </c>
      <c r="BM13" s="40">
        <f>VLOOKUP($F13,Assumptions!$E$152:$BC$157,COLUMN()-COLUMN($BC$4),FALSE)</f>
        <v>1</v>
      </c>
      <c r="BN13" s="40">
        <f>VLOOKUP($F13,Assumptions!$E$152:$BC$157,COLUMN()-COLUMN($BC$4),FALSE)</f>
        <v>1</v>
      </c>
      <c r="BO13" s="40">
        <f>VLOOKUP($F13,Assumptions!$E$152:$BC$157,COLUMN()-COLUMN($BC$4),FALSE)</f>
        <v>1</v>
      </c>
      <c r="BP13" s="40">
        <f>VLOOKUP($F13,Assumptions!$E$152:$BC$157,COLUMN()-COLUMN($BC$4),FALSE)</f>
        <v>1</v>
      </c>
      <c r="BQ13" s="40">
        <f>VLOOKUP($F13,Assumptions!$E$152:$BC$157,COLUMN()-COLUMN($BC$4),FALSE)</f>
        <v>1</v>
      </c>
      <c r="BR13" s="40">
        <f>VLOOKUP($F13,Assumptions!$E$152:$BC$157,COLUMN()-COLUMN($BC$4),FALSE)</f>
        <v>1</v>
      </c>
      <c r="BS13" s="40">
        <f>VLOOKUP($F13,Assumptions!$E$152:$BC$157,COLUMN()-COLUMN($BC$4),FALSE)</f>
        <v>1</v>
      </c>
      <c r="BT13" s="40">
        <f>VLOOKUP($F13,Assumptions!$E$152:$BC$157,COLUMN()-COLUMN($BC$4),FALSE)</f>
        <v>1</v>
      </c>
      <c r="BU13" s="40">
        <f>VLOOKUP($F13,Assumptions!$E$152:$BC$157,COLUMN()-COLUMN($BC$4),FALSE)</f>
        <v>1</v>
      </c>
      <c r="BV13" s="40">
        <f>VLOOKUP($F13,Assumptions!$E$152:$BC$157,COLUMN()-COLUMN($BC$4),FALSE)</f>
        <v>1</v>
      </c>
      <c r="BW13" s="40">
        <f>VLOOKUP($F13,Assumptions!$E$152:$BC$157,COLUMN()-COLUMN($BC$4),FALSE)</f>
        <v>1</v>
      </c>
      <c r="BX13" s="40">
        <f>VLOOKUP($F13,Assumptions!$E$152:$BC$157,COLUMN()-COLUMN($BC$4),FALSE)</f>
        <v>1</v>
      </c>
      <c r="BY13" s="40">
        <f>VLOOKUP($F13,Assumptions!$E$152:$BC$157,COLUMN()-COLUMN($BC$4),FALSE)</f>
        <v>1</v>
      </c>
      <c r="BZ13" s="40">
        <f>VLOOKUP($F13,Assumptions!$E$152:$BC$157,COLUMN()-COLUMN($BC$4),FALSE)</f>
        <v>1</v>
      </c>
      <c r="CA13" s="40">
        <f>VLOOKUP($F13,Assumptions!$E$152:$BC$157,COLUMN()-COLUMN($BC$4),FALSE)</f>
        <v>1</v>
      </c>
      <c r="CB13" s="40">
        <f>VLOOKUP($F13,Assumptions!$E$152:$BC$157,COLUMN()-COLUMN($BC$4),FALSE)</f>
        <v>1</v>
      </c>
      <c r="CC13" s="40">
        <f>VLOOKUP($F13,Assumptions!$E$152:$BC$157,COLUMN()-COLUMN($BC$4),FALSE)</f>
        <v>1</v>
      </c>
      <c r="CD13" s="40">
        <f>VLOOKUP($F13,Assumptions!$E$152:$BC$157,COLUMN()-COLUMN($BC$4),FALSE)</f>
        <v>1</v>
      </c>
      <c r="CE13" s="40">
        <f>VLOOKUP($F13,Assumptions!$E$152:$BC$157,COLUMN()-COLUMN($BC$4),FALSE)</f>
        <v>1</v>
      </c>
      <c r="CF13" s="40">
        <f>VLOOKUP($F13,Assumptions!$E$152:$BC$157,COLUMN()-COLUMN($BC$4),FALSE)</f>
        <v>1</v>
      </c>
      <c r="CG13" s="40">
        <f>VLOOKUP($F13,Assumptions!$E$152:$BC$157,COLUMN()-COLUMN($BC$4),FALSE)</f>
        <v>1</v>
      </c>
      <c r="CH13" s="40">
        <f>VLOOKUP($F13,Assumptions!$E$152:$BC$157,COLUMN()-COLUMN($BC$4),FALSE)</f>
        <v>1</v>
      </c>
      <c r="CI13" s="40">
        <f>VLOOKUP($F13,Assumptions!$E$152:$BC$157,COLUMN()-COLUMN($BC$4),FALSE)</f>
        <v>1</v>
      </c>
      <c r="CJ13" s="40">
        <f>VLOOKUP($F13,Assumptions!$E$152:$BC$157,COLUMN()-COLUMN($BC$4),FALSE)</f>
        <v>1</v>
      </c>
      <c r="CK13" s="40">
        <f>VLOOKUP($F13,Assumptions!$E$152:$BC$157,COLUMN()-COLUMN($BC$4),FALSE)</f>
        <v>1</v>
      </c>
      <c r="CL13" s="40">
        <f>VLOOKUP($F13,Assumptions!$E$152:$BC$157,COLUMN()-COLUMN($BC$4),FALSE)</f>
        <v>1</v>
      </c>
      <c r="CM13" s="40">
        <f>VLOOKUP($F13,Assumptions!$E$152:$BC$157,COLUMN()-COLUMN($BC$4),FALSE)</f>
        <v>1</v>
      </c>
      <c r="CN13" s="40">
        <f>VLOOKUP($F13,Assumptions!$E$152:$BC$157,COLUMN()-COLUMN($BC$4),FALSE)</f>
        <v>1</v>
      </c>
      <c r="CO13" s="40">
        <f>VLOOKUP($F13,Assumptions!$E$152:$BC$157,COLUMN()-COLUMN($BC$4),FALSE)</f>
        <v>1</v>
      </c>
      <c r="CP13" s="40">
        <f>VLOOKUP($F13,Assumptions!$E$152:$BC$157,COLUMN()-COLUMN($BC$4),FALSE)</f>
        <v>1</v>
      </c>
      <c r="CQ13" s="40">
        <f>VLOOKUP($F13,Assumptions!$E$152:$BC$157,COLUMN()-COLUMN($BC$4),FALSE)</f>
        <v>1</v>
      </c>
      <c r="CR13" s="40">
        <f>VLOOKUP($F13,Assumptions!$E$152:$BC$157,COLUMN()-COLUMN($BC$4),FALSE)</f>
        <v>1</v>
      </c>
      <c r="CS13" s="40">
        <f>VLOOKUP($F13,Assumptions!$E$152:$BC$157,COLUMN()-COLUMN($BC$4),FALSE)</f>
        <v>1</v>
      </c>
      <c r="CT13" s="40">
        <f>VLOOKUP($F13,Assumptions!$E$152:$BC$157,COLUMN()-COLUMN($BC$4),FALSE)</f>
        <v>1</v>
      </c>
      <c r="CU13" s="40">
        <f>VLOOKUP($F13,Assumptions!$E$152:$BC$157,COLUMN()-COLUMN($BC$4),FALSE)</f>
        <v>1</v>
      </c>
      <c r="CV13" s="40">
        <f>VLOOKUP($F13,Assumptions!$E$152:$BC$157,COLUMN()-COLUMN($BC$4),FALSE)</f>
        <v>1</v>
      </c>
      <c r="CW13" s="40">
        <f>VLOOKUP($F13,Assumptions!$E$152:$BC$157,COLUMN()-COLUMN($BC$4),FALSE)</f>
        <v>1</v>
      </c>
      <c r="CX13" s="40">
        <f>VLOOKUP($F13,Assumptions!$E$152:$BC$157,COLUMN()-COLUMN($BC$4),FALSE)</f>
        <v>1</v>
      </c>
      <c r="CY13" s="39"/>
      <c r="CZ13" s="39"/>
      <c r="DA13" s="39" t="str">
        <f t="shared" si="56"/>
        <v>TTP</v>
      </c>
      <c r="DB13" s="40">
        <f ca="1" t="shared" ref="DB13" si="58">IFERROR(DB4/DB$20,"")</f>
        <v>0.00372724366806489</v>
      </c>
      <c r="DC13" s="40">
        <f ca="1" t="shared" ref="DC13:EU13" si="59">IFERROR(DC4/DC$20,"")</f>
        <v>0.00167641904054717</v>
      </c>
      <c r="DD13" s="40">
        <f ca="1" t="shared" si="59"/>
        <v>0.0233036370530404</v>
      </c>
      <c r="DE13" s="40">
        <f ca="1" t="shared" si="59"/>
        <v>0.0207845187333092</v>
      </c>
      <c r="DF13" s="40">
        <f ca="1" t="shared" si="59"/>
        <v>0.00523192639894363</v>
      </c>
      <c r="DG13" s="40">
        <f ca="1" t="shared" si="59"/>
        <v>0.0101682389594397</v>
      </c>
      <c r="DH13" s="40">
        <f ca="1" t="shared" si="59"/>
        <v>0.00614054412365822</v>
      </c>
      <c r="DI13" s="40">
        <f ca="1" t="shared" si="59"/>
        <v>0.015323227919429</v>
      </c>
      <c r="DJ13" s="40">
        <f ca="1" t="shared" si="59"/>
        <v>0.0115406617206393</v>
      </c>
      <c r="DK13" s="40">
        <f ca="1" t="shared" si="59"/>
        <v>0.0154377463667951</v>
      </c>
      <c r="DL13" s="40">
        <f ca="1" t="shared" si="59"/>
        <v>0.0137841190501</v>
      </c>
      <c r="DM13" s="40">
        <f ca="1" t="shared" si="59"/>
        <v>0.0129556609911115</v>
      </c>
      <c r="DN13" s="40">
        <f ca="1" t="shared" si="59"/>
        <v>0.00260220728919621</v>
      </c>
      <c r="DO13" s="40">
        <f ca="1" t="shared" si="59"/>
        <v>0.0130508026396316</v>
      </c>
      <c r="DP13" s="40">
        <f ca="1" t="shared" si="59"/>
        <v>0</v>
      </c>
      <c r="DQ13" s="40">
        <f ca="1" t="shared" si="59"/>
        <v>0.0123658780637107</v>
      </c>
      <c r="DR13" s="40">
        <f ca="1" t="shared" si="59"/>
        <v>0.00115795846376429</v>
      </c>
      <c r="DS13" s="40">
        <f ca="1" t="shared" si="59"/>
        <v>0.0115468384724944</v>
      </c>
      <c r="DT13" s="40">
        <f ca="1" t="shared" si="59"/>
        <v>0.0152324309645855</v>
      </c>
      <c r="DU13" s="40">
        <f ca="1" t="shared" si="59"/>
        <v>0.00144789450386962</v>
      </c>
      <c r="DV13" s="40">
        <f ca="1" t="shared" si="59"/>
        <v>0.000263984274023691</v>
      </c>
      <c r="DW13" s="40">
        <f ca="1" t="shared" si="59"/>
        <v>0.00290150724376189</v>
      </c>
      <c r="DX13" s="40">
        <f ca="1" t="shared" si="59"/>
        <v>0.00817572078888479</v>
      </c>
      <c r="DY13" s="40">
        <f ca="1" t="shared" si="59"/>
        <v>0.0114735792159898</v>
      </c>
      <c r="DZ13" s="40">
        <f ca="1" t="shared" si="59"/>
        <v>0.00460433498937293</v>
      </c>
      <c r="EA13" s="40">
        <f ca="1" t="shared" si="59"/>
        <v>0.0700431304863475</v>
      </c>
      <c r="EB13" s="40">
        <f ca="1" t="shared" si="59"/>
        <v>0</v>
      </c>
      <c r="EC13" s="40">
        <f ca="1" t="shared" si="59"/>
        <v>0.0154393023449215</v>
      </c>
      <c r="ED13" s="40">
        <f ca="1" t="shared" si="59"/>
        <v>0.00882985896203954</v>
      </c>
      <c r="EE13" s="40">
        <f ca="1" t="shared" si="59"/>
        <v>0.0167366185115972</v>
      </c>
      <c r="EF13" s="40">
        <f ca="1" t="shared" si="59"/>
        <v>0.0267532466347748</v>
      </c>
      <c r="EG13" s="40">
        <f ca="1" t="shared" si="59"/>
        <v>0.00364949327614108</v>
      </c>
      <c r="EH13" s="40">
        <f ca="1" t="shared" si="59"/>
        <v>0.00975575448168142</v>
      </c>
      <c r="EI13" s="40">
        <f ca="1" t="shared" si="59"/>
        <v>0.0404436620271209</v>
      </c>
      <c r="EJ13" s="40">
        <f ca="1" t="shared" si="59"/>
        <v>0.0084437490989502</v>
      </c>
      <c r="EK13" s="40">
        <f ca="1" t="shared" si="59"/>
        <v>0</v>
      </c>
      <c r="EL13" s="40">
        <f ca="1" t="shared" si="59"/>
        <v>0</v>
      </c>
      <c r="EM13" s="40">
        <f ca="1" t="shared" si="59"/>
        <v>0</v>
      </c>
      <c r="EN13" s="40">
        <f ca="1" t="shared" si="59"/>
        <v>0</v>
      </c>
      <c r="EO13" s="40">
        <f ca="1" t="shared" si="59"/>
        <v>0</v>
      </c>
      <c r="EP13" s="40">
        <f ca="1" t="shared" si="59"/>
        <v>0</v>
      </c>
      <c r="EQ13" s="40">
        <f ca="1" t="shared" si="59"/>
        <v>0</v>
      </c>
      <c r="ER13" s="40">
        <f ca="1" t="shared" si="59"/>
        <v>0</v>
      </c>
      <c r="ES13" s="40">
        <f ca="1" t="shared" si="59"/>
        <v>0</v>
      </c>
      <c r="ET13" s="40">
        <f ca="1" t="shared" si="59"/>
        <v>0</v>
      </c>
      <c r="EU13" s="40" t="str">
        <f ca="1" t="shared" si="59"/>
        <v/>
      </c>
      <c r="EV13" s="39"/>
      <c r="EW13" s="39" t="str">
        <f t="shared" si="48"/>
        <v>\I:</v>
      </c>
      <c r="EX13" s="39" t="str">
        <f t="shared" si="51"/>
        <v/>
      </c>
      <c r="EY13" s="39" t="s">
        <v>133</v>
      </c>
      <c r="EZ13" s="39" t="s">
        <v>85</v>
      </c>
      <c r="FA13" s="39" t="s">
        <v>440</v>
      </c>
      <c r="FB13" s="39"/>
      <c r="FC13" s="39"/>
      <c r="FD13" s="39"/>
    </row>
    <row r="14" spans="1:160">
      <c r="A14" s="39" t="s">
        <v>443</v>
      </c>
      <c r="B14" s="39"/>
      <c r="C14" s="39" t="str">
        <f t="shared" si="54"/>
        <v/>
      </c>
      <c r="D14" s="39" t="s">
        <v>69</v>
      </c>
      <c r="E14" s="39"/>
      <c r="F14" s="39" t="s">
        <v>198</v>
      </c>
      <c r="G14" s="40">
        <f ca="1">SUMIFS(Assumptions!BD$3:BD$103,Assumptions!$G$3:$G$103,'non-road'!$F14,Assumptions!$B$3:$B$103,'non-road'!$D14)/SUMIF(Assumptions!$G$3:$G$103,'non-road'!$F14,Assumptions!BD$3:BD$103)</f>
        <v>0.169090563313518</v>
      </c>
      <c r="H14" s="40">
        <f ca="1">SUMIFS(Assumptions!BE$3:BE$103,Assumptions!$G$3:$G$103,'non-road'!$F14,Assumptions!$B$3:$B$103,'non-road'!$D14)/SUMIF(Assumptions!$G$3:$G$103,'non-road'!$F14,Assumptions!BE$3:BE$103)</f>
        <v>0</v>
      </c>
      <c r="I14" s="40">
        <f ca="1">SUMIFS(Assumptions!BF$3:BF$103,Assumptions!$G$3:$G$103,'non-road'!$F14,Assumptions!$B$3:$B$103,'non-road'!$D14)/SUMIF(Assumptions!$G$3:$G$103,'non-road'!$F14,Assumptions!BF$3:BF$103)</f>
        <v>0</v>
      </c>
      <c r="J14" s="40">
        <f ca="1">SUMIFS(Assumptions!BG$3:BG$103,Assumptions!$G$3:$G$103,'non-road'!$F14,Assumptions!$B$3:$B$103,'non-road'!$D14)/SUMIF(Assumptions!$G$3:$G$103,'non-road'!$F14,Assumptions!BG$3:BG$103)</f>
        <v>0</v>
      </c>
      <c r="K14" s="40">
        <f ca="1">SUMIFS(Assumptions!BH$3:BH$103,Assumptions!$G$3:$G$103,'non-road'!$F14,Assumptions!$B$3:$B$103,'non-road'!$D14)/SUMIF(Assumptions!$G$3:$G$103,'non-road'!$F14,Assumptions!BH$3:BH$103)</f>
        <v>0</v>
      </c>
      <c r="L14" s="40">
        <f ca="1">SUMIFS(Assumptions!BI$3:BI$103,Assumptions!$G$3:$G$103,'non-road'!$F14,Assumptions!$B$3:$B$103,'non-road'!$D14)/SUMIF(Assumptions!$G$3:$G$103,'non-road'!$F14,Assumptions!BI$3:BI$103)</f>
        <v>0</v>
      </c>
      <c r="M14" s="40">
        <f ca="1">SUMIFS(Assumptions!BJ$3:BJ$103,Assumptions!$G$3:$G$103,'non-road'!$F14,Assumptions!$B$3:$B$103,'non-road'!$D14)/SUMIF(Assumptions!$G$3:$G$103,'non-road'!$F14,Assumptions!BJ$3:BJ$103)</f>
        <v>0</v>
      </c>
      <c r="N14" s="40">
        <f ca="1">SUMIFS(Assumptions!BK$3:BK$103,Assumptions!$G$3:$G$103,'non-road'!$F14,Assumptions!$B$3:$B$103,'non-road'!$D14)/SUMIF(Assumptions!$G$3:$G$103,'non-road'!$F14,Assumptions!BK$3:BK$103)</f>
        <v>0</v>
      </c>
      <c r="O14" s="40">
        <f ca="1">SUMIFS(Assumptions!BL$3:BL$103,Assumptions!$G$3:$G$103,'non-road'!$F14,Assumptions!$B$3:$B$103,'non-road'!$D14)/SUMIF(Assumptions!$G$3:$G$103,'non-road'!$F14,Assumptions!BL$3:BL$103)</f>
        <v>0</v>
      </c>
      <c r="P14" s="40">
        <f ca="1">SUMIFS(Assumptions!BM$3:BM$103,Assumptions!$G$3:$G$103,'non-road'!$F14,Assumptions!$B$3:$B$103,'non-road'!$D14)/SUMIF(Assumptions!$G$3:$G$103,'non-road'!$F14,Assumptions!BM$3:BM$103)</f>
        <v>0</v>
      </c>
      <c r="Q14" s="40">
        <f ca="1">SUMIFS(Assumptions!BN$3:BN$103,Assumptions!$G$3:$G$103,'non-road'!$F14,Assumptions!$B$3:$B$103,'non-road'!$D14)/SUMIF(Assumptions!$G$3:$G$103,'non-road'!$F14,Assumptions!BN$3:BN$103)</f>
        <v>0</v>
      </c>
      <c r="R14" s="40">
        <f ca="1">SUMIFS(Assumptions!BO$3:BO$103,Assumptions!$G$3:$G$103,'non-road'!$F14,Assumptions!$B$3:$B$103,'non-road'!$D14)/SUMIF(Assumptions!$G$3:$G$103,'non-road'!$F14,Assumptions!BO$3:BO$103)</f>
        <v>0</v>
      </c>
      <c r="S14" s="40">
        <f ca="1">SUMIFS(Assumptions!BP$3:BP$103,Assumptions!$G$3:$G$103,'non-road'!$F14,Assumptions!$B$3:$B$103,'non-road'!$D14)/SUMIF(Assumptions!$G$3:$G$103,'non-road'!$F14,Assumptions!BP$3:BP$103)</f>
        <v>0</v>
      </c>
      <c r="T14" s="40">
        <f ca="1">SUMIFS(Assumptions!BQ$3:BQ$103,Assumptions!$G$3:$G$103,'non-road'!$F14,Assumptions!$B$3:$B$103,'non-road'!$D14)/SUMIF(Assumptions!$G$3:$G$103,'non-road'!$F14,Assumptions!BQ$3:BQ$103)</f>
        <v>0</v>
      </c>
      <c r="U14" s="40" t="e">
        <f ca="1">SUMIFS(Assumptions!BR$3:BR$103,Assumptions!$G$3:$G$103,'non-road'!$F14,Assumptions!$B$3:$B$103,'non-road'!$D14)/SUMIF(Assumptions!$G$3:$G$103,'non-road'!$F14,Assumptions!BR$3:BR$103)</f>
        <v>#DIV/0!</v>
      </c>
      <c r="V14" s="40">
        <f ca="1">SUMIFS(Assumptions!BS$3:BS$103,Assumptions!$G$3:$G$103,'non-road'!$F14,Assumptions!$B$3:$B$103,'non-road'!$D14)/SUMIF(Assumptions!$G$3:$G$103,'non-road'!$F14,Assumptions!BS$3:BS$103)</f>
        <v>0</v>
      </c>
      <c r="W14" s="40">
        <f ca="1">SUMIFS(Assumptions!BT$3:BT$103,Assumptions!$G$3:$G$103,'non-road'!$F14,Assumptions!$B$3:$B$103,'non-road'!$D14)/SUMIF(Assumptions!$G$3:$G$103,'non-road'!$F14,Assumptions!BT$3:BT$103)</f>
        <v>0</v>
      </c>
      <c r="X14" s="40">
        <f ca="1">SUMIFS(Assumptions!BU$3:BU$103,Assumptions!$G$3:$G$103,'non-road'!$F14,Assumptions!$B$3:$B$103,'non-road'!$D14)/SUMIF(Assumptions!$G$3:$G$103,'non-road'!$F14,Assumptions!BU$3:BU$103)</f>
        <v>0</v>
      </c>
      <c r="Y14" s="40">
        <f ca="1">SUMIFS(Assumptions!BV$3:BV$103,Assumptions!$G$3:$G$103,'non-road'!$F14,Assumptions!$B$3:$B$103,'non-road'!$D14)/SUMIF(Assumptions!$G$3:$G$103,'non-road'!$F14,Assumptions!BV$3:BV$103)</f>
        <v>0</v>
      </c>
      <c r="Z14" s="40">
        <f ca="1">SUMIFS(Assumptions!BW$3:BW$103,Assumptions!$G$3:$G$103,'non-road'!$F14,Assumptions!$B$3:$B$103,'non-road'!$D14)/SUMIF(Assumptions!$G$3:$G$103,'non-road'!$F14,Assumptions!BW$3:BW$103)</f>
        <v>0</v>
      </c>
      <c r="AA14" s="40">
        <f ca="1">SUMIFS(Assumptions!BX$3:BX$103,Assumptions!$G$3:$G$103,'non-road'!$F14,Assumptions!$B$3:$B$103,'non-road'!$D14)/SUMIF(Assumptions!$G$3:$G$103,'non-road'!$F14,Assumptions!BX$3:BX$103)</f>
        <v>0</v>
      </c>
      <c r="AB14" s="40">
        <f ca="1">SUMIFS(Assumptions!BY$3:BY$103,Assumptions!$G$3:$G$103,'non-road'!$F14,Assumptions!$B$3:$B$103,'non-road'!$D14)/SUMIF(Assumptions!$G$3:$G$103,'non-road'!$F14,Assumptions!BY$3:BY$103)</f>
        <v>0</v>
      </c>
      <c r="AC14" s="40">
        <f ca="1">SUMIFS(Assumptions!BZ$3:BZ$103,Assumptions!$G$3:$G$103,'non-road'!$F14,Assumptions!$B$3:$B$103,'non-road'!$D14)/SUMIF(Assumptions!$G$3:$G$103,'non-road'!$F14,Assumptions!BZ$3:BZ$103)</f>
        <v>0</v>
      </c>
      <c r="AD14" s="40">
        <f ca="1">SUMIFS(Assumptions!CA$3:CA$103,Assumptions!$G$3:$G$103,'non-road'!$F14,Assumptions!$B$3:$B$103,'non-road'!$D14)/SUMIF(Assumptions!$G$3:$G$103,'non-road'!$F14,Assumptions!CA$3:CA$103)</f>
        <v>0</v>
      </c>
      <c r="AE14" s="40">
        <f ca="1">SUMIFS(Assumptions!CB$3:CB$103,Assumptions!$G$3:$G$103,'non-road'!$F14,Assumptions!$B$3:$B$103,'non-road'!$D14)/SUMIF(Assumptions!$G$3:$G$103,'non-road'!$F14,Assumptions!CB$3:CB$103)</f>
        <v>3.46854804046146e-5</v>
      </c>
      <c r="AF14" s="40">
        <f ca="1">SUMIFS(Assumptions!CC$3:CC$103,Assumptions!$G$3:$G$103,'non-road'!$F14,Assumptions!$B$3:$B$103,'non-road'!$D14)/SUMIF(Assumptions!$G$3:$G$103,'non-road'!$F14,Assumptions!CC$3:CC$103)</f>
        <v>5.06619846855245e-5</v>
      </c>
      <c r="AG14" s="40" t="e">
        <f ca="1">SUMIFS(Assumptions!CD$3:CD$103,Assumptions!$G$3:$G$103,'non-road'!$F14,Assumptions!$B$3:$B$103,'non-road'!$D14)/SUMIF(Assumptions!$G$3:$G$103,'non-road'!$F14,Assumptions!CD$3:CD$103)</f>
        <v>#DIV/0!</v>
      </c>
      <c r="AH14" s="40">
        <f ca="1">SUMIFS(Assumptions!CE$3:CE$103,Assumptions!$G$3:$G$103,'non-road'!$F14,Assumptions!$B$3:$B$103,'non-road'!$D14)/SUMIF(Assumptions!$G$3:$G$103,'non-road'!$F14,Assumptions!CE$3:CE$103)</f>
        <v>0.0959503423481481</v>
      </c>
      <c r="AI14" s="40">
        <f ca="1">SUMIFS(Assumptions!CF$3:CF$103,Assumptions!$G$3:$G$103,'non-road'!$F14,Assumptions!$B$3:$B$103,'non-road'!$D14)/SUMIF(Assumptions!$G$3:$G$103,'non-road'!$F14,Assumptions!CF$3:CF$103)</f>
        <v>0</v>
      </c>
      <c r="AJ14" s="40">
        <f ca="1">SUMIFS(Assumptions!CG$3:CG$103,Assumptions!$G$3:$G$103,'non-road'!$F14,Assumptions!$B$3:$B$103,'non-road'!$D14)/SUMIF(Assumptions!$G$3:$G$103,'non-road'!$F14,Assumptions!CG$3:CG$103)</f>
        <v>0</v>
      </c>
      <c r="AK14" s="40">
        <f ca="1">SUMIFS(Assumptions!CH$3:CH$103,Assumptions!$G$3:$G$103,'non-road'!$F14,Assumptions!$B$3:$B$103,'non-road'!$D14)/SUMIF(Assumptions!$G$3:$G$103,'non-road'!$F14,Assumptions!CH$3:CH$103)</f>
        <v>0</v>
      </c>
      <c r="AL14" s="40">
        <f ca="1">SUMIFS(Assumptions!CI$3:CI$103,Assumptions!$G$3:$G$103,'non-road'!$F14,Assumptions!$B$3:$B$103,'non-road'!$D14)/SUMIF(Assumptions!$G$3:$G$103,'non-road'!$F14,Assumptions!CI$3:CI$103)</f>
        <v>0</v>
      </c>
      <c r="AM14" s="40">
        <f ca="1">SUMIFS(Assumptions!CJ$3:CJ$103,Assumptions!$G$3:$G$103,'non-road'!$F14,Assumptions!$B$3:$B$103,'non-road'!$D14)/SUMIF(Assumptions!$G$3:$G$103,'non-road'!$F14,Assumptions!CJ$3:CJ$103)</f>
        <v>0</v>
      </c>
      <c r="AN14" s="40">
        <f ca="1">SUMIFS(Assumptions!CK$3:CK$103,Assumptions!$G$3:$G$103,'non-road'!$F14,Assumptions!$B$3:$B$103,'non-road'!$D14)/SUMIF(Assumptions!$G$3:$G$103,'non-road'!$F14,Assumptions!CK$3:CK$103)</f>
        <v>0</v>
      </c>
      <c r="AO14" s="40">
        <f ca="1">SUMIFS(Assumptions!CL$3:CL$103,Assumptions!$G$3:$G$103,'non-road'!$F14,Assumptions!$B$3:$B$103,'non-road'!$D14)/SUMIF(Assumptions!$G$3:$G$103,'non-road'!$F14,Assumptions!CL$3:CL$103)</f>
        <v>0</v>
      </c>
      <c r="AP14" s="40" t="e">
        <f ca="1">SUMIFS(Assumptions!CM$3:CM$103,Assumptions!$G$3:$G$103,'non-road'!$F14,Assumptions!$B$3:$B$103,'non-road'!$D14)/SUMIF(Assumptions!$G$3:$G$103,'non-road'!$F14,Assumptions!CM$3:CM$103)</f>
        <v>#DIV/0!</v>
      </c>
      <c r="AQ14" s="40" t="e">
        <f ca="1">SUMIFS(Assumptions!CN$3:CN$103,Assumptions!$G$3:$G$103,'non-road'!$F14,Assumptions!$B$3:$B$103,'non-road'!$D14)/SUMIF(Assumptions!$G$3:$G$103,'non-road'!$F14,Assumptions!CN$3:CN$103)</f>
        <v>#DIV/0!</v>
      </c>
      <c r="AR14" s="40" t="e">
        <f ca="1">SUMIFS(Assumptions!CO$3:CO$103,Assumptions!$G$3:$G$103,'non-road'!$F14,Assumptions!$B$3:$B$103,'non-road'!$D14)/SUMIF(Assumptions!$G$3:$G$103,'non-road'!$F14,Assumptions!CO$3:CO$103)</f>
        <v>#DIV/0!</v>
      </c>
      <c r="AS14" s="40" t="e">
        <f ca="1">SUMIFS(Assumptions!CP$3:CP$103,Assumptions!$G$3:$G$103,'non-road'!$F14,Assumptions!$B$3:$B$103,'non-road'!$D14)/SUMIF(Assumptions!$G$3:$G$103,'non-road'!$F14,Assumptions!CP$3:CP$103)</f>
        <v>#DIV/0!</v>
      </c>
      <c r="AT14" s="40" t="e">
        <f ca="1">SUMIFS(Assumptions!CQ$3:CQ$103,Assumptions!$G$3:$G$103,'non-road'!$F14,Assumptions!$B$3:$B$103,'non-road'!$D14)/SUMIF(Assumptions!$G$3:$G$103,'non-road'!$F14,Assumptions!CQ$3:CQ$103)</f>
        <v>#DIV/0!</v>
      </c>
      <c r="AU14" s="40" t="e">
        <f ca="1">SUMIFS(Assumptions!CR$3:CR$103,Assumptions!$G$3:$G$103,'non-road'!$F14,Assumptions!$B$3:$B$103,'non-road'!$D14)/SUMIF(Assumptions!$G$3:$G$103,'non-road'!$F14,Assumptions!CR$3:CR$103)</f>
        <v>#DIV/0!</v>
      </c>
      <c r="AV14" s="40" t="e">
        <f ca="1">SUMIFS(Assumptions!CS$3:CS$103,Assumptions!$G$3:$G$103,'non-road'!$F14,Assumptions!$B$3:$B$103,'non-road'!$D14)/SUMIF(Assumptions!$G$3:$G$103,'non-road'!$F14,Assumptions!CS$3:CS$103)</f>
        <v>#DIV/0!</v>
      </c>
      <c r="AW14" s="40" t="e">
        <f ca="1">SUMIFS(Assumptions!CT$3:CT$103,Assumptions!$G$3:$G$103,'non-road'!$F14,Assumptions!$B$3:$B$103,'non-road'!$D14)/SUMIF(Assumptions!$G$3:$G$103,'non-road'!$F14,Assumptions!CT$3:CT$103)</f>
        <v>#DIV/0!</v>
      </c>
      <c r="AX14" s="40" t="e">
        <f ca="1">SUMIFS(Assumptions!CU$3:CU$103,Assumptions!$G$3:$G$103,'non-road'!$F14,Assumptions!$B$3:$B$103,'non-road'!$D14)/SUMIF(Assumptions!$G$3:$G$103,'non-road'!$F14,Assumptions!CU$3:CU$103)</f>
        <v>#DIV/0!</v>
      </c>
      <c r="AY14" s="40" t="e">
        <f ca="1">SUMIFS(Assumptions!CV$3:CV$103,Assumptions!$G$3:$G$103,'non-road'!$F14,Assumptions!$B$3:$B$103,'non-road'!$D14)/SUMIF(Assumptions!$G$3:$G$103,'non-road'!$F14,Assumptions!CV$3:CV$103)</f>
        <v>#DIV/0!</v>
      </c>
      <c r="AZ14" s="40" t="e">
        <f ca="1">SUMIFS(Assumptions!CW$3:CW$103,Assumptions!$G$3:$G$103,'non-road'!$F14,Assumptions!$B$3:$B$103,'non-road'!$D14)/SUMIF(Assumptions!$G$3:$G$103,'non-road'!$F14,Assumptions!CW$3:CW$103)</f>
        <v>#DIV/0!</v>
      </c>
      <c r="BA14" s="41"/>
      <c r="BB14" s="40"/>
      <c r="BC14" s="40"/>
      <c r="BD14" s="39" t="str">
        <f t="shared" si="55"/>
        <v>\I:</v>
      </c>
      <c r="BE14" s="40">
        <f>VLOOKUP($F14,Assumptions!$E$152:$BC$157,COLUMN()-COLUMN($BC$4),FALSE)</f>
        <v>1</v>
      </c>
      <c r="BF14" s="40">
        <f>VLOOKUP($F14,Assumptions!$E$152:$BC$157,COLUMN()-COLUMN($BC$4),FALSE)</f>
        <v>1</v>
      </c>
      <c r="BG14" s="40">
        <f>VLOOKUP($F14,Assumptions!$E$152:$BC$157,COLUMN()-COLUMN($BC$4),FALSE)</f>
        <v>1</v>
      </c>
      <c r="BH14" s="40">
        <f>VLOOKUP($F14,Assumptions!$E$152:$BC$157,COLUMN()-COLUMN($BC$4),FALSE)</f>
        <v>1</v>
      </c>
      <c r="BI14" s="40">
        <f>VLOOKUP($F14,Assumptions!$E$152:$BC$157,COLUMN()-COLUMN($BC$4),FALSE)</f>
        <v>1</v>
      </c>
      <c r="BJ14" s="40">
        <f>VLOOKUP($F14,Assumptions!$E$152:$BC$157,COLUMN()-COLUMN($BC$4),FALSE)</f>
        <v>1</v>
      </c>
      <c r="BK14" s="40">
        <f>VLOOKUP($F14,Assumptions!$E$152:$BC$157,COLUMN()-COLUMN($BC$4),FALSE)</f>
        <v>1</v>
      </c>
      <c r="BL14" s="40">
        <f>VLOOKUP($F14,Assumptions!$E$152:$BC$157,COLUMN()-COLUMN($BC$4),FALSE)</f>
        <v>1</v>
      </c>
      <c r="BM14" s="40">
        <f>VLOOKUP($F14,Assumptions!$E$152:$BC$157,COLUMN()-COLUMN($BC$4),FALSE)</f>
        <v>1</v>
      </c>
      <c r="BN14" s="40">
        <f>VLOOKUP($F14,Assumptions!$E$152:$BC$157,COLUMN()-COLUMN($BC$4),FALSE)</f>
        <v>1</v>
      </c>
      <c r="BO14" s="40">
        <f>VLOOKUP($F14,Assumptions!$E$152:$BC$157,COLUMN()-COLUMN($BC$4),FALSE)</f>
        <v>1</v>
      </c>
      <c r="BP14" s="40">
        <f>VLOOKUP($F14,Assumptions!$E$152:$BC$157,COLUMN()-COLUMN($BC$4),FALSE)</f>
        <v>1</v>
      </c>
      <c r="BQ14" s="40">
        <f>VLOOKUP($F14,Assumptions!$E$152:$BC$157,COLUMN()-COLUMN($BC$4),FALSE)</f>
        <v>1</v>
      </c>
      <c r="BR14" s="40">
        <f>VLOOKUP($F14,Assumptions!$E$152:$BC$157,COLUMN()-COLUMN($BC$4),FALSE)</f>
        <v>1</v>
      </c>
      <c r="BS14" s="40">
        <f>VLOOKUP($F14,Assumptions!$E$152:$BC$157,COLUMN()-COLUMN($BC$4),FALSE)</f>
        <v>1</v>
      </c>
      <c r="BT14" s="40">
        <f>VLOOKUP($F14,Assumptions!$E$152:$BC$157,COLUMN()-COLUMN($BC$4),FALSE)</f>
        <v>1</v>
      </c>
      <c r="BU14" s="40">
        <f>VLOOKUP($F14,Assumptions!$E$152:$BC$157,COLUMN()-COLUMN($BC$4),FALSE)</f>
        <v>1</v>
      </c>
      <c r="BV14" s="40">
        <f>VLOOKUP($F14,Assumptions!$E$152:$BC$157,COLUMN()-COLUMN($BC$4),FALSE)</f>
        <v>1</v>
      </c>
      <c r="BW14" s="40">
        <f>VLOOKUP($F14,Assumptions!$E$152:$BC$157,COLUMN()-COLUMN($BC$4),FALSE)</f>
        <v>1</v>
      </c>
      <c r="BX14" s="40">
        <f>VLOOKUP($F14,Assumptions!$E$152:$BC$157,COLUMN()-COLUMN($BC$4),FALSE)</f>
        <v>1</v>
      </c>
      <c r="BY14" s="40">
        <f>VLOOKUP($F14,Assumptions!$E$152:$BC$157,COLUMN()-COLUMN($BC$4),FALSE)</f>
        <v>1</v>
      </c>
      <c r="BZ14" s="40">
        <f>VLOOKUP($F14,Assumptions!$E$152:$BC$157,COLUMN()-COLUMN($BC$4),FALSE)</f>
        <v>1</v>
      </c>
      <c r="CA14" s="40">
        <f>VLOOKUP($F14,Assumptions!$E$152:$BC$157,COLUMN()-COLUMN($BC$4),FALSE)</f>
        <v>1</v>
      </c>
      <c r="CB14" s="40">
        <f>VLOOKUP($F14,Assumptions!$E$152:$BC$157,COLUMN()-COLUMN($BC$4),FALSE)</f>
        <v>1</v>
      </c>
      <c r="CC14" s="40">
        <f>VLOOKUP($F14,Assumptions!$E$152:$BC$157,COLUMN()-COLUMN($BC$4),FALSE)</f>
        <v>1</v>
      </c>
      <c r="CD14" s="40">
        <f>VLOOKUP($F14,Assumptions!$E$152:$BC$157,COLUMN()-COLUMN($BC$4),FALSE)</f>
        <v>1</v>
      </c>
      <c r="CE14" s="40">
        <f>VLOOKUP($F14,Assumptions!$E$152:$BC$157,COLUMN()-COLUMN($BC$4),FALSE)</f>
        <v>1</v>
      </c>
      <c r="CF14" s="40">
        <f>VLOOKUP($F14,Assumptions!$E$152:$BC$157,COLUMN()-COLUMN($BC$4),FALSE)</f>
        <v>1</v>
      </c>
      <c r="CG14" s="40">
        <f>VLOOKUP($F14,Assumptions!$E$152:$BC$157,COLUMN()-COLUMN($BC$4),FALSE)</f>
        <v>1</v>
      </c>
      <c r="CH14" s="40">
        <f>VLOOKUP($F14,Assumptions!$E$152:$BC$157,COLUMN()-COLUMN($BC$4),FALSE)</f>
        <v>1</v>
      </c>
      <c r="CI14" s="40">
        <f>VLOOKUP($F14,Assumptions!$E$152:$BC$157,COLUMN()-COLUMN($BC$4),FALSE)</f>
        <v>1</v>
      </c>
      <c r="CJ14" s="40">
        <f>VLOOKUP($F14,Assumptions!$E$152:$BC$157,COLUMN()-COLUMN($BC$4),FALSE)</f>
        <v>1</v>
      </c>
      <c r="CK14" s="40">
        <f>VLOOKUP($F14,Assumptions!$E$152:$BC$157,COLUMN()-COLUMN($BC$4),FALSE)</f>
        <v>1</v>
      </c>
      <c r="CL14" s="40">
        <f>VLOOKUP($F14,Assumptions!$E$152:$BC$157,COLUMN()-COLUMN($BC$4),FALSE)</f>
        <v>1</v>
      </c>
      <c r="CM14" s="40">
        <f>VLOOKUP($F14,Assumptions!$E$152:$BC$157,COLUMN()-COLUMN($BC$4),FALSE)</f>
        <v>1</v>
      </c>
      <c r="CN14" s="40">
        <f>VLOOKUP($F14,Assumptions!$E$152:$BC$157,COLUMN()-COLUMN($BC$4),FALSE)</f>
        <v>1</v>
      </c>
      <c r="CO14" s="40">
        <f>VLOOKUP($F14,Assumptions!$E$152:$BC$157,COLUMN()-COLUMN($BC$4),FALSE)</f>
        <v>1</v>
      </c>
      <c r="CP14" s="40">
        <f>VLOOKUP($F14,Assumptions!$E$152:$BC$157,COLUMN()-COLUMN($BC$4),FALSE)</f>
        <v>1</v>
      </c>
      <c r="CQ14" s="40">
        <f>VLOOKUP($F14,Assumptions!$E$152:$BC$157,COLUMN()-COLUMN($BC$4),FALSE)</f>
        <v>1</v>
      </c>
      <c r="CR14" s="40">
        <f>VLOOKUP($F14,Assumptions!$E$152:$BC$157,COLUMN()-COLUMN($BC$4),FALSE)</f>
        <v>1</v>
      </c>
      <c r="CS14" s="40">
        <f>VLOOKUP($F14,Assumptions!$E$152:$BC$157,COLUMN()-COLUMN($BC$4),FALSE)</f>
        <v>1</v>
      </c>
      <c r="CT14" s="40">
        <f>VLOOKUP($F14,Assumptions!$E$152:$BC$157,COLUMN()-COLUMN($BC$4),FALSE)</f>
        <v>1</v>
      </c>
      <c r="CU14" s="40">
        <f>VLOOKUP($F14,Assumptions!$E$152:$BC$157,COLUMN()-COLUMN($BC$4),FALSE)</f>
        <v>1</v>
      </c>
      <c r="CV14" s="40">
        <f>VLOOKUP($F14,Assumptions!$E$152:$BC$157,COLUMN()-COLUMN($BC$4),FALSE)</f>
        <v>1</v>
      </c>
      <c r="CW14" s="40">
        <f>VLOOKUP($F14,Assumptions!$E$152:$BC$157,COLUMN()-COLUMN($BC$4),FALSE)</f>
        <v>1</v>
      </c>
      <c r="CX14" s="40">
        <f>VLOOKUP($F14,Assumptions!$E$152:$BC$157,COLUMN()-COLUMN($BC$4),FALSE)</f>
        <v>1</v>
      </c>
      <c r="CY14" s="39"/>
      <c r="CZ14" s="39"/>
      <c r="DA14" s="39" t="str">
        <f t="shared" si="56"/>
        <v>TAI</v>
      </c>
      <c r="DB14" s="40">
        <f t="shared" ref="DB14" si="60">IFERROR(DB5/DB$20,"")</f>
        <v>0.0491127716539974</v>
      </c>
      <c r="DC14" s="40">
        <f t="shared" ref="DC14:EU14" si="61">IFERROR(DC5/DC$20,"")</f>
        <v>0.0687812083200811</v>
      </c>
      <c r="DD14" s="40">
        <f t="shared" si="61"/>
        <v>0.219026628025629</v>
      </c>
      <c r="DE14" s="40">
        <f t="shared" si="61"/>
        <v>0.113089600661219</v>
      </c>
      <c r="DF14" s="40">
        <f t="shared" si="61"/>
        <v>0.101862358253205</v>
      </c>
      <c r="DG14" s="40">
        <f t="shared" si="61"/>
        <v>0.214632723227954</v>
      </c>
      <c r="DH14" s="40">
        <f t="shared" si="61"/>
        <v>0.0372289264048618</v>
      </c>
      <c r="DI14" s="40">
        <f t="shared" si="61"/>
        <v>0.0210796378210044</v>
      </c>
      <c r="DJ14" s="40">
        <f t="shared" si="61"/>
        <v>0.068903589615781</v>
      </c>
      <c r="DK14" s="40">
        <f t="shared" si="61"/>
        <v>0.0421124430097958</v>
      </c>
      <c r="DL14" s="40">
        <f t="shared" si="61"/>
        <v>0.115560603020397</v>
      </c>
      <c r="DM14" s="40">
        <f t="shared" si="61"/>
        <v>0.127339325626497</v>
      </c>
      <c r="DN14" s="40">
        <f t="shared" si="61"/>
        <v>0.224184773701811</v>
      </c>
      <c r="DO14" s="40">
        <f t="shared" si="61"/>
        <v>0.0421874699915565</v>
      </c>
      <c r="DP14" s="40">
        <f t="shared" si="61"/>
        <v>0.821770792128991</v>
      </c>
      <c r="DQ14" s="40">
        <f t="shared" si="61"/>
        <v>0.0212587498951731</v>
      </c>
      <c r="DR14" s="40">
        <f t="shared" si="61"/>
        <v>0.149737263408866</v>
      </c>
      <c r="DS14" s="40">
        <f t="shared" si="61"/>
        <v>0.0991055798325218</v>
      </c>
      <c r="DT14" s="40">
        <f t="shared" si="61"/>
        <v>0.0694495045658094</v>
      </c>
      <c r="DU14" s="40">
        <f t="shared" si="61"/>
        <v>0.087505424464335</v>
      </c>
      <c r="DV14" s="40">
        <f t="shared" si="61"/>
        <v>0.195710158820623</v>
      </c>
      <c r="DW14" s="40">
        <f t="shared" si="61"/>
        <v>0.0640535111347988</v>
      </c>
      <c r="DX14" s="40">
        <f t="shared" si="61"/>
        <v>0.0864327239400538</v>
      </c>
      <c r="DY14" s="40">
        <f t="shared" si="61"/>
        <v>0.0489839586281127</v>
      </c>
      <c r="DZ14" s="40">
        <f t="shared" si="61"/>
        <v>0.124422139346367</v>
      </c>
      <c r="EA14" s="40">
        <f t="shared" si="61"/>
        <v>0.103003756111401</v>
      </c>
      <c r="EB14" s="40">
        <f t="shared" si="61"/>
        <v>0.0893799243139293</v>
      </c>
      <c r="EC14" s="40">
        <f t="shared" si="61"/>
        <v>0.073620509173362</v>
      </c>
      <c r="ED14" s="40">
        <f t="shared" si="61"/>
        <v>0.15745837465292</v>
      </c>
      <c r="EE14" s="40">
        <f t="shared" si="61"/>
        <v>0.140956337700571</v>
      </c>
      <c r="EF14" s="40">
        <f t="shared" si="61"/>
        <v>0.189769248246799</v>
      </c>
      <c r="EG14" s="40">
        <f t="shared" si="61"/>
        <v>0.119571446614108</v>
      </c>
      <c r="EH14" s="40">
        <f t="shared" si="61"/>
        <v>0.208670744699711</v>
      </c>
      <c r="EI14" s="40">
        <f t="shared" si="61"/>
        <v>0.0189094305303829</v>
      </c>
      <c r="EJ14" s="40">
        <f t="shared" si="61"/>
        <v>0.0506233622070524</v>
      </c>
      <c r="EK14" s="40">
        <f t="shared" si="61"/>
        <v>0</v>
      </c>
      <c r="EL14" s="40">
        <f t="shared" si="61"/>
        <v>0</v>
      </c>
      <c r="EM14" s="40">
        <f t="shared" si="61"/>
        <v>0</v>
      </c>
      <c r="EN14" s="40">
        <f t="shared" si="61"/>
        <v>0</v>
      </c>
      <c r="EO14" s="40">
        <f t="shared" si="61"/>
        <v>0</v>
      </c>
      <c r="EP14" s="40">
        <f t="shared" si="61"/>
        <v>0</v>
      </c>
      <c r="EQ14" s="40">
        <f t="shared" si="61"/>
        <v>0</v>
      </c>
      <c r="ER14" s="40">
        <f t="shared" si="61"/>
        <v>0</v>
      </c>
      <c r="ES14" s="40">
        <f t="shared" si="61"/>
        <v>0</v>
      </c>
      <c r="ET14" s="40">
        <f t="shared" si="61"/>
        <v>0</v>
      </c>
      <c r="EU14" s="40" t="str">
        <f t="shared" si="61"/>
        <v/>
      </c>
      <c r="EV14" s="39"/>
      <c r="EW14" s="39" t="str">
        <f t="shared" si="48"/>
        <v>\I:</v>
      </c>
      <c r="EX14" s="39" t="str">
        <f t="shared" si="51"/>
        <v/>
      </c>
      <c r="EY14" s="39" t="s">
        <v>133</v>
      </c>
      <c r="EZ14" s="39" t="s">
        <v>85</v>
      </c>
      <c r="FA14" s="39" t="s">
        <v>440</v>
      </c>
      <c r="FB14" s="39"/>
      <c r="FC14" s="39"/>
      <c r="FD14" s="39"/>
    </row>
    <row r="15" spans="1:160">
      <c r="A15" s="39" t="s">
        <v>444</v>
      </c>
      <c r="B15" s="39"/>
      <c r="C15" s="39" t="str">
        <f t="shared" si="54"/>
        <v/>
      </c>
      <c r="D15" s="39" t="s">
        <v>74</v>
      </c>
      <c r="E15" s="39"/>
      <c r="F15" s="39" t="s">
        <v>198</v>
      </c>
      <c r="G15" s="40">
        <f ca="1">SUMIFS(Assumptions!BD$3:BD$103,Assumptions!$G$3:$G$103,'non-road'!$F15,Assumptions!$B$3:$B$103,'non-road'!$D15)/SUMIF(Assumptions!$G$3:$G$103,'non-road'!$F15,Assumptions!BD$3:BD$103)</f>
        <v>0</v>
      </c>
      <c r="H15" s="40">
        <f ca="1">SUMIFS(Assumptions!BE$3:BE$103,Assumptions!$G$3:$G$103,'non-road'!$F15,Assumptions!$B$3:$B$103,'non-road'!$D15)/SUMIF(Assumptions!$G$3:$G$103,'non-road'!$F15,Assumptions!BE$3:BE$103)</f>
        <v>0</v>
      </c>
      <c r="I15" s="40">
        <f ca="1">SUMIFS(Assumptions!BF$3:BF$103,Assumptions!$G$3:$G$103,'non-road'!$F15,Assumptions!$B$3:$B$103,'non-road'!$D15)/SUMIF(Assumptions!$G$3:$G$103,'non-road'!$F15,Assumptions!BF$3:BF$103)</f>
        <v>0</v>
      </c>
      <c r="J15" s="40">
        <f ca="1">SUMIFS(Assumptions!BG$3:BG$103,Assumptions!$G$3:$G$103,'non-road'!$F15,Assumptions!$B$3:$B$103,'non-road'!$D15)/SUMIF(Assumptions!$G$3:$G$103,'non-road'!$F15,Assumptions!BG$3:BG$103)</f>
        <v>0</v>
      </c>
      <c r="K15" s="40">
        <f ca="1">SUMIFS(Assumptions!BH$3:BH$103,Assumptions!$G$3:$G$103,'non-road'!$F15,Assumptions!$B$3:$B$103,'non-road'!$D15)/SUMIF(Assumptions!$G$3:$G$103,'non-road'!$F15,Assumptions!BH$3:BH$103)</f>
        <v>0</v>
      </c>
      <c r="L15" s="40">
        <f ca="1">SUMIFS(Assumptions!BI$3:BI$103,Assumptions!$G$3:$G$103,'non-road'!$F15,Assumptions!$B$3:$B$103,'non-road'!$D15)/SUMIF(Assumptions!$G$3:$G$103,'non-road'!$F15,Assumptions!BI$3:BI$103)</f>
        <v>0</v>
      </c>
      <c r="M15" s="40">
        <f ca="1">SUMIFS(Assumptions!BJ$3:BJ$103,Assumptions!$G$3:$G$103,'non-road'!$F15,Assumptions!$B$3:$B$103,'non-road'!$D15)/SUMIF(Assumptions!$G$3:$G$103,'non-road'!$F15,Assumptions!BJ$3:BJ$103)</f>
        <v>0</v>
      </c>
      <c r="N15" s="40">
        <f ca="1">SUMIFS(Assumptions!BK$3:BK$103,Assumptions!$G$3:$G$103,'non-road'!$F15,Assumptions!$B$3:$B$103,'non-road'!$D15)/SUMIF(Assumptions!$G$3:$G$103,'non-road'!$F15,Assumptions!BK$3:BK$103)</f>
        <v>0</v>
      </c>
      <c r="O15" s="40">
        <f ca="1">SUMIFS(Assumptions!BL$3:BL$103,Assumptions!$G$3:$G$103,'non-road'!$F15,Assumptions!$B$3:$B$103,'non-road'!$D15)/SUMIF(Assumptions!$G$3:$G$103,'non-road'!$F15,Assumptions!BL$3:BL$103)</f>
        <v>0</v>
      </c>
      <c r="P15" s="40">
        <f ca="1">SUMIFS(Assumptions!BM$3:BM$103,Assumptions!$G$3:$G$103,'non-road'!$F15,Assumptions!$B$3:$B$103,'non-road'!$D15)/SUMIF(Assumptions!$G$3:$G$103,'non-road'!$F15,Assumptions!BM$3:BM$103)</f>
        <v>0</v>
      </c>
      <c r="Q15" s="40">
        <f ca="1">SUMIFS(Assumptions!BN$3:BN$103,Assumptions!$G$3:$G$103,'non-road'!$F15,Assumptions!$B$3:$B$103,'non-road'!$D15)/SUMIF(Assumptions!$G$3:$G$103,'non-road'!$F15,Assumptions!BN$3:BN$103)</f>
        <v>0</v>
      </c>
      <c r="R15" s="40">
        <f ca="1">SUMIFS(Assumptions!BO$3:BO$103,Assumptions!$G$3:$G$103,'non-road'!$F15,Assumptions!$B$3:$B$103,'non-road'!$D15)/SUMIF(Assumptions!$G$3:$G$103,'non-road'!$F15,Assumptions!BO$3:BO$103)</f>
        <v>0</v>
      </c>
      <c r="S15" s="40">
        <f ca="1">SUMIFS(Assumptions!BP$3:BP$103,Assumptions!$G$3:$G$103,'non-road'!$F15,Assumptions!$B$3:$B$103,'non-road'!$D15)/SUMIF(Assumptions!$G$3:$G$103,'non-road'!$F15,Assumptions!BP$3:BP$103)</f>
        <v>0</v>
      </c>
      <c r="T15" s="40">
        <f ca="1">SUMIFS(Assumptions!BQ$3:BQ$103,Assumptions!$G$3:$G$103,'non-road'!$F15,Assumptions!$B$3:$B$103,'non-road'!$D15)/SUMIF(Assumptions!$G$3:$G$103,'non-road'!$F15,Assumptions!BQ$3:BQ$103)</f>
        <v>0</v>
      </c>
      <c r="U15" s="40" t="e">
        <f ca="1">SUMIFS(Assumptions!BR$3:BR$103,Assumptions!$G$3:$G$103,'non-road'!$F15,Assumptions!$B$3:$B$103,'non-road'!$D15)/SUMIF(Assumptions!$G$3:$G$103,'non-road'!$F15,Assumptions!BR$3:BR$103)</f>
        <v>#DIV/0!</v>
      </c>
      <c r="V15" s="40">
        <f ca="1">SUMIFS(Assumptions!BS$3:BS$103,Assumptions!$G$3:$G$103,'non-road'!$F15,Assumptions!$B$3:$B$103,'non-road'!$D15)/SUMIF(Assumptions!$G$3:$G$103,'non-road'!$F15,Assumptions!BS$3:BS$103)</f>
        <v>0</v>
      </c>
      <c r="W15" s="40">
        <f ca="1">SUMIFS(Assumptions!BT$3:BT$103,Assumptions!$G$3:$G$103,'non-road'!$F15,Assumptions!$B$3:$B$103,'non-road'!$D15)/SUMIF(Assumptions!$G$3:$G$103,'non-road'!$F15,Assumptions!BT$3:BT$103)</f>
        <v>0</v>
      </c>
      <c r="X15" s="40">
        <f ca="1">SUMIFS(Assumptions!BU$3:BU$103,Assumptions!$G$3:$G$103,'non-road'!$F15,Assumptions!$B$3:$B$103,'non-road'!$D15)/SUMIF(Assumptions!$G$3:$G$103,'non-road'!$F15,Assumptions!BU$3:BU$103)</f>
        <v>0</v>
      </c>
      <c r="Y15" s="40">
        <f ca="1">SUMIFS(Assumptions!BV$3:BV$103,Assumptions!$G$3:$G$103,'non-road'!$F15,Assumptions!$B$3:$B$103,'non-road'!$D15)/SUMIF(Assumptions!$G$3:$G$103,'non-road'!$F15,Assumptions!BV$3:BV$103)</f>
        <v>0</v>
      </c>
      <c r="Z15" s="40">
        <f ca="1">SUMIFS(Assumptions!BW$3:BW$103,Assumptions!$G$3:$G$103,'non-road'!$F15,Assumptions!$B$3:$B$103,'non-road'!$D15)/SUMIF(Assumptions!$G$3:$G$103,'non-road'!$F15,Assumptions!BW$3:BW$103)</f>
        <v>0</v>
      </c>
      <c r="AA15" s="40">
        <f ca="1">SUMIFS(Assumptions!BX$3:BX$103,Assumptions!$G$3:$G$103,'non-road'!$F15,Assumptions!$B$3:$B$103,'non-road'!$D15)/SUMIF(Assumptions!$G$3:$G$103,'non-road'!$F15,Assumptions!BX$3:BX$103)</f>
        <v>0</v>
      </c>
      <c r="AB15" s="40">
        <f ca="1">SUMIFS(Assumptions!BY$3:BY$103,Assumptions!$G$3:$G$103,'non-road'!$F15,Assumptions!$B$3:$B$103,'non-road'!$D15)/SUMIF(Assumptions!$G$3:$G$103,'non-road'!$F15,Assumptions!BY$3:BY$103)</f>
        <v>0</v>
      </c>
      <c r="AC15" s="40">
        <f ca="1">SUMIFS(Assumptions!BZ$3:BZ$103,Assumptions!$G$3:$G$103,'non-road'!$F15,Assumptions!$B$3:$B$103,'non-road'!$D15)/SUMIF(Assumptions!$G$3:$G$103,'non-road'!$F15,Assumptions!BZ$3:BZ$103)</f>
        <v>0</v>
      </c>
      <c r="AD15" s="40">
        <f ca="1">SUMIFS(Assumptions!CA$3:CA$103,Assumptions!$G$3:$G$103,'non-road'!$F15,Assumptions!$B$3:$B$103,'non-road'!$D15)/SUMIF(Assumptions!$G$3:$G$103,'non-road'!$F15,Assumptions!CA$3:CA$103)</f>
        <v>0</v>
      </c>
      <c r="AE15" s="40">
        <f ca="1">SUMIFS(Assumptions!CB$3:CB$103,Assumptions!$G$3:$G$103,'non-road'!$F15,Assumptions!$B$3:$B$103,'non-road'!$D15)/SUMIF(Assumptions!$G$3:$G$103,'non-road'!$F15,Assumptions!CB$3:CB$103)</f>
        <v>0</v>
      </c>
      <c r="AF15" s="40">
        <f ca="1">SUMIFS(Assumptions!CC$3:CC$103,Assumptions!$G$3:$G$103,'non-road'!$F15,Assumptions!$B$3:$B$103,'non-road'!$D15)/SUMIF(Assumptions!$G$3:$G$103,'non-road'!$F15,Assumptions!CC$3:CC$103)</f>
        <v>0</v>
      </c>
      <c r="AG15" s="40" t="e">
        <f ca="1">SUMIFS(Assumptions!CD$3:CD$103,Assumptions!$G$3:$G$103,'non-road'!$F15,Assumptions!$B$3:$B$103,'non-road'!$D15)/SUMIF(Assumptions!$G$3:$G$103,'non-road'!$F15,Assumptions!CD$3:CD$103)</f>
        <v>#DIV/0!</v>
      </c>
      <c r="AH15" s="40">
        <f ca="1">SUMIFS(Assumptions!CE$3:CE$103,Assumptions!$G$3:$G$103,'non-road'!$F15,Assumptions!$B$3:$B$103,'non-road'!$D15)/SUMIF(Assumptions!$G$3:$G$103,'non-road'!$F15,Assumptions!CE$3:CE$103)</f>
        <v>0</v>
      </c>
      <c r="AI15" s="40">
        <f ca="1">SUMIFS(Assumptions!CF$3:CF$103,Assumptions!$G$3:$G$103,'non-road'!$F15,Assumptions!$B$3:$B$103,'non-road'!$D15)/SUMIF(Assumptions!$G$3:$G$103,'non-road'!$F15,Assumptions!CF$3:CF$103)</f>
        <v>0</v>
      </c>
      <c r="AJ15" s="40">
        <f ca="1">SUMIFS(Assumptions!CG$3:CG$103,Assumptions!$G$3:$G$103,'non-road'!$F15,Assumptions!$B$3:$B$103,'non-road'!$D15)/SUMIF(Assumptions!$G$3:$G$103,'non-road'!$F15,Assumptions!CG$3:CG$103)</f>
        <v>0</v>
      </c>
      <c r="AK15" s="40">
        <f ca="1">SUMIFS(Assumptions!CH$3:CH$103,Assumptions!$G$3:$G$103,'non-road'!$F15,Assumptions!$B$3:$B$103,'non-road'!$D15)/SUMIF(Assumptions!$G$3:$G$103,'non-road'!$F15,Assumptions!CH$3:CH$103)</f>
        <v>0</v>
      </c>
      <c r="AL15" s="40">
        <f ca="1">SUMIFS(Assumptions!CI$3:CI$103,Assumptions!$G$3:$G$103,'non-road'!$F15,Assumptions!$B$3:$B$103,'non-road'!$D15)/SUMIF(Assumptions!$G$3:$G$103,'non-road'!$F15,Assumptions!CI$3:CI$103)</f>
        <v>0</v>
      </c>
      <c r="AM15" s="40">
        <f ca="1">SUMIFS(Assumptions!CJ$3:CJ$103,Assumptions!$G$3:$G$103,'non-road'!$F15,Assumptions!$B$3:$B$103,'non-road'!$D15)/SUMIF(Assumptions!$G$3:$G$103,'non-road'!$F15,Assumptions!CJ$3:CJ$103)</f>
        <v>0</v>
      </c>
      <c r="AN15" s="40">
        <f ca="1">SUMIFS(Assumptions!CK$3:CK$103,Assumptions!$G$3:$G$103,'non-road'!$F15,Assumptions!$B$3:$B$103,'non-road'!$D15)/SUMIF(Assumptions!$G$3:$G$103,'non-road'!$F15,Assumptions!CK$3:CK$103)</f>
        <v>0</v>
      </c>
      <c r="AO15" s="40">
        <f ca="1">SUMIFS(Assumptions!CL$3:CL$103,Assumptions!$G$3:$G$103,'non-road'!$F15,Assumptions!$B$3:$B$103,'non-road'!$D15)/SUMIF(Assumptions!$G$3:$G$103,'non-road'!$F15,Assumptions!CL$3:CL$103)</f>
        <v>0</v>
      </c>
      <c r="AP15" s="40" t="e">
        <f ca="1">SUMIFS(Assumptions!CM$3:CM$103,Assumptions!$G$3:$G$103,'non-road'!$F15,Assumptions!$B$3:$B$103,'non-road'!$D15)/SUMIF(Assumptions!$G$3:$G$103,'non-road'!$F15,Assumptions!CM$3:CM$103)</f>
        <v>#DIV/0!</v>
      </c>
      <c r="AQ15" s="40" t="e">
        <f ca="1">SUMIFS(Assumptions!CN$3:CN$103,Assumptions!$G$3:$G$103,'non-road'!$F15,Assumptions!$B$3:$B$103,'non-road'!$D15)/SUMIF(Assumptions!$G$3:$G$103,'non-road'!$F15,Assumptions!CN$3:CN$103)</f>
        <v>#DIV/0!</v>
      </c>
      <c r="AR15" s="40" t="e">
        <f ca="1">SUMIFS(Assumptions!CO$3:CO$103,Assumptions!$G$3:$G$103,'non-road'!$F15,Assumptions!$B$3:$B$103,'non-road'!$D15)/SUMIF(Assumptions!$G$3:$G$103,'non-road'!$F15,Assumptions!CO$3:CO$103)</f>
        <v>#DIV/0!</v>
      </c>
      <c r="AS15" s="40" t="e">
        <f ca="1">SUMIFS(Assumptions!CP$3:CP$103,Assumptions!$G$3:$G$103,'non-road'!$F15,Assumptions!$B$3:$B$103,'non-road'!$D15)/SUMIF(Assumptions!$G$3:$G$103,'non-road'!$F15,Assumptions!CP$3:CP$103)</f>
        <v>#DIV/0!</v>
      </c>
      <c r="AT15" s="40" t="e">
        <f ca="1">SUMIFS(Assumptions!CQ$3:CQ$103,Assumptions!$G$3:$G$103,'non-road'!$F15,Assumptions!$B$3:$B$103,'non-road'!$D15)/SUMIF(Assumptions!$G$3:$G$103,'non-road'!$F15,Assumptions!CQ$3:CQ$103)</f>
        <v>#DIV/0!</v>
      </c>
      <c r="AU15" s="40" t="e">
        <f ca="1">SUMIFS(Assumptions!CR$3:CR$103,Assumptions!$G$3:$G$103,'non-road'!$F15,Assumptions!$B$3:$B$103,'non-road'!$D15)/SUMIF(Assumptions!$G$3:$G$103,'non-road'!$F15,Assumptions!CR$3:CR$103)</f>
        <v>#DIV/0!</v>
      </c>
      <c r="AV15" s="40" t="e">
        <f ca="1">SUMIFS(Assumptions!CS$3:CS$103,Assumptions!$G$3:$G$103,'non-road'!$F15,Assumptions!$B$3:$B$103,'non-road'!$D15)/SUMIF(Assumptions!$G$3:$G$103,'non-road'!$F15,Assumptions!CS$3:CS$103)</f>
        <v>#DIV/0!</v>
      </c>
      <c r="AW15" s="40" t="e">
        <f ca="1">SUMIFS(Assumptions!CT$3:CT$103,Assumptions!$G$3:$G$103,'non-road'!$F15,Assumptions!$B$3:$B$103,'non-road'!$D15)/SUMIF(Assumptions!$G$3:$G$103,'non-road'!$F15,Assumptions!CT$3:CT$103)</f>
        <v>#DIV/0!</v>
      </c>
      <c r="AX15" s="40" t="e">
        <f ca="1">SUMIFS(Assumptions!CU$3:CU$103,Assumptions!$G$3:$G$103,'non-road'!$F15,Assumptions!$B$3:$B$103,'non-road'!$D15)/SUMIF(Assumptions!$G$3:$G$103,'non-road'!$F15,Assumptions!CU$3:CU$103)</f>
        <v>#DIV/0!</v>
      </c>
      <c r="AY15" s="40" t="e">
        <f ca="1">SUMIFS(Assumptions!CV$3:CV$103,Assumptions!$G$3:$G$103,'non-road'!$F15,Assumptions!$B$3:$B$103,'non-road'!$D15)/SUMIF(Assumptions!$G$3:$G$103,'non-road'!$F15,Assumptions!CV$3:CV$103)</f>
        <v>#DIV/0!</v>
      </c>
      <c r="AZ15" s="40" t="e">
        <f ca="1">SUMIFS(Assumptions!CW$3:CW$103,Assumptions!$G$3:$G$103,'non-road'!$F15,Assumptions!$B$3:$B$103,'non-road'!$D15)/SUMIF(Assumptions!$G$3:$G$103,'non-road'!$F15,Assumptions!CW$3:CW$103)</f>
        <v>#DIV/0!</v>
      </c>
      <c r="BA15" s="41"/>
      <c r="BB15" s="40"/>
      <c r="BC15" s="40"/>
      <c r="BD15" s="39" t="str">
        <f t="shared" si="55"/>
        <v>\I:</v>
      </c>
      <c r="BE15" s="40">
        <f>VLOOKUP($F15,Assumptions!$E$152:$BC$157,COLUMN()-COLUMN($BC$4),FALSE)</f>
        <v>1</v>
      </c>
      <c r="BF15" s="40">
        <f>VLOOKUP($F15,Assumptions!$E$152:$BC$157,COLUMN()-COLUMN($BC$4),FALSE)</f>
        <v>1</v>
      </c>
      <c r="BG15" s="40">
        <f>VLOOKUP($F15,Assumptions!$E$152:$BC$157,COLUMN()-COLUMN($BC$4),FALSE)</f>
        <v>1</v>
      </c>
      <c r="BH15" s="40">
        <f>VLOOKUP($F15,Assumptions!$E$152:$BC$157,COLUMN()-COLUMN($BC$4),FALSE)</f>
        <v>1</v>
      </c>
      <c r="BI15" s="40">
        <f>VLOOKUP($F15,Assumptions!$E$152:$BC$157,COLUMN()-COLUMN($BC$4),FALSE)</f>
        <v>1</v>
      </c>
      <c r="BJ15" s="40">
        <f>VLOOKUP($F15,Assumptions!$E$152:$BC$157,COLUMN()-COLUMN($BC$4),FALSE)</f>
        <v>1</v>
      </c>
      <c r="BK15" s="40">
        <f>VLOOKUP($F15,Assumptions!$E$152:$BC$157,COLUMN()-COLUMN($BC$4),FALSE)</f>
        <v>1</v>
      </c>
      <c r="BL15" s="40">
        <f>VLOOKUP($F15,Assumptions!$E$152:$BC$157,COLUMN()-COLUMN($BC$4),FALSE)</f>
        <v>1</v>
      </c>
      <c r="BM15" s="40">
        <f>VLOOKUP($F15,Assumptions!$E$152:$BC$157,COLUMN()-COLUMN($BC$4),FALSE)</f>
        <v>1</v>
      </c>
      <c r="BN15" s="40">
        <f>VLOOKUP($F15,Assumptions!$E$152:$BC$157,COLUMN()-COLUMN($BC$4),FALSE)</f>
        <v>1</v>
      </c>
      <c r="BO15" s="40">
        <f>VLOOKUP($F15,Assumptions!$E$152:$BC$157,COLUMN()-COLUMN($BC$4),FALSE)</f>
        <v>1</v>
      </c>
      <c r="BP15" s="40">
        <f>VLOOKUP($F15,Assumptions!$E$152:$BC$157,COLUMN()-COLUMN($BC$4),FALSE)</f>
        <v>1</v>
      </c>
      <c r="BQ15" s="40">
        <f>VLOOKUP($F15,Assumptions!$E$152:$BC$157,COLUMN()-COLUMN($BC$4),FALSE)</f>
        <v>1</v>
      </c>
      <c r="BR15" s="40">
        <f>VLOOKUP($F15,Assumptions!$E$152:$BC$157,COLUMN()-COLUMN($BC$4),FALSE)</f>
        <v>1</v>
      </c>
      <c r="BS15" s="40">
        <f>VLOOKUP($F15,Assumptions!$E$152:$BC$157,COLUMN()-COLUMN($BC$4),FALSE)</f>
        <v>1</v>
      </c>
      <c r="BT15" s="40">
        <f>VLOOKUP($F15,Assumptions!$E$152:$BC$157,COLUMN()-COLUMN($BC$4),FALSE)</f>
        <v>1</v>
      </c>
      <c r="BU15" s="40">
        <f>VLOOKUP($F15,Assumptions!$E$152:$BC$157,COLUMN()-COLUMN($BC$4),FALSE)</f>
        <v>1</v>
      </c>
      <c r="BV15" s="40">
        <f>VLOOKUP($F15,Assumptions!$E$152:$BC$157,COLUMN()-COLUMN($BC$4),FALSE)</f>
        <v>1</v>
      </c>
      <c r="BW15" s="40">
        <f>VLOOKUP($F15,Assumptions!$E$152:$BC$157,COLUMN()-COLUMN($BC$4),FALSE)</f>
        <v>1</v>
      </c>
      <c r="BX15" s="40">
        <f>VLOOKUP($F15,Assumptions!$E$152:$BC$157,COLUMN()-COLUMN($BC$4),FALSE)</f>
        <v>1</v>
      </c>
      <c r="BY15" s="40">
        <f>VLOOKUP($F15,Assumptions!$E$152:$BC$157,COLUMN()-COLUMN($BC$4),FALSE)</f>
        <v>1</v>
      </c>
      <c r="BZ15" s="40">
        <f>VLOOKUP($F15,Assumptions!$E$152:$BC$157,COLUMN()-COLUMN($BC$4),FALSE)</f>
        <v>1</v>
      </c>
      <c r="CA15" s="40">
        <f>VLOOKUP($F15,Assumptions!$E$152:$BC$157,COLUMN()-COLUMN($BC$4),FALSE)</f>
        <v>1</v>
      </c>
      <c r="CB15" s="40">
        <f>VLOOKUP($F15,Assumptions!$E$152:$BC$157,COLUMN()-COLUMN($BC$4),FALSE)</f>
        <v>1</v>
      </c>
      <c r="CC15" s="40">
        <f>VLOOKUP($F15,Assumptions!$E$152:$BC$157,COLUMN()-COLUMN($BC$4),FALSE)</f>
        <v>1</v>
      </c>
      <c r="CD15" s="40">
        <f>VLOOKUP($F15,Assumptions!$E$152:$BC$157,COLUMN()-COLUMN($BC$4),FALSE)</f>
        <v>1</v>
      </c>
      <c r="CE15" s="40">
        <f>VLOOKUP($F15,Assumptions!$E$152:$BC$157,COLUMN()-COLUMN($BC$4),FALSE)</f>
        <v>1</v>
      </c>
      <c r="CF15" s="40">
        <f>VLOOKUP($F15,Assumptions!$E$152:$BC$157,COLUMN()-COLUMN($BC$4),FALSE)</f>
        <v>1</v>
      </c>
      <c r="CG15" s="40">
        <f>VLOOKUP($F15,Assumptions!$E$152:$BC$157,COLUMN()-COLUMN($BC$4),FALSE)</f>
        <v>1</v>
      </c>
      <c r="CH15" s="40">
        <f>VLOOKUP($F15,Assumptions!$E$152:$BC$157,COLUMN()-COLUMN($BC$4),FALSE)</f>
        <v>1</v>
      </c>
      <c r="CI15" s="40">
        <f>VLOOKUP($F15,Assumptions!$E$152:$BC$157,COLUMN()-COLUMN($BC$4),FALSE)</f>
        <v>1</v>
      </c>
      <c r="CJ15" s="40">
        <f>VLOOKUP($F15,Assumptions!$E$152:$BC$157,COLUMN()-COLUMN($BC$4),FALSE)</f>
        <v>1</v>
      </c>
      <c r="CK15" s="40">
        <f>VLOOKUP($F15,Assumptions!$E$152:$BC$157,COLUMN()-COLUMN($BC$4),FALSE)</f>
        <v>1</v>
      </c>
      <c r="CL15" s="40">
        <f>VLOOKUP($F15,Assumptions!$E$152:$BC$157,COLUMN()-COLUMN($BC$4),FALSE)</f>
        <v>1</v>
      </c>
      <c r="CM15" s="40">
        <f>VLOOKUP($F15,Assumptions!$E$152:$BC$157,COLUMN()-COLUMN($BC$4),FALSE)</f>
        <v>1</v>
      </c>
      <c r="CN15" s="40">
        <f>VLOOKUP($F15,Assumptions!$E$152:$BC$157,COLUMN()-COLUMN($BC$4),FALSE)</f>
        <v>1</v>
      </c>
      <c r="CO15" s="40">
        <f>VLOOKUP($F15,Assumptions!$E$152:$BC$157,COLUMN()-COLUMN($BC$4),FALSE)</f>
        <v>1</v>
      </c>
      <c r="CP15" s="40">
        <f>VLOOKUP($F15,Assumptions!$E$152:$BC$157,COLUMN()-COLUMN($BC$4),FALSE)</f>
        <v>1</v>
      </c>
      <c r="CQ15" s="40">
        <f>VLOOKUP($F15,Assumptions!$E$152:$BC$157,COLUMN()-COLUMN($BC$4),FALSE)</f>
        <v>1</v>
      </c>
      <c r="CR15" s="40">
        <f>VLOOKUP($F15,Assumptions!$E$152:$BC$157,COLUMN()-COLUMN($BC$4),FALSE)</f>
        <v>1</v>
      </c>
      <c r="CS15" s="40">
        <f>VLOOKUP($F15,Assumptions!$E$152:$BC$157,COLUMN()-COLUMN($BC$4),FALSE)</f>
        <v>1</v>
      </c>
      <c r="CT15" s="40">
        <f>VLOOKUP($F15,Assumptions!$E$152:$BC$157,COLUMN()-COLUMN($BC$4),FALSE)</f>
        <v>1</v>
      </c>
      <c r="CU15" s="40">
        <f>VLOOKUP($F15,Assumptions!$E$152:$BC$157,COLUMN()-COLUMN($BC$4),FALSE)</f>
        <v>1</v>
      </c>
      <c r="CV15" s="40">
        <f>VLOOKUP($F15,Assumptions!$E$152:$BC$157,COLUMN()-COLUMN($BC$4),FALSE)</f>
        <v>1</v>
      </c>
      <c r="CW15" s="40">
        <f>VLOOKUP($F15,Assumptions!$E$152:$BC$157,COLUMN()-COLUMN($BC$4),FALSE)</f>
        <v>1</v>
      </c>
      <c r="CX15" s="40">
        <f>VLOOKUP($F15,Assumptions!$E$152:$BC$157,COLUMN()-COLUMN($BC$4),FALSE)</f>
        <v>1</v>
      </c>
      <c r="CY15" s="39"/>
      <c r="CZ15" s="39"/>
      <c r="DA15" s="39" t="str">
        <f t="shared" si="56"/>
        <v>TAD</v>
      </c>
      <c r="DB15" s="40">
        <f t="shared" ref="DB15" si="62">IFERROR(DB6/DB$20,"")</f>
        <v>0.0143214779335214</v>
      </c>
      <c r="DC15" s="40">
        <f t="shared" ref="DC15:EU15" si="63">IFERROR(DC6/DC$20,"")</f>
        <v>0.00811805019891685</v>
      </c>
      <c r="DD15" s="40">
        <f t="shared" si="63"/>
        <v>0.128208427440955</v>
      </c>
      <c r="DE15" s="40">
        <f t="shared" si="63"/>
        <v>0.00372785540047938</v>
      </c>
      <c r="DF15" s="40">
        <f t="shared" si="63"/>
        <v>0.000621429362624608</v>
      </c>
      <c r="DG15" s="40">
        <f t="shared" si="63"/>
        <v>0.000454681417625262</v>
      </c>
      <c r="DH15" s="40">
        <f t="shared" si="63"/>
        <v>0.0514395549162731</v>
      </c>
      <c r="DI15" s="40">
        <f t="shared" si="63"/>
        <v>0.0535809461670757</v>
      </c>
      <c r="DJ15" s="40">
        <f t="shared" si="63"/>
        <v>0.00340872965323037</v>
      </c>
      <c r="DK15" s="40">
        <f t="shared" si="63"/>
        <v>0.00432096192538983</v>
      </c>
      <c r="DL15" s="40">
        <f t="shared" si="63"/>
        <v>0.0301289741378483</v>
      </c>
      <c r="DM15" s="40">
        <f t="shared" si="63"/>
        <v>0.00955427091416908</v>
      </c>
      <c r="DN15" s="40">
        <f t="shared" si="63"/>
        <v>0.0351505043348806</v>
      </c>
      <c r="DO15" s="40">
        <f t="shared" si="63"/>
        <v>0.00478806973945016</v>
      </c>
      <c r="DP15" s="40">
        <f t="shared" si="63"/>
        <v>0.0239259281326201</v>
      </c>
      <c r="DQ15" s="40">
        <f t="shared" si="63"/>
        <v>0.0214764275856038</v>
      </c>
      <c r="DR15" s="40">
        <f t="shared" si="63"/>
        <v>0.000809368709783973</v>
      </c>
      <c r="DS15" s="40">
        <f t="shared" si="63"/>
        <v>0.0217531532796102</v>
      </c>
      <c r="DT15" s="40">
        <f t="shared" si="63"/>
        <v>0.0335513496240697</v>
      </c>
      <c r="DU15" s="40">
        <f t="shared" si="63"/>
        <v>0.0244442644409798</v>
      </c>
      <c r="DV15" s="40">
        <f t="shared" si="63"/>
        <v>0.0154450827040794</v>
      </c>
      <c r="DW15" s="40">
        <f t="shared" si="63"/>
        <v>0.14032730632975</v>
      </c>
      <c r="DX15" s="40">
        <f t="shared" si="63"/>
        <v>0.0553805950225665</v>
      </c>
      <c r="DY15" s="40">
        <f t="shared" si="63"/>
        <v>0.00153971588329434</v>
      </c>
      <c r="DZ15" s="40">
        <f t="shared" si="63"/>
        <v>0.0260757212328015</v>
      </c>
      <c r="EA15" s="40">
        <f t="shared" si="63"/>
        <v>0.100023805257523</v>
      </c>
      <c r="EB15" s="40">
        <f t="shared" si="63"/>
        <v>0.0238474224481718</v>
      </c>
      <c r="EC15" s="40">
        <f t="shared" si="63"/>
        <v>0.0842797784893866</v>
      </c>
      <c r="ED15" s="40">
        <f t="shared" si="63"/>
        <v>0.0628554277424849</v>
      </c>
      <c r="EE15" s="40">
        <f t="shared" si="63"/>
        <v>0.0131493150549343</v>
      </c>
      <c r="EF15" s="40">
        <f t="shared" si="63"/>
        <v>0.00674310833254212</v>
      </c>
      <c r="EG15" s="40">
        <f t="shared" si="63"/>
        <v>0.0327016333288382</v>
      </c>
      <c r="EH15" s="40">
        <f t="shared" si="63"/>
        <v>0.0157063841781599</v>
      </c>
      <c r="EI15" s="40">
        <f t="shared" si="63"/>
        <v>0.0198125676081697</v>
      </c>
      <c r="EJ15" s="40">
        <f t="shared" si="63"/>
        <v>0</v>
      </c>
      <c r="EK15" s="40">
        <f t="shared" si="63"/>
        <v>0</v>
      </c>
      <c r="EL15" s="40">
        <f t="shared" si="63"/>
        <v>0</v>
      </c>
      <c r="EM15" s="40">
        <f t="shared" si="63"/>
        <v>0</v>
      </c>
      <c r="EN15" s="40">
        <f t="shared" si="63"/>
        <v>0</v>
      </c>
      <c r="EO15" s="40">
        <f t="shared" si="63"/>
        <v>0</v>
      </c>
      <c r="EP15" s="40">
        <f t="shared" si="63"/>
        <v>0</v>
      </c>
      <c r="EQ15" s="40">
        <f t="shared" si="63"/>
        <v>0</v>
      </c>
      <c r="ER15" s="40">
        <f t="shared" si="63"/>
        <v>0</v>
      </c>
      <c r="ES15" s="40">
        <f t="shared" si="63"/>
        <v>0</v>
      </c>
      <c r="ET15" s="40">
        <f t="shared" si="63"/>
        <v>0</v>
      </c>
      <c r="EU15" s="40" t="str">
        <f t="shared" si="63"/>
        <v/>
      </c>
      <c r="EV15" s="39"/>
      <c r="EW15" s="39" t="str">
        <f t="shared" si="48"/>
        <v>\I:</v>
      </c>
      <c r="EX15" s="39" t="str">
        <f t="shared" si="51"/>
        <v/>
      </c>
      <c r="EY15" s="39" t="s">
        <v>133</v>
      </c>
      <c r="EZ15" s="39" t="s">
        <v>85</v>
      </c>
      <c r="FA15" s="39" t="s">
        <v>440</v>
      </c>
      <c r="FB15" s="39"/>
      <c r="FC15" s="39"/>
      <c r="FD15" s="39"/>
    </row>
    <row r="16" spans="1:160">
      <c r="A16" s="39" t="s">
        <v>442</v>
      </c>
      <c r="B16" s="39"/>
      <c r="C16" s="39" t="str">
        <f t="shared" si="54"/>
        <v/>
      </c>
      <c r="D16" s="39" t="s">
        <v>44</v>
      </c>
      <c r="E16" s="39"/>
      <c r="F16" s="39" t="s">
        <v>198</v>
      </c>
      <c r="G16" s="40">
        <f ca="1">SUMIFS(Assumptions!BD$3:BD$103,Assumptions!$G$3:$G$103,'non-road'!$F16,Assumptions!$B$3:$B$103,'non-road'!$D16)/SUMIF(Assumptions!$G$3:$G$103,'non-road'!$F16,Assumptions!BD$3:BD$103)</f>
        <v>0</v>
      </c>
      <c r="H16" s="40">
        <f ca="1">SUMIFS(Assumptions!BE$3:BE$103,Assumptions!$G$3:$G$103,'non-road'!$F16,Assumptions!$B$3:$B$103,'non-road'!$D16)/SUMIF(Assumptions!$G$3:$G$103,'non-road'!$F16,Assumptions!BE$3:BE$103)</f>
        <v>0</v>
      </c>
      <c r="I16" s="40">
        <f ca="1">SUMIFS(Assumptions!BF$3:BF$103,Assumptions!$G$3:$G$103,'non-road'!$F16,Assumptions!$B$3:$B$103,'non-road'!$D16)/SUMIF(Assumptions!$G$3:$G$103,'non-road'!$F16,Assumptions!BF$3:BF$103)</f>
        <v>0</v>
      </c>
      <c r="J16" s="40">
        <f ca="1">SUMIFS(Assumptions!BG$3:BG$103,Assumptions!$G$3:$G$103,'non-road'!$F16,Assumptions!$B$3:$B$103,'non-road'!$D16)/SUMIF(Assumptions!$G$3:$G$103,'non-road'!$F16,Assumptions!BG$3:BG$103)</f>
        <v>0.00105602913753984</v>
      </c>
      <c r="K16" s="40">
        <f ca="1">SUMIFS(Assumptions!BH$3:BH$103,Assumptions!$G$3:$G$103,'non-road'!$F16,Assumptions!$B$3:$B$103,'non-road'!$D16)/SUMIF(Assumptions!$G$3:$G$103,'non-road'!$F16,Assumptions!BH$3:BH$103)</f>
        <v>0.0171992170191763</v>
      </c>
      <c r="L16" s="40">
        <f ca="1">SUMIFS(Assumptions!BI$3:BI$103,Assumptions!$G$3:$G$103,'non-road'!$F16,Assumptions!$B$3:$B$103,'non-road'!$D16)/SUMIF(Assumptions!$G$3:$G$103,'non-road'!$F16,Assumptions!BI$3:BI$103)</f>
        <v>0.000561209800675478</v>
      </c>
      <c r="M16" s="40">
        <f ca="1">SUMIFS(Assumptions!BJ$3:BJ$103,Assumptions!$G$3:$G$103,'non-road'!$F16,Assumptions!$B$3:$B$103,'non-road'!$D16)/SUMIF(Assumptions!$G$3:$G$103,'non-road'!$F16,Assumptions!BJ$3:BJ$103)</f>
        <v>0.0524998663831387</v>
      </c>
      <c r="N16" s="40">
        <f ca="1">SUMIFS(Assumptions!BK$3:BK$103,Assumptions!$G$3:$G$103,'non-road'!$F16,Assumptions!$B$3:$B$103,'non-road'!$D16)/SUMIF(Assumptions!$G$3:$G$103,'non-road'!$F16,Assumptions!BK$3:BK$103)</f>
        <v>0</v>
      </c>
      <c r="O16" s="40">
        <f ca="1">SUMIFS(Assumptions!BL$3:BL$103,Assumptions!$G$3:$G$103,'non-road'!$F16,Assumptions!$B$3:$B$103,'non-road'!$D16)/SUMIF(Assumptions!$G$3:$G$103,'non-road'!$F16,Assumptions!BL$3:BL$103)</f>
        <v>0</v>
      </c>
      <c r="P16" s="40">
        <f ca="1">SUMIFS(Assumptions!BM$3:BM$103,Assumptions!$G$3:$G$103,'non-road'!$F16,Assumptions!$B$3:$B$103,'non-road'!$D16)/SUMIF(Assumptions!$G$3:$G$103,'non-road'!$F16,Assumptions!BM$3:BM$103)</f>
        <v>0.00261383825815418</v>
      </c>
      <c r="Q16" s="40">
        <f ca="1">SUMIFS(Assumptions!BN$3:BN$103,Assumptions!$G$3:$G$103,'non-road'!$F16,Assumptions!$B$3:$B$103,'non-road'!$D16)/SUMIF(Assumptions!$G$3:$G$103,'non-road'!$F16,Assumptions!BN$3:BN$103)</f>
        <v>0.00110235129808213</v>
      </c>
      <c r="R16" s="40">
        <f ca="1">SUMIFS(Assumptions!BO$3:BO$103,Assumptions!$G$3:$G$103,'non-road'!$F16,Assumptions!$B$3:$B$103,'non-road'!$D16)/SUMIF(Assumptions!$G$3:$G$103,'non-road'!$F16,Assumptions!BO$3:BO$103)</f>
        <v>0.00142375902401871</v>
      </c>
      <c r="S16" s="40">
        <f ca="1">SUMIFS(Assumptions!BP$3:BP$103,Assumptions!$G$3:$G$103,'non-road'!$F16,Assumptions!$B$3:$B$103,'non-road'!$D16)/SUMIF(Assumptions!$G$3:$G$103,'non-road'!$F16,Assumptions!BP$3:BP$103)</f>
        <v>0</v>
      </c>
      <c r="T16" s="40">
        <f ca="1">SUMIFS(Assumptions!BQ$3:BQ$103,Assumptions!$G$3:$G$103,'non-road'!$F16,Assumptions!$B$3:$B$103,'non-road'!$D16)/SUMIF(Assumptions!$G$3:$G$103,'non-road'!$F16,Assumptions!BQ$3:BQ$103)</f>
        <v>0</v>
      </c>
      <c r="U16" s="40" t="e">
        <f ca="1">SUMIFS(Assumptions!BR$3:BR$103,Assumptions!$G$3:$G$103,'non-road'!$F16,Assumptions!$B$3:$B$103,'non-road'!$D16)/SUMIF(Assumptions!$G$3:$G$103,'non-road'!$F16,Assumptions!BR$3:BR$103)</f>
        <v>#DIV/0!</v>
      </c>
      <c r="V16" s="40">
        <f ca="1">SUMIFS(Assumptions!BS$3:BS$103,Assumptions!$G$3:$G$103,'non-road'!$F16,Assumptions!$B$3:$B$103,'non-road'!$D16)/SUMIF(Assumptions!$G$3:$G$103,'non-road'!$F16,Assumptions!BS$3:BS$103)</f>
        <v>0</v>
      </c>
      <c r="W16" s="40">
        <f ca="1">SUMIFS(Assumptions!BT$3:BT$103,Assumptions!$G$3:$G$103,'non-road'!$F16,Assumptions!$B$3:$B$103,'non-road'!$D16)/SUMIF(Assumptions!$G$3:$G$103,'non-road'!$F16,Assumptions!BT$3:BT$103)</f>
        <v>0</v>
      </c>
      <c r="X16" s="40">
        <f ca="1">SUMIFS(Assumptions!BU$3:BU$103,Assumptions!$G$3:$G$103,'non-road'!$F16,Assumptions!$B$3:$B$103,'non-road'!$D16)/SUMIF(Assumptions!$G$3:$G$103,'non-road'!$F16,Assumptions!BU$3:BU$103)</f>
        <v>0</v>
      </c>
      <c r="Y16" s="40">
        <f ca="1">SUMIFS(Assumptions!BV$3:BV$103,Assumptions!$G$3:$G$103,'non-road'!$F16,Assumptions!$B$3:$B$103,'non-road'!$D16)/SUMIF(Assumptions!$G$3:$G$103,'non-road'!$F16,Assumptions!BV$3:BV$103)</f>
        <v>0</v>
      </c>
      <c r="Z16" s="40">
        <f ca="1">SUMIFS(Assumptions!BW$3:BW$103,Assumptions!$G$3:$G$103,'non-road'!$F16,Assumptions!$B$3:$B$103,'non-road'!$D16)/SUMIF(Assumptions!$G$3:$G$103,'non-road'!$F16,Assumptions!BW$3:BW$103)</f>
        <v>0</v>
      </c>
      <c r="AA16" s="40">
        <f ca="1">SUMIFS(Assumptions!BX$3:BX$103,Assumptions!$G$3:$G$103,'non-road'!$F16,Assumptions!$B$3:$B$103,'non-road'!$D16)/SUMIF(Assumptions!$G$3:$G$103,'non-road'!$F16,Assumptions!BX$3:BX$103)</f>
        <v>0</v>
      </c>
      <c r="AB16" s="40">
        <f ca="1">SUMIFS(Assumptions!BY$3:BY$103,Assumptions!$G$3:$G$103,'non-road'!$F16,Assumptions!$B$3:$B$103,'non-road'!$D16)/SUMIF(Assumptions!$G$3:$G$103,'non-road'!$F16,Assumptions!BY$3:BY$103)</f>
        <v>0.0117321736388779</v>
      </c>
      <c r="AC16" s="40">
        <f ca="1">SUMIFS(Assumptions!BZ$3:BZ$103,Assumptions!$G$3:$G$103,'non-road'!$F16,Assumptions!$B$3:$B$103,'non-road'!$D16)/SUMIF(Assumptions!$G$3:$G$103,'non-road'!$F16,Assumptions!BZ$3:BZ$103)</f>
        <v>0</v>
      </c>
      <c r="AD16" s="40">
        <f ca="1">SUMIFS(Assumptions!CA$3:CA$103,Assumptions!$G$3:$G$103,'non-road'!$F16,Assumptions!$B$3:$B$103,'non-road'!$D16)/SUMIF(Assumptions!$G$3:$G$103,'non-road'!$F16,Assumptions!CA$3:CA$103)</f>
        <v>0</v>
      </c>
      <c r="AE16" s="40">
        <f ca="1">SUMIFS(Assumptions!CB$3:CB$103,Assumptions!$G$3:$G$103,'non-road'!$F16,Assumptions!$B$3:$B$103,'non-road'!$D16)/SUMIF(Assumptions!$G$3:$G$103,'non-road'!$F16,Assumptions!CB$3:CB$103)</f>
        <v>3.9197783374466e-6</v>
      </c>
      <c r="AF16" s="40">
        <f ca="1">SUMIFS(Assumptions!CC$3:CC$103,Assumptions!$G$3:$G$103,'non-road'!$F16,Assumptions!$B$3:$B$103,'non-road'!$D16)/SUMIF(Assumptions!$G$3:$G$103,'non-road'!$F16,Assumptions!CC$3:CC$103)</f>
        <v>0</v>
      </c>
      <c r="AG16" s="40" t="e">
        <f ca="1">SUMIFS(Assumptions!CD$3:CD$103,Assumptions!$G$3:$G$103,'non-road'!$F16,Assumptions!$B$3:$B$103,'non-road'!$D16)/SUMIF(Assumptions!$G$3:$G$103,'non-road'!$F16,Assumptions!CD$3:CD$103)</f>
        <v>#DIV/0!</v>
      </c>
      <c r="AH16" s="40">
        <f ca="1">SUMIFS(Assumptions!CE$3:CE$103,Assumptions!$G$3:$G$103,'non-road'!$F16,Assumptions!$B$3:$B$103,'non-road'!$D16)/SUMIF(Assumptions!$G$3:$G$103,'non-road'!$F16,Assumptions!CE$3:CE$103)</f>
        <v>0</v>
      </c>
      <c r="AI16" s="40">
        <f ca="1">SUMIFS(Assumptions!CF$3:CF$103,Assumptions!$G$3:$G$103,'non-road'!$F16,Assumptions!$B$3:$B$103,'non-road'!$D16)/SUMIF(Assumptions!$G$3:$G$103,'non-road'!$F16,Assumptions!CF$3:CF$103)</f>
        <v>0</v>
      </c>
      <c r="AJ16" s="40">
        <f ca="1">SUMIFS(Assumptions!CG$3:CG$103,Assumptions!$G$3:$G$103,'non-road'!$F16,Assumptions!$B$3:$B$103,'non-road'!$D16)/SUMIF(Assumptions!$G$3:$G$103,'non-road'!$F16,Assumptions!CG$3:CG$103)</f>
        <v>0</v>
      </c>
      <c r="AK16" s="40">
        <f ca="1">SUMIFS(Assumptions!CH$3:CH$103,Assumptions!$G$3:$G$103,'non-road'!$F16,Assumptions!$B$3:$B$103,'non-road'!$D16)/SUMIF(Assumptions!$G$3:$G$103,'non-road'!$F16,Assumptions!CH$3:CH$103)</f>
        <v>0.000118145224368868</v>
      </c>
      <c r="AL16" s="40">
        <f ca="1">SUMIFS(Assumptions!CI$3:CI$103,Assumptions!$G$3:$G$103,'non-road'!$F16,Assumptions!$B$3:$B$103,'non-road'!$D16)/SUMIF(Assumptions!$G$3:$G$103,'non-road'!$F16,Assumptions!CI$3:CI$103)</f>
        <v>0</v>
      </c>
      <c r="AM16" s="40">
        <f ca="1">SUMIFS(Assumptions!CJ$3:CJ$103,Assumptions!$G$3:$G$103,'non-road'!$F16,Assumptions!$B$3:$B$103,'non-road'!$D16)/SUMIF(Assumptions!$G$3:$G$103,'non-road'!$F16,Assumptions!CJ$3:CJ$103)</f>
        <v>0</v>
      </c>
      <c r="AN16" s="40">
        <f ca="1">SUMIFS(Assumptions!CK$3:CK$103,Assumptions!$G$3:$G$103,'non-road'!$F16,Assumptions!$B$3:$B$103,'non-road'!$D16)/SUMIF(Assumptions!$G$3:$G$103,'non-road'!$F16,Assumptions!CK$3:CK$103)</f>
        <v>0</v>
      </c>
      <c r="AO16" s="40">
        <f ca="1">SUMIFS(Assumptions!CL$3:CL$103,Assumptions!$G$3:$G$103,'non-road'!$F16,Assumptions!$B$3:$B$103,'non-road'!$D16)/SUMIF(Assumptions!$G$3:$G$103,'non-road'!$F16,Assumptions!CL$3:CL$103)</f>
        <v>0</v>
      </c>
      <c r="AP16" s="40" t="e">
        <f ca="1">SUMIFS(Assumptions!CM$3:CM$103,Assumptions!$G$3:$G$103,'non-road'!$F16,Assumptions!$B$3:$B$103,'non-road'!$D16)/SUMIF(Assumptions!$G$3:$G$103,'non-road'!$F16,Assumptions!CM$3:CM$103)</f>
        <v>#DIV/0!</v>
      </c>
      <c r="AQ16" s="40" t="e">
        <f ca="1">SUMIFS(Assumptions!CN$3:CN$103,Assumptions!$G$3:$G$103,'non-road'!$F16,Assumptions!$B$3:$B$103,'non-road'!$D16)/SUMIF(Assumptions!$G$3:$G$103,'non-road'!$F16,Assumptions!CN$3:CN$103)</f>
        <v>#DIV/0!</v>
      </c>
      <c r="AR16" s="40" t="e">
        <f ca="1">SUMIFS(Assumptions!CO$3:CO$103,Assumptions!$G$3:$G$103,'non-road'!$F16,Assumptions!$B$3:$B$103,'non-road'!$D16)/SUMIF(Assumptions!$G$3:$G$103,'non-road'!$F16,Assumptions!CO$3:CO$103)</f>
        <v>#DIV/0!</v>
      </c>
      <c r="AS16" s="40" t="e">
        <f ca="1">SUMIFS(Assumptions!CP$3:CP$103,Assumptions!$G$3:$G$103,'non-road'!$F16,Assumptions!$B$3:$B$103,'non-road'!$D16)/SUMIF(Assumptions!$G$3:$G$103,'non-road'!$F16,Assumptions!CP$3:CP$103)</f>
        <v>#DIV/0!</v>
      </c>
      <c r="AT16" s="40" t="e">
        <f ca="1">SUMIFS(Assumptions!CQ$3:CQ$103,Assumptions!$G$3:$G$103,'non-road'!$F16,Assumptions!$B$3:$B$103,'non-road'!$D16)/SUMIF(Assumptions!$G$3:$G$103,'non-road'!$F16,Assumptions!CQ$3:CQ$103)</f>
        <v>#DIV/0!</v>
      </c>
      <c r="AU16" s="40" t="e">
        <f ca="1">SUMIFS(Assumptions!CR$3:CR$103,Assumptions!$G$3:$G$103,'non-road'!$F16,Assumptions!$B$3:$B$103,'non-road'!$D16)/SUMIF(Assumptions!$G$3:$G$103,'non-road'!$F16,Assumptions!CR$3:CR$103)</f>
        <v>#DIV/0!</v>
      </c>
      <c r="AV16" s="40" t="e">
        <f ca="1">SUMIFS(Assumptions!CS$3:CS$103,Assumptions!$G$3:$G$103,'non-road'!$F16,Assumptions!$B$3:$B$103,'non-road'!$D16)/SUMIF(Assumptions!$G$3:$G$103,'non-road'!$F16,Assumptions!CS$3:CS$103)</f>
        <v>#DIV/0!</v>
      </c>
      <c r="AW16" s="40" t="e">
        <f ca="1">SUMIFS(Assumptions!CT$3:CT$103,Assumptions!$G$3:$G$103,'non-road'!$F16,Assumptions!$B$3:$B$103,'non-road'!$D16)/SUMIF(Assumptions!$G$3:$G$103,'non-road'!$F16,Assumptions!CT$3:CT$103)</f>
        <v>#DIV/0!</v>
      </c>
      <c r="AX16" s="40" t="e">
        <f ca="1">SUMIFS(Assumptions!CU$3:CU$103,Assumptions!$G$3:$G$103,'non-road'!$F16,Assumptions!$B$3:$B$103,'non-road'!$D16)/SUMIF(Assumptions!$G$3:$G$103,'non-road'!$F16,Assumptions!CU$3:CU$103)</f>
        <v>#DIV/0!</v>
      </c>
      <c r="AY16" s="40" t="e">
        <f ca="1">SUMIFS(Assumptions!CV$3:CV$103,Assumptions!$G$3:$G$103,'non-road'!$F16,Assumptions!$B$3:$B$103,'non-road'!$D16)/SUMIF(Assumptions!$G$3:$G$103,'non-road'!$F16,Assumptions!CV$3:CV$103)</f>
        <v>#DIV/0!</v>
      </c>
      <c r="AZ16" s="40" t="e">
        <f ca="1">SUMIFS(Assumptions!CW$3:CW$103,Assumptions!$G$3:$G$103,'non-road'!$F16,Assumptions!$B$3:$B$103,'non-road'!$D16)/SUMIF(Assumptions!$G$3:$G$103,'non-road'!$F16,Assumptions!CW$3:CW$103)</f>
        <v>#DIV/0!</v>
      </c>
      <c r="BA16" s="41"/>
      <c r="BB16" s="40"/>
      <c r="BC16" s="40"/>
      <c r="BD16" s="39" t="str">
        <f t="shared" si="55"/>
        <v>\I:</v>
      </c>
      <c r="BE16" s="40">
        <f>VLOOKUP($F16,Assumptions!$E$152:$BC$157,COLUMN()-COLUMN($BC$4),FALSE)</f>
        <v>1</v>
      </c>
      <c r="BF16" s="40">
        <f>VLOOKUP($F16,Assumptions!$E$152:$BC$157,COLUMN()-COLUMN($BC$4),FALSE)</f>
        <v>1</v>
      </c>
      <c r="BG16" s="40">
        <f>VLOOKUP($F16,Assumptions!$E$152:$BC$157,COLUMN()-COLUMN($BC$4),FALSE)</f>
        <v>1</v>
      </c>
      <c r="BH16" s="40">
        <f>VLOOKUP($F16,Assumptions!$E$152:$BC$157,COLUMN()-COLUMN($BC$4),FALSE)</f>
        <v>1</v>
      </c>
      <c r="BI16" s="40">
        <f>VLOOKUP($F16,Assumptions!$E$152:$BC$157,COLUMN()-COLUMN($BC$4),FALSE)</f>
        <v>1</v>
      </c>
      <c r="BJ16" s="40">
        <f>VLOOKUP($F16,Assumptions!$E$152:$BC$157,COLUMN()-COLUMN($BC$4),FALSE)</f>
        <v>1</v>
      </c>
      <c r="BK16" s="40">
        <f>VLOOKUP($F16,Assumptions!$E$152:$BC$157,COLUMN()-COLUMN($BC$4),FALSE)</f>
        <v>1</v>
      </c>
      <c r="BL16" s="40">
        <f>VLOOKUP($F16,Assumptions!$E$152:$BC$157,COLUMN()-COLUMN($BC$4),FALSE)</f>
        <v>1</v>
      </c>
      <c r="BM16" s="40">
        <f>VLOOKUP($F16,Assumptions!$E$152:$BC$157,COLUMN()-COLUMN($BC$4),FALSE)</f>
        <v>1</v>
      </c>
      <c r="BN16" s="40">
        <f>VLOOKUP($F16,Assumptions!$E$152:$BC$157,COLUMN()-COLUMN($BC$4),FALSE)</f>
        <v>1</v>
      </c>
      <c r="BO16" s="40">
        <f>VLOOKUP($F16,Assumptions!$E$152:$BC$157,COLUMN()-COLUMN($BC$4),FALSE)</f>
        <v>1</v>
      </c>
      <c r="BP16" s="40">
        <f>VLOOKUP($F16,Assumptions!$E$152:$BC$157,COLUMN()-COLUMN($BC$4),FALSE)</f>
        <v>1</v>
      </c>
      <c r="BQ16" s="40">
        <f>VLOOKUP($F16,Assumptions!$E$152:$BC$157,COLUMN()-COLUMN($BC$4),FALSE)</f>
        <v>1</v>
      </c>
      <c r="BR16" s="40">
        <f>VLOOKUP($F16,Assumptions!$E$152:$BC$157,COLUMN()-COLUMN($BC$4),FALSE)</f>
        <v>1</v>
      </c>
      <c r="BS16" s="40">
        <f>VLOOKUP($F16,Assumptions!$E$152:$BC$157,COLUMN()-COLUMN($BC$4),FALSE)</f>
        <v>1</v>
      </c>
      <c r="BT16" s="40">
        <f>VLOOKUP($F16,Assumptions!$E$152:$BC$157,COLUMN()-COLUMN($BC$4),FALSE)</f>
        <v>1</v>
      </c>
      <c r="BU16" s="40">
        <f>VLOOKUP($F16,Assumptions!$E$152:$BC$157,COLUMN()-COLUMN($BC$4),FALSE)</f>
        <v>1</v>
      </c>
      <c r="BV16" s="40">
        <f>VLOOKUP($F16,Assumptions!$E$152:$BC$157,COLUMN()-COLUMN($BC$4),FALSE)</f>
        <v>1</v>
      </c>
      <c r="BW16" s="40">
        <f>VLOOKUP($F16,Assumptions!$E$152:$BC$157,COLUMN()-COLUMN($BC$4),FALSE)</f>
        <v>1</v>
      </c>
      <c r="BX16" s="40">
        <f>VLOOKUP($F16,Assumptions!$E$152:$BC$157,COLUMN()-COLUMN($BC$4),FALSE)</f>
        <v>1</v>
      </c>
      <c r="BY16" s="40">
        <f>VLOOKUP($F16,Assumptions!$E$152:$BC$157,COLUMN()-COLUMN($BC$4),FALSE)</f>
        <v>1</v>
      </c>
      <c r="BZ16" s="40">
        <f>VLOOKUP($F16,Assumptions!$E$152:$BC$157,COLUMN()-COLUMN($BC$4),FALSE)</f>
        <v>1</v>
      </c>
      <c r="CA16" s="40">
        <f>VLOOKUP($F16,Assumptions!$E$152:$BC$157,COLUMN()-COLUMN($BC$4),FALSE)</f>
        <v>1</v>
      </c>
      <c r="CB16" s="40">
        <f>VLOOKUP($F16,Assumptions!$E$152:$BC$157,COLUMN()-COLUMN($BC$4),FALSE)</f>
        <v>1</v>
      </c>
      <c r="CC16" s="40">
        <f>VLOOKUP($F16,Assumptions!$E$152:$BC$157,COLUMN()-COLUMN($BC$4),FALSE)</f>
        <v>1</v>
      </c>
      <c r="CD16" s="40">
        <f>VLOOKUP($F16,Assumptions!$E$152:$BC$157,COLUMN()-COLUMN($BC$4),FALSE)</f>
        <v>1</v>
      </c>
      <c r="CE16" s="40">
        <f>VLOOKUP($F16,Assumptions!$E$152:$BC$157,COLUMN()-COLUMN($BC$4),FALSE)</f>
        <v>1</v>
      </c>
      <c r="CF16" s="40">
        <f>VLOOKUP($F16,Assumptions!$E$152:$BC$157,COLUMN()-COLUMN($BC$4),FALSE)</f>
        <v>1</v>
      </c>
      <c r="CG16" s="40">
        <f>VLOOKUP($F16,Assumptions!$E$152:$BC$157,COLUMN()-COLUMN($BC$4),FALSE)</f>
        <v>1</v>
      </c>
      <c r="CH16" s="40">
        <f>VLOOKUP($F16,Assumptions!$E$152:$BC$157,COLUMN()-COLUMN($BC$4),FALSE)</f>
        <v>1</v>
      </c>
      <c r="CI16" s="40">
        <f>VLOOKUP($F16,Assumptions!$E$152:$BC$157,COLUMN()-COLUMN($BC$4),FALSE)</f>
        <v>1</v>
      </c>
      <c r="CJ16" s="40">
        <f>VLOOKUP($F16,Assumptions!$E$152:$BC$157,COLUMN()-COLUMN($BC$4),FALSE)</f>
        <v>1</v>
      </c>
      <c r="CK16" s="40">
        <f>VLOOKUP($F16,Assumptions!$E$152:$BC$157,COLUMN()-COLUMN($BC$4),FALSE)</f>
        <v>1</v>
      </c>
      <c r="CL16" s="40">
        <f>VLOOKUP($F16,Assumptions!$E$152:$BC$157,COLUMN()-COLUMN($BC$4),FALSE)</f>
        <v>1</v>
      </c>
      <c r="CM16" s="40">
        <f>VLOOKUP($F16,Assumptions!$E$152:$BC$157,COLUMN()-COLUMN($BC$4),FALSE)</f>
        <v>1</v>
      </c>
      <c r="CN16" s="40">
        <f>VLOOKUP($F16,Assumptions!$E$152:$BC$157,COLUMN()-COLUMN($BC$4),FALSE)</f>
        <v>1</v>
      </c>
      <c r="CO16" s="40">
        <f>VLOOKUP($F16,Assumptions!$E$152:$BC$157,COLUMN()-COLUMN($BC$4),FALSE)</f>
        <v>1</v>
      </c>
      <c r="CP16" s="40">
        <f>VLOOKUP($F16,Assumptions!$E$152:$BC$157,COLUMN()-COLUMN($BC$4),FALSE)</f>
        <v>1</v>
      </c>
      <c r="CQ16" s="40">
        <f>VLOOKUP($F16,Assumptions!$E$152:$BC$157,COLUMN()-COLUMN($BC$4),FALSE)</f>
        <v>1</v>
      </c>
      <c r="CR16" s="40">
        <f>VLOOKUP($F16,Assumptions!$E$152:$BC$157,COLUMN()-COLUMN($BC$4),FALSE)</f>
        <v>1</v>
      </c>
      <c r="CS16" s="40">
        <f>VLOOKUP($F16,Assumptions!$E$152:$BC$157,COLUMN()-COLUMN($BC$4),FALSE)</f>
        <v>1</v>
      </c>
      <c r="CT16" s="40">
        <f>VLOOKUP($F16,Assumptions!$E$152:$BC$157,COLUMN()-COLUMN($BC$4),FALSE)</f>
        <v>1</v>
      </c>
      <c r="CU16" s="40">
        <f>VLOOKUP($F16,Assumptions!$E$152:$BC$157,COLUMN()-COLUMN($BC$4),FALSE)</f>
        <v>1</v>
      </c>
      <c r="CV16" s="40">
        <f>VLOOKUP($F16,Assumptions!$E$152:$BC$157,COLUMN()-COLUMN($BC$4),FALSE)</f>
        <v>1</v>
      </c>
      <c r="CW16" s="40">
        <f>VLOOKUP($F16,Assumptions!$E$152:$BC$157,COLUMN()-COLUMN($BC$4),FALSE)</f>
        <v>1</v>
      </c>
      <c r="CX16" s="40">
        <f>VLOOKUP($F16,Assumptions!$E$152:$BC$157,COLUMN()-COLUMN($BC$4),FALSE)</f>
        <v>1</v>
      </c>
      <c r="CY16" s="39"/>
      <c r="CZ16" s="39"/>
      <c r="DA16" s="39" t="str">
        <f t="shared" si="56"/>
        <v>TWD</v>
      </c>
      <c r="DB16" s="40">
        <f t="shared" ref="DB16" si="64">IFERROR(DB7/DB$20,"")</f>
        <v>0.00596206091937963</v>
      </c>
      <c r="DC16" s="40">
        <f t="shared" ref="DC16:EU16" si="65">IFERROR(DC7/DC$20,"")</f>
        <v>0.00843393606172226</v>
      </c>
      <c r="DD16" s="40">
        <f t="shared" si="65"/>
        <v>0.030246121153888</v>
      </c>
      <c r="DE16" s="40">
        <f t="shared" si="65"/>
        <v>0.0032425514077984</v>
      </c>
      <c r="DF16" s="40">
        <f t="shared" si="65"/>
        <v>0.00365301398050005</v>
      </c>
      <c r="DG16" s="40">
        <f t="shared" si="65"/>
        <v>0.0147778764847369</v>
      </c>
      <c r="DH16" s="40">
        <f t="shared" si="65"/>
        <v>0.0199313501086633</v>
      </c>
      <c r="DI16" s="40">
        <f t="shared" si="65"/>
        <v>0.0477746888855455</v>
      </c>
      <c r="DJ16" s="40">
        <f t="shared" si="65"/>
        <v>0.0152196831550375</v>
      </c>
      <c r="DK16" s="40">
        <f t="shared" si="65"/>
        <v>0.000464594227233168</v>
      </c>
      <c r="DL16" s="40">
        <f t="shared" si="65"/>
        <v>0.00937358154112785</v>
      </c>
      <c r="DM16" s="40">
        <f t="shared" si="65"/>
        <v>0.00349400483439326</v>
      </c>
      <c r="DN16" s="40">
        <f t="shared" si="65"/>
        <v>0.0997813428951676</v>
      </c>
      <c r="DO16" s="40">
        <f t="shared" si="65"/>
        <v>0.00305097634032564</v>
      </c>
      <c r="DP16" s="40">
        <f t="shared" si="65"/>
        <v>0.0440435880006805</v>
      </c>
      <c r="DQ16" s="40">
        <f t="shared" si="65"/>
        <v>0.00771143004974815</v>
      </c>
      <c r="DR16" s="40">
        <f t="shared" si="65"/>
        <v>0.0121576241421682</v>
      </c>
      <c r="DS16" s="40">
        <f t="shared" si="65"/>
        <v>0.0148554184195302</v>
      </c>
      <c r="DT16" s="40">
        <f t="shared" si="65"/>
        <v>0.029778418708953</v>
      </c>
      <c r="DU16" s="40">
        <f t="shared" si="65"/>
        <v>0.0140982525710102</v>
      </c>
      <c r="DV16" s="40">
        <f t="shared" si="65"/>
        <v>0</v>
      </c>
      <c r="DW16" s="40">
        <f t="shared" si="65"/>
        <v>0.0222183041847735</v>
      </c>
      <c r="DX16" s="40">
        <f t="shared" si="65"/>
        <v>0.158231979502558</v>
      </c>
      <c r="DY16" s="40">
        <f t="shared" si="65"/>
        <v>8.47570907952302e-5</v>
      </c>
      <c r="DZ16" s="40">
        <f t="shared" si="65"/>
        <v>0.02011618955763</v>
      </c>
      <c r="EA16" s="40">
        <f t="shared" si="65"/>
        <v>0.0104154895798955</v>
      </c>
      <c r="EB16" s="40">
        <f t="shared" si="65"/>
        <v>0</v>
      </c>
      <c r="EC16" s="40">
        <f t="shared" si="65"/>
        <v>0.0176653614158885</v>
      </c>
      <c r="ED16" s="40">
        <f t="shared" si="65"/>
        <v>0.0282063684516842</v>
      </c>
      <c r="EE16" s="40">
        <f t="shared" si="65"/>
        <v>0.0200777187470091</v>
      </c>
      <c r="EF16" s="40">
        <f t="shared" si="65"/>
        <v>0.00377024314750842</v>
      </c>
      <c r="EG16" s="40">
        <f t="shared" si="65"/>
        <v>0.0105191911330394</v>
      </c>
      <c r="EH16" s="40">
        <f t="shared" si="65"/>
        <v>0.0157290104550454</v>
      </c>
      <c r="EI16" s="40">
        <f t="shared" si="65"/>
        <v>0.0146101349655705</v>
      </c>
      <c r="EJ16" s="40">
        <f t="shared" si="65"/>
        <v>0.00963511016380368</v>
      </c>
      <c r="EK16" s="40">
        <f t="shared" si="65"/>
        <v>0</v>
      </c>
      <c r="EL16" s="40">
        <f t="shared" si="65"/>
        <v>0</v>
      </c>
      <c r="EM16" s="40">
        <f t="shared" si="65"/>
        <v>0</v>
      </c>
      <c r="EN16" s="40">
        <f t="shared" si="65"/>
        <v>0</v>
      </c>
      <c r="EO16" s="40">
        <f t="shared" si="65"/>
        <v>0</v>
      </c>
      <c r="EP16" s="40">
        <f t="shared" si="65"/>
        <v>0</v>
      </c>
      <c r="EQ16" s="40">
        <f t="shared" si="65"/>
        <v>0</v>
      </c>
      <c r="ER16" s="40">
        <f t="shared" si="65"/>
        <v>0</v>
      </c>
      <c r="ES16" s="40">
        <f t="shared" si="65"/>
        <v>0</v>
      </c>
      <c r="ET16" s="40">
        <f t="shared" si="65"/>
        <v>0</v>
      </c>
      <c r="EU16" s="40" t="str">
        <f t="shared" si="65"/>
        <v/>
      </c>
      <c r="EV16" s="39"/>
      <c r="EW16" s="39" t="str">
        <f t="shared" si="48"/>
        <v>\I:</v>
      </c>
      <c r="EX16" s="39" t="str">
        <f t="shared" si="51"/>
        <v/>
      </c>
      <c r="EY16" s="39" t="s">
        <v>133</v>
      </c>
      <c r="EZ16" s="39" t="s">
        <v>85</v>
      </c>
      <c r="FA16" s="39" t="s">
        <v>440</v>
      </c>
      <c r="FB16" s="39"/>
      <c r="FC16" s="39"/>
      <c r="FD16" s="39"/>
    </row>
    <row r="17" spans="1:157">
      <c r="A17" s="39" t="s">
        <v>445</v>
      </c>
      <c r="B17" s="39"/>
      <c r="C17" s="39" t="str">
        <f t="shared" si="54"/>
        <v/>
      </c>
      <c r="D17" s="39" t="s">
        <v>64</v>
      </c>
      <c r="E17" s="39"/>
      <c r="F17" s="39" t="s">
        <v>198</v>
      </c>
      <c r="G17" s="40">
        <f ca="1">SUMIFS(Assumptions!BD$3:BD$103,Assumptions!$G$3:$G$103,'non-road'!$F17,Assumptions!$B$3:$B$103,'non-road'!$D17)/SUMIF(Assumptions!$G$3:$G$103,'non-road'!$F17,Assumptions!BD$3:BD$103)</f>
        <v>0.724517194150145</v>
      </c>
      <c r="H17" s="40">
        <f ca="1">SUMIFS(Assumptions!BE$3:BE$103,Assumptions!$G$3:$G$103,'non-road'!$F17,Assumptions!$B$3:$B$103,'non-road'!$D17)/SUMIF(Assumptions!$G$3:$G$103,'non-road'!$F17,Assumptions!BE$3:BE$103)</f>
        <v>0.0271941935356368</v>
      </c>
      <c r="I17" s="40">
        <f ca="1">SUMIFS(Assumptions!BF$3:BF$103,Assumptions!$G$3:$G$103,'non-road'!$F17,Assumptions!$B$3:$B$103,'non-road'!$D17)/SUMIF(Assumptions!$G$3:$G$103,'non-road'!$F17,Assumptions!BF$3:BF$103)</f>
        <v>0.363080690673695</v>
      </c>
      <c r="J17" s="40">
        <f ca="1">SUMIFS(Assumptions!BG$3:BG$103,Assumptions!$G$3:$G$103,'non-road'!$F17,Assumptions!$B$3:$B$103,'non-road'!$D17)/SUMIF(Assumptions!$G$3:$G$103,'non-road'!$F17,Assumptions!BG$3:BG$103)</f>
        <v>0.980748165124974</v>
      </c>
      <c r="K17" s="40">
        <f ca="1">SUMIFS(Assumptions!BH$3:BH$103,Assumptions!$G$3:$G$103,'non-road'!$F17,Assumptions!$B$3:$B$103,'non-road'!$D17)/SUMIF(Assumptions!$G$3:$G$103,'non-road'!$F17,Assumptions!BH$3:BH$103)</f>
        <v>0.365147257604056</v>
      </c>
      <c r="L17" s="40">
        <f ca="1">SUMIFS(Assumptions!BI$3:BI$103,Assumptions!$G$3:$G$103,'non-road'!$F17,Assumptions!$B$3:$B$103,'non-road'!$D17)/SUMIF(Assumptions!$G$3:$G$103,'non-road'!$F17,Assumptions!BI$3:BI$103)</f>
        <v>0.98408848404469</v>
      </c>
      <c r="M17" s="40">
        <f ca="1">SUMIFS(Assumptions!BJ$3:BJ$103,Assumptions!$G$3:$G$103,'non-road'!$F17,Assumptions!$B$3:$B$103,'non-road'!$D17)/SUMIF(Assumptions!$G$3:$G$103,'non-road'!$F17,Assumptions!BJ$3:BJ$103)</f>
        <v>0.459998064307043</v>
      </c>
      <c r="N17" s="40">
        <f ca="1">SUMIFS(Assumptions!BK$3:BK$103,Assumptions!$G$3:$G$103,'non-road'!$F17,Assumptions!$B$3:$B$103,'non-road'!$D17)/SUMIF(Assumptions!$G$3:$G$103,'non-road'!$F17,Assumptions!BK$3:BK$103)</f>
        <v>0.860201170555059</v>
      </c>
      <c r="O17" s="40">
        <f ca="1">SUMIFS(Assumptions!BL$3:BL$103,Assumptions!$G$3:$G$103,'non-road'!$F17,Assumptions!$B$3:$B$103,'non-road'!$D17)/SUMIF(Assumptions!$G$3:$G$103,'non-road'!$F17,Assumptions!BL$3:BL$103)</f>
        <v>0.941552737923342</v>
      </c>
      <c r="P17" s="40">
        <f ca="1">SUMIFS(Assumptions!BM$3:BM$103,Assumptions!$G$3:$G$103,'non-road'!$F17,Assumptions!$B$3:$B$103,'non-road'!$D17)/SUMIF(Assumptions!$G$3:$G$103,'non-road'!$F17,Assumptions!BM$3:BM$103)</f>
        <v>0.95066822473969</v>
      </c>
      <c r="Q17" s="40">
        <f ca="1">SUMIFS(Assumptions!BN$3:BN$103,Assumptions!$G$3:$G$103,'non-road'!$F17,Assumptions!$B$3:$B$103,'non-road'!$D17)/SUMIF(Assumptions!$G$3:$G$103,'non-road'!$F17,Assumptions!BN$3:BN$103)</f>
        <v>0.983058608917671</v>
      </c>
      <c r="R17" s="40">
        <f ca="1">SUMIFS(Assumptions!BO$3:BO$103,Assumptions!$G$3:$G$103,'non-road'!$F17,Assumptions!$B$3:$B$103,'non-road'!$D17)/SUMIF(Assumptions!$G$3:$G$103,'non-road'!$F17,Assumptions!BO$3:BO$103)</f>
        <v>0.972833158974082</v>
      </c>
      <c r="S17" s="40">
        <f ca="1">SUMIFS(Assumptions!BP$3:BP$103,Assumptions!$G$3:$G$103,'non-road'!$F17,Assumptions!$B$3:$B$103,'non-road'!$D17)/SUMIF(Assumptions!$G$3:$G$103,'non-road'!$F17,Assumptions!BP$3:BP$103)</f>
        <v>0.936602256747623</v>
      </c>
      <c r="T17" s="40">
        <f ca="1">SUMIFS(Assumptions!BQ$3:BQ$103,Assumptions!$G$3:$G$103,'non-road'!$F17,Assumptions!$B$3:$B$103,'non-road'!$D17)/SUMIF(Assumptions!$G$3:$G$103,'non-road'!$F17,Assumptions!BQ$3:BQ$103)</f>
        <v>0.914491421392057</v>
      </c>
      <c r="U17" s="40" t="e">
        <f ca="1">SUMIFS(Assumptions!BR$3:BR$103,Assumptions!$G$3:$G$103,'non-road'!$F17,Assumptions!$B$3:$B$103,'non-road'!$D17)/SUMIF(Assumptions!$G$3:$G$103,'non-road'!$F17,Assumptions!BR$3:BR$103)</f>
        <v>#DIV/0!</v>
      </c>
      <c r="V17" s="40">
        <f ca="1">SUMIFS(Assumptions!BS$3:BS$103,Assumptions!$G$3:$G$103,'non-road'!$F17,Assumptions!$B$3:$B$103,'non-road'!$D17)/SUMIF(Assumptions!$G$3:$G$103,'non-road'!$F17,Assumptions!BS$3:BS$103)</f>
        <v>0.467427163787945</v>
      </c>
      <c r="W17" s="40">
        <f ca="1">SUMIFS(Assumptions!BT$3:BT$103,Assumptions!$G$3:$G$103,'non-road'!$F17,Assumptions!$B$3:$B$103,'non-road'!$D17)/SUMIF(Assumptions!$G$3:$G$103,'non-road'!$F17,Assumptions!BT$3:BT$103)</f>
        <v>0.532318801288429</v>
      </c>
      <c r="X17" s="40">
        <f ca="1">SUMIFS(Assumptions!BU$3:BU$103,Assumptions!$G$3:$G$103,'non-road'!$F17,Assumptions!$B$3:$B$103,'non-road'!$D17)/SUMIF(Assumptions!$G$3:$G$103,'non-road'!$F17,Assumptions!BU$3:BU$103)</f>
        <v>0.990914882114907</v>
      </c>
      <c r="Y17" s="40">
        <f ca="1">SUMIFS(Assumptions!BV$3:BV$103,Assumptions!$G$3:$G$103,'non-road'!$F17,Assumptions!$B$3:$B$103,'non-road'!$D17)/SUMIF(Assumptions!$G$3:$G$103,'non-road'!$F17,Assumptions!BV$3:BV$103)</f>
        <v>0.92961418258109</v>
      </c>
      <c r="Z17" s="40">
        <f ca="1">SUMIFS(Assumptions!BW$3:BW$103,Assumptions!$G$3:$G$103,'non-road'!$F17,Assumptions!$B$3:$B$103,'non-road'!$D17)/SUMIF(Assumptions!$G$3:$G$103,'non-road'!$F17,Assumptions!BW$3:BW$103)</f>
        <v>0.926775078503987</v>
      </c>
      <c r="AA17" s="40">
        <f ca="1">SUMIFS(Assumptions!BX$3:BX$103,Assumptions!$G$3:$G$103,'non-road'!$F17,Assumptions!$B$3:$B$103,'non-road'!$D17)/SUMIF(Assumptions!$G$3:$G$103,'non-road'!$F17,Assumptions!BX$3:BX$103)</f>
        <v>0</v>
      </c>
      <c r="AB17" s="40">
        <f ca="1">SUMIFS(Assumptions!BY$3:BY$103,Assumptions!$G$3:$G$103,'non-road'!$F17,Assumptions!$B$3:$B$103,'non-road'!$D17)/SUMIF(Assumptions!$G$3:$G$103,'non-road'!$F17,Assumptions!BY$3:BY$103)</f>
        <v>0.522030901091931</v>
      </c>
      <c r="AC17" s="40">
        <f ca="1">SUMIFS(Assumptions!BZ$3:BZ$103,Assumptions!$G$3:$G$103,'non-road'!$F17,Assumptions!$B$3:$B$103,'non-road'!$D17)/SUMIF(Assumptions!$G$3:$G$103,'non-road'!$F17,Assumptions!BZ$3:BZ$103)</f>
        <v>0.973758644818839</v>
      </c>
      <c r="AD17" s="40">
        <f ca="1">SUMIFS(Assumptions!CA$3:CA$103,Assumptions!$G$3:$G$103,'non-road'!$F17,Assumptions!$B$3:$B$103,'non-road'!$D17)/SUMIF(Assumptions!$G$3:$G$103,'non-road'!$F17,Assumptions!CA$3:CA$103)</f>
        <v>0.966055910674953</v>
      </c>
      <c r="AE17" s="40">
        <f ca="1">SUMIFS(Assumptions!CB$3:CB$103,Assumptions!$G$3:$G$103,'non-road'!$F17,Assumptions!$B$3:$B$103,'non-road'!$D17)/SUMIF(Assumptions!$G$3:$G$103,'non-road'!$F17,Assumptions!CB$3:CB$103)</f>
        <v>0.752756608533033</v>
      </c>
      <c r="AF17" s="40">
        <f ca="1">SUMIFS(Assumptions!CC$3:CC$103,Assumptions!$G$3:$G$103,'non-road'!$F17,Assumptions!$B$3:$B$103,'non-road'!$D17)/SUMIF(Assumptions!$G$3:$G$103,'non-road'!$F17,Assumptions!CC$3:CC$103)</f>
        <v>0.896251380199747</v>
      </c>
      <c r="AG17" s="40" t="e">
        <f ca="1">SUMIFS(Assumptions!CD$3:CD$103,Assumptions!$G$3:$G$103,'non-road'!$F17,Assumptions!$B$3:$B$103,'non-road'!$D17)/SUMIF(Assumptions!$G$3:$G$103,'non-road'!$F17,Assumptions!CD$3:CD$103)</f>
        <v>#DIV/0!</v>
      </c>
      <c r="AH17" s="40">
        <f ca="1">SUMIFS(Assumptions!CE$3:CE$103,Assumptions!$G$3:$G$103,'non-road'!$F17,Assumptions!$B$3:$B$103,'non-road'!$D17)/SUMIF(Assumptions!$G$3:$G$103,'non-road'!$F17,Assumptions!CE$3:CE$103)</f>
        <v>0.678113529562586</v>
      </c>
      <c r="AI17" s="40">
        <f ca="1">SUMIFS(Assumptions!CF$3:CF$103,Assumptions!$G$3:$G$103,'non-road'!$F17,Assumptions!$B$3:$B$103,'non-road'!$D17)/SUMIF(Assumptions!$G$3:$G$103,'non-road'!$F17,Assumptions!CF$3:CF$103)</f>
        <v>0.973556201162987</v>
      </c>
      <c r="AJ17" s="40">
        <f ca="1">SUMIFS(Assumptions!CG$3:CG$103,Assumptions!$G$3:$G$103,'non-road'!$F17,Assumptions!$B$3:$B$103,'non-road'!$D17)/SUMIF(Assumptions!$G$3:$G$103,'non-road'!$F17,Assumptions!CG$3:CG$103)</f>
        <v>0.966788705093069</v>
      </c>
      <c r="AK17" s="40">
        <f ca="1">SUMIFS(Assumptions!CH$3:CH$103,Assumptions!$G$3:$G$103,'non-road'!$F17,Assumptions!$B$3:$B$103,'non-road'!$D17)/SUMIF(Assumptions!$G$3:$G$103,'non-road'!$F17,Assumptions!CH$3:CH$103)</f>
        <v>0.996429050116206</v>
      </c>
      <c r="AL17" s="40">
        <f ca="1">SUMIFS(Assumptions!CI$3:CI$103,Assumptions!$G$3:$G$103,'non-road'!$F17,Assumptions!$B$3:$B$103,'non-road'!$D17)/SUMIF(Assumptions!$G$3:$G$103,'non-road'!$F17,Assumptions!CI$3:CI$103)</f>
        <v>0.741175108132762</v>
      </c>
      <c r="AM17" s="40">
        <f ca="1">SUMIFS(Assumptions!CJ$3:CJ$103,Assumptions!$G$3:$G$103,'non-road'!$F17,Assumptions!$B$3:$B$103,'non-road'!$D17)/SUMIF(Assumptions!$G$3:$G$103,'non-road'!$F17,Assumptions!CJ$3:CJ$103)</f>
        <v>0.882779152990044</v>
      </c>
      <c r="AN17" s="40">
        <f ca="1">SUMIFS(Assumptions!CK$3:CK$103,Assumptions!$G$3:$G$103,'non-road'!$F17,Assumptions!$B$3:$B$103,'non-road'!$D17)/SUMIF(Assumptions!$G$3:$G$103,'non-road'!$F17,Assumptions!CK$3:CK$103)</f>
        <v>0.988356205829323</v>
      </c>
      <c r="AO17" s="40">
        <f ca="1">SUMIFS(Assumptions!CL$3:CL$103,Assumptions!$G$3:$G$103,'non-road'!$F17,Assumptions!$B$3:$B$103,'non-road'!$D17)/SUMIF(Assumptions!$G$3:$G$103,'non-road'!$F17,Assumptions!CL$3:CL$103)</f>
        <v>0.950941962263814</v>
      </c>
      <c r="AP17" s="40" t="e">
        <f ca="1">SUMIFS(Assumptions!CM$3:CM$103,Assumptions!$G$3:$G$103,'non-road'!$F17,Assumptions!$B$3:$B$103,'non-road'!$D17)/SUMIF(Assumptions!$G$3:$G$103,'non-road'!$F17,Assumptions!CM$3:CM$103)</f>
        <v>#DIV/0!</v>
      </c>
      <c r="AQ17" s="40" t="e">
        <f ca="1">SUMIFS(Assumptions!CN$3:CN$103,Assumptions!$G$3:$G$103,'non-road'!$F17,Assumptions!$B$3:$B$103,'non-road'!$D17)/SUMIF(Assumptions!$G$3:$G$103,'non-road'!$F17,Assumptions!CN$3:CN$103)</f>
        <v>#DIV/0!</v>
      </c>
      <c r="AR17" s="40" t="e">
        <f ca="1">SUMIFS(Assumptions!CO$3:CO$103,Assumptions!$G$3:$G$103,'non-road'!$F17,Assumptions!$B$3:$B$103,'non-road'!$D17)/SUMIF(Assumptions!$G$3:$G$103,'non-road'!$F17,Assumptions!CO$3:CO$103)</f>
        <v>#DIV/0!</v>
      </c>
      <c r="AS17" s="40" t="e">
        <f ca="1">SUMIFS(Assumptions!CP$3:CP$103,Assumptions!$G$3:$G$103,'non-road'!$F17,Assumptions!$B$3:$B$103,'non-road'!$D17)/SUMIF(Assumptions!$G$3:$G$103,'non-road'!$F17,Assumptions!CP$3:CP$103)</f>
        <v>#DIV/0!</v>
      </c>
      <c r="AT17" s="40" t="e">
        <f ca="1">SUMIFS(Assumptions!CQ$3:CQ$103,Assumptions!$G$3:$G$103,'non-road'!$F17,Assumptions!$B$3:$B$103,'non-road'!$D17)/SUMIF(Assumptions!$G$3:$G$103,'non-road'!$F17,Assumptions!CQ$3:CQ$103)</f>
        <v>#DIV/0!</v>
      </c>
      <c r="AU17" s="40" t="e">
        <f ca="1">SUMIFS(Assumptions!CR$3:CR$103,Assumptions!$G$3:$G$103,'non-road'!$F17,Assumptions!$B$3:$B$103,'non-road'!$D17)/SUMIF(Assumptions!$G$3:$G$103,'non-road'!$F17,Assumptions!CR$3:CR$103)</f>
        <v>#DIV/0!</v>
      </c>
      <c r="AV17" s="40" t="e">
        <f ca="1">SUMIFS(Assumptions!CS$3:CS$103,Assumptions!$G$3:$G$103,'non-road'!$F17,Assumptions!$B$3:$B$103,'non-road'!$D17)/SUMIF(Assumptions!$G$3:$G$103,'non-road'!$F17,Assumptions!CS$3:CS$103)</f>
        <v>#DIV/0!</v>
      </c>
      <c r="AW17" s="40" t="e">
        <f ca="1">SUMIFS(Assumptions!CT$3:CT$103,Assumptions!$G$3:$G$103,'non-road'!$F17,Assumptions!$B$3:$B$103,'non-road'!$D17)/SUMIF(Assumptions!$G$3:$G$103,'non-road'!$F17,Assumptions!CT$3:CT$103)</f>
        <v>#DIV/0!</v>
      </c>
      <c r="AX17" s="40" t="e">
        <f ca="1">SUMIFS(Assumptions!CU$3:CU$103,Assumptions!$G$3:$G$103,'non-road'!$F17,Assumptions!$B$3:$B$103,'non-road'!$D17)/SUMIF(Assumptions!$G$3:$G$103,'non-road'!$F17,Assumptions!CU$3:CU$103)</f>
        <v>#DIV/0!</v>
      </c>
      <c r="AY17" s="40" t="e">
        <f ca="1">SUMIFS(Assumptions!CV$3:CV$103,Assumptions!$G$3:$G$103,'non-road'!$F17,Assumptions!$B$3:$B$103,'non-road'!$D17)/SUMIF(Assumptions!$G$3:$G$103,'non-road'!$F17,Assumptions!CV$3:CV$103)</f>
        <v>#DIV/0!</v>
      </c>
      <c r="AZ17" s="40" t="e">
        <f ca="1">SUMIFS(Assumptions!CW$3:CW$103,Assumptions!$G$3:$G$103,'non-road'!$F17,Assumptions!$B$3:$B$103,'non-road'!$D17)/SUMIF(Assumptions!$G$3:$G$103,'non-road'!$F17,Assumptions!CW$3:CW$103)</f>
        <v>#DIV/0!</v>
      </c>
      <c r="BA17" s="41"/>
      <c r="BB17" s="40"/>
      <c r="BC17" s="40"/>
      <c r="BD17" s="39" t="str">
        <f t="shared" si="55"/>
        <v>\I:</v>
      </c>
      <c r="BE17" s="40">
        <f>VLOOKUP($F17,Assumptions!$E$152:$BC$157,COLUMN()-COLUMN($BC$4),FALSE)</f>
        <v>1</v>
      </c>
      <c r="BF17" s="40">
        <f>VLOOKUP($F17,Assumptions!$E$152:$BC$157,COLUMN()-COLUMN($BC$4),FALSE)</f>
        <v>1</v>
      </c>
      <c r="BG17" s="40">
        <f>VLOOKUP($F17,Assumptions!$E$152:$BC$157,COLUMN()-COLUMN($BC$4),FALSE)</f>
        <v>1</v>
      </c>
      <c r="BH17" s="40">
        <f>VLOOKUP($F17,Assumptions!$E$152:$BC$157,COLUMN()-COLUMN($BC$4),FALSE)</f>
        <v>1</v>
      </c>
      <c r="BI17" s="40">
        <f>VLOOKUP($F17,Assumptions!$E$152:$BC$157,COLUMN()-COLUMN($BC$4),FALSE)</f>
        <v>1</v>
      </c>
      <c r="BJ17" s="40">
        <f>VLOOKUP($F17,Assumptions!$E$152:$BC$157,COLUMN()-COLUMN($BC$4),FALSE)</f>
        <v>1</v>
      </c>
      <c r="BK17" s="40">
        <f>VLOOKUP($F17,Assumptions!$E$152:$BC$157,COLUMN()-COLUMN($BC$4),FALSE)</f>
        <v>1</v>
      </c>
      <c r="BL17" s="40">
        <f>VLOOKUP($F17,Assumptions!$E$152:$BC$157,COLUMN()-COLUMN($BC$4),FALSE)</f>
        <v>1</v>
      </c>
      <c r="BM17" s="40">
        <f>VLOOKUP($F17,Assumptions!$E$152:$BC$157,COLUMN()-COLUMN($BC$4),FALSE)</f>
        <v>1</v>
      </c>
      <c r="BN17" s="40">
        <f>VLOOKUP($F17,Assumptions!$E$152:$BC$157,COLUMN()-COLUMN($BC$4),FALSE)</f>
        <v>1</v>
      </c>
      <c r="BO17" s="40">
        <f>VLOOKUP($F17,Assumptions!$E$152:$BC$157,COLUMN()-COLUMN($BC$4),FALSE)</f>
        <v>1</v>
      </c>
      <c r="BP17" s="40">
        <f>VLOOKUP($F17,Assumptions!$E$152:$BC$157,COLUMN()-COLUMN($BC$4),FALSE)</f>
        <v>1</v>
      </c>
      <c r="BQ17" s="40">
        <f>VLOOKUP($F17,Assumptions!$E$152:$BC$157,COLUMN()-COLUMN($BC$4),FALSE)</f>
        <v>1</v>
      </c>
      <c r="BR17" s="40">
        <f>VLOOKUP($F17,Assumptions!$E$152:$BC$157,COLUMN()-COLUMN($BC$4),FALSE)</f>
        <v>1</v>
      </c>
      <c r="BS17" s="40">
        <f>VLOOKUP($F17,Assumptions!$E$152:$BC$157,COLUMN()-COLUMN($BC$4),FALSE)</f>
        <v>1</v>
      </c>
      <c r="BT17" s="40">
        <f>VLOOKUP($F17,Assumptions!$E$152:$BC$157,COLUMN()-COLUMN($BC$4),FALSE)</f>
        <v>1</v>
      </c>
      <c r="BU17" s="40">
        <f>VLOOKUP($F17,Assumptions!$E$152:$BC$157,COLUMN()-COLUMN($BC$4),FALSE)</f>
        <v>1</v>
      </c>
      <c r="BV17" s="40">
        <f>VLOOKUP($F17,Assumptions!$E$152:$BC$157,COLUMN()-COLUMN($BC$4),FALSE)</f>
        <v>1</v>
      </c>
      <c r="BW17" s="40">
        <f>VLOOKUP($F17,Assumptions!$E$152:$BC$157,COLUMN()-COLUMN($BC$4),FALSE)</f>
        <v>1</v>
      </c>
      <c r="BX17" s="40">
        <f>VLOOKUP($F17,Assumptions!$E$152:$BC$157,COLUMN()-COLUMN($BC$4),FALSE)</f>
        <v>1</v>
      </c>
      <c r="BY17" s="40">
        <f>VLOOKUP($F17,Assumptions!$E$152:$BC$157,COLUMN()-COLUMN($BC$4),FALSE)</f>
        <v>1</v>
      </c>
      <c r="BZ17" s="40">
        <f>VLOOKUP($F17,Assumptions!$E$152:$BC$157,COLUMN()-COLUMN($BC$4),FALSE)</f>
        <v>1</v>
      </c>
      <c r="CA17" s="40">
        <f>VLOOKUP($F17,Assumptions!$E$152:$BC$157,COLUMN()-COLUMN($BC$4),FALSE)</f>
        <v>1</v>
      </c>
      <c r="CB17" s="40">
        <f>VLOOKUP($F17,Assumptions!$E$152:$BC$157,COLUMN()-COLUMN($BC$4),FALSE)</f>
        <v>1</v>
      </c>
      <c r="CC17" s="40">
        <f>VLOOKUP($F17,Assumptions!$E$152:$BC$157,COLUMN()-COLUMN($BC$4),FALSE)</f>
        <v>1</v>
      </c>
      <c r="CD17" s="40">
        <f>VLOOKUP($F17,Assumptions!$E$152:$BC$157,COLUMN()-COLUMN($BC$4),FALSE)</f>
        <v>1</v>
      </c>
      <c r="CE17" s="40">
        <f>VLOOKUP($F17,Assumptions!$E$152:$BC$157,COLUMN()-COLUMN($BC$4),FALSE)</f>
        <v>1</v>
      </c>
      <c r="CF17" s="40">
        <f>VLOOKUP($F17,Assumptions!$E$152:$BC$157,COLUMN()-COLUMN($BC$4),FALSE)</f>
        <v>1</v>
      </c>
      <c r="CG17" s="40">
        <f>VLOOKUP($F17,Assumptions!$E$152:$BC$157,COLUMN()-COLUMN($BC$4),FALSE)</f>
        <v>1</v>
      </c>
      <c r="CH17" s="40">
        <f>VLOOKUP($F17,Assumptions!$E$152:$BC$157,COLUMN()-COLUMN($BC$4),FALSE)</f>
        <v>1</v>
      </c>
      <c r="CI17" s="40">
        <f>VLOOKUP($F17,Assumptions!$E$152:$BC$157,COLUMN()-COLUMN($BC$4),FALSE)</f>
        <v>1</v>
      </c>
      <c r="CJ17" s="40">
        <f>VLOOKUP($F17,Assumptions!$E$152:$BC$157,COLUMN()-COLUMN($BC$4),FALSE)</f>
        <v>1</v>
      </c>
      <c r="CK17" s="40">
        <f>VLOOKUP($F17,Assumptions!$E$152:$BC$157,COLUMN()-COLUMN($BC$4),FALSE)</f>
        <v>1</v>
      </c>
      <c r="CL17" s="40">
        <f>VLOOKUP($F17,Assumptions!$E$152:$BC$157,COLUMN()-COLUMN($BC$4),FALSE)</f>
        <v>1</v>
      </c>
      <c r="CM17" s="40">
        <f>VLOOKUP($F17,Assumptions!$E$152:$BC$157,COLUMN()-COLUMN($BC$4),FALSE)</f>
        <v>1</v>
      </c>
      <c r="CN17" s="40">
        <f>VLOOKUP($F17,Assumptions!$E$152:$BC$157,COLUMN()-COLUMN($BC$4),FALSE)</f>
        <v>1</v>
      </c>
      <c r="CO17" s="40">
        <f>VLOOKUP($F17,Assumptions!$E$152:$BC$157,COLUMN()-COLUMN($BC$4),FALSE)</f>
        <v>1</v>
      </c>
      <c r="CP17" s="40">
        <f>VLOOKUP($F17,Assumptions!$E$152:$BC$157,COLUMN()-COLUMN($BC$4),FALSE)</f>
        <v>1</v>
      </c>
      <c r="CQ17" s="40">
        <f>VLOOKUP($F17,Assumptions!$E$152:$BC$157,COLUMN()-COLUMN($BC$4),FALSE)</f>
        <v>1</v>
      </c>
      <c r="CR17" s="40">
        <f>VLOOKUP($F17,Assumptions!$E$152:$BC$157,COLUMN()-COLUMN($BC$4),FALSE)</f>
        <v>1</v>
      </c>
      <c r="CS17" s="40">
        <f>VLOOKUP($F17,Assumptions!$E$152:$BC$157,COLUMN()-COLUMN($BC$4),FALSE)</f>
        <v>1</v>
      </c>
      <c r="CT17" s="40">
        <f>VLOOKUP($F17,Assumptions!$E$152:$BC$157,COLUMN()-COLUMN($BC$4),FALSE)</f>
        <v>1</v>
      </c>
      <c r="CU17" s="40">
        <f>VLOOKUP($F17,Assumptions!$E$152:$BC$157,COLUMN()-COLUMN($BC$4),FALSE)</f>
        <v>1</v>
      </c>
      <c r="CV17" s="40">
        <f>VLOOKUP($F17,Assumptions!$E$152:$BC$157,COLUMN()-COLUMN($BC$4),FALSE)</f>
        <v>1</v>
      </c>
      <c r="CW17" s="40">
        <f>VLOOKUP($F17,Assumptions!$E$152:$BC$157,COLUMN()-COLUMN($BC$4),FALSE)</f>
        <v>1</v>
      </c>
      <c r="CX17" s="40">
        <f>VLOOKUP($F17,Assumptions!$E$152:$BC$157,COLUMN()-COLUMN($BC$4),FALSE)</f>
        <v>1</v>
      </c>
      <c r="CY17" s="39"/>
      <c r="CZ17" s="39"/>
      <c r="DA17" s="39" t="str">
        <f t="shared" si="56"/>
        <v>TWI</v>
      </c>
      <c r="DB17" s="40">
        <f t="shared" ref="DB17" si="66">IFERROR(DB8/DB$20,"")</f>
        <v>0.0177610024014579</v>
      </c>
      <c r="DC17" s="40">
        <f t="shared" ref="DC17:EU17" si="67">IFERROR(DC8/DC$20,"")</f>
        <v>0.0316623407543171</v>
      </c>
      <c r="DD17" s="40">
        <f t="shared" si="67"/>
        <v>0.0332621169689351</v>
      </c>
      <c r="DE17" s="40">
        <f t="shared" si="67"/>
        <v>0.00174714210455814</v>
      </c>
      <c r="DF17" s="40">
        <f t="shared" si="67"/>
        <v>0.197542555153483</v>
      </c>
      <c r="DG17" s="40">
        <f t="shared" si="67"/>
        <v>0.667393570955201</v>
      </c>
      <c r="DH17" s="40">
        <f t="shared" si="67"/>
        <v>0.0510669800667173</v>
      </c>
      <c r="DI17" s="40">
        <f t="shared" si="67"/>
        <v>0.0223196182269005</v>
      </c>
      <c r="DJ17" s="40">
        <f t="shared" si="67"/>
        <v>0.0641932345085858</v>
      </c>
      <c r="DK17" s="40">
        <f t="shared" si="67"/>
        <v>0</v>
      </c>
      <c r="DL17" s="40">
        <f t="shared" si="67"/>
        <v>0.0315905065164645</v>
      </c>
      <c r="DM17" s="40">
        <f t="shared" si="67"/>
        <v>0.0176451253033923</v>
      </c>
      <c r="DN17" s="40">
        <f t="shared" si="67"/>
        <v>0.434897465949987</v>
      </c>
      <c r="DO17" s="40">
        <f t="shared" si="67"/>
        <v>0.00689770367141138</v>
      </c>
      <c r="DP17" s="40">
        <f t="shared" si="67"/>
        <v>0.170020606241612</v>
      </c>
      <c r="DQ17" s="40">
        <f t="shared" si="67"/>
        <v>0.00816345629769826</v>
      </c>
      <c r="DR17" s="40">
        <f t="shared" si="67"/>
        <v>0.0193134508911938</v>
      </c>
      <c r="DS17" s="40">
        <f t="shared" si="67"/>
        <v>0.11787482596378</v>
      </c>
      <c r="DT17" s="40">
        <f t="shared" si="67"/>
        <v>0.0427731486967235</v>
      </c>
      <c r="DU17" s="40">
        <f t="shared" si="67"/>
        <v>0.098002933128174</v>
      </c>
      <c r="DV17" s="40">
        <f t="shared" si="67"/>
        <v>0.223029864459423</v>
      </c>
      <c r="DW17" s="40">
        <f t="shared" si="67"/>
        <v>0.0506056462064245</v>
      </c>
      <c r="DX17" s="40">
        <f t="shared" si="67"/>
        <v>0.0519056068596056</v>
      </c>
      <c r="DY17" s="40">
        <f t="shared" si="67"/>
        <v>0.0123965211180016</v>
      </c>
      <c r="DZ17" s="40">
        <f t="shared" si="67"/>
        <v>0.205879156220256</v>
      </c>
      <c r="EA17" s="40">
        <f t="shared" si="67"/>
        <v>0.184141664741993</v>
      </c>
      <c r="EB17" s="40">
        <f t="shared" si="67"/>
        <v>0.0788210961527728</v>
      </c>
      <c r="EC17" s="40">
        <f t="shared" si="67"/>
        <v>0.20192160498744</v>
      </c>
      <c r="ED17" s="40">
        <f t="shared" si="67"/>
        <v>0.20398106188697</v>
      </c>
      <c r="EE17" s="40">
        <f t="shared" si="67"/>
        <v>0.156940487829484</v>
      </c>
      <c r="EF17" s="40">
        <f t="shared" si="67"/>
        <v>0.000271412250859985</v>
      </c>
      <c r="EG17" s="40">
        <f t="shared" si="67"/>
        <v>0.0239218100360477</v>
      </c>
      <c r="EH17" s="40">
        <f t="shared" si="67"/>
        <v>0.0402847291975361</v>
      </c>
      <c r="EI17" s="40">
        <f t="shared" si="67"/>
        <v>0</v>
      </c>
      <c r="EJ17" s="40">
        <f t="shared" si="67"/>
        <v>0.010640346596754</v>
      </c>
      <c r="EK17" s="40">
        <f t="shared" si="67"/>
        <v>0</v>
      </c>
      <c r="EL17" s="40">
        <f t="shared" si="67"/>
        <v>0</v>
      </c>
      <c r="EM17" s="40">
        <f t="shared" si="67"/>
        <v>0</v>
      </c>
      <c r="EN17" s="40">
        <f t="shared" si="67"/>
        <v>0</v>
      </c>
      <c r="EO17" s="40">
        <f t="shared" si="67"/>
        <v>0</v>
      </c>
      <c r="EP17" s="40">
        <f t="shared" si="67"/>
        <v>0</v>
      </c>
      <c r="EQ17" s="40">
        <f t="shared" si="67"/>
        <v>0</v>
      </c>
      <c r="ER17" s="40">
        <f t="shared" si="67"/>
        <v>0</v>
      </c>
      <c r="ES17" s="40">
        <f t="shared" si="67"/>
        <v>0</v>
      </c>
      <c r="ET17" s="40">
        <f t="shared" si="67"/>
        <v>0</v>
      </c>
      <c r="EU17" s="40" t="str">
        <f t="shared" si="67"/>
        <v/>
      </c>
      <c r="EV17" s="39"/>
      <c r="EW17" s="39" t="str">
        <f t="shared" si="48"/>
        <v>DMD</v>
      </c>
      <c r="EX17" s="39" t="str">
        <f t="shared" ref="EX17:EX40" si="68">C18</f>
        <v>TAI_Generic</v>
      </c>
      <c r="EY17" s="39" t="s">
        <v>447</v>
      </c>
      <c r="EZ17" s="39" t="s">
        <v>85</v>
      </c>
      <c r="FA17" s="39" t="s">
        <v>440</v>
      </c>
    </row>
    <row r="18" spans="1:157">
      <c r="C18" s="39" t="str">
        <f t="shared" si="54"/>
        <v>TAI_Generic</v>
      </c>
      <c r="D18" s="39" t="s">
        <v>66</v>
      </c>
      <c r="E18" s="39"/>
      <c r="F18" s="39" t="s">
        <v>76</v>
      </c>
      <c r="G18" s="40">
        <f>SUMIFS(Assumptions!BD$105:BD$128,Assumptions!$BB$105:$BB$128,'non-road'!$F18,Assumptions!$BC$105:$BC$128,'non-road'!$D18)/SUMIF(Assumptions!$BB$105:$BB$128,'non-road'!$F18,Assumptions!BD$105:BD$128)</f>
        <v>0</v>
      </c>
      <c r="H18" s="40">
        <f>SUMIFS(Assumptions!BE$105:BE$128,Assumptions!$BB$105:$BB$128,'non-road'!$F18,Assumptions!$BC$105:$BC$128,'non-road'!$D18)/SUMIF(Assumptions!$BB$105:$BB$128,'non-road'!$F18,Assumptions!BE$105:BE$128)</f>
        <v>0</v>
      </c>
      <c r="I18" s="40">
        <f>SUMIFS(Assumptions!BF$105:BF$128,Assumptions!$BB$105:$BB$128,'non-road'!$F18,Assumptions!$BC$105:$BC$128,'non-road'!$D18)/SUMIF(Assumptions!$BB$105:$BB$128,'non-road'!$F18,Assumptions!BF$105:BF$128)</f>
        <v>0</v>
      </c>
      <c r="J18" s="40">
        <f>SUMIFS(Assumptions!BG$105:BG$128,Assumptions!$BB$105:$BB$128,'non-road'!$F18,Assumptions!$BC$105:$BC$128,'non-road'!$D18)/SUMIF(Assumptions!$BB$105:$BB$128,'non-road'!$F18,Assumptions!BG$105:BG$128)</f>
        <v>0</v>
      </c>
      <c r="K18" s="40">
        <f>SUMIFS(Assumptions!BH$105:BH$128,Assumptions!$BB$105:$BB$128,'non-road'!$F18,Assumptions!$BC$105:$BC$128,'non-road'!$D18)/SUMIF(Assumptions!$BB$105:$BB$128,'non-road'!$F18,Assumptions!BH$105:BH$128)</f>
        <v>0</v>
      </c>
      <c r="L18" s="40">
        <f>SUMIFS(Assumptions!BI$105:BI$128,Assumptions!$BB$105:$BB$128,'non-road'!$F18,Assumptions!$BC$105:$BC$128,'non-road'!$D18)/SUMIF(Assumptions!$BB$105:$BB$128,'non-road'!$F18,Assumptions!BI$105:BI$128)</f>
        <v>0</v>
      </c>
      <c r="M18" s="40">
        <f>SUMIFS(Assumptions!BJ$105:BJ$128,Assumptions!$BB$105:$BB$128,'non-road'!$F18,Assumptions!$BC$105:$BC$128,'non-road'!$D18)/SUMIF(Assumptions!$BB$105:$BB$128,'non-road'!$F18,Assumptions!BJ$105:BJ$128)</f>
        <v>0</v>
      </c>
      <c r="N18" s="40">
        <f>SUMIFS(Assumptions!BK$105:BK$128,Assumptions!$BB$105:$BB$128,'non-road'!$F18,Assumptions!$BC$105:$BC$128,'non-road'!$D18)/SUMIF(Assumptions!$BB$105:$BB$128,'non-road'!$F18,Assumptions!BK$105:BK$128)</f>
        <v>0</v>
      </c>
      <c r="O18" s="40">
        <f>SUMIFS(Assumptions!BL$105:BL$128,Assumptions!$BB$105:$BB$128,'non-road'!$F18,Assumptions!$BC$105:$BC$128,'non-road'!$D18)/SUMIF(Assumptions!$BB$105:$BB$128,'non-road'!$F18,Assumptions!BL$105:BL$128)</f>
        <v>0</v>
      </c>
      <c r="P18" s="40">
        <f>SUMIFS(Assumptions!BM$105:BM$128,Assumptions!$BB$105:$BB$128,'non-road'!$F18,Assumptions!$BC$105:$BC$128,'non-road'!$D18)/SUMIF(Assumptions!$BB$105:$BB$128,'non-road'!$F18,Assumptions!BM$105:BM$128)</f>
        <v>0</v>
      </c>
      <c r="Q18" s="40">
        <f>SUMIFS(Assumptions!BN$105:BN$128,Assumptions!$BB$105:$BB$128,'non-road'!$F18,Assumptions!$BC$105:$BC$128,'non-road'!$D18)/SUMIF(Assumptions!$BB$105:$BB$128,'non-road'!$F18,Assumptions!BN$105:BN$128)</f>
        <v>0</v>
      </c>
      <c r="R18" s="40">
        <f>SUMIFS(Assumptions!BO$105:BO$128,Assumptions!$BB$105:$BB$128,'non-road'!$F18,Assumptions!$BC$105:$BC$128,'non-road'!$D18)/SUMIF(Assumptions!$BB$105:$BB$128,'non-road'!$F18,Assumptions!BO$105:BO$128)</f>
        <v>0</v>
      </c>
      <c r="S18" s="40">
        <f>SUMIFS(Assumptions!BP$105:BP$128,Assumptions!$BB$105:$BB$128,'non-road'!$F18,Assumptions!$BC$105:$BC$128,'non-road'!$D18)/SUMIF(Assumptions!$BB$105:$BB$128,'non-road'!$F18,Assumptions!BP$105:BP$128)</f>
        <v>0</v>
      </c>
      <c r="T18" s="40">
        <f>SUMIFS(Assumptions!BQ$105:BQ$128,Assumptions!$BB$105:$BB$128,'non-road'!$F18,Assumptions!$BC$105:$BC$128,'non-road'!$D18)/SUMIF(Assumptions!$BB$105:$BB$128,'non-road'!$F18,Assumptions!BQ$105:BQ$128)</f>
        <v>0</v>
      </c>
      <c r="U18" s="40">
        <f>SUMIFS(Assumptions!BR$105:BR$128,Assumptions!$BB$105:$BB$128,'non-road'!$F18,Assumptions!$BC$105:$BC$128,'non-road'!$D18)/SUMIF(Assumptions!$BB$105:$BB$128,'non-road'!$F18,Assumptions!BR$105:BR$128)</f>
        <v>0</v>
      </c>
      <c r="V18" s="40">
        <f>SUMIFS(Assumptions!BS$105:BS$128,Assumptions!$BB$105:$BB$128,'non-road'!$F18,Assumptions!$BC$105:$BC$128,'non-road'!$D18)/SUMIF(Assumptions!$BB$105:$BB$128,'non-road'!$F18,Assumptions!BS$105:BS$128)</f>
        <v>0</v>
      </c>
      <c r="W18" s="40">
        <f>SUMIFS(Assumptions!BT$105:BT$128,Assumptions!$BB$105:$BB$128,'non-road'!$F18,Assumptions!$BC$105:$BC$128,'non-road'!$D18)/SUMIF(Assumptions!$BB$105:$BB$128,'non-road'!$F18,Assumptions!BT$105:BT$128)</f>
        <v>0</v>
      </c>
      <c r="X18" s="40">
        <f>SUMIFS(Assumptions!BU$105:BU$128,Assumptions!$BB$105:$BB$128,'non-road'!$F18,Assumptions!$BC$105:$BC$128,'non-road'!$D18)/SUMIF(Assumptions!$BB$105:$BB$128,'non-road'!$F18,Assumptions!BU$105:BU$128)</f>
        <v>0</v>
      </c>
      <c r="Y18" s="40">
        <f>SUMIFS(Assumptions!BV$105:BV$128,Assumptions!$BB$105:$BB$128,'non-road'!$F18,Assumptions!$BC$105:$BC$128,'non-road'!$D18)/SUMIF(Assumptions!$BB$105:$BB$128,'non-road'!$F18,Assumptions!BV$105:BV$128)</f>
        <v>0</v>
      </c>
      <c r="Z18" s="40">
        <f>SUMIFS(Assumptions!BW$105:BW$128,Assumptions!$BB$105:$BB$128,'non-road'!$F18,Assumptions!$BC$105:$BC$128,'non-road'!$D18)/SUMIF(Assumptions!$BB$105:$BB$128,'non-road'!$F18,Assumptions!BW$105:BW$128)</f>
        <v>0</v>
      </c>
      <c r="AA18" s="40">
        <f>SUMIFS(Assumptions!BX$105:BX$128,Assumptions!$BB$105:$BB$128,'non-road'!$F18,Assumptions!$BC$105:$BC$128,'non-road'!$D18)/SUMIF(Assumptions!$BB$105:$BB$128,'non-road'!$F18,Assumptions!BX$105:BX$128)</f>
        <v>0</v>
      </c>
      <c r="AB18" s="40">
        <f>SUMIFS(Assumptions!BY$105:BY$128,Assumptions!$BB$105:$BB$128,'non-road'!$F18,Assumptions!$BC$105:$BC$128,'non-road'!$D18)/SUMIF(Assumptions!$BB$105:$BB$128,'non-road'!$F18,Assumptions!BY$105:BY$128)</f>
        <v>0</v>
      </c>
      <c r="AC18" s="40">
        <f>SUMIFS(Assumptions!BZ$105:BZ$128,Assumptions!$BB$105:$BB$128,'non-road'!$F18,Assumptions!$BC$105:$BC$128,'non-road'!$D18)/SUMIF(Assumptions!$BB$105:$BB$128,'non-road'!$F18,Assumptions!BZ$105:BZ$128)</f>
        <v>0</v>
      </c>
      <c r="AD18" s="40">
        <f>SUMIFS(Assumptions!CA$105:CA$128,Assumptions!$BB$105:$BB$128,'non-road'!$F18,Assumptions!$BC$105:$BC$128,'non-road'!$D18)/SUMIF(Assumptions!$BB$105:$BB$128,'non-road'!$F18,Assumptions!CA$105:CA$128)</f>
        <v>0</v>
      </c>
      <c r="AE18" s="40">
        <f>SUMIFS(Assumptions!CB$105:CB$128,Assumptions!$BB$105:$BB$128,'non-road'!$F18,Assumptions!$BC$105:$BC$128,'non-road'!$D18)/SUMIF(Assumptions!$BB$105:$BB$128,'non-road'!$F18,Assumptions!CB$105:CB$128)</f>
        <v>0</v>
      </c>
      <c r="AF18" s="40">
        <f>SUMIFS(Assumptions!CC$105:CC$128,Assumptions!$BB$105:$BB$128,'non-road'!$F18,Assumptions!$BC$105:$BC$128,'non-road'!$D18)/SUMIF(Assumptions!$BB$105:$BB$128,'non-road'!$F18,Assumptions!CC$105:CC$128)</f>
        <v>0</v>
      </c>
      <c r="AG18" s="40">
        <f>SUMIFS(Assumptions!CD$105:CD$128,Assumptions!$BB$105:$BB$128,'non-road'!$F18,Assumptions!$BC$105:$BC$128,'non-road'!$D18)/SUMIF(Assumptions!$BB$105:$BB$128,'non-road'!$F18,Assumptions!CD$105:CD$128)</f>
        <v>0</v>
      </c>
      <c r="AH18" s="40">
        <f>SUMIFS(Assumptions!CE$105:CE$128,Assumptions!$BB$105:$BB$128,'non-road'!$F18,Assumptions!$BC$105:$BC$128,'non-road'!$D18)/SUMIF(Assumptions!$BB$105:$BB$128,'non-road'!$F18,Assumptions!CE$105:CE$128)</f>
        <v>0</v>
      </c>
      <c r="AI18" s="40">
        <f>SUMIFS(Assumptions!CF$105:CF$128,Assumptions!$BB$105:$BB$128,'non-road'!$F18,Assumptions!$BC$105:$BC$128,'non-road'!$D18)/SUMIF(Assumptions!$BB$105:$BB$128,'non-road'!$F18,Assumptions!CF$105:CF$128)</f>
        <v>0</v>
      </c>
      <c r="AJ18" s="40">
        <f>SUMIFS(Assumptions!CG$105:CG$128,Assumptions!$BB$105:$BB$128,'non-road'!$F18,Assumptions!$BC$105:$BC$128,'non-road'!$D18)/SUMIF(Assumptions!$BB$105:$BB$128,'non-road'!$F18,Assumptions!CG$105:CG$128)</f>
        <v>0</v>
      </c>
      <c r="AK18" s="40">
        <f>SUMIFS(Assumptions!CH$105:CH$128,Assumptions!$BB$105:$BB$128,'non-road'!$F18,Assumptions!$BC$105:$BC$128,'non-road'!$D18)/SUMIF(Assumptions!$BB$105:$BB$128,'non-road'!$F18,Assumptions!CH$105:CH$128)</f>
        <v>0</v>
      </c>
      <c r="AL18" s="40">
        <f>SUMIFS(Assumptions!CI$105:CI$128,Assumptions!$BB$105:$BB$128,'non-road'!$F18,Assumptions!$BC$105:$BC$128,'non-road'!$D18)/SUMIF(Assumptions!$BB$105:$BB$128,'non-road'!$F18,Assumptions!CI$105:CI$128)</f>
        <v>0</v>
      </c>
      <c r="AM18" s="40">
        <f>SUMIFS(Assumptions!CJ$105:CJ$128,Assumptions!$BB$105:$BB$128,'non-road'!$F18,Assumptions!$BC$105:$BC$128,'non-road'!$D18)/SUMIF(Assumptions!$BB$105:$BB$128,'non-road'!$F18,Assumptions!CJ$105:CJ$128)</f>
        <v>0</v>
      </c>
      <c r="AN18" s="40">
        <f>SUMIFS(Assumptions!CK$105:CK$128,Assumptions!$BB$105:$BB$128,'non-road'!$F18,Assumptions!$BC$105:$BC$128,'non-road'!$D18)/SUMIF(Assumptions!$BB$105:$BB$128,'non-road'!$F18,Assumptions!CK$105:CK$128)</f>
        <v>0</v>
      </c>
      <c r="AO18" s="40">
        <f>SUMIFS(Assumptions!CL$105:CL$128,Assumptions!$BB$105:$BB$128,'non-road'!$F18,Assumptions!$BC$105:$BC$128,'non-road'!$D18)/SUMIF(Assumptions!$BB$105:$BB$128,'non-road'!$F18,Assumptions!CL$105:CL$128)</f>
        <v>0</v>
      </c>
      <c r="AP18" s="40" t="e">
        <f>SUMIFS(Assumptions!CM$105:CM$128,Assumptions!$BB$105:$BB$128,'non-road'!$F18,Assumptions!$BC$105:$BC$128,'non-road'!$D18)/SUMIF(Assumptions!$BB$105:$BB$128,'non-road'!$F18,Assumptions!CM$105:CM$128)</f>
        <v>#DIV/0!</v>
      </c>
      <c r="AQ18" s="40" t="e">
        <f>SUMIFS(Assumptions!CN$105:CN$128,Assumptions!$BB$105:$BB$128,'non-road'!$F18,Assumptions!$BC$105:$BC$128,'non-road'!$D18)/SUMIF(Assumptions!$BB$105:$BB$128,'non-road'!$F18,Assumptions!CN$105:CN$128)</f>
        <v>#DIV/0!</v>
      </c>
      <c r="AR18" s="40" t="e">
        <f>SUMIFS(Assumptions!CO$105:CO$128,Assumptions!$BB$105:$BB$128,'non-road'!$F18,Assumptions!$BC$105:$BC$128,'non-road'!$D18)/SUMIF(Assumptions!$BB$105:$BB$128,'non-road'!$F18,Assumptions!CO$105:CO$128)</f>
        <v>#DIV/0!</v>
      </c>
      <c r="AS18" s="40" t="e">
        <f>SUMIFS(Assumptions!CP$105:CP$128,Assumptions!$BB$105:$BB$128,'non-road'!$F18,Assumptions!$BC$105:$BC$128,'non-road'!$D18)/SUMIF(Assumptions!$BB$105:$BB$128,'non-road'!$F18,Assumptions!CP$105:CP$128)</f>
        <v>#DIV/0!</v>
      </c>
      <c r="AT18" s="40" t="e">
        <f>SUMIFS(Assumptions!CQ$105:CQ$128,Assumptions!$BB$105:$BB$128,'non-road'!$F18,Assumptions!$BC$105:$BC$128,'non-road'!$D18)/SUMIF(Assumptions!$BB$105:$BB$128,'non-road'!$F18,Assumptions!CQ$105:CQ$128)</f>
        <v>#DIV/0!</v>
      </c>
      <c r="AU18" s="40" t="e">
        <f>SUMIFS(Assumptions!CR$105:CR$128,Assumptions!$BB$105:$BB$128,'non-road'!$F18,Assumptions!$BC$105:$BC$128,'non-road'!$D18)/SUMIF(Assumptions!$BB$105:$BB$128,'non-road'!$F18,Assumptions!CR$105:CR$128)</f>
        <v>#DIV/0!</v>
      </c>
      <c r="AV18" s="40" t="e">
        <f>SUMIFS(Assumptions!CS$105:CS$128,Assumptions!$BB$105:$BB$128,'non-road'!$F18,Assumptions!$BC$105:$BC$128,'non-road'!$D18)/SUMIF(Assumptions!$BB$105:$BB$128,'non-road'!$F18,Assumptions!CS$105:CS$128)</f>
        <v>#DIV/0!</v>
      </c>
      <c r="AW18" s="40" t="e">
        <f>SUMIFS(Assumptions!CT$105:CT$128,Assumptions!$BB$105:$BB$128,'non-road'!$F18,Assumptions!$BC$105:$BC$128,'non-road'!$D18)/SUMIF(Assumptions!$BB$105:$BB$128,'non-road'!$F18,Assumptions!CT$105:CT$128)</f>
        <v>#DIV/0!</v>
      </c>
      <c r="AX18" s="40" t="e">
        <f>SUMIFS(Assumptions!CU$105:CU$128,Assumptions!$BB$105:$BB$128,'non-road'!$F18,Assumptions!$BC$105:$BC$128,'non-road'!$D18)/SUMIF(Assumptions!$BB$105:$BB$128,'non-road'!$F18,Assumptions!CU$105:CU$128)</f>
        <v>#DIV/0!</v>
      </c>
      <c r="AY18" s="40" t="e">
        <f>SUMIFS(Assumptions!CV$105:CV$128,Assumptions!$BB$105:$BB$128,'non-road'!$F18,Assumptions!$BC$105:$BC$128,'non-road'!$D18)/SUMIF(Assumptions!$BB$105:$BB$128,'non-road'!$F18,Assumptions!CV$105:CV$128)</f>
        <v>#DIV/0!</v>
      </c>
      <c r="AZ18" s="40" t="e">
        <f>SUMIFS(Assumptions!CW$105:CW$128,Assumptions!$BB$105:$BB$128,'non-road'!$F18,Assumptions!$BC$105:$BC$128,'non-road'!$D18)/SUMIF(Assumptions!$BB$105:$BB$128,'non-road'!$F18,Assumptions!CW$105:CW$128)</f>
        <v>#DIV/0!</v>
      </c>
      <c r="BD18" s="39" t="str">
        <f t="shared" si="55"/>
        <v>TAI_Generic</v>
      </c>
      <c r="BE18" s="40">
        <f>VLOOKUP($F18,Assumptions!$E$152:$BC$157,COLUMN()-COLUMN($BC$4),FALSE)</f>
        <v>1</v>
      </c>
      <c r="BF18" s="40">
        <f>VLOOKUP($F18,Assumptions!$E$152:$BC$157,COLUMN()-COLUMN($BC$4),FALSE)</f>
        <v>1</v>
      </c>
      <c r="BG18" s="40">
        <f>VLOOKUP($F18,Assumptions!$E$152:$BC$157,COLUMN()-COLUMN($BC$4),FALSE)</f>
        <v>1</v>
      </c>
      <c r="BH18" s="40">
        <f>VLOOKUP($F18,Assumptions!$E$152:$BC$157,COLUMN()-COLUMN($BC$4),FALSE)</f>
        <v>1</v>
      </c>
      <c r="BI18" s="40">
        <f>VLOOKUP($F18,Assumptions!$E$152:$BC$157,COLUMN()-COLUMN($BC$4),FALSE)</f>
        <v>1</v>
      </c>
      <c r="BJ18" s="40">
        <f>VLOOKUP($F18,Assumptions!$E$152:$BC$157,COLUMN()-COLUMN($BC$4),FALSE)</f>
        <v>1</v>
      </c>
      <c r="BK18" s="40">
        <f>VLOOKUP($F18,Assumptions!$E$152:$BC$157,COLUMN()-COLUMN($BC$4),FALSE)</f>
        <v>1</v>
      </c>
      <c r="BL18" s="40">
        <f>VLOOKUP($F18,Assumptions!$E$152:$BC$157,COLUMN()-COLUMN($BC$4),FALSE)</f>
        <v>1</v>
      </c>
      <c r="BM18" s="40">
        <f>VLOOKUP($F18,Assumptions!$E$152:$BC$157,COLUMN()-COLUMN($BC$4),FALSE)</f>
        <v>1</v>
      </c>
      <c r="BN18" s="40">
        <f>VLOOKUP($F18,Assumptions!$E$152:$BC$157,COLUMN()-COLUMN($BC$4),FALSE)</f>
        <v>1</v>
      </c>
      <c r="BO18" s="40">
        <f>VLOOKUP($F18,Assumptions!$E$152:$BC$157,COLUMN()-COLUMN($BC$4),FALSE)</f>
        <v>1</v>
      </c>
      <c r="BP18" s="40">
        <f>VLOOKUP($F18,Assumptions!$E$152:$BC$157,COLUMN()-COLUMN($BC$4),FALSE)</f>
        <v>1</v>
      </c>
      <c r="BQ18" s="40">
        <f>VLOOKUP($F18,Assumptions!$E$152:$BC$157,COLUMN()-COLUMN($BC$4),FALSE)</f>
        <v>1</v>
      </c>
      <c r="BR18" s="40">
        <f>VLOOKUP($F18,Assumptions!$E$152:$BC$157,COLUMN()-COLUMN($BC$4),FALSE)</f>
        <v>1</v>
      </c>
      <c r="BS18" s="40">
        <f>VLOOKUP($F18,Assumptions!$E$152:$BC$157,COLUMN()-COLUMN($BC$4),FALSE)</f>
        <v>1</v>
      </c>
      <c r="BT18" s="40">
        <f>VLOOKUP($F18,Assumptions!$E$152:$BC$157,COLUMN()-COLUMN($BC$4),FALSE)</f>
        <v>1</v>
      </c>
      <c r="BU18" s="40">
        <f>VLOOKUP($F18,Assumptions!$E$152:$BC$157,COLUMN()-COLUMN($BC$4),FALSE)</f>
        <v>1</v>
      </c>
      <c r="BV18" s="40">
        <f>VLOOKUP($F18,Assumptions!$E$152:$BC$157,COLUMN()-COLUMN($BC$4),FALSE)</f>
        <v>1</v>
      </c>
      <c r="BW18" s="40">
        <f>VLOOKUP($F18,Assumptions!$E$152:$BC$157,COLUMN()-COLUMN($BC$4),FALSE)</f>
        <v>1</v>
      </c>
      <c r="BX18" s="40">
        <f>VLOOKUP($F18,Assumptions!$E$152:$BC$157,COLUMN()-COLUMN($BC$4),FALSE)</f>
        <v>1</v>
      </c>
      <c r="BY18" s="40">
        <f>VLOOKUP($F18,Assumptions!$E$152:$BC$157,COLUMN()-COLUMN($BC$4),FALSE)</f>
        <v>1</v>
      </c>
      <c r="BZ18" s="40">
        <f>VLOOKUP($F18,Assumptions!$E$152:$BC$157,COLUMN()-COLUMN($BC$4),FALSE)</f>
        <v>1</v>
      </c>
      <c r="CA18" s="40">
        <f>VLOOKUP($F18,Assumptions!$E$152:$BC$157,COLUMN()-COLUMN($BC$4),FALSE)</f>
        <v>1</v>
      </c>
      <c r="CB18" s="40">
        <f>VLOOKUP($F18,Assumptions!$E$152:$BC$157,COLUMN()-COLUMN($BC$4),FALSE)</f>
        <v>1</v>
      </c>
      <c r="CC18" s="40">
        <f>VLOOKUP($F18,Assumptions!$E$152:$BC$157,COLUMN()-COLUMN($BC$4),FALSE)</f>
        <v>1</v>
      </c>
      <c r="CD18" s="40">
        <f>VLOOKUP($F18,Assumptions!$E$152:$BC$157,COLUMN()-COLUMN($BC$4),FALSE)</f>
        <v>1</v>
      </c>
      <c r="CE18" s="40">
        <f>VLOOKUP($F18,Assumptions!$E$152:$BC$157,COLUMN()-COLUMN($BC$4),FALSE)</f>
        <v>1</v>
      </c>
      <c r="CF18" s="40">
        <f>VLOOKUP($F18,Assumptions!$E$152:$BC$157,COLUMN()-COLUMN($BC$4),FALSE)</f>
        <v>1</v>
      </c>
      <c r="CG18" s="40">
        <f>VLOOKUP($F18,Assumptions!$E$152:$BC$157,COLUMN()-COLUMN($BC$4),FALSE)</f>
        <v>1</v>
      </c>
      <c r="CH18" s="40">
        <f>VLOOKUP($F18,Assumptions!$E$152:$BC$157,COLUMN()-COLUMN($BC$4),FALSE)</f>
        <v>1</v>
      </c>
      <c r="CI18" s="40">
        <f>VLOOKUP($F18,Assumptions!$E$152:$BC$157,COLUMN()-COLUMN($BC$4),FALSE)</f>
        <v>1</v>
      </c>
      <c r="CJ18" s="40">
        <f>VLOOKUP($F18,Assumptions!$E$152:$BC$157,COLUMN()-COLUMN($BC$4),FALSE)</f>
        <v>1</v>
      </c>
      <c r="CK18" s="40">
        <f>VLOOKUP($F18,Assumptions!$E$152:$BC$157,COLUMN()-COLUMN($BC$4),FALSE)</f>
        <v>1</v>
      </c>
      <c r="CL18" s="40">
        <f>VLOOKUP($F18,Assumptions!$E$152:$BC$157,COLUMN()-COLUMN($BC$4),FALSE)</f>
        <v>1</v>
      </c>
      <c r="CM18" s="40">
        <f>VLOOKUP($F18,Assumptions!$E$152:$BC$157,COLUMN()-COLUMN($BC$4),FALSE)</f>
        <v>1</v>
      </c>
      <c r="CN18" s="40">
        <f>VLOOKUP($F18,Assumptions!$E$152:$BC$157,COLUMN()-COLUMN($BC$4),FALSE)</f>
        <v>1</v>
      </c>
      <c r="CO18" s="40">
        <f>VLOOKUP($F18,Assumptions!$E$152:$BC$157,COLUMN()-COLUMN($BC$4),FALSE)</f>
        <v>1</v>
      </c>
      <c r="CP18" s="40">
        <f>VLOOKUP($F18,Assumptions!$E$152:$BC$157,COLUMN()-COLUMN($BC$4),FALSE)</f>
        <v>1</v>
      </c>
      <c r="CQ18" s="40">
        <f>VLOOKUP($F18,Assumptions!$E$152:$BC$157,COLUMN()-COLUMN($BC$4),FALSE)</f>
        <v>1</v>
      </c>
      <c r="CR18" s="40">
        <f>VLOOKUP($F18,Assumptions!$E$152:$BC$157,COLUMN()-COLUMN($BC$4),FALSE)</f>
        <v>1</v>
      </c>
      <c r="CS18" s="40">
        <f>VLOOKUP($F18,Assumptions!$E$152:$BC$157,COLUMN()-COLUMN($BC$4),FALSE)</f>
        <v>1</v>
      </c>
      <c r="CT18" s="40">
        <f>VLOOKUP($F18,Assumptions!$E$152:$BC$157,COLUMN()-COLUMN($BC$4),FALSE)</f>
        <v>1</v>
      </c>
      <c r="CU18" s="40">
        <f>VLOOKUP($F18,Assumptions!$E$152:$BC$157,COLUMN()-COLUMN($BC$4),FALSE)</f>
        <v>1</v>
      </c>
      <c r="CV18" s="40">
        <f>VLOOKUP($F18,Assumptions!$E$152:$BC$157,COLUMN()-COLUMN($BC$4),FALSE)</f>
        <v>1</v>
      </c>
      <c r="CW18" s="40">
        <f>VLOOKUP($F18,Assumptions!$E$152:$BC$157,COLUMN()-COLUMN($BC$4),FALSE)</f>
        <v>1</v>
      </c>
      <c r="CX18" s="40">
        <f>VLOOKUP($F18,Assumptions!$E$152:$BC$157,COLUMN()-COLUMN($BC$4),FALSE)</f>
        <v>1</v>
      </c>
      <c r="CY18" s="39"/>
      <c r="CZ18" s="39"/>
      <c r="EV18" s="39"/>
      <c r="EW18" s="39" t="str">
        <f t="shared" si="48"/>
        <v>\I:</v>
      </c>
      <c r="EX18" s="39" t="str">
        <f t="shared" si="68"/>
        <v/>
      </c>
      <c r="EY18" s="39" t="s">
        <v>133</v>
      </c>
      <c r="EZ18" s="39" t="s">
        <v>85</v>
      </c>
      <c r="FA18" s="39" t="s">
        <v>440</v>
      </c>
    </row>
    <row r="19" ht="15.25" spans="1:157">
      <c r="C19" s="39" t="str">
        <f t="shared" si="54"/>
        <v/>
      </c>
      <c r="D19" s="39" t="s">
        <v>60</v>
      </c>
      <c r="E19" s="39"/>
      <c r="F19" s="39" t="s">
        <v>76</v>
      </c>
      <c r="G19" s="40">
        <f>SUMIFS(Assumptions!BD$105:BD$128,Assumptions!$BB$105:$BB$128,'non-road'!$F19,Assumptions!$BC$105:$BC$128,'non-road'!$D19)/SUMIF(Assumptions!$BB$105:$BB$128,'non-road'!$F19,Assumptions!BD$105:BD$128)</f>
        <v>0</v>
      </c>
      <c r="H19" s="40">
        <f>SUMIFS(Assumptions!BE$105:BE$128,Assumptions!$BB$105:$BB$128,'non-road'!$F19,Assumptions!$BC$105:$BC$128,'non-road'!$D19)/SUMIF(Assumptions!$BB$105:$BB$128,'non-road'!$F19,Assumptions!BE$105:BE$128)</f>
        <v>0</v>
      </c>
      <c r="I19" s="40">
        <f>SUMIFS(Assumptions!BF$105:BF$128,Assumptions!$BB$105:$BB$128,'non-road'!$F19,Assumptions!$BC$105:$BC$128,'non-road'!$D19)/SUMIF(Assumptions!$BB$105:$BB$128,'non-road'!$F19,Assumptions!BF$105:BF$128)</f>
        <v>0</v>
      </c>
      <c r="J19" s="40">
        <f>SUMIFS(Assumptions!BG$105:BG$128,Assumptions!$BB$105:$BB$128,'non-road'!$F19,Assumptions!$BC$105:$BC$128,'non-road'!$D19)/SUMIF(Assumptions!$BB$105:$BB$128,'non-road'!$F19,Assumptions!BG$105:BG$128)</f>
        <v>0</v>
      </c>
      <c r="K19" s="40">
        <f>SUMIFS(Assumptions!BH$105:BH$128,Assumptions!$BB$105:$BB$128,'non-road'!$F19,Assumptions!$BC$105:$BC$128,'non-road'!$D19)/SUMIF(Assumptions!$BB$105:$BB$128,'non-road'!$F19,Assumptions!BH$105:BH$128)</f>
        <v>0</v>
      </c>
      <c r="L19" s="40">
        <f>SUMIFS(Assumptions!BI$105:BI$128,Assumptions!$BB$105:$BB$128,'non-road'!$F19,Assumptions!$BC$105:$BC$128,'non-road'!$D19)/SUMIF(Assumptions!$BB$105:$BB$128,'non-road'!$F19,Assumptions!BI$105:BI$128)</f>
        <v>0</v>
      </c>
      <c r="M19" s="40">
        <f>SUMIFS(Assumptions!BJ$105:BJ$128,Assumptions!$BB$105:$BB$128,'non-road'!$F19,Assumptions!$BC$105:$BC$128,'non-road'!$D19)/SUMIF(Assumptions!$BB$105:$BB$128,'non-road'!$F19,Assumptions!BJ$105:BJ$128)</f>
        <v>0</v>
      </c>
      <c r="N19" s="40">
        <f>SUMIFS(Assumptions!BK$105:BK$128,Assumptions!$BB$105:$BB$128,'non-road'!$F19,Assumptions!$BC$105:$BC$128,'non-road'!$D19)/SUMIF(Assumptions!$BB$105:$BB$128,'non-road'!$F19,Assumptions!BK$105:BK$128)</f>
        <v>0</v>
      </c>
      <c r="O19" s="40">
        <f>SUMIFS(Assumptions!BL$105:BL$128,Assumptions!$BB$105:$BB$128,'non-road'!$F19,Assumptions!$BC$105:$BC$128,'non-road'!$D19)/SUMIF(Assumptions!$BB$105:$BB$128,'non-road'!$F19,Assumptions!BL$105:BL$128)</f>
        <v>0</v>
      </c>
      <c r="P19" s="40">
        <f>SUMIFS(Assumptions!BM$105:BM$128,Assumptions!$BB$105:$BB$128,'non-road'!$F19,Assumptions!$BC$105:$BC$128,'non-road'!$D19)/SUMIF(Assumptions!$BB$105:$BB$128,'non-road'!$F19,Assumptions!BM$105:BM$128)</f>
        <v>0</v>
      </c>
      <c r="Q19" s="40">
        <f>SUMIFS(Assumptions!BN$105:BN$128,Assumptions!$BB$105:$BB$128,'non-road'!$F19,Assumptions!$BC$105:$BC$128,'non-road'!$D19)/SUMIF(Assumptions!$BB$105:$BB$128,'non-road'!$F19,Assumptions!BN$105:BN$128)</f>
        <v>0</v>
      </c>
      <c r="R19" s="40">
        <f>SUMIFS(Assumptions!BO$105:BO$128,Assumptions!$BB$105:$BB$128,'non-road'!$F19,Assumptions!$BC$105:$BC$128,'non-road'!$D19)/SUMIF(Assumptions!$BB$105:$BB$128,'non-road'!$F19,Assumptions!BO$105:BO$128)</f>
        <v>0</v>
      </c>
      <c r="S19" s="40">
        <f>SUMIFS(Assumptions!BP$105:BP$128,Assumptions!$BB$105:$BB$128,'non-road'!$F19,Assumptions!$BC$105:$BC$128,'non-road'!$D19)/SUMIF(Assumptions!$BB$105:$BB$128,'non-road'!$F19,Assumptions!BP$105:BP$128)</f>
        <v>0</v>
      </c>
      <c r="T19" s="40">
        <f>SUMIFS(Assumptions!BQ$105:BQ$128,Assumptions!$BB$105:$BB$128,'non-road'!$F19,Assumptions!$BC$105:$BC$128,'non-road'!$D19)/SUMIF(Assumptions!$BB$105:$BB$128,'non-road'!$F19,Assumptions!BQ$105:BQ$128)</f>
        <v>0</v>
      </c>
      <c r="U19" s="40">
        <f>SUMIFS(Assumptions!BR$105:BR$128,Assumptions!$BB$105:$BB$128,'non-road'!$F19,Assumptions!$BC$105:$BC$128,'non-road'!$D19)/SUMIF(Assumptions!$BB$105:$BB$128,'non-road'!$F19,Assumptions!BR$105:BR$128)</f>
        <v>0</v>
      </c>
      <c r="V19" s="40">
        <f>SUMIFS(Assumptions!BS$105:BS$128,Assumptions!$BB$105:$BB$128,'non-road'!$F19,Assumptions!$BC$105:$BC$128,'non-road'!$D19)/SUMIF(Assumptions!$BB$105:$BB$128,'non-road'!$F19,Assumptions!BS$105:BS$128)</f>
        <v>0</v>
      </c>
      <c r="W19" s="40">
        <f>SUMIFS(Assumptions!BT$105:BT$128,Assumptions!$BB$105:$BB$128,'non-road'!$F19,Assumptions!$BC$105:$BC$128,'non-road'!$D19)/SUMIF(Assumptions!$BB$105:$BB$128,'non-road'!$F19,Assumptions!BT$105:BT$128)</f>
        <v>0</v>
      </c>
      <c r="X19" s="40">
        <f>SUMIFS(Assumptions!BU$105:BU$128,Assumptions!$BB$105:$BB$128,'non-road'!$F19,Assumptions!$BC$105:$BC$128,'non-road'!$D19)/SUMIF(Assumptions!$BB$105:$BB$128,'non-road'!$F19,Assumptions!BU$105:BU$128)</f>
        <v>0</v>
      </c>
      <c r="Y19" s="40">
        <f>SUMIFS(Assumptions!BV$105:BV$128,Assumptions!$BB$105:$BB$128,'non-road'!$F19,Assumptions!$BC$105:$BC$128,'non-road'!$D19)/SUMIF(Assumptions!$BB$105:$BB$128,'non-road'!$F19,Assumptions!BV$105:BV$128)</f>
        <v>0</v>
      </c>
      <c r="Z19" s="40">
        <f>SUMIFS(Assumptions!BW$105:BW$128,Assumptions!$BB$105:$BB$128,'non-road'!$F19,Assumptions!$BC$105:$BC$128,'non-road'!$D19)/SUMIF(Assumptions!$BB$105:$BB$128,'non-road'!$F19,Assumptions!BW$105:BW$128)</f>
        <v>0</v>
      </c>
      <c r="AA19" s="40">
        <f>SUMIFS(Assumptions!BX$105:BX$128,Assumptions!$BB$105:$BB$128,'non-road'!$F19,Assumptions!$BC$105:$BC$128,'non-road'!$D19)/SUMIF(Assumptions!$BB$105:$BB$128,'non-road'!$F19,Assumptions!BX$105:BX$128)</f>
        <v>0</v>
      </c>
      <c r="AB19" s="40">
        <f>SUMIFS(Assumptions!BY$105:BY$128,Assumptions!$BB$105:$BB$128,'non-road'!$F19,Assumptions!$BC$105:$BC$128,'non-road'!$D19)/SUMIF(Assumptions!$BB$105:$BB$128,'non-road'!$F19,Assumptions!BY$105:BY$128)</f>
        <v>0</v>
      </c>
      <c r="AC19" s="40">
        <f>SUMIFS(Assumptions!BZ$105:BZ$128,Assumptions!$BB$105:$BB$128,'non-road'!$F19,Assumptions!$BC$105:$BC$128,'non-road'!$D19)/SUMIF(Assumptions!$BB$105:$BB$128,'non-road'!$F19,Assumptions!BZ$105:BZ$128)</f>
        <v>0</v>
      </c>
      <c r="AD19" s="40">
        <f>SUMIFS(Assumptions!CA$105:CA$128,Assumptions!$BB$105:$BB$128,'non-road'!$F19,Assumptions!$BC$105:$BC$128,'non-road'!$D19)/SUMIF(Assumptions!$BB$105:$BB$128,'non-road'!$F19,Assumptions!CA$105:CA$128)</f>
        <v>0</v>
      </c>
      <c r="AE19" s="40">
        <f>SUMIFS(Assumptions!CB$105:CB$128,Assumptions!$BB$105:$BB$128,'non-road'!$F19,Assumptions!$BC$105:$BC$128,'non-road'!$D19)/SUMIF(Assumptions!$BB$105:$BB$128,'non-road'!$F19,Assumptions!CB$105:CB$128)</f>
        <v>0</v>
      </c>
      <c r="AF19" s="40">
        <f>SUMIFS(Assumptions!CC$105:CC$128,Assumptions!$BB$105:$BB$128,'non-road'!$F19,Assumptions!$BC$105:$BC$128,'non-road'!$D19)/SUMIF(Assumptions!$BB$105:$BB$128,'non-road'!$F19,Assumptions!CC$105:CC$128)</f>
        <v>0</v>
      </c>
      <c r="AG19" s="40">
        <f>SUMIFS(Assumptions!CD$105:CD$128,Assumptions!$BB$105:$BB$128,'non-road'!$F19,Assumptions!$BC$105:$BC$128,'non-road'!$D19)/SUMIF(Assumptions!$BB$105:$BB$128,'non-road'!$F19,Assumptions!CD$105:CD$128)</f>
        <v>0</v>
      </c>
      <c r="AH19" s="40">
        <f>SUMIFS(Assumptions!CE$105:CE$128,Assumptions!$BB$105:$BB$128,'non-road'!$F19,Assumptions!$BC$105:$BC$128,'non-road'!$D19)/SUMIF(Assumptions!$BB$105:$BB$128,'non-road'!$F19,Assumptions!CE$105:CE$128)</f>
        <v>0</v>
      </c>
      <c r="AI19" s="40">
        <f>SUMIFS(Assumptions!CF$105:CF$128,Assumptions!$BB$105:$BB$128,'non-road'!$F19,Assumptions!$BC$105:$BC$128,'non-road'!$D19)/SUMIF(Assumptions!$BB$105:$BB$128,'non-road'!$F19,Assumptions!CF$105:CF$128)</f>
        <v>0</v>
      </c>
      <c r="AJ19" s="40">
        <f>SUMIFS(Assumptions!CG$105:CG$128,Assumptions!$BB$105:$BB$128,'non-road'!$F19,Assumptions!$BC$105:$BC$128,'non-road'!$D19)/SUMIF(Assumptions!$BB$105:$BB$128,'non-road'!$F19,Assumptions!CG$105:CG$128)</f>
        <v>0</v>
      </c>
      <c r="AK19" s="40">
        <f>SUMIFS(Assumptions!CH$105:CH$128,Assumptions!$BB$105:$BB$128,'non-road'!$F19,Assumptions!$BC$105:$BC$128,'non-road'!$D19)/SUMIF(Assumptions!$BB$105:$BB$128,'non-road'!$F19,Assumptions!CH$105:CH$128)</f>
        <v>0</v>
      </c>
      <c r="AL19" s="40">
        <f>SUMIFS(Assumptions!CI$105:CI$128,Assumptions!$BB$105:$BB$128,'non-road'!$F19,Assumptions!$BC$105:$BC$128,'non-road'!$D19)/SUMIF(Assumptions!$BB$105:$BB$128,'non-road'!$F19,Assumptions!CI$105:CI$128)</f>
        <v>0</v>
      </c>
      <c r="AM19" s="40">
        <f>SUMIFS(Assumptions!CJ$105:CJ$128,Assumptions!$BB$105:$BB$128,'non-road'!$F19,Assumptions!$BC$105:$BC$128,'non-road'!$D19)/SUMIF(Assumptions!$BB$105:$BB$128,'non-road'!$F19,Assumptions!CJ$105:CJ$128)</f>
        <v>0</v>
      </c>
      <c r="AN19" s="40">
        <f>SUMIFS(Assumptions!CK$105:CK$128,Assumptions!$BB$105:$BB$128,'non-road'!$F19,Assumptions!$BC$105:$BC$128,'non-road'!$D19)/SUMIF(Assumptions!$BB$105:$BB$128,'non-road'!$F19,Assumptions!CK$105:CK$128)</f>
        <v>0</v>
      </c>
      <c r="AO19" s="40">
        <f>SUMIFS(Assumptions!CL$105:CL$128,Assumptions!$BB$105:$BB$128,'non-road'!$F19,Assumptions!$BC$105:$BC$128,'non-road'!$D19)/SUMIF(Assumptions!$BB$105:$BB$128,'non-road'!$F19,Assumptions!CL$105:CL$128)</f>
        <v>0</v>
      </c>
      <c r="AP19" s="40" t="e">
        <f>SUMIFS(Assumptions!CM$105:CM$128,Assumptions!$BB$105:$BB$128,'non-road'!$F19,Assumptions!$BC$105:$BC$128,'non-road'!$D19)/SUMIF(Assumptions!$BB$105:$BB$128,'non-road'!$F19,Assumptions!CM$105:CM$128)</f>
        <v>#DIV/0!</v>
      </c>
      <c r="AQ19" s="40" t="e">
        <f>SUMIFS(Assumptions!CN$105:CN$128,Assumptions!$BB$105:$BB$128,'non-road'!$F19,Assumptions!$BC$105:$BC$128,'non-road'!$D19)/SUMIF(Assumptions!$BB$105:$BB$128,'non-road'!$F19,Assumptions!CN$105:CN$128)</f>
        <v>#DIV/0!</v>
      </c>
      <c r="AR19" s="40" t="e">
        <f>SUMIFS(Assumptions!CO$105:CO$128,Assumptions!$BB$105:$BB$128,'non-road'!$F19,Assumptions!$BC$105:$BC$128,'non-road'!$D19)/SUMIF(Assumptions!$BB$105:$BB$128,'non-road'!$F19,Assumptions!CO$105:CO$128)</f>
        <v>#DIV/0!</v>
      </c>
      <c r="AS19" s="40" t="e">
        <f>SUMIFS(Assumptions!CP$105:CP$128,Assumptions!$BB$105:$BB$128,'non-road'!$F19,Assumptions!$BC$105:$BC$128,'non-road'!$D19)/SUMIF(Assumptions!$BB$105:$BB$128,'non-road'!$F19,Assumptions!CP$105:CP$128)</f>
        <v>#DIV/0!</v>
      </c>
      <c r="AT19" s="40" t="e">
        <f>SUMIFS(Assumptions!CQ$105:CQ$128,Assumptions!$BB$105:$BB$128,'non-road'!$F19,Assumptions!$BC$105:$BC$128,'non-road'!$D19)/SUMIF(Assumptions!$BB$105:$BB$128,'non-road'!$F19,Assumptions!CQ$105:CQ$128)</f>
        <v>#DIV/0!</v>
      </c>
      <c r="AU19" s="40" t="e">
        <f>SUMIFS(Assumptions!CR$105:CR$128,Assumptions!$BB$105:$BB$128,'non-road'!$F19,Assumptions!$BC$105:$BC$128,'non-road'!$D19)/SUMIF(Assumptions!$BB$105:$BB$128,'non-road'!$F19,Assumptions!CR$105:CR$128)</f>
        <v>#DIV/0!</v>
      </c>
      <c r="AV19" s="40" t="e">
        <f>SUMIFS(Assumptions!CS$105:CS$128,Assumptions!$BB$105:$BB$128,'non-road'!$F19,Assumptions!$BC$105:$BC$128,'non-road'!$D19)/SUMIF(Assumptions!$BB$105:$BB$128,'non-road'!$F19,Assumptions!CS$105:CS$128)</f>
        <v>#DIV/0!</v>
      </c>
      <c r="AW19" s="40" t="e">
        <f>SUMIFS(Assumptions!CT$105:CT$128,Assumptions!$BB$105:$BB$128,'non-road'!$F19,Assumptions!$BC$105:$BC$128,'non-road'!$D19)/SUMIF(Assumptions!$BB$105:$BB$128,'non-road'!$F19,Assumptions!CT$105:CT$128)</f>
        <v>#DIV/0!</v>
      </c>
      <c r="AX19" s="40" t="e">
        <f>SUMIFS(Assumptions!CU$105:CU$128,Assumptions!$BB$105:$BB$128,'non-road'!$F19,Assumptions!$BC$105:$BC$128,'non-road'!$D19)/SUMIF(Assumptions!$BB$105:$BB$128,'non-road'!$F19,Assumptions!CU$105:CU$128)</f>
        <v>#DIV/0!</v>
      </c>
      <c r="AY19" s="40" t="e">
        <f>SUMIFS(Assumptions!CV$105:CV$128,Assumptions!$BB$105:$BB$128,'non-road'!$F19,Assumptions!$BC$105:$BC$128,'non-road'!$D19)/SUMIF(Assumptions!$BB$105:$BB$128,'non-road'!$F19,Assumptions!CV$105:CV$128)</f>
        <v>#DIV/0!</v>
      </c>
      <c r="AZ19" s="40" t="e">
        <f>SUMIFS(Assumptions!CW$105:CW$128,Assumptions!$BB$105:$BB$128,'non-road'!$F19,Assumptions!$BC$105:$BC$128,'non-road'!$D19)/SUMIF(Assumptions!$BB$105:$BB$128,'non-road'!$F19,Assumptions!CW$105:CW$128)</f>
        <v>#DIV/0!</v>
      </c>
      <c r="BD19" s="39" t="str">
        <f t="shared" si="55"/>
        <v>\I:</v>
      </c>
      <c r="BE19" s="40">
        <f>VLOOKUP($F19,Assumptions!$E$152:$BC$157,COLUMN()-COLUMN($BC$4),FALSE)</f>
        <v>1</v>
      </c>
      <c r="BF19" s="40">
        <f>VLOOKUP($F19,Assumptions!$E$152:$BC$157,COLUMN()-COLUMN($BC$4),FALSE)</f>
        <v>1</v>
      </c>
      <c r="BG19" s="40">
        <f>VLOOKUP($F19,Assumptions!$E$152:$BC$157,COLUMN()-COLUMN($BC$4),FALSE)</f>
        <v>1</v>
      </c>
      <c r="BH19" s="40">
        <f>VLOOKUP($F19,Assumptions!$E$152:$BC$157,COLUMN()-COLUMN($BC$4),FALSE)</f>
        <v>1</v>
      </c>
      <c r="BI19" s="40">
        <f>VLOOKUP($F19,Assumptions!$E$152:$BC$157,COLUMN()-COLUMN($BC$4),FALSE)</f>
        <v>1</v>
      </c>
      <c r="BJ19" s="40">
        <f>VLOOKUP($F19,Assumptions!$E$152:$BC$157,COLUMN()-COLUMN($BC$4),FALSE)</f>
        <v>1</v>
      </c>
      <c r="BK19" s="40">
        <f>VLOOKUP($F19,Assumptions!$E$152:$BC$157,COLUMN()-COLUMN($BC$4),FALSE)</f>
        <v>1</v>
      </c>
      <c r="BL19" s="40">
        <f>VLOOKUP($F19,Assumptions!$E$152:$BC$157,COLUMN()-COLUMN($BC$4),FALSE)</f>
        <v>1</v>
      </c>
      <c r="BM19" s="40">
        <f>VLOOKUP($F19,Assumptions!$E$152:$BC$157,COLUMN()-COLUMN($BC$4),FALSE)</f>
        <v>1</v>
      </c>
      <c r="BN19" s="40">
        <f>VLOOKUP($F19,Assumptions!$E$152:$BC$157,COLUMN()-COLUMN($BC$4),FALSE)</f>
        <v>1</v>
      </c>
      <c r="BO19" s="40">
        <f>VLOOKUP($F19,Assumptions!$E$152:$BC$157,COLUMN()-COLUMN($BC$4),FALSE)</f>
        <v>1</v>
      </c>
      <c r="BP19" s="40">
        <f>VLOOKUP($F19,Assumptions!$E$152:$BC$157,COLUMN()-COLUMN($BC$4),FALSE)</f>
        <v>1</v>
      </c>
      <c r="BQ19" s="40">
        <f>VLOOKUP($F19,Assumptions!$E$152:$BC$157,COLUMN()-COLUMN($BC$4),FALSE)</f>
        <v>1</v>
      </c>
      <c r="BR19" s="40">
        <f>VLOOKUP($F19,Assumptions!$E$152:$BC$157,COLUMN()-COLUMN($BC$4),FALSE)</f>
        <v>1</v>
      </c>
      <c r="BS19" s="40">
        <f>VLOOKUP($F19,Assumptions!$E$152:$BC$157,COLUMN()-COLUMN($BC$4),FALSE)</f>
        <v>1</v>
      </c>
      <c r="BT19" s="40">
        <f>VLOOKUP($F19,Assumptions!$E$152:$BC$157,COLUMN()-COLUMN($BC$4),FALSE)</f>
        <v>1</v>
      </c>
      <c r="BU19" s="40">
        <f>VLOOKUP($F19,Assumptions!$E$152:$BC$157,COLUMN()-COLUMN($BC$4),FALSE)</f>
        <v>1</v>
      </c>
      <c r="BV19" s="40">
        <f>VLOOKUP($F19,Assumptions!$E$152:$BC$157,COLUMN()-COLUMN($BC$4),FALSE)</f>
        <v>1</v>
      </c>
      <c r="BW19" s="40">
        <f>VLOOKUP($F19,Assumptions!$E$152:$BC$157,COLUMN()-COLUMN($BC$4),FALSE)</f>
        <v>1</v>
      </c>
      <c r="BX19" s="40">
        <f>VLOOKUP($F19,Assumptions!$E$152:$BC$157,COLUMN()-COLUMN($BC$4),FALSE)</f>
        <v>1</v>
      </c>
      <c r="BY19" s="40">
        <f>VLOOKUP($F19,Assumptions!$E$152:$BC$157,COLUMN()-COLUMN($BC$4),FALSE)</f>
        <v>1</v>
      </c>
      <c r="BZ19" s="40">
        <f>VLOOKUP($F19,Assumptions!$E$152:$BC$157,COLUMN()-COLUMN($BC$4),FALSE)</f>
        <v>1</v>
      </c>
      <c r="CA19" s="40">
        <f>VLOOKUP($F19,Assumptions!$E$152:$BC$157,COLUMN()-COLUMN($BC$4),FALSE)</f>
        <v>1</v>
      </c>
      <c r="CB19" s="40">
        <f>VLOOKUP($F19,Assumptions!$E$152:$BC$157,COLUMN()-COLUMN($BC$4),FALSE)</f>
        <v>1</v>
      </c>
      <c r="CC19" s="40">
        <f>VLOOKUP($F19,Assumptions!$E$152:$BC$157,COLUMN()-COLUMN($BC$4),FALSE)</f>
        <v>1</v>
      </c>
      <c r="CD19" s="40">
        <f>VLOOKUP($F19,Assumptions!$E$152:$BC$157,COLUMN()-COLUMN($BC$4),FALSE)</f>
        <v>1</v>
      </c>
      <c r="CE19" s="40">
        <f>VLOOKUP($F19,Assumptions!$E$152:$BC$157,COLUMN()-COLUMN($BC$4),FALSE)</f>
        <v>1</v>
      </c>
      <c r="CF19" s="40">
        <f>VLOOKUP($F19,Assumptions!$E$152:$BC$157,COLUMN()-COLUMN($BC$4),FALSE)</f>
        <v>1</v>
      </c>
      <c r="CG19" s="40">
        <f>VLOOKUP($F19,Assumptions!$E$152:$BC$157,COLUMN()-COLUMN($BC$4),FALSE)</f>
        <v>1</v>
      </c>
      <c r="CH19" s="40">
        <f>VLOOKUP($F19,Assumptions!$E$152:$BC$157,COLUMN()-COLUMN($BC$4),FALSE)</f>
        <v>1</v>
      </c>
      <c r="CI19" s="40">
        <f>VLOOKUP($F19,Assumptions!$E$152:$BC$157,COLUMN()-COLUMN($BC$4),FALSE)</f>
        <v>1</v>
      </c>
      <c r="CJ19" s="40">
        <f>VLOOKUP($F19,Assumptions!$E$152:$BC$157,COLUMN()-COLUMN($BC$4),FALSE)</f>
        <v>1</v>
      </c>
      <c r="CK19" s="40">
        <f>VLOOKUP($F19,Assumptions!$E$152:$BC$157,COLUMN()-COLUMN($BC$4),FALSE)</f>
        <v>1</v>
      </c>
      <c r="CL19" s="40">
        <f>VLOOKUP($F19,Assumptions!$E$152:$BC$157,COLUMN()-COLUMN($BC$4),FALSE)</f>
        <v>1</v>
      </c>
      <c r="CM19" s="40">
        <f>VLOOKUP($F19,Assumptions!$E$152:$BC$157,COLUMN()-COLUMN($BC$4),FALSE)</f>
        <v>1</v>
      </c>
      <c r="CN19" s="40">
        <f>VLOOKUP($F19,Assumptions!$E$152:$BC$157,COLUMN()-COLUMN($BC$4),FALSE)</f>
        <v>1</v>
      </c>
      <c r="CO19" s="40">
        <f>VLOOKUP($F19,Assumptions!$E$152:$BC$157,COLUMN()-COLUMN($BC$4),FALSE)</f>
        <v>1</v>
      </c>
      <c r="CP19" s="40">
        <f>VLOOKUP($F19,Assumptions!$E$152:$BC$157,COLUMN()-COLUMN($BC$4),FALSE)</f>
        <v>1</v>
      </c>
      <c r="CQ19" s="40">
        <f>VLOOKUP($F19,Assumptions!$E$152:$BC$157,COLUMN()-COLUMN($BC$4),FALSE)</f>
        <v>1</v>
      </c>
      <c r="CR19" s="40">
        <f>VLOOKUP($F19,Assumptions!$E$152:$BC$157,COLUMN()-COLUMN($BC$4),FALSE)</f>
        <v>1</v>
      </c>
      <c r="CS19" s="40">
        <f>VLOOKUP($F19,Assumptions!$E$152:$BC$157,COLUMN()-COLUMN($BC$4),FALSE)</f>
        <v>1</v>
      </c>
      <c r="CT19" s="40">
        <f>VLOOKUP($F19,Assumptions!$E$152:$BC$157,COLUMN()-COLUMN($BC$4),FALSE)</f>
        <v>1</v>
      </c>
      <c r="CU19" s="40">
        <f>VLOOKUP($F19,Assumptions!$E$152:$BC$157,COLUMN()-COLUMN($BC$4),FALSE)</f>
        <v>1</v>
      </c>
      <c r="CV19" s="40">
        <f>VLOOKUP($F19,Assumptions!$E$152:$BC$157,COLUMN()-COLUMN($BC$4),FALSE)</f>
        <v>1</v>
      </c>
      <c r="CW19" s="40">
        <f>VLOOKUP($F19,Assumptions!$E$152:$BC$157,COLUMN()-COLUMN($BC$4),FALSE)</f>
        <v>1</v>
      </c>
      <c r="CX19" s="40">
        <f>VLOOKUP($F19,Assumptions!$E$152:$BC$157,COLUMN()-COLUMN($BC$4),FALSE)</f>
        <v>1</v>
      </c>
      <c r="CY19" s="39"/>
      <c r="CZ19" s="44" t="str">
        <f>'TRA balance'!C57</f>
        <v>Year</v>
      </c>
      <c r="DA19" s="44" t="str">
        <f>'TRA balance'!D57</f>
        <v>Drvr</v>
      </c>
      <c r="DB19" s="44" t="str">
        <f>'TRA balance'!E57</f>
        <v>Africa_North</v>
      </c>
      <c r="DC19" s="44" t="str">
        <f>'TRA balance'!F57</f>
        <v>Africa_Other</v>
      </c>
      <c r="DD19" s="44" t="str">
        <f>'TRA balance'!G57</f>
        <v>Australia_d</v>
      </c>
      <c r="DE19" s="44" t="str">
        <f>'TRA balance'!H57</f>
        <v>Austria_d</v>
      </c>
      <c r="DF19" s="44" t="str">
        <f>'TRA balance'!I57</f>
        <v>Baltics</v>
      </c>
      <c r="DG19" s="44" t="str">
        <f>'TRA balance'!J57</f>
        <v>BeNeLux</v>
      </c>
      <c r="DH19" s="44" t="str">
        <f>'TRA balance'!K57</f>
        <v>Brazil_d</v>
      </c>
      <c r="DI19" s="44" t="str">
        <f>'TRA balance'!L57</f>
        <v>China_d</v>
      </c>
      <c r="DJ19" s="44" t="str">
        <f>'TRA balance'!M57</f>
        <v>CroSloven</v>
      </c>
      <c r="DK19" s="44" t="str">
        <f>'TRA balance'!N57</f>
        <v>CzechSlovak</v>
      </c>
      <c r="DL19" s="44" t="str">
        <f>'TRA balance'!O57</f>
        <v>France_d</v>
      </c>
      <c r="DM19" s="44" t="str">
        <f>'TRA balance'!P57</f>
        <v>Germany_d</v>
      </c>
      <c r="DN19" s="44" t="str">
        <f>'TRA balance'!Q57</f>
        <v>GreeceCyp</v>
      </c>
      <c r="DO19" s="44" t="str">
        <f>'TRA balance'!R57</f>
        <v>HunRomBul</v>
      </c>
      <c r="DP19" s="44" t="str">
        <f>'TRA balance'!S57</f>
        <v>Iceland_d</v>
      </c>
      <c r="DQ19" s="44" t="str">
        <f>'TRA balance'!T57</f>
        <v>India_d</v>
      </c>
      <c r="DR19" s="44" t="str">
        <f>'TRA balance'!U57</f>
        <v>Ireland_d</v>
      </c>
      <c r="DS19" s="44" t="str">
        <f>'TRA balance'!V57</f>
        <v>ItalyMal</v>
      </c>
      <c r="DT19" s="44" t="str">
        <f>'TRA balance'!W57</f>
        <v>Japan_d</v>
      </c>
      <c r="DU19" s="44" t="str">
        <f>'TRA balance'!X57</f>
        <v>LatAm</v>
      </c>
      <c r="DV19" s="44" t="str">
        <f>'TRA balance'!Y57</f>
        <v>MidEast</v>
      </c>
      <c r="DW19" s="44" t="str">
        <f>'TRA balance'!Z57</f>
        <v>NorthAm</v>
      </c>
      <c r="DX19" s="44" t="str">
        <f>'TRA balance'!AA57</f>
        <v>Norway_d</v>
      </c>
      <c r="DY19" s="44" t="str">
        <f>'TRA balance'!AB57</f>
        <v>Poland_d</v>
      </c>
      <c r="DZ19" s="44" t="str">
        <f>'TRA balance'!AC57</f>
        <v>ROW</v>
      </c>
      <c r="EA19" s="44" t="str">
        <f>'TRA balance'!AD57</f>
        <v>Russia_d</v>
      </c>
      <c r="EB19" s="44" t="str">
        <f>'TRA balance'!AE57</f>
        <v>SaudiArabia_d</v>
      </c>
      <c r="EC19" s="44" t="str">
        <f>'TRA balance'!AF57</f>
        <v>SouthAfrica_d</v>
      </c>
      <c r="ED19" s="44" t="str">
        <f>'TRA balance'!AG57</f>
        <v>SpainPor</v>
      </c>
      <c r="EE19" s="44" t="str">
        <f>'TRA balance'!AH57</f>
        <v>SweFinDen</v>
      </c>
      <c r="EF19" s="44" t="str">
        <f>'TRA balance'!AI57</f>
        <v>Switzerland_d</v>
      </c>
      <c r="EG19" s="44" t="str">
        <f>'TRA balance'!AJ57</f>
        <v>Turkey_d</v>
      </c>
      <c r="EH19" s="44" t="str">
        <f>'TRA balance'!AK57</f>
        <v>UK_d</v>
      </c>
      <c r="EI19" s="44" t="str">
        <f>'TRA balance'!AL57</f>
        <v>Ukraine_d</v>
      </c>
      <c r="EJ19" s="44" t="str">
        <f>'TRA balance'!AM57</f>
        <v>WestBalkans</v>
      </c>
      <c r="EK19" s="44" t="str">
        <f>'TRA balance'!AN57</f>
        <v>PRT</v>
      </c>
      <c r="EL19" s="44" t="str">
        <f>'TRA balance'!AO57</f>
        <v>ROM</v>
      </c>
      <c r="EM19" s="44" t="str">
        <f>'TRA balance'!AP57</f>
        <v>ROW</v>
      </c>
      <c r="EN19" s="44" t="str">
        <f>'TRA balance'!AQ57</f>
        <v>Russia</v>
      </c>
      <c r="EO19" s="44" t="str">
        <f>'TRA balance'!AR57</f>
        <v>SRB</v>
      </c>
      <c r="EP19" s="44" t="str">
        <f>'TRA balance'!AS57</f>
        <v>SVK</v>
      </c>
      <c r="EQ19" s="44" t="str">
        <f>'TRA balance'!AT57</f>
        <v>SVN</v>
      </c>
      <c r="ER19" s="44" t="str">
        <f>'TRA balance'!AU57</f>
        <v>SWE</v>
      </c>
      <c r="ES19" s="44" t="str">
        <f>'TRA balance'!AV57</f>
        <v>TUR</v>
      </c>
      <c r="ET19" s="44" t="str">
        <f>'TRA balance'!AW57</f>
        <v>UKR</v>
      </c>
      <c r="EU19" s="44" t="str">
        <f>'TRA balance'!AX57</f>
        <v>XXK</v>
      </c>
      <c r="EV19" s="39"/>
      <c r="EW19" s="39" t="str">
        <f t="shared" si="48"/>
        <v>\I:</v>
      </c>
      <c r="EX19" s="39" t="str">
        <f t="shared" si="68"/>
        <v/>
      </c>
      <c r="EY19" s="39" t="s">
        <v>133</v>
      </c>
      <c r="EZ19" s="39" t="s">
        <v>85</v>
      </c>
      <c r="FA19" s="39" t="s">
        <v>440</v>
      </c>
    </row>
    <row r="20" ht="16" spans="1:157">
      <c r="C20" s="39" t="str">
        <f t="shared" si="54"/>
        <v/>
      </c>
      <c r="D20" s="39" t="s">
        <v>69</v>
      </c>
      <c r="E20" s="39"/>
      <c r="F20" s="39" t="s">
        <v>76</v>
      </c>
      <c r="G20" s="40">
        <f>SUMIFS(Assumptions!BD$105:BD$128,Assumptions!$BB$105:$BB$128,'non-road'!$F20,Assumptions!$BC$105:$BC$128,'non-road'!$D20)/SUMIF(Assumptions!$BB$105:$BB$128,'non-road'!$F20,Assumptions!BD$105:BD$128)</f>
        <v>0</v>
      </c>
      <c r="H20" s="40">
        <f>SUMIFS(Assumptions!BE$105:BE$128,Assumptions!$BB$105:$BB$128,'non-road'!$F20,Assumptions!$BC$105:$BC$128,'non-road'!$D20)/SUMIF(Assumptions!$BB$105:$BB$128,'non-road'!$F20,Assumptions!BE$105:BE$128)</f>
        <v>0</v>
      </c>
      <c r="I20" s="40">
        <f>SUMIFS(Assumptions!BF$105:BF$128,Assumptions!$BB$105:$BB$128,'non-road'!$F20,Assumptions!$BC$105:$BC$128,'non-road'!$D20)/SUMIF(Assumptions!$BB$105:$BB$128,'non-road'!$F20,Assumptions!BF$105:BF$128)</f>
        <v>0</v>
      </c>
      <c r="J20" s="40">
        <f>SUMIFS(Assumptions!BG$105:BG$128,Assumptions!$BB$105:$BB$128,'non-road'!$F20,Assumptions!$BC$105:$BC$128,'non-road'!$D20)/SUMIF(Assumptions!$BB$105:$BB$128,'non-road'!$F20,Assumptions!BG$105:BG$128)</f>
        <v>0</v>
      </c>
      <c r="K20" s="40">
        <f>SUMIFS(Assumptions!BH$105:BH$128,Assumptions!$BB$105:$BB$128,'non-road'!$F20,Assumptions!$BC$105:$BC$128,'non-road'!$D20)/SUMIF(Assumptions!$BB$105:$BB$128,'non-road'!$F20,Assumptions!BH$105:BH$128)</f>
        <v>0</v>
      </c>
      <c r="L20" s="40">
        <f>SUMIFS(Assumptions!BI$105:BI$128,Assumptions!$BB$105:$BB$128,'non-road'!$F20,Assumptions!$BC$105:$BC$128,'non-road'!$D20)/SUMIF(Assumptions!$BB$105:$BB$128,'non-road'!$F20,Assumptions!BI$105:BI$128)</f>
        <v>0</v>
      </c>
      <c r="M20" s="40">
        <f>SUMIFS(Assumptions!BJ$105:BJ$128,Assumptions!$BB$105:$BB$128,'non-road'!$F20,Assumptions!$BC$105:$BC$128,'non-road'!$D20)/SUMIF(Assumptions!$BB$105:$BB$128,'non-road'!$F20,Assumptions!BJ$105:BJ$128)</f>
        <v>0</v>
      </c>
      <c r="N20" s="40">
        <f>SUMIFS(Assumptions!BK$105:BK$128,Assumptions!$BB$105:$BB$128,'non-road'!$F20,Assumptions!$BC$105:$BC$128,'non-road'!$D20)/SUMIF(Assumptions!$BB$105:$BB$128,'non-road'!$F20,Assumptions!BK$105:BK$128)</f>
        <v>0</v>
      </c>
      <c r="O20" s="40">
        <f>SUMIFS(Assumptions!BL$105:BL$128,Assumptions!$BB$105:$BB$128,'non-road'!$F20,Assumptions!$BC$105:$BC$128,'non-road'!$D20)/SUMIF(Assumptions!$BB$105:$BB$128,'non-road'!$F20,Assumptions!BL$105:BL$128)</f>
        <v>0</v>
      </c>
      <c r="P20" s="40">
        <f>SUMIFS(Assumptions!BM$105:BM$128,Assumptions!$BB$105:$BB$128,'non-road'!$F20,Assumptions!$BC$105:$BC$128,'non-road'!$D20)/SUMIF(Assumptions!$BB$105:$BB$128,'non-road'!$F20,Assumptions!BM$105:BM$128)</f>
        <v>0</v>
      </c>
      <c r="Q20" s="40">
        <f>SUMIFS(Assumptions!BN$105:BN$128,Assumptions!$BB$105:$BB$128,'non-road'!$F20,Assumptions!$BC$105:$BC$128,'non-road'!$D20)/SUMIF(Assumptions!$BB$105:$BB$128,'non-road'!$F20,Assumptions!BN$105:BN$128)</f>
        <v>0</v>
      </c>
      <c r="R20" s="40">
        <f>SUMIFS(Assumptions!BO$105:BO$128,Assumptions!$BB$105:$BB$128,'non-road'!$F20,Assumptions!$BC$105:$BC$128,'non-road'!$D20)/SUMIF(Assumptions!$BB$105:$BB$128,'non-road'!$F20,Assumptions!BO$105:BO$128)</f>
        <v>0</v>
      </c>
      <c r="S20" s="40">
        <f>SUMIFS(Assumptions!BP$105:BP$128,Assumptions!$BB$105:$BB$128,'non-road'!$F20,Assumptions!$BC$105:$BC$128,'non-road'!$D20)/SUMIF(Assumptions!$BB$105:$BB$128,'non-road'!$F20,Assumptions!BP$105:BP$128)</f>
        <v>0</v>
      </c>
      <c r="T20" s="40">
        <f>SUMIFS(Assumptions!BQ$105:BQ$128,Assumptions!$BB$105:$BB$128,'non-road'!$F20,Assumptions!$BC$105:$BC$128,'non-road'!$D20)/SUMIF(Assumptions!$BB$105:$BB$128,'non-road'!$F20,Assumptions!BQ$105:BQ$128)</f>
        <v>0</v>
      </c>
      <c r="U20" s="40">
        <f>SUMIFS(Assumptions!BR$105:BR$128,Assumptions!$BB$105:$BB$128,'non-road'!$F20,Assumptions!$BC$105:$BC$128,'non-road'!$D20)/SUMIF(Assumptions!$BB$105:$BB$128,'non-road'!$F20,Assumptions!BR$105:BR$128)</f>
        <v>0</v>
      </c>
      <c r="V20" s="40">
        <f>SUMIFS(Assumptions!BS$105:BS$128,Assumptions!$BB$105:$BB$128,'non-road'!$F20,Assumptions!$BC$105:$BC$128,'non-road'!$D20)/SUMIF(Assumptions!$BB$105:$BB$128,'non-road'!$F20,Assumptions!BS$105:BS$128)</f>
        <v>0</v>
      </c>
      <c r="W20" s="40">
        <f>SUMIFS(Assumptions!BT$105:BT$128,Assumptions!$BB$105:$BB$128,'non-road'!$F20,Assumptions!$BC$105:$BC$128,'non-road'!$D20)/SUMIF(Assumptions!$BB$105:$BB$128,'non-road'!$F20,Assumptions!BT$105:BT$128)</f>
        <v>0</v>
      </c>
      <c r="X20" s="40">
        <f>SUMIFS(Assumptions!BU$105:BU$128,Assumptions!$BB$105:$BB$128,'non-road'!$F20,Assumptions!$BC$105:$BC$128,'non-road'!$D20)/SUMIF(Assumptions!$BB$105:$BB$128,'non-road'!$F20,Assumptions!BU$105:BU$128)</f>
        <v>0</v>
      </c>
      <c r="Y20" s="40">
        <f>SUMIFS(Assumptions!BV$105:BV$128,Assumptions!$BB$105:$BB$128,'non-road'!$F20,Assumptions!$BC$105:$BC$128,'non-road'!$D20)/SUMIF(Assumptions!$BB$105:$BB$128,'non-road'!$F20,Assumptions!BV$105:BV$128)</f>
        <v>0</v>
      </c>
      <c r="Z20" s="40">
        <f>SUMIFS(Assumptions!BW$105:BW$128,Assumptions!$BB$105:$BB$128,'non-road'!$F20,Assumptions!$BC$105:$BC$128,'non-road'!$D20)/SUMIF(Assumptions!$BB$105:$BB$128,'non-road'!$F20,Assumptions!BW$105:BW$128)</f>
        <v>0</v>
      </c>
      <c r="AA20" s="40">
        <f>SUMIFS(Assumptions!BX$105:BX$128,Assumptions!$BB$105:$BB$128,'non-road'!$F20,Assumptions!$BC$105:$BC$128,'non-road'!$D20)/SUMIF(Assumptions!$BB$105:$BB$128,'non-road'!$F20,Assumptions!BX$105:BX$128)</f>
        <v>0</v>
      </c>
      <c r="AB20" s="40">
        <f>SUMIFS(Assumptions!BY$105:BY$128,Assumptions!$BB$105:$BB$128,'non-road'!$F20,Assumptions!$BC$105:$BC$128,'non-road'!$D20)/SUMIF(Assumptions!$BB$105:$BB$128,'non-road'!$F20,Assumptions!BY$105:BY$128)</f>
        <v>0</v>
      </c>
      <c r="AC20" s="40">
        <f>SUMIFS(Assumptions!BZ$105:BZ$128,Assumptions!$BB$105:$BB$128,'non-road'!$F20,Assumptions!$BC$105:$BC$128,'non-road'!$D20)/SUMIF(Assumptions!$BB$105:$BB$128,'non-road'!$F20,Assumptions!BZ$105:BZ$128)</f>
        <v>0</v>
      </c>
      <c r="AD20" s="40">
        <f>SUMIFS(Assumptions!CA$105:CA$128,Assumptions!$BB$105:$BB$128,'non-road'!$F20,Assumptions!$BC$105:$BC$128,'non-road'!$D20)/SUMIF(Assumptions!$BB$105:$BB$128,'non-road'!$F20,Assumptions!CA$105:CA$128)</f>
        <v>0</v>
      </c>
      <c r="AE20" s="40">
        <f>SUMIFS(Assumptions!CB$105:CB$128,Assumptions!$BB$105:$BB$128,'non-road'!$F20,Assumptions!$BC$105:$BC$128,'non-road'!$D20)/SUMIF(Assumptions!$BB$105:$BB$128,'non-road'!$F20,Assumptions!CB$105:CB$128)</f>
        <v>0</v>
      </c>
      <c r="AF20" s="40">
        <f>SUMIFS(Assumptions!CC$105:CC$128,Assumptions!$BB$105:$BB$128,'non-road'!$F20,Assumptions!$BC$105:$BC$128,'non-road'!$D20)/SUMIF(Assumptions!$BB$105:$BB$128,'non-road'!$F20,Assumptions!CC$105:CC$128)</f>
        <v>0</v>
      </c>
      <c r="AG20" s="40">
        <f>SUMIFS(Assumptions!CD$105:CD$128,Assumptions!$BB$105:$BB$128,'non-road'!$F20,Assumptions!$BC$105:$BC$128,'non-road'!$D20)/SUMIF(Assumptions!$BB$105:$BB$128,'non-road'!$F20,Assumptions!CD$105:CD$128)</f>
        <v>0</v>
      </c>
      <c r="AH20" s="40">
        <f>SUMIFS(Assumptions!CE$105:CE$128,Assumptions!$BB$105:$BB$128,'non-road'!$F20,Assumptions!$BC$105:$BC$128,'non-road'!$D20)/SUMIF(Assumptions!$BB$105:$BB$128,'non-road'!$F20,Assumptions!CE$105:CE$128)</f>
        <v>0</v>
      </c>
      <c r="AI20" s="40">
        <f>SUMIFS(Assumptions!CF$105:CF$128,Assumptions!$BB$105:$BB$128,'non-road'!$F20,Assumptions!$BC$105:$BC$128,'non-road'!$D20)/SUMIF(Assumptions!$BB$105:$BB$128,'non-road'!$F20,Assumptions!CF$105:CF$128)</f>
        <v>0</v>
      </c>
      <c r="AJ20" s="40">
        <f>SUMIFS(Assumptions!CG$105:CG$128,Assumptions!$BB$105:$BB$128,'non-road'!$F20,Assumptions!$BC$105:$BC$128,'non-road'!$D20)/SUMIF(Assumptions!$BB$105:$BB$128,'non-road'!$F20,Assumptions!CG$105:CG$128)</f>
        <v>0</v>
      </c>
      <c r="AK20" s="40">
        <f>SUMIFS(Assumptions!CH$105:CH$128,Assumptions!$BB$105:$BB$128,'non-road'!$F20,Assumptions!$BC$105:$BC$128,'non-road'!$D20)/SUMIF(Assumptions!$BB$105:$BB$128,'non-road'!$F20,Assumptions!CH$105:CH$128)</f>
        <v>0</v>
      </c>
      <c r="AL20" s="40">
        <f>SUMIFS(Assumptions!CI$105:CI$128,Assumptions!$BB$105:$BB$128,'non-road'!$F20,Assumptions!$BC$105:$BC$128,'non-road'!$D20)/SUMIF(Assumptions!$BB$105:$BB$128,'non-road'!$F20,Assumptions!CI$105:CI$128)</f>
        <v>0</v>
      </c>
      <c r="AM20" s="40">
        <f>SUMIFS(Assumptions!CJ$105:CJ$128,Assumptions!$BB$105:$BB$128,'non-road'!$F20,Assumptions!$BC$105:$BC$128,'non-road'!$D20)/SUMIF(Assumptions!$BB$105:$BB$128,'non-road'!$F20,Assumptions!CJ$105:CJ$128)</f>
        <v>0</v>
      </c>
      <c r="AN20" s="40">
        <f>SUMIFS(Assumptions!CK$105:CK$128,Assumptions!$BB$105:$BB$128,'non-road'!$F20,Assumptions!$BC$105:$BC$128,'non-road'!$D20)/SUMIF(Assumptions!$BB$105:$BB$128,'non-road'!$F20,Assumptions!CK$105:CK$128)</f>
        <v>0.696678690079593</v>
      </c>
      <c r="AO20" s="40">
        <f>SUMIFS(Assumptions!CL$105:CL$128,Assumptions!$BB$105:$BB$128,'non-road'!$F20,Assumptions!$BC$105:$BC$128,'non-road'!$D20)/SUMIF(Assumptions!$BB$105:$BB$128,'non-road'!$F20,Assumptions!CL$105:CL$128)</f>
        <v>0</v>
      </c>
      <c r="AP20" s="40" t="e">
        <f>SUMIFS(Assumptions!CM$105:CM$128,Assumptions!$BB$105:$BB$128,'non-road'!$F20,Assumptions!$BC$105:$BC$128,'non-road'!$D20)/SUMIF(Assumptions!$BB$105:$BB$128,'non-road'!$F20,Assumptions!CM$105:CM$128)</f>
        <v>#DIV/0!</v>
      </c>
      <c r="AQ20" s="40" t="e">
        <f>SUMIFS(Assumptions!CN$105:CN$128,Assumptions!$BB$105:$BB$128,'non-road'!$F20,Assumptions!$BC$105:$BC$128,'non-road'!$D20)/SUMIF(Assumptions!$BB$105:$BB$128,'non-road'!$F20,Assumptions!CN$105:CN$128)</f>
        <v>#DIV/0!</v>
      </c>
      <c r="AR20" s="40" t="e">
        <f>SUMIFS(Assumptions!CO$105:CO$128,Assumptions!$BB$105:$BB$128,'non-road'!$F20,Assumptions!$BC$105:$BC$128,'non-road'!$D20)/SUMIF(Assumptions!$BB$105:$BB$128,'non-road'!$F20,Assumptions!CO$105:CO$128)</f>
        <v>#DIV/0!</v>
      </c>
      <c r="AS20" s="40" t="e">
        <f>SUMIFS(Assumptions!CP$105:CP$128,Assumptions!$BB$105:$BB$128,'non-road'!$F20,Assumptions!$BC$105:$BC$128,'non-road'!$D20)/SUMIF(Assumptions!$BB$105:$BB$128,'non-road'!$F20,Assumptions!CP$105:CP$128)</f>
        <v>#DIV/0!</v>
      </c>
      <c r="AT20" s="40" t="e">
        <f>SUMIFS(Assumptions!CQ$105:CQ$128,Assumptions!$BB$105:$BB$128,'non-road'!$F20,Assumptions!$BC$105:$BC$128,'non-road'!$D20)/SUMIF(Assumptions!$BB$105:$BB$128,'non-road'!$F20,Assumptions!CQ$105:CQ$128)</f>
        <v>#DIV/0!</v>
      </c>
      <c r="AU20" s="40" t="e">
        <f>SUMIFS(Assumptions!CR$105:CR$128,Assumptions!$BB$105:$BB$128,'non-road'!$F20,Assumptions!$BC$105:$BC$128,'non-road'!$D20)/SUMIF(Assumptions!$BB$105:$BB$128,'non-road'!$F20,Assumptions!CR$105:CR$128)</f>
        <v>#DIV/0!</v>
      </c>
      <c r="AV20" s="40" t="e">
        <f>SUMIFS(Assumptions!CS$105:CS$128,Assumptions!$BB$105:$BB$128,'non-road'!$F20,Assumptions!$BC$105:$BC$128,'non-road'!$D20)/SUMIF(Assumptions!$BB$105:$BB$128,'non-road'!$F20,Assumptions!CS$105:CS$128)</f>
        <v>#DIV/0!</v>
      </c>
      <c r="AW20" s="40" t="e">
        <f>SUMIFS(Assumptions!CT$105:CT$128,Assumptions!$BB$105:$BB$128,'non-road'!$F20,Assumptions!$BC$105:$BC$128,'non-road'!$D20)/SUMIF(Assumptions!$BB$105:$BB$128,'non-road'!$F20,Assumptions!CT$105:CT$128)</f>
        <v>#DIV/0!</v>
      </c>
      <c r="AX20" s="40" t="e">
        <f>SUMIFS(Assumptions!CU$105:CU$128,Assumptions!$BB$105:$BB$128,'non-road'!$F20,Assumptions!$BC$105:$BC$128,'non-road'!$D20)/SUMIF(Assumptions!$BB$105:$BB$128,'non-road'!$F20,Assumptions!CU$105:CU$128)</f>
        <v>#DIV/0!</v>
      </c>
      <c r="AY20" s="40" t="e">
        <f>SUMIFS(Assumptions!CV$105:CV$128,Assumptions!$BB$105:$BB$128,'non-road'!$F20,Assumptions!$BC$105:$BC$128,'non-road'!$D20)/SUMIF(Assumptions!$BB$105:$BB$128,'non-road'!$F20,Assumptions!CV$105:CV$128)</f>
        <v>#DIV/0!</v>
      </c>
      <c r="AZ20" s="40" t="e">
        <f>SUMIFS(Assumptions!CW$105:CW$128,Assumptions!$BB$105:$BB$128,'non-road'!$F20,Assumptions!$BC$105:$BC$128,'non-road'!$D20)/SUMIF(Assumptions!$BB$105:$BB$128,'non-road'!$F20,Assumptions!CW$105:CW$128)</f>
        <v>#DIV/0!</v>
      </c>
      <c r="BD20" s="39" t="str">
        <f t="shared" si="55"/>
        <v>\I:</v>
      </c>
      <c r="BE20" s="40">
        <f>VLOOKUP($F20,Assumptions!$E$152:$BC$157,COLUMN()-COLUMN($BC$4),FALSE)</f>
        <v>1</v>
      </c>
      <c r="BF20" s="40">
        <f>VLOOKUP($F20,Assumptions!$E$152:$BC$157,COLUMN()-COLUMN($BC$4),FALSE)</f>
        <v>1</v>
      </c>
      <c r="BG20" s="40">
        <f>VLOOKUP($F20,Assumptions!$E$152:$BC$157,COLUMN()-COLUMN($BC$4),FALSE)</f>
        <v>1</v>
      </c>
      <c r="BH20" s="40">
        <f>VLOOKUP($F20,Assumptions!$E$152:$BC$157,COLUMN()-COLUMN($BC$4),FALSE)</f>
        <v>1</v>
      </c>
      <c r="BI20" s="40">
        <f>VLOOKUP($F20,Assumptions!$E$152:$BC$157,COLUMN()-COLUMN($BC$4),FALSE)</f>
        <v>1</v>
      </c>
      <c r="BJ20" s="40">
        <f>VLOOKUP($F20,Assumptions!$E$152:$BC$157,COLUMN()-COLUMN($BC$4),FALSE)</f>
        <v>1</v>
      </c>
      <c r="BK20" s="40">
        <f>VLOOKUP($F20,Assumptions!$E$152:$BC$157,COLUMN()-COLUMN($BC$4),FALSE)</f>
        <v>1</v>
      </c>
      <c r="BL20" s="40">
        <f>VLOOKUP($F20,Assumptions!$E$152:$BC$157,COLUMN()-COLUMN($BC$4),FALSE)</f>
        <v>1</v>
      </c>
      <c r="BM20" s="40">
        <f>VLOOKUP($F20,Assumptions!$E$152:$BC$157,COLUMN()-COLUMN($BC$4),FALSE)</f>
        <v>1</v>
      </c>
      <c r="BN20" s="40">
        <f>VLOOKUP($F20,Assumptions!$E$152:$BC$157,COLUMN()-COLUMN($BC$4),FALSE)</f>
        <v>1</v>
      </c>
      <c r="BO20" s="40">
        <f>VLOOKUP($F20,Assumptions!$E$152:$BC$157,COLUMN()-COLUMN($BC$4),FALSE)</f>
        <v>1</v>
      </c>
      <c r="BP20" s="40">
        <f>VLOOKUP($F20,Assumptions!$E$152:$BC$157,COLUMN()-COLUMN($BC$4),FALSE)</f>
        <v>1</v>
      </c>
      <c r="BQ20" s="40">
        <f>VLOOKUP($F20,Assumptions!$E$152:$BC$157,COLUMN()-COLUMN($BC$4),FALSE)</f>
        <v>1</v>
      </c>
      <c r="BR20" s="40">
        <f>VLOOKUP($F20,Assumptions!$E$152:$BC$157,COLUMN()-COLUMN($BC$4),FALSE)</f>
        <v>1</v>
      </c>
      <c r="BS20" s="40">
        <f>VLOOKUP($F20,Assumptions!$E$152:$BC$157,COLUMN()-COLUMN($BC$4),FALSE)</f>
        <v>1</v>
      </c>
      <c r="BT20" s="40">
        <f>VLOOKUP($F20,Assumptions!$E$152:$BC$157,COLUMN()-COLUMN($BC$4),FALSE)</f>
        <v>1</v>
      </c>
      <c r="BU20" s="40">
        <f>VLOOKUP($F20,Assumptions!$E$152:$BC$157,COLUMN()-COLUMN($BC$4),FALSE)</f>
        <v>1</v>
      </c>
      <c r="BV20" s="40">
        <f>VLOOKUP($F20,Assumptions!$E$152:$BC$157,COLUMN()-COLUMN($BC$4),FALSE)</f>
        <v>1</v>
      </c>
      <c r="BW20" s="40">
        <f>VLOOKUP($F20,Assumptions!$E$152:$BC$157,COLUMN()-COLUMN($BC$4),FALSE)</f>
        <v>1</v>
      </c>
      <c r="BX20" s="40">
        <f>VLOOKUP($F20,Assumptions!$E$152:$BC$157,COLUMN()-COLUMN($BC$4),FALSE)</f>
        <v>1</v>
      </c>
      <c r="BY20" s="40">
        <f>VLOOKUP($F20,Assumptions!$E$152:$BC$157,COLUMN()-COLUMN($BC$4),FALSE)</f>
        <v>1</v>
      </c>
      <c r="BZ20" s="40">
        <f>VLOOKUP($F20,Assumptions!$E$152:$BC$157,COLUMN()-COLUMN($BC$4),FALSE)</f>
        <v>1</v>
      </c>
      <c r="CA20" s="40">
        <f>VLOOKUP($F20,Assumptions!$E$152:$BC$157,COLUMN()-COLUMN($BC$4),FALSE)</f>
        <v>1</v>
      </c>
      <c r="CB20" s="40">
        <f>VLOOKUP($F20,Assumptions!$E$152:$BC$157,COLUMN()-COLUMN($BC$4),FALSE)</f>
        <v>1</v>
      </c>
      <c r="CC20" s="40">
        <f>VLOOKUP($F20,Assumptions!$E$152:$BC$157,COLUMN()-COLUMN($BC$4),FALSE)</f>
        <v>1</v>
      </c>
      <c r="CD20" s="40">
        <f>VLOOKUP($F20,Assumptions!$E$152:$BC$157,COLUMN()-COLUMN($BC$4),FALSE)</f>
        <v>1</v>
      </c>
      <c r="CE20" s="40">
        <f>VLOOKUP($F20,Assumptions!$E$152:$BC$157,COLUMN()-COLUMN($BC$4),FALSE)</f>
        <v>1</v>
      </c>
      <c r="CF20" s="40">
        <f>VLOOKUP($F20,Assumptions!$E$152:$BC$157,COLUMN()-COLUMN($BC$4),FALSE)</f>
        <v>1</v>
      </c>
      <c r="CG20" s="40">
        <f>VLOOKUP($F20,Assumptions!$E$152:$BC$157,COLUMN()-COLUMN($BC$4),FALSE)</f>
        <v>1</v>
      </c>
      <c r="CH20" s="40">
        <f>VLOOKUP($F20,Assumptions!$E$152:$BC$157,COLUMN()-COLUMN($BC$4),FALSE)</f>
        <v>1</v>
      </c>
      <c r="CI20" s="40">
        <f>VLOOKUP($F20,Assumptions!$E$152:$BC$157,COLUMN()-COLUMN($BC$4),FALSE)</f>
        <v>1</v>
      </c>
      <c r="CJ20" s="40">
        <f>VLOOKUP($F20,Assumptions!$E$152:$BC$157,COLUMN()-COLUMN($BC$4),FALSE)</f>
        <v>1</v>
      </c>
      <c r="CK20" s="40">
        <f>VLOOKUP($F20,Assumptions!$E$152:$BC$157,COLUMN()-COLUMN($BC$4),FALSE)</f>
        <v>1</v>
      </c>
      <c r="CL20" s="40">
        <f>VLOOKUP($F20,Assumptions!$E$152:$BC$157,COLUMN()-COLUMN($BC$4),FALSE)</f>
        <v>1</v>
      </c>
      <c r="CM20" s="40">
        <f>VLOOKUP($F20,Assumptions!$E$152:$BC$157,COLUMN()-COLUMN($BC$4),FALSE)</f>
        <v>1</v>
      </c>
      <c r="CN20" s="40">
        <f>VLOOKUP($F20,Assumptions!$E$152:$BC$157,COLUMN()-COLUMN($BC$4),FALSE)</f>
        <v>1</v>
      </c>
      <c r="CO20" s="40">
        <f>VLOOKUP($F20,Assumptions!$E$152:$BC$157,COLUMN()-COLUMN($BC$4),FALSE)</f>
        <v>1</v>
      </c>
      <c r="CP20" s="40">
        <f>VLOOKUP($F20,Assumptions!$E$152:$BC$157,COLUMN()-COLUMN($BC$4),FALSE)</f>
        <v>1</v>
      </c>
      <c r="CQ20" s="40">
        <f>VLOOKUP($F20,Assumptions!$E$152:$BC$157,COLUMN()-COLUMN($BC$4),FALSE)</f>
        <v>1</v>
      </c>
      <c r="CR20" s="40">
        <f>VLOOKUP($F20,Assumptions!$E$152:$BC$157,COLUMN()-COLUMN($BC$4),FALSE)</f>
        <v>1</v>
      </c>
      <c r="CS20" s="40">
        <f>VLOOKUP($F20,Assumptions!$E$152:$BC$157,COLUMN()-COLUMN($BC$4),FALSE)</f>
        <v>1</v>
      </c>
      <c r="CT20" s="40">
        <f>VLOOKUP($F20,Assumptions!$E$152:$BC$157,COLUMN()-COLUMN($BC$4),FALSE)</f>
        <v>1</v>
      </c>
      <c r="CU20" s="40">
        <f>VLOOKUP($F20,Assumptions!$E$152:$BC$157,COLUMN()-COLUMN($BC$4),FALSE)</f>
        <v>1</v>
      </c>
      <c r="CV20" s="40">
        <f>VLOOKUP($F20,Assumptions!$E$152:$BC$157,COLUMN()-COLUMN($BC$4),FALSE)</f>
        <v>1</v>
      </c>
      <c r="CW20" s="40">
        <f>VLOOKUP($F20,Assumptions!$E$152:$BC$157,COLUMN()-COLUMN($BC$4),FALSE)</f>
        <v>1</v>
      </c>
      <c r="CX20" s="40">
        <f>VLOOKUP($F20,Assumptions!$E$152:$BC$157,COLUMN()-COLUMN($BC$4),FALSE)</f>
        <v>1</v>
      </c>
      <c r="CY20" s="39"/>
      <c r="CZ20" s="44">
        <f>'TRA balance'!C58</f>
        <v>2019</v>
      </c>
      <c r="DA20" s="44" t="str">
        <f>'TRA balance'!D58</f>
        <v>GDP</v>
      </c>
      <c r="DB20" s="45">
        <f>'TRA balance'!E58</f>
        <v>2018.274</v>
      </c>
      <c r="DC20" s="45">
        <f>'TRA balance'!F58</f>
        <v>2792.809383</v>
      </c>
      <c r="DD20" s="45">
        <f>'TRA balance'!G58</f>
        <v>964.981</v>
      </c>
      <c r="DE20" s="45">
        <f>'TRA balance'!H58</f>
        <v>350.867</v>
      </c>
      <c r="DF20" s="45">
        <f>'TRA balance'!I58</f>
        <v>142.6773</v>
      </c>
      <c r="DG20" s="45">
        <f>'TRA balance'!J58</f>
        <v>1215.2069</v>
      </c>
      <c r="DH20" s="45">
        <f>'TRA balance'!K58</f>
        <v>2724.93</v>
      </c>
      <c r="DI20" s="45">
        <f>'TRA balance'!L58</f>
        <v>21308.9</v>
      </c>
      <c r="DJ20" s="45">
        <f>'TRA balance'!M58</f>
        <v>137.786</v>
      </c>
      <c r="DK20" s="45">
        <f>'TRA balance'!N58</f>
        <v>458.463</v>
      </c>
      <c r="DL20" s="45">
        <f>'TRA balance'!O58</f>
        <v>2250.3</v>
      </c>
      <c r="DM20" s="45">
        <f>'TRA balance'!P58</f>
        <v>3218.77</v>
      </c>
      <c r="DN20" s="45">
        <f>'TRA balance'!Q58</f>
        <v>269.2231</v>
      </c>
      <c r="DO20" s="45">
        <f>'TRA balance'!R58</f>
        <v>667.972</v>
      </c>
      <c r="DP20" s="45">
        <f>'TRA balance'!S58</f>
        <v>15.8709</v>
      </c>
      <c r="DQ20" s="45">
        <f>'TRA balance'!T58</f>
        <v>8348.05</v>
      </c>
      <c r="DR20" s="45">
        <f>'TRA balance'!U58</f>
        <v>302.74</v>
      </c>
      <c r="DS20" s="45">
        <f>'TRA balance'!V58</f>
        <v>1746.1618</v>
      </c>
      <c r="DT20" s="45">
        <f>'TRA balance'!W58</f>
        <v>4399.22</v>
      </c>
      <c r="DU20" s="45">
        <f>'TRA balance'!X58</f>
        <v>3684.5448814</v>
      </c>
      <c r="DV20" s="45">
        <f>'TRA balance'!Y58</f>
        <v>3897.7243</v>
      </c>
      <c r="DW20" s="45">
        <f>'TRA balance'!Z58</f>
        <v>20059.15</v>
      </c>
      <c r="DX20" s="45">
        <f>'TRA balance'!AA58</f>
        <v>265.438</v>
      </c>
      <c r="DY20" s="45">
        <f>'TRA balance'!AB58</f>
        <v>919.784</v>
      </c>
      <c r="DZ20" s="45">
        <f>'TRA balance'!AC58</f>
        <v>13965.300496</v>
      </c>
      <c r="EA20" s="45">
        <f>'TRA balance'!AD58</f>
        <v>2457.317</v>
      </c>
      <c r="EB20" s="45">
        <f>'TRA balance'!AE58</f>
        <v>1712.87</v>
      </c>
      <c r="EC20" s="45">
        <f>'TRA balance'!AF58</f>
        <v>625.812</v>
      </c>
      <c r="ED20" s="45">
        <f>'TRA balance'!AG58</f>
        <v>1655.67</v>
      </c>
      <c r="EE20" s="45">
        <f>'TRA balance'!AH58</f>
        <v>819.16</v>
      </c>
      <c r="EF20" s="45">
        <f>'TRA balance'!AI58</f>
        <v>410.763</v>
      </c>
      <c r="EG20" s="45">
        <f>'TRA balance'!AJ58</f>
        <v>1542.4</v>
      </c>
      <c r="EH20" s="45">
        <f>'TRA balance'!AK58</f>
        <v>2363.72</v>
      </c>
      <c r="EI20" s="45">
        <f>'TRA balance'!AL58</f>
        <v>385.6139</v>
      </c>
      <c r="EJ20" s="45">
        <f>'TRA balance'!AM58</f>
        <v>189.0739</v>
      </c>
      <c r="EK20" s="45">
        <f>'TRA balance'!AN58</f>
        <v>261.55</v>
      </c>
      <c r="EL20" s="45">
        <f>'TRA balance'!AO58</f>
        <v>330.101</v>
      </c>
      <c r="EM20" s="45">
        <f>'TRA balance'!AP58</f>
        <v>48028.0698408</v>
      </c>
      <c r="EN20" s="45">
        <f>'TRA balance'!AQ58</f>
        <v>2457.317</v>
      </c>
      <c r="EO20" s="45">
        <f>'TRA balance'!AR58</f>
        <v>94.7031</v>
      </c>
      <c r="EP20" s="45">
        <f>'TRA balance'!AS58</f>
        <v>143.645</v>
      </c>
      <c r="EQ20" s="45">
        <f>'TRA balance'!AT58</f>
        <v>62.0465</v>
      </c>
      <c r="ER20" s="45">
        <f>'TRA balance'!AU58</f>
        <v>405.629</v>
      </c>
      <c r="ES20" s="45">
        <f>'TRA balance'!AV58</f>
        <v>1542.4</v>
      </c>
      <c r="ET20" s="45">
        <f>'TRA balance'!AW58</f>
        <v>385.6139</v>
      </c>
      <c r="EU20" s="45" t="str">
        <f>'TRA balance'!AX58</f>
        <v>NULL</v>
      </c>
      <c r="EV20" s="39"/>
      <c r="EW20" s="39" t="str">
        <f t="shared" si="48"/>
        <v>\I:</v>
      </c>
      <c r="EX20" s="39" t="str">
        <f t="shared" si="68"/>
        <v/>
      </c>
      <c r="EY20" s="39" t="s">
        <v>133</v>
      </c>
      <c r="EZ20" s="39" t="s">
        <v>85</v>
      </c>
      <c r="FA20" s="39" t="s">
        <v>440</v>
      </c>
    </row>
    <row r="21" spans="1:157">
      <c r="C21" s="39" t="str">
        <f t="shared" si="54"/>
        <v/>
      </c>
      <c r="D21" s="39" t="s">
        <v>72</v>
      </c>
      <c r="E21" s="39"/>
      <c r="F21" s="39" t="s">
        <v>76</v>
      </c>
      <c r="G21" s="40">
        <f>SUMIFS(Assumptions!BD$105:BD$128,Assumptions!$BB$105:$BB$128,'non-road'!$F21,Assumptions!$BC$105:$BC$128,'non-road'!$D21)/SUMIF(Assumptions!$BB$105:$BB$128,'non-road'!$F21,Assumptions!BD$105:BD$128)</f>
        <v>1</v>
      </c>
      <c r="H21" s="40">
        <f>SUMIFS(Assumptions!BE$105:BE$128,Assumptions!$BB$105:$BB$128,'non-road'!$F21,Assumptions!$BC$105:$BC$128,'non-road'!$D21)/SUMIF(Assumptions!$BB$105:$BB$128,'non-road'!$F21,Assumptions!BE$105:BE$128)</f>
        <v>1</v>
      </c>
      <c r="I21" s="40">
        <f>SUMIFS(Assumptions!BF$105:BF$128,Assumptions!$BB$105:$BB$128,'non-road'!$F21,Assumptions!$BC$105:$BC$128,'non-road'!$D21)/SUMIF(Assumptions!$BB$105:$BB$128,'non-road'!$F21,Assumptions!BF$105:BF$128)</f>
        <v>1</v>
      </c>
      <c r="J21" s="40">
        <f>SUMIFS(Assumptions!BG$105:BG$128,Assumptions!$BB$105:$BB$128,'non-road'!$F21,Assumptions!$BC$105:$BC$128,'non-road'!$D21)/SUMIF(Assumptions!$BB$105:$BB$128,'non-road'!$F21,Assumptions!BG$105:BG$128)</f>
        <v>1</v>
      </c>
      <c r="K21" s="40">
        <f>SUMIFS(Assumptions!BH$105:BH$128,Assumptions!$BB$105:$BB$128,'non-road'!$F21,Assumptions!$BC$105:$BC$128,'non-road'!$D21)/SUMIF(Assumptions!$BB$105:$BB$128,'non-road'!$F21,Assumptions!BH$105:BH$128)</f>
        <v>1</v>
      </c>
      <c r="L21" s="40">
        <f>SUMIFS(Assumptions!BI$105:BI$128,Assumptions!$BB$105:$BB$128,'non-road'!$F21,Assumptions!$BC$105:$BC$128,'non-road'!$D21)/SUMIF(Assumptions!$BB$105:$BB$128,'non-road'!$F21,Assumptions!BI$105:BI$128)</f>
        <v>1</v>
      </c>
      <c r="M21" s="40">
        <f>SUMIFS(Assumptions!BJ$105:BJ$128,Assumptions!$BB$105:$BB$128,'non-road'!$F21,Assumptions!$BC$105:$BC$128,'non-road'!$D21)/SUMIF(Assumptions!$BB$105:$BB$128,'non-road'!$F21,Assumptions!BJ$105:BJ$128)</f>
        <v>1</v>
      </c>
      <c r="N21" s="40">
        <f>SUMIFS(Assumptions!BK$105:BK$128,Assumptions!$BB$105:$BB$128,'non-road'!$F21,Assumptions!$BC$105:$BC$128,'non-road'!$D21)/SUMIF(Assumptions!$BB$105:$BB$128,'non-road'!$F21,Assumptions!BK$105:BK$128)</f>
        <v>1</v>
      </c>
      <c r="O21" s="40">
        <f>SUMIFS(Assumptions!BL$105:BL$128,Assumptions!$BB$105:$BB$128,'non-road'!$F21,Assumptions!$BC$105:$BC$128,'non-road'!$D21)/SUMIF(Assumptions!$BB$105:$BB$128,'non-road'!$F21,Assumptions!BL$105:BL$128)</f>
        <v>1</v>
      </c>
      <c r="P21" s="40">
        <f>SUMIFS(Assumptions!BM$105:BM$128,Assumptions!$BB$105:$BB$128,'non-road'!$F21,Assumptions!$BC$105:$BC$128,'non-road'!$D21)/SUMIF(Assumptions!$BB$105:$BB$128,'non-road'!$F21,Assumptions!BM$105:BM$128)</f>
        <v>1</v>
      </c>
      <c r="Q21" s="40">
        <f>SUMIFS(Assumptions!BN$105:BN$128,Assumptions!$BB$105:$BB$128,'non-road'!$F21,Assumptions!$BC$105:$BC$128,'non-road'!$D21)/SUMIF(Assumptions!$BB$105:$BB$128,'non-road'!$F21,Assumptions!BN$105:BN$128)</f>
        <v>1</v>
      </c>
      <c r="R21" s="40">
        <f>SUMIFS(Assumptions!BO$105:BO$128,Assumptions!$BB$105:$BB$128,'non-road'!$F21,Assumptions!$BC$105:$BC$128,'non-road'!$D21)/SUMIF(Assumptions!$BB$105:$BB$128,'non-road'!$F21,Assumptions!BO$105:BO$128)</f>
        <v>1</v>
      </c>
      <c r="S21" s="40">
        <f>SUMIFS(Assumptions!BP$105:BP$128,Assumptions!$BB$105:$BB$128,'non-road'!$F21,Assumptions!$BC$105:$BC$128,'non-road'!$D21)/SUMIF(Assumptions!$BB$105:$BB$128,'non-road'!$F21,Assumptions!BP$105:BP$128)</f>
        <v>1</v>
      </c>
      <c r="T21" s="40">
        <f>SUMIFS(Assumptions!BQ$105:BQ$128,Assumptions!$BB$105:$BB$128,'non-road'!$F21,Assumptions!$BC$105:$BC$128,'non-road'!$D21)/SUMIF(Assumptions!$BB$105:$BB$128,'non-road'!$F21,Assumptions!BQ$105:BQ$128)</f>
        <v>1</v>
      </c>
      <c r="U21" s="40">
        <f>SUMIFS(Assumptions!BR$105:BR$128,Assumptions!$BB$105:$BB$128,'non-road'!$F21,Assumptions!$BC$105:$BC$128,'non-road'!$D21)/SUMIF(Assumptions!$BB$105:$BB$128,'non-road'!$F21,Assumptions!BR$105:BR$128)</f>
        <v>1</v>
      </c>
      <c r="V21" s="40">
        <f>SUMIFS(Assumptions!BS$105:BS$128,Assumptions!$BB$105:$BB$128,'non-road'!$F21,Assumptions!$BC$105:$BC$128,'non-road'!$D21)/SUMIF(Assumptions!$BB$105:$BB$128,'non-road'!$F21,Assumptions!BS$105:BS$128)</f>
        <v>1</v>
      </c>
      <c r="W21" s="40">
        <f>SUMIFS(Assumptions!BT$105:BT$128,Assumptions!$BB$105:$BB$128,'non-road'!$F21,Assumptions!$BC$105:$BC$128,'non-road'!$D21)/SUMIF(Assumptions!$BB$105:$BB$128,'non-road'!$F21,Assumptions!BT$105:BT$128)</f>
        <v>1</v>
      </c>
      <c r="X21" s="40">
        <f>SUMIFS(Assumptions!BU$105:BU$128,Assumptions!$BB$105:$BB$128,'non-road'!$F21,Assumptions!$BC$105:$BC$128,'non-road'!$D21)/SUMIF(Assumptions!$BB$105:$BB$128,'non-road'!$F21,Assumptions!BU$105:BU$128)</f>
        <v>1</v>
      </c>
      <c r="Y21" s="40">
        <f>SUMIFS(Assumptions!BV$105:BV$128,Assumptions!$BB$105:$BB$128,'non-road'!$F21,Assumptions!$BC$105:$BC$128,'non-road'!$D21)/SUMIF(Assumptions!$BB$105:$BB$128,'non-road'!$F21,Assumptions!BV$105:BV$128)</f>
        <v>1</v>
      </c>
      <c r="Z21" s="40">
        <f>SUMIFS(Assumptions!BW$105:BW$128,Assumptions!$BB$105:$BB$128,'non-road'!$F21,Assumptions!$BC$105:$BC$128,'non-road'!$D21)/SUMIF(Assumptions!$BB$105:$BB$128,'non-road'!$F21,Assumptions!BW$105:BW$128)</f>
        <v>1</v>
      </c>
      <c r="AA21" s="40">
        <f>SUMIFS(Assumptions!BX$105:BX$128,Assumptions!$BB$105:$BB$128,'non-road'!$F21,Assumptions!$BC$105:$BC$128,'non-road'!$D21)/SUMIF(Assumptions!$BB$105:$BB$128,'non-road'!$F21,Assumptions!BX$105:BX$128)</f>
        <v>1</v>
      </c>
      <c r="AB21" s="40">
        <f>SUMIFS(Assumptions!BY$105:BY$128,Assumptions!$BB$105:$BB$128,'non-road'!$F21,Assumptions!$BC$105:$BC$128,'non-road'!$D21)/SUMIF(Assumptions!$BB$105:$BB$128,'non-road'!$F21,Assumptions!BY$105:BY$128)</f>
        <v>1</v>
      </c>
      <c r="AC21" s="40">
        <f>SUMIFS(Assumptions!BZ$105:BZ$128,Assumptions!$BB$105:$BB$128,'non-road'!$F21,Assumptions!$BC$105:$BC$128,'non-road'!$D21)/SUMIF(Assumptions!$BB$105:$BB$128,'non-road'!$F21,Assumptions!BZ$105:BZ$128)</f>
        <v>1</v>
      </c>
      <c r="AD21" s="40">
        <f>SUMIFS(Assumptions!CA$105:CA$128,Assumptions!$BB$105:$BB$128,'non-road'!$F21,Assumptions!$BC$105:$BC$128,'non-road'!$D21)/SUMIF(Assumptions!$BB$105:$BB$128,'non-road'!$F21,Assumptions!CA$105:CA$128)</f>
        <v>1</v>
      </c>
      <c r="AE21" s="40">
        <f>SUMIFS(Assumptions!CB$105:CB$128,Assumptions!$BB$105:$BB$128,'non-road'!$F21,Assumptions!$BC$105:$BC$128,'non-road'!$D21)/SUMIF(Assumptions!$BB$105:$BB$128,'non-road'!$F21,Assumptions!CB$105:CB$128)</f>
        <v>1</v>
      </c>
      <c r="AF21" s="40">
        <f>SUMIFS(Assumptions!CC$105:CC$128,Assumptions!$BB$105:$BB$128,'non-road'!$F21,Assumptions!$BC$105:$BC$128,'non-road'!$D21)/SUMIF(Assumptions!$BB$105:$BB$128,'non-road'!$F21,Assumptions!CC$105:CC$128)</f>
        <v>1</v>
      </c>
      <c r="AG21" s="40">
        <f>SUMIFS(Assumptions!CD$105:CD$128,Assumptions!$BB$105:$BB$128,'non-road'!$F21,Assumptions!$BC$105:$BC$128,'non-road'!$D21)/SUMIF(Assumptions!$BB$105:$BB$128,'non-road'!$F21,Assumptions!CD$105:CD$128)</f>
        <v>1</v>
      </c>
      <c r="AH21" s="40">
        <f>SUMIFS(Assumptions!CE$105:CE$128,Assumptions!$BB$105:$BB$128,'non-road'!$F21,Assumptions!$BC$105:$BC$128,'non-road'!$D21)/SUMIF(Assumptions!$BB$105:$BB$128,'non-road'!$F21,Assumptions!CE$105:CE$128)</f>
        <v>1</v>
      </c>
      <c r="AI21" s="40">
        <f>SUMIFS(Assumptions!CF$105:CF$128,Assumptions!$BB$105:$BB$128,'non-road'!$F21,Assumptions!$BC$105:$BC$128,'non-road'!$D21)/SUMIF(Assumptions!$BB$105:$BB$128,'non-road'!$F21,Assumptions!CF$105:CF$128)</f>
        <v>1</v>
      </c>
      <c r="AJ21" s="40">
        <f>SUMIFS(Assumptions!CG$105:CG$128,Assumptions!$BB$105:$BB$128,'non-road'!$F21,Assumptions!$BC$105:$BC$128,'non-road'!$D21)/SUMIF(Assumptions!$BB$105:$BB$128,'non-road'!$F21,Assumptions!CG$105:CG$128)</f>
        <v>1</v>
      </c>
      <c r="AK21" s="40">
        <f>SUMIFS(Assumptions!CH$105:CH$128,Assumptions!$BB$105:$BB$128,'non-road'!$F21,Assumptions!$BC$105:$BC$128,'non-road'!$D21)/SUMIF(Assumptions!$BB$105:$BB$128,'non-road'!$F21,Assumptions!CH$105:CH$128)</f>
        <v>1</v>
      </c>
      <c r="AL21" s="40">
        <f>SUMIFS(Assumptions!CI$105:CI$128,Assumptions!$BB$105:$BB$128,'non-road'!$F21,Assumptions!$BC$105:$BC$128,'non-road'!$D21)/SUMIF(Assumptions!$BB$105:$BB$128,'non-road'!$F21,Assumptions!CI$105:CI$128)</f>
        <v>1</v>
      </c>
      <c r="AM21" s="40">
        <f>SUMIFS(Assumptions!CJ$105:CJ$128,Assumptions!$BB$105:$BB$128,'non-road'!$F21,Assumptions!$BC$105:$BC$128,'non-road'!$D21)/SUMIF(Assumptions!$BB$105:$BB$128,'non-road'!$F21,Assumptions!CJ$105:CJ$128)</f>
        <v>1</v>
      </c>
      <c r="AN21" s="40">
        <f>SUMIFS(Assumptions!CK$105:CK$128,Assumptions!$BB$105:$BB$128,'non-road'!$F21,Assumptions!$BC$105:$BC$128,'non-road'!$D21)/SUMIF(Assumptions!$BB$105:$BB$128,'non-road'!$F21,Assumptions!CK$105:CK$128)</f>
        <v>0.303321309920407</v>
      </c>
      <c r="AO21" s="40">
        <f>SUMIFS(Assumptions!CL$105:CL$128,Assumptions!$BB$105:$BB$128,'non-road'!$F21,Assumptions!$BC$105:$BC$128,'non-road'!$D21)/SUMIF(Assumptions!$BB$105:$BB$128,'non-road'!$F21,Assumptions!CL$105:CL$128)</f>
        <v>1</v>
      </c>
      <c r="AP21" s="40" t="e">
        <f>SUMIFS(Assumptions!CM$105:CM$128,Assumptions!$BB$105:$BB$128,'non-road'!$F21,Assumptions!$BC$105:$BC$128,'non-road'!$D21)/SUMIF(Assumptions!$BB$105:$BB$128,'non-road'!$F21,Assumptions!CM$105:CM$128)</f>
        <v>#DIV/0!</v>
      </c>
      <c r="AQ21" s="40" t="e">
        <f>SUMIFS(Assumptions!CN$105:CN$128,Assumptions!$BB$105:$BB$128,'non-road'!$F21,Assumptions!$BC$105:$BC$128,'non-road'!$D21)/SUMIF(Assumptions!$BB$105:$BB$128,'non-road'!$F21,Assumptions!CN$105:CN$128)</f>
        <v>#DIV/0!</v>
      </c>
      <c r="AR21" s="40" t="e">
        <f>SUMIFS(Assumptions!CO$105:CO$128,Assumptions!$BB$105:$BB$128,'non-road'!$F21,Assumptions!$BC$105:$BC$128,'non-road'!$D21)/SUMIF(Assumptions!$BB$105:$BB$128,'non-road'!$F21,Assumptions!CO$105:CO$128)</f>
        <v>#DIV/0!</v>
      </c>
      <c r="AS21" s="40" t="e">
        <f>SUMIFS(Assumptions!CP$105:CP$128,Assumptions!$BB$105:$BB$128,'non-road'!$F21,Assumptions!$BC$105:$BC$128,'non-road'!$D21)/SUMIF(Assumptions!$BB$105:$BB$128,'non-road'!$F21,Assumptions!CP$105:CP$128)</f>
        <v>#DIV/0!</v>
      </c>
      <c r="AT21" s="40" t="e">
        <f>SUMIFS(Assumptions!CQ$105:CQ$128,Assumptions!$BB$105:$BB$128,'non-road'!$F21,Assumptions!$BC$105:$BC$128,'non-road'!$D21)/SUMIF(Assumptions!$BB$105:$BB$128,'non-road'!$F21,Assumptions!CQ$105:CQ$128)</f>
        <v>#DIV/0!</v>
      </c>
      <c r="AU21" s="40" t="e">
        <f>SUMIFS(Assumptions!CR$105:CR$128,Assumptions!$BB$105:$BB$128,'non-road'!$F21,Assumptions!$BC$105:$BC$128,'non-road'!$D21)/SUMIF(Assumptions!$BB$105:$BB$128,'non-road'!$F21,Assumptions!CR$105:CR$128)</f>
        <v>#DIV/0!</v>
      </c>
      <c r="AV21" s="40" t="e">
        <f>SUMIFS(Assumptions!CS$105:CS$128,Assumptions!$BB$105:$BB$128,'non-road'!$F21,Assumptions!$BC$105:$BC$128,'non-road'!$D21)/SUMIF(Assumptions!$BB$105:$BB$128,'non-road'!$F21,Assumptions!CS$105:CS$128)</f>
        <v>#DIV/0!</v>
      </c>
      <c r="AW21" s="40" t="e">
        <f>SUMIFS(Assumptions!CT$105:CT$128,Assumptions!$BB$105:$BB$128,'non-road'!$F21,Assumptions!$BC$105:$BC$128,'non-road'!$D21)/SUMIF(Assumptions!$BB$105:$BB$128,'non-road'!$F21,Assumptions!CT$105:CT$128)</f>
        <v>#DIV/0!</v>
      </c>
      <c r="AX21" s="40" t="e">
        <f>SUMIFS(Assumptions!CU$105:CU$128,Assumptions!$BB$105:$BB$128,'non-road'!$F21,Assumptions!$BC$105:$BC$128,'non-road'!$D21)/SUMIF(Assumptions!$BB$105:$BB$128,'non-road'!$F21,Assumptions!CU$105:CU$128)</f>
        <v>#DIV/0!</v>
      </c>
      <c r="AY21" s="40" t="e">
        <f>SUMIFS(Assumptions!CV$105:CV$128,Assumptions!$BB$105:$BB$128,'non-road'!$F21,Assumptions!$BC$105:$BC$128,'non-road'!$D21)/SUMIF(Assumptions!$BB$105:$BB$128,'non-road'!$F21,Assumptions!CV$105:CV$128)</f>
        <v>#DIV/0!</v>
      </c>
      <c r="AZ21" s="40" t="e">
        <f>SUMIFS(Assumptions!CW$105:CW$128,Assumptions!$BB$105:$BB$128,'non-road'!$F21,Assumptions!$BC$105:$BC$128,'non-road'!$D21)/SUMIF(Assumptions!$BB$105:$BB$128,'non-road'!$F21,Assumptions!CW$105:CW$128)</f>
        <v>#DIV/0!</v>
      </c>
      <c r="BD21" s="39" t="str">
        <f t="shared" si="55"/>
        <v>\I:</v>
      </c>
      <c r="BE21" s="40">
        <f>VLOOKUP($F21,Assumptions!$E$152:$BC$157,COLUMN()-COLUMN($BC$4),FALSE)</f>
        <v>1</v>
      </c>
      <c r="BF21" s="40">
        <f>VLOOKUP($F21,Assumptions!$E$152:$BC$157,COLUMN()-COLUMN($BC$4),FALSE)</f>
        <v>1</v>
      </c>
      <c r="BG21" s="40">
        <f>VLOOKUP($F21,Assumptions!$E$152:$BC$157,COLUMN()-COLUMN($BC$4),FALSE)</f>
        <v>1</v>
      </c>
      <c r="BH21" s="40">
        <f>VLOOKUP($F21,Assumptions!$E$152:$BC$157,COLUMN()-COLUMN($BC$4),FALSE)</f>
        <v>1</v>
      </c>
      <c r="BI21" s="40">
        <f>VLOOKUP($F21,Assumptions!$E$152:$BC$157,COLUMN()-COLUMN($BC$4),FALSE)</f>
        <v>1</v>
      </c>
      <c r="BJ21" s="40">
        <f>VLOOKUP($F21,Assumptions!$E$152:$BC$157,COLUMN()-COLUMN($BC$4),FALSE)</f>
        <v>1</v>
      </c>
      <c r="BK21" s="40">
        <f>VLOOKUP($F21,Assumptions!$E$152:$BC$157,COLUMN()-COLUMN($BC$4),FALSE)</f>
        <v>1</v>
      </c>
      <c r="BL21" s="40">
        <f>VLOOKUP($F21,Assumptions!$E$152:$BC$157,COLUMN()-COLUMN($BC$4),FALSE)</f>
        <v>1</v>
      </c>
      <c r="BM21" s="40">
        <f>VLOOKUP($F21,Assumptions!$E$152:$BC$157,COLUMN()-COLUMN($BC$4),FALSE)</f>
        <v>1</v>
      </c>
      <c r="BN21" s="40">
        <f>VLOOKUP($F21,Assumptions!$E$152:$BC$157,COLUMN()-COLUMN($BC$4),FALSE)</f>
        <v>1</v>
      </c>
      <c r="BO21" s="40">
        <f>VLOOKUP($F21,Assumptions!$E$152:$BC$157,COLUMN()-COLUMN($BC$4),FALSE)</f>
        <v>1</v>
      </c>
      <c r="BP21" s="40">
        <f>VLOOKUP($F21,Assumptions!$E$152:$BC$157,COLUMN()-COLUMN($BC$4),FALSE)</f>
        <v>1</v>
      </c>
      <c r="BQ21" s="40">
        <f>VLOOKUP($F21,Assumptions!$E$152:$BC$157,COLUMN()-COLUMN($BC$4),FALSE)</f>
        <v>1</v>
      </c>
      <c r="BR21" s="40">
        <f>VLOOKUP($F21,Assumptions!$E$152:$BC$157,COLUMN()-COLUMN($BC$4),FALSE)</f>
        <v>1</v>
      </c>
      <c r="BS21" s="40">
        <f>VLOOKUP($F21,Assumptions!$E$152:$BC$157,COLUMN()-COLUMN($BC$4),FALSE)</f>
        <v>1</v>
      </c>
      <c r="BT21" s="40">
        <f>VLOOKUP($F21,Assumptions!$E$152:$BC$157,COLUMN()-COLUMN($BC$4),FALSE)</f>
        <v>1</v>
      </c>
      <c r="BU21" s="40">
        <f>VLOOKUP($F21,Assumptions!$E$152:$BC$157,COLUMN()-COLUMN($BC$4),FALSE)</f>
        <v>1</v>
      </c>
      <c r="BV21" s="40">
        <f>VLOOKUP($F21,Assumptions!$E$152:$BC$157,COLUMN()-COLUMN($BC$4),FALSE)</f>
        <v>1</v>
      </c>
      <c r="BW21" s="40">
        <f>VLOOKUP($F21,Assumptions!$E$152:$BC$157,COLUMN()-COLUMN($BC$4),FALSE)</f>
        <v>1</v>
      </c>
      <c r="BX21" s="40">
        <f>VLOOKUP($F21,Assumptions!$E$152:$BC$157,COLUMN()-COLUMN($BC$4),FALSE)</f>
        <v>1</v>
      </c>
      <c r="BY21" s="40">
        <f>VLOOKUP($F21,Assumptions!$E$152:$BC$157,COLUMN()-COLUMN($BC$4),FALSE)</f>
        <v>1</v>
      </c>
      <c r="BZ21" s="40">
        <f>VLOOKUP($F21,Assumptions!$E$152:$BC$157,COLUMN()-COLUMN($BC$4),FALSE)</f>
        <v>1</v>
      </c>
      <c r="CA21" s="40">
        <f>VLOOKUP($F21,Assumptions!$E$152:$BC$157,COLUMN()-COLUMN($BC$4),FALSE)</f>
        <v>1</v>
      </c>
      <c r="CB21" s="40">
        <f>VLOOKUP($F21,Assumptions!$E$152:$BC$157,COLUMN()-COLUMN($BC$4),FALSE)</f>
        <v>1</v>
      </c>
      <c r="CC21" s="40">
        <f>VLOOKUP($F21,Assumptions!$E$152:$BC$157,COLUMN()-COLUMN($BC$4),FALSE)</f>
        <v>1</v>
      </c>
      <c r="CD21" s="40">
        <f>VLOOKUP($F21,Assumptions!$E$152:$BC$157,COLUMN()-COLUMN($BC$4),FALSE)</f>
        <v>1</v>
      </c>
      <c r="CE21" s="40">
        <f>VLOOKUP($F21,Assumptions!$E$152:$BC$157,COLUMN()-COLUMN($BC$4),FALSE)</f>
        <v>1</v>
      </c>
      <c r="CF21" s="40">
        <f>VLOOKUP($F21,Assumptions!$E$152:$BC$157,COLUMN()-COLUMN($BC$4),FALSE)</f>
        <v>1</v>
      </c>
      <c r="CG21" s="40">
        <f>VLOOKUP($F21,Assumptions!$E$152:$BC$157,COLUMN()-COLUMN($BC$4),FALSE)</f>
        <v>1</v>
      </c>
      <c r="CH21" s="40">
        <f>VLOOKUP($F21,Assumptions!$E$152:$BC$157,COLUMN()-COLUMN($BC$4),FALSE)</f>
        <v>1</v>
      </c>
      <c r="CI21" s="40">
        <f>VLOOKUP($F21,Assumptions!$E$152:$BC$157,COLUMN()-COLUMN($BC$4),FALSE)</f>
        <v>1</v>
      </c>
      <c r="CJ21" s="40">
        <f>VLOOKUP($F21,Assumptions!$E$152:$BC$157,COLUMN()-COLUMN($BC$4),FALSE)</f>
        <v>1</v>
      </c>
      <c r="CK21" s="40">
        <f>VLOOKUP($F21,Assumptions!$E$152:$BC$157,COLUMN()-COLUMN($BC$4),FALSE)</f>
        <v>1</v>
      </c>
      <c r="CL21" s="40">
        <f>VLOOKUP($F21,Assumptions!$E$152:$BC$157,COLUMN()-COLUMN($BC$4),FALSE)</f>
        <v>1</v>
      </c>
      <c r="CM21" s="40">
        <f>VLOOKUP($F21,Assumptions!$E$152:$BC$157,COLUMN()-COLUMN($BC$4),FALSE)</f>
        <v>1</v>
      </c>
      <c r="CN21" s="40">
        <f>VLOOKUP($F21,Assumptions!$E$152:$BC$157,COLUMN()-COLUMN($BC$4),FALSE)</f>
        <v>1</v>
      </c>
      <c r="CO21" s="40">
        <f>VLOOKUP($F21,Assumptions!$E$152:$BC$157,COLUMN()-COLUMN($BC$4),FALSE)</f>
        <v>1</v>
      </c>
      <c r="CP21" s="40">
        <f>VLOOKUP($F21,Assumptions!$E$152:$BC$157,COLUMN()-COLUMN($BC$4),FALSE)</f>
        <v>1</v>
      </c>
      <c r="CQ21" s="40">
        <f>VLOOKUP($F21,Assumptions!$E$152:$BC$157,COLUMN()-COLUMN($BC$4),FALSE)</f>
        <v>1</v>
      </c>
      <c r="CR21" s="40">
        <f>VLOOKUP($F21,Assumptions!$E$152:$BC$157,COLUMN()-COLUMN($BC$4),FALSE)</f>
        <v>1</v>
      </c>
      <c r="CS21" s="40">
        <f>VLOOKUP($F21,Assumptions!$E$152:$BC$157,COLUMN()-COLUMN($BC$4),FALSE)</f>
        <v>1</v>
      </c>
      <c r="CT21" s="40">
        <f>VLOOKUP($F21,Assumptions!$E$152:$BC$157,COLUMN()-COLUMN($BC$4),FALSE)</f>
        <v>1</v>
      </c>
      <c r="CU21" s="40">
        <f>VLOOKUP($F21,Assumptions!$E$152:$BC$157,COLUMN()-COLUMN($BC$4),FALSE)</f>
        <v>1</v>
      </c>
      <c r="CV21" s="40">
        <f>VLOOKUP($F21,Assumptions!$E$152:$BC$157,COLUMN()-COLUMN($BC$4),FALSE)</f>
        <v>1</v>
      </c>
      <c r="CW21" s="40">
        <f>VLOOKUP($F21,Assumptions!$E$152:$BC$157,COLUMN()-COLUMN($BC$4),FALSE)</f>
        <v>1</v>
      </c>
      <c r="CX21" s="40">
        <f>VLOOKUP($F21,Assumptions!$E$152:$BC$157,COLUMN()-COLUMN($BC$4),FALSE)</f>
        <v>1</v>
      </c>
      <c r="CY21" s="39"/>
      <c r="CZ21" s="44">
        <f>'TRA balance'!C59</f>
        <v>2019</v>
      </c>
      <c r="DA21" s="44" t="str">
        <f>'TRA balance'!D59</f>
        <v>POP</v>
      </c>
      <c r="DB21" s="45">
        <f>'TRA balance'!E59</f>
        <v>198.38505</v>
      </c>
      <c r="DC21" s="45">
        <f>'TRA balance'!F59</f>
        <v>1039.156949</v>
      </c>
      <c r="DD21" s="45">
        <f>'TRA balance'!G59</f>
        <v>25.3657</v>
      </c>
      <c r="DE21" s="45">
        <f>'TRA balance'!H59</f>
        <v>8.87992</v>
      </c>
      <c r="DF21" s="45">
        <f>'TRA balance'!I59</f>
        <v>6.03486</v>
      </c>
      <c r="DG21" s="45">
        <f>'TRA balance'!J59</f>
        <v>29.453901</v>
      </c>
      <c r="DH21" s="45">
        <f>'TRA balance'!K59</f>
        <v>211.05</v>
      </c>
      <c r="DI21" s="45">
        <f>'TRA balance'!L59</f>
        <v>1397.72</v>
      </c>
      <c r="DJ21" s="45">
        <f>'TRA balance'!M59</f>
        <v>6.15364</v>
      </c>
      <c r="DK21" s="45">
        <f>'TRA balance'!N59</f>
        <v>16.12605</v>
      </c>
      <c r="DL21" s="45">
        <f>'TRA balance'!O59</f>
        <v>67.2489</v>
      </c>
      <c r="DM21" s="45">
        <f>'TRA balance'!P59</f>
        <v>83.093</v>
      </c>
      <c r="DN21" s="45">
        <f>'TRA balance'!Q59</f>
        <v>11.92017</v>
      </c>
      <c r="DO21" s="45">
        <f>'TRA balance'!R59</f>
        <v>36.1185</v>
      </c>
      <c r="DP21" s="45">
        <f>'TRA balance'!S59</f>
        <v>0.360563</v>
      </c>
      <c r="DQ21" s="45">
        <f>'TRA balance'!T59</f>
        <v>1366.42</v>
      </c>
      <c r="DR21" s="45">
        <f>'TRA balance'!U59</f>
        <v>4.93434</v>
      </c>
      <c r="DS21" s="45">
        <f>'TRA balance'!V59</f>
        <v>60.233162</v>
      </c>
      <c r="DT21" s="45">
        <f>'TRA balance'!W59</f>
        <v>126.265</v>
      </c>
      <c r="DU21" s="45">
        <f>'TRA balance'!X59</f>
        <v>308.82149155</v>
      </c>
      <c r="DV21" s="45">
        <f>'TRA balance'!Y59</f>
        <v>222.57825</v>
      </c>
      <c r="DW21" s="45">
        <f>'TRA balance'!Z59</f>
        <v>493.4994</v>
      </c>
      <c r="DX21" s="45">
        <f>'TRA balance'!AA59</f>
        <v>5.3479</v>
      </c>
      <c r="DY21" s="45">
        <f>'TRA balance'!AB59</f>
        <v>37.9655</v>
      </c>
      <c r="DZ21" s="45">
        <f>'TRA balance'!AC59</f>
        <v>1349.4624115</v>
      </c>
      <c r="EA21" s="45">
        <f>'TRA balance'!AD59</f>
        <v>153.82385</v>
      </c>
      <c r="EB21" s="45">
        <f>'TRA balance'!AE59</f>
        <v>34.2685</v>
      </c>
      <c r="EC21" s="45">
        <f>'TRA balance'!AF59</f>
        <v>58.5583</v>
      </c>
      <c r="ED21" s="45">
        <f>'TRA balance'!AG59</f>
        <v>57.4198</v>
      </c>
      <c r="EE21" s="45">
        <f>'TRA balance'!AH59</f>
        <v>21.61493</v>
      </c>
      <c r="EF21" s="45">
        <f>'TRA balance'!AI59</f>
        <v>8.57528</v>
      </c>
      <c r="EG21" s="45">
        <f>'TRA balance'!AJ59</f>
        <v>83.4296</v>
      </c>
      <c r="EH21" s="45">
        <f>'TRA balance'!AK59</f>
        <v>66.8363</v>
      </c>
      <c r="EI21" s="45">
        <f>'TRA balance'!AL59</f>
        <v>47.04945</v>
      </c>
      <c r="EJ21" s="45">
        <f>'TRA balance'!AM59</f>
        <v>15.805908</v>
      </c>
      <c r="EK21" s="45">
        <f>'TRA balance'!AN59</f>
        <v>10.2863</v>
      </c>
      <c r="EL21" s="45">
        <f>'TRA balance'!AO59</f>
        <v>19.3716</v>
      </c>
      <c r="EM21" s="45">
        <f>'TRA balance'!AP59</f>
        <v>4241.80896233</v>
      </c>
      <c r="EN21" s="45">
        <f>'TRA balance'!AQ59</f>
        <v>153.82385</v>
      </c>
      <c r="EO21" s="45">
        <f>'TRA balance'!AR59</f>
        <v>6.94523</v>
      </c>
      <c r="EP21" s="45">
        <f>'TRA balance'!AS59</f>
        <v>5.45415</v>
      </c>
      <c r="EQ21" s="45">
        <f>'TRA balance'!AT59</f>
        <v>2.08839</v>
      </c>
      <c r="ER21" s="45">
        <f>'TRA balance'!AU59</f>
        <v>10.2789</v>
      </c>
      <c r="ES21" s="45">
        <f>'TRA balance'!AV59</f>
        <v>83.4296</v>
      </c>
      <c r="ET21" s="45">
        <f>'TRA balance'!AW59</f>
        <v>47.04945</v>
      </c>
      <c r="EU21" s="45" t="str">
        <f>'TRA balance'!AX59</f>
        <v>NULL</v>
      </c>
      <c r="EV21" s="39"/>
      <c r="EW21" s="39" t="str">
        <f t="shared" si="48"/>
        <v>DMD</v>
      </c>
      <c r="EX21" s="39" t="str">
        <f t="shared" si="68"/>
        <v>TAD_Generic</v>
      </c>
      <c r="EY21" s="39" t="s">
        <v>448</v>
      </c>
      <c r="EZ21" s="39" t="s">
        <v>85</v>
      </c>
      <c r="FA21" s="39" t="s">
        <v>440</v>
      </c>
    </row>
    <row r="22" ht="15.25" spans="1:157">
      <c r="C22" s="39" t="str">
        <f t="shared" si="54"/>
        <v>TAD_Generic</v>
      </c>
      <c r="D22" s="39" t="s">
        <v>66</v>
      </c>
      <c r="E22" s="39"/>
      <c r="F22" s="39" t="s">
        <v>62</v>
      </c>
      <c r="G22" s="40">
        <f>SUMIFS(Assumptions!BD$105:BD$128,Assumptions!$BB$105:$BB$128,'non-road'!$F22,Assumptions!$BC$105:$BC$128,'non-road'!$D22)/SUMIF(Assumptions!$BB$105:$BB$128,'non-road'!$F22,Assumptions!BD$105:BD$128)</f>
        <v>0</v>
      </c>
      <c r="H22" s="40">
        <f>SUMIFS(Assumptions!BE$105:BE$128,Assumptions!$BB$105:$BB$128,'non-road'!$F22,Assumptions!$BC$105:$BC$128,'non-road'!$D22)/SUMIF(Assumptions!$BB$105:$BB$128,'non-road'!$F22,Assumptions!BE$105:BE$128)</f>
        <v>0</v>
      </c>
      <c r="I22" s="40">
        <f>SUMIFS(Assumptions!BF$105:BF$128,Assumptions!$BB$105:$BB$128,'non-road'!$F22,Assumptions!$BC$105:$BC$128,'non-road'!$D22)/SUMIF(Assumptions!$BB$105:$BB$128,'non-road'!$F22,Assumptions!BF$105:BF$128)</f>
        <v>0</v>
      </c>
      <c r="J22" s="40">
        <f>SUMIFS(Assumptions!BG$105:BG$128,Assumptions!$BB$105:$BB$128,'non-road'!$F22,Assumptions!$BC$105:$BC$128,'non-road'!$D22)/SUMIF(Assumptions!$BB$105:$BB$128,'non-road'!$F22,Assumptions!BG$105:BG$128)</f>
        <v>0</v>
      </c>
      <c r="K22" s="40">
        <f>SUMIFS(Assumptions!BH$105:BH$128,Assumptions!$BB$105:$BB$128,'non-road'!$F22,Assumptions!$BC$105:$BC$128,'non-road'!$D22)/SUMIF(Assumptions!$BB$105:$BB$128,'non-road'!$F22,Assumptions!BH$105:BH$128)</f>
        <v>0</v>
      </c>
      <c r="L22" s="40">
        <f>SUMIFS(Assumptions!BI$105:BI$128,Assumptions!$BB$105:$BB$128,'non-road'!$F22,Assumptions!$BC$105:$BC$128,'non-road'!$D22)/SUMIF(Assumptions!$BB$105:$BB$128,'non-road'!$F22,Assumptions!BI$105:BI$128)</f>
        <v>0</v>
      </c>
      <c r="M22" s="40">
        <f>SUMIFS(Assumptions!BJ$105:BJ$128,Assumptions!$BB$105:$BB$128,'non-road'!$F22,Assumptions!$BC$105:$BC$128,'non-road'!$D22)/SUMIF(Assumptions!$BB$105:$BB$128,'non-road'!$F22,Assumptions!BJ$105:BJ$128)</f>
        <v>0</v>
      </c>
      <c r="N22" s="40">
        <f>SUMIFS(Assumptions!BK$105:BK$128,Assumptions!$BB$105:$BB$128,'non-road'!$F22,Assumptions!$BC$105:$BC$128,'non-road'!$D22)/SUMIF(Assumptions!$BB$105:$BB$128,'non-road'!$F22,Assumptions!BK$105:BK$128)</f>
        <v>0</v>
      </c>
      <c r="O22" s="40">
        <f>SUMIFS(Assumptions!BL$105:BL$128,Assumptions!$BB$105:$BB$128,'non-road'!$F22,Assumptions!$BC$105:$BC$128,'non-road'!$D22)/SUMIF(Assumptions!$BB$105:$BB$128,'non-road'!$F22,Assumptions!BL$105:BL$128)</f>
        <v>0</v>
      </c>
      <c r="P22" s="40">
        <f>SUMIFS(Assumptions!BM$105:BM$128,Assumptions!$BB$105:$BB$128,'non-road'!$F22,Assumptions!$BC$105:$BC$128,'non-road'!$D22)/SUMIF(Assumptions!$BB$105:$BB$128,'non-road'!$F22,Assumptions!BM$105:BM$128)</f>
        <v>0</v>
      </c>
      <c r="Q22" s="40">
        <f>SUMIFS(Assumptions!BN$105:BN$128,Assumptions!$BB$105:$BB$128,'non-road'!$F22,Assumptions!$BC$105:$BC$128,'non-road'!$D22)/SUMIF(Assumptions!$BB$105:$BB$128,'non-road'!$F22,Assumptions!BN$105:BN$128)</f>
        <v>0</v>
      </c>
      <c r="R22" s="40">
        <f>SUMIFS(Assumptions!BO$105:BO$128,Assumptions!$BB$105:$BB$128,'non-road'!$F22,Assumptions!$BC$105:$BC$128,'non-road'!$D22)/SUMIF(Assumptions!$BB$105:$BB$128,'non-road'!$F22,Assumptions!BO$105:BO$128)</f>
        <v>0</v>
      </c>
      <c r="S22" s="40">
        <f>SUMIFS(Assumptions!BP$105:BP$128,Assumptions!$BB$105:$BB$128,'non-road'!$F22,Assumptions!$BC$105:$BC$128,'non-road'!$D22)/SUMIF(Assumptions!$BB$105:$BB$128,'non-road'!$F22,Assumptions!BP$105:BP$128)</f>
        <v>0</v>
      </c>
      <c r="T22" s="40">
        <f>SUMIFS(Assumptions!BQ$105:BQ$128,Assumptions!$BB$105:$BB$128,'non-road'!$F22,Assumptions!$BC$105:$BC$128,'non-road'!$D22)/SUMIF(Assumptions!$BB$105:$BB$128,'non-road'!$F22,Assumptions!BQ$105:BQ$128)</f>
        <v>0</v>
      </c>
      <c r="U22" s="40">
        <f>SUMIFS(Assumptions!BR$105:BR$128,Assumptions!$BB$105:$BB$128,'non-road'!$F22,Assumptions!$BC$105:$BC$128,'non-road'!$D22)/SUMIF(Assumptions!$BB$105:$BB$128,'non-road'!$F22,Assumptions!BR$105:BR$128)</f>
        <v>0</v>
      </c>
      <c r="V22" s="40">
        <f>SUMIFS(Assumptions!BS$105:BS$128,Assumptions!$BB$105:$BB$128,'non-road'!$F22,Assumptions!$BC$105:$BC$128,'non-road'!$D22)/SUMIF(Assumptions!$BB$105:$BB$128,'non-road'!$F22,Assumptions!BS$105:BS$128)</f>
        <v>0</v>
      </c>
      <c r="W22" s="40">
        <f>SUMIFS(Assumptions!BT$105:BT$128,Assumptions!$BB$105:$BB$128,'non-road'!$F22,Assumptions!$BC$105:$BC$128,'non-road'!$D22)/SUMIF(Assumptions!$BB$105:$BB$128,'non-road'!$F22,Assumptions!BT$105:BT$128)</f>
        <v>0.126238808010389</v>
      </c>
      <c r="X22" s="40">
        <f>SUMIFS(Assumptions!BU$105:BU$128,Assumptions!$BB$105:$BB$128,'non-road'!$F22,Assumptions!$BC$105:$BC$128,'non-road'!$D22)/SUMIF(Assumptions!$BB$105:$BB$128,'non-road'!$F22,Assumptions!BU$105:BU$128)</f>
        <v>0</v>
      </c>
      <c r="Y22" s="40">
        <f>SUMIFS(Assumptions!BV$105:BV$128,Assumptions!$BB$105:$BB$128,'non-road'!$F22,Assumptions!$BC$105:$BC$128,'non-road'!$D22)/SUMIF(Assumptions!$BB$105:$BB$128,'non-road'!$F22,Assumptions!BV$105:BV$128)</f>
        <v>0</v>
      </c>
      <c r="Z22" s="40">
        <f>SUMIFS(Assumptions!BW$105:BW$128,Assumptions!$BB$105:$BB$128,'non-road'!$F22,Assumptions!$BC$105:$BC$128,'non-road'!$D22)/SUMIF(Assumptions!$BB$105:$BB$128,'non-road'!$F22,Assumptions!BW$105:BW$128)</f>
        <v>0.0076708733941208</v>
      </c>
      <c r="AA22" s="40">
        <f>SUMIFS(Assumptions!BX$105:BX$128,Assumptions!$BB$105:$BB$128,'non-road'!$F22,Assumptions!$BC$105:$BC$128,'non-road'!$D22)/SUMIF(Assumptions!$BB$105:$BB$128,'non-road'!$F22,Assumptions!BX$105:BX$128)</f>
        <v>0</v>
      </c>
      <c r="AB22" s="40">
        <f>SUMIFS(Assumptions!BY$105:BY$128,Assumptions!$BB$105:$BB$128,'non-road'!$F22,Assumptions!$BC$105:$BC$128,'non-road'!$D22)/SUMIF(Assumptions!$BB$105:$BB$128,'non-road'!$F22,Assumptions!BY$105:BY$128)</f>
        <v>0</v>
      </c>
      <c r="AC22" s="40">
        <f>SUMIFS(Assumptions!BZ$105:BZ$128,Assumptions!$BB$105:$BB$128,'non-road'!$F22,Assumptions!$BC$105:$BC$128,'non-road'!$D22)/SUMIF(Assumptions!$BB$105:$BB$128,'non-road'!$F22,Assumptions!BZ$105:BZ$128)</f>
        <v>0</v>
      </c>
      <c r="AD22" s="40">
        <f>SUMIFS(Assumptions!CA$105:CA$128,Assumptions!$BB$105:$BB$128,'non-road'!$F22,Assumptions!$BC$105:$BC$128,'non-road'!$D22)/SUMIF(Assumptions!$BB$105:$BB$128,'non-road'!$F22,Assumptions!CA$105:CA$128)</f>
        <v>0</v>
      </c>
      <c r="AE22" s="40">
        <f>SUMIFS(Assumptions!CB$105:CB$128,Assumptions!$BB$105:$BB$128,'non-road'!$F22,Assumptions!$BC$105:$BC$128,'non-road'!$D22)/SUMIF(Assumptions!$BB$105:$BB$128,'non-road'!$F22,Assumptions!CB$105:CB$128)</f>
        <v>2.46042071239642e-5</v>
      </c>
      <c r="AF22" s="40">
        <f>SUMIFS(Assumptions!CC$105:CC$128,Assumptions!$BB$105:$BB$128,'non-road'!$F22,Assumptions!$BC$105:$BC$128,'non-road'!$D22)/SUMIF(Assumptions!$BB$105:$BB$128,'non-road'!$F22,Assumptions!CC$105:CC$128)</f>
        <v>0</v>
      </c>
      <c r="AG22" s="40">
        <f>SUMIFS(Assumptions!CD$105:CD$128,Assumptions!$BB$105:$BB$128,'non-road'!$F22,Assumptions!$BC$105:$BC$128,'non-road'!$D22)/SUMIF(Assumptions!$BB$105:$BB$128,'non-road'!$F22,Assumptions!CD$105:CD$128)</f>
        <v>0</v>
      </c>
      <c r="AH22" s="40">
        <f>SUMIFS(Assumptions!CE$105:CE$128,Assumptions!$BB$105:$BB$128,'non-road'!$F22,Assumptions!$BC$105:$BC$128,'non-road'!$D22)/SUMIF(Assumptions!$BB$105:$BB$128,'non-road'!$F22,Assumptions!CE$105:CE$128)</f>
        <v>0</v>
      </c>
      <c r="AI22" s="40">
        <f>SUMIFS(Assumptions!CF$105:CF$128,Assumptions!$BB$105:$BB$128,'non-road'!$F22,Assumptions!$BC$105:$BC$128,'non-road'!$D22)/SUMIF(Assumptions!$BB$105:$BB$128,'non-road'!$F22,Assumptions!CF$105:CF$128)</f>
        <v>0</v>
      </c>
      <c r="AJ22" s="40">
        <f>SUMIFS(Assumptions!CG$105:CG$128,Assumptions!$BB$105:$BB$128,'non-road'!$F22,Assumptions!$BC$105:$BC$128,'non-road'!$D22)/SUMIF(Assumptions!$BB$105:$BB$128,'non-road'!$F22,Assumptions!CG$105:CG$128)</f>
        <v>4.27565871381189e-6</v>
      </c>
      <c r="AK22" s="40">
        <f>SUMIFS(Assumptions!CH$105:CH$128,Assumptions!$BB$105:$BB$128,'non-road'!$F22,Assumptions!$BC$105:$BC$128,'non-road'!$D22)/SUMIF(Assumptions!$BB$105:$BB$128,'non-road'!$F22,Assumptions!CH$105:CH$128)</f>
        <v>0</v>
      </c>
      <c r="AL22" s="40">
        <f>SUMIFS(Assumptions!CI$105:CI$128,Assumptions!$BB$105:$BB$128,'non-road'!$F22,Assumptions!$BC$105:$BC$128,'non-road'!$D22)/SUMIF(Assumptions!$BB$105:$BB$128,'non-road'!$F22,Assumptions!CI$105:CI$128)</f>
        <v>0</v>
      </c>
      <c r="AM22" s="40">
        <f>SUMIFS(Assumptions!CJ$105:CJ$128,Assumptions!$BB$105:$BB$128,'non-road'!$F22,Assumptions!$BC$105:$BC$128,'non-road'!$D22)/SUMIF(Assumptions!$BB$105:$BB$128,'non-road'!$F22,Assumptions!CJ$105:CJ$128)</f>
        <v>0</v>
      </c>
      <c r="AN22" s="40">
        <f>SUMIFS(Assumptions!CK$105:CK$128,Assumptions!$BB$105:$BB$128,'non-road'!$F22,Assumptions!$BC$105:$BC$128,'non-road'!$D22)/SUMIF(Assumptions!$BB$105:$BB$128,'non-road'!$F22,Assumptions!CK$105:CK$128)</f>
        <v>0</v>
      </c>
      <c r="AO22" s="40" t="e">
        <f>SUMIFS(Assumptions!CL$105:CL$128,Assumptions!$BB$105:$BB$128,'non-road'!$F22,Assumptions!$BC$105:$BC$128,'non-road'!$D22)/SUMIF(Assumptions!$BB$105:$BB$128,'non-road'!$F22,Assumptions!CL$105:CL$128)</f>
        <v>#DIV/0!</v>
      </c>
      <c r="AP22" s="40" t="e">
        <f>SUMIFS(Assumptions!CM$105:CM$128,Assumptions!$BB$105:$BB$128,'non-road'!$F22,Assumptions!$BC$105:$BC$128,'non-road'!$D22)/SUMIF(Assumptions!$BB$105:$BB$128,'non-road'!$F22,Assumptions!CM$105:CM$128)</f>
        <v>#DIV/0!</v>
      </c>
      <c r="AQ22" s="40" t="e">
        <f>SUMIFS(Assumptions!CN$105:CN$128,Assumptions!$BB$105:$BB$128,'non-road'!$F22,Assumptions!$BC$105:$BC$128,'non-road'!$D22)/SUMIF(Assumptions!$BB$105:$BB$128,'non-road'!$F22,Assumptions!CN$105:CN$128)</f>
        <v>#DIV/0!</v>
      </c>
      <c r="AR22" s="40" t="e">
        <f>SUMIFS(Assumptions!CO$105:CO$128,Assumptions!$BB$105:$BB$128,'non-road'!$F22,Assumptions!$BC$105:$BC$128,'non-road'!$D22)/SUMIF(Assumptions!$BB$105:$BB$128,'non-road'!$F22,Assumptions!CO$105:CO$128)</f>
        <v>#DIV/0!</v>
      </c>
      <c r="AS22" s="40" t="e">
        <f>SUMIFS(Assumptions!CP$105:CP$128,Assumptions!$BB$105:$BB$128,'non-road'!$F22,Assumptions!$BC$105:$BC$128,'non-road'!$D22)/SUMIF(Assumptions!$BB$105:$BB$128,'non-road'!$F22,Assumptions!CP$105:CP$128)</f>
        <v>#DIV/0!</v>
      </c>
      <c r="AT22" s="40" t="e">
        <f>SUMIFS(Assumptions!CQ$105:CQ$128,Assumptions!$BB$105:$BB$128,'non-road'!$F22,Assumptions!$BC$105:$BC$128,'non-road'!$D22)/SUMIF(Assumptions!$BB$105:$BB$128,'non-road'!$F22,Assumptions!CQ$105:CQ$128)</f>
        <v>#DIV/0!</v>
      </c>
      <c r="AU22" s="40" t="e">
        <f>SUMIFS(Assumptions!CR$105:CR$128,Assumptions!$BB$105:$BB$128,'non-road'!$F22,Assumptions!$BC$105:$BC$128,'non-road'!$D22)/SUMIF(Assumptions!$BB$105:$BB$128,'non-road'!$F22,Assumptions!CR$105:CR$128)</f>
        <v>#DIV/0!</v>
      </c>
      <c r="AV22" s="40" t="e">
        <f>SUMIFS(Assumptions!CS$105:CS$128,Assumptions!$BB$105:$BB$128,'non-road'!$F22,Assumptions!$BC$105:$BC$128,'non-road'!$D22)/SUMIF(Assumptions!$BB$105:$BB$128,'non-road'!$F22,Assumptions!CS$105:CS$128)</f>
        <v>#DIV/0!</v>
      </c>
      <c r="AW22" s="40" t="e">
        <f>SUMIFS(Assumptions!CT$105:CT$128,Assumptions!$BB$105:$BB$128,'non-road'!$F22,Assumptions!$BC$105:$BC$128,'non-road'!$D22)/SUMIF(Assumptions!$BB$105:$BB$128,'non-road'!$F22,Assumptions!CT$105:CT$128)</f>
        <v>#DIV/0!</v>
      </c>
      <c r="AX22" s="40" t="e">
        <f>SUMIFS(Assumptions!CU$105:CU$128,Assumptions!$BB$105:$BB$128,'non-road'!$F22,Assumptions!$BC$105:$BC$128,'non-road'!$D22)/SUMIF(Assumptions!$BB$105:$BB$128,'non-road'!$F22,Assumptions!CU$105:CU$128)</f>
        <v>#DIV/0!</v>
      </c>
      <c r="AY22" s="40" t="e">
        <f>SUMIFS(Assumptions!CV$105:CV$128,Assumptions!$BB$105:$BB$128,'non-road'!$F22,Assumptions!$BC$105:$BC$128,'non-road'!$D22)/SUMIF(Assumptions!$BB$105:$BB$128,'non-road'!$F22,Assumptions!CV$105:CV$128)</f>
        <v>#DIV/0!</v>
      </c>
      <c r="AZ22" s="40" t="e">
        <f>SUMIFS(Assumptions!CW$105:CW$128,Assumptions!$BB$105:$BB$128,'non-road'!$F22,Assumptions!$BC$105:$BC$128,'non-road'!$D22)/SUMIF(Assumptions!$BB$105:$BB$128,'non-road'!$F22,Assumptions!CW$105:CW$128)</f>
        <v>#DIV/0!</v>
      </c>
      <c r="BD22" s="39" t="str">
        <f t="shared" si="55"/>
        <v>TAD_Generic</v>
      </c>
      <c r="BE22" s="40">
        <f>VLOOKUP($F22,Assumptions!$E$152:$BC$157,COLUMN()-COLUMN($BC$4),FALSE)</f>
        <v>1</v>
      </c>
      <c r="BF22" s="40">
        <f>VLOOKUP($F22,Assumptions!$E$152:$BC$157,COLUMN()-COLUMN($BC$4),FALSE)</f>
        <v>1</v>
      </c>
      <c r="BG22" s="40">
        <f>VLOOKUP($F22,Assumptions!$E$152:$BC$157,COLUMN()-COLUMN($BC$4),FALSE)</f>
        <v>1</v>
      </c>
      <c r="BH22" s="40">
        <f>VLOOKUP($F22,Assumptions!$E$152:$BC$157,COLUMN()-COLUMN($BC$4),FALSE)</f>
        <v>1</v>
      </c>
      <c r="BI22" s="40">
        <f>VLOOKUP($F22,Assumptions!$E$152:$BC$157,COLUMN()-COLUMN($BC$4),FALSE)</f>
        <v>1</v>
      </c>
      <c r="BJ22" s="40">
        <f>VLOOKUP($F22,Assumptions!$E$152:$BC$157,COLUMN()-COLUMN($BC$4),FALSE)</f>
        <v>1</v>
      </c>
      <c r="BK22" s="40">
        <f>VLOOKUP($F22,Assumptions!$E$152:$BC$157,COLUMN()-COLUMN($BC$4),FALSE)</f>
        <v>1</v>
      </c>
      <c r="BL22" s="40">
        <f>VLOOKUP($F22,Assumptions!$E$152:$BC$157,COLUMN()-COLUMN($BC$4),FALSE)</f>
        <v>1</v>
      </c>
      <c r="BM22" s="40">
        <f>VLOOKUP($F22,Assumptions!$E$152:$BC$157,COLUMN()-COLUMN($BC$4),FALSE)</f>
        <v>1</v>
      </c>
      <c r="BN22" s="40">
        <f>VLOOKUP($F22,Assumptions!$E$152:$BC$157,COLUMN()-COLUMN($BC$4),FALSE)</f>
        <v>1</v>
      </c>
      <c r="BO22" s="40">
        <f>VLOOKUP($F22,Assumptions!$E$152:$BC$157,COLUMN()-COLUMN($BC$4),FALSE)</f>
        <v>1</v>
      </c>
      <c r="BP22" s="40">
        <f>VLOOKUP($F22,Assumptions!$E$152:$BC$157,COLUMN()-COLUMN($BC$4),FALSE)</f>
        <v>1</v>
      </c>
      <c r="BQ22" s="40">
        <f>VLOOKUP($F22,Assumptions!$E$152:$BC$157,COLUMN()-COLUMN($BC$4),FALSE)</f>
        <v>1</v>
      </c>
      <c r="BR22" s="40">
        <f>VLOOKUP($F22,Assumptions!$E$152:$BC$157,COLUMN()-COLUMN($BC$4),FALSE)</f>
        <v>1</v>
      </c>
      <c r="BS22" s="40">
        <f>VLOOKUP($F22,Assumptions!$E$152:$BC$157,COLUMN()-COLUMN($BC$4),FALSE)</f>
        <v>1</v>
      </c>
      <c r="BT22" s="40">
        <f>VLOOKUP($F22,Assumptions!$E$152:$BC$157,COLUMN()-COLUMN($BC$4),FALSE)</f>
        <v>1</v>
      </c>
      <c r="BU22" s="40">
        <f>VLOOKUP($F22,Assumptions!$E$152:$BC$157,COLUMN()-COLUMN($BC$4),FALSE)</f>
        <v>1</v>
      </c>
      <c r="BV22" s="40">
        <f>VLOOKUP($F22,Assumptions!$E$152:$BC$157,COLUMN()-COLUMN($BC$4),FALSE)</f>
        <v>1</v>
      </c>
      <c r="BW22" s="40">
        <f>VLOOKUP($F22,Assumptions!$E$152:$BC$157,COLUMN()-COLUMN($BC$4),FALSE)</f>
        <v>1</v>
      </c>
      <c r="BX22" s="40">
        <f>VLOOKUP($F22,Assumptions!$E$152:$BC$157,COLUMN()-COLUMN($BC$4),FALSE)</f>
        <v>1</v>
      </c>
      <c r="BY22" s="40">
        <f>VLOOKUP($F22,Assumptions!$E$152:$BC$157,COLUMN()-COLUMN($BC$4),FALSE)</f>
        <v>1</v>
      </c>
      <c r="BZ22" s="40">
        <f>VLOOKUP($F22,Assumptions!$E$152:$BC$157,COLUMN()-COLUMN($BC$4),FALSE)</f>
        <v>1</v>
      </c>
      <c r="CA22" s="40">
        <f>VLOOKUP($F22,Assumptions!$E$152:$BC$157,COLUMN()-COLUMN($BC$4),FALSE)</f>
        <v>1</v>
      </c>
      <c r="CB22" s="40">
        <f>VLOOKUP($F22,Assumptions!$E$152:$BC$157,COLUMN()-COLUMN($BC$4),FALSE)</f>
        <v>1</v>
      </c>
      <c r="CC22" s="40">
        <f>VLOOKUP($F22,Assumptions!$E$152:$BC$157,COLUMN()-COLUMN($BC$4),FALSE)</f>
        <v>1</v>
      </c>
      <c r="CD22" s="40">
        <f>VLOOKUP($F22,Assumptions!$E$152:$BC$157,COLUMN()-COLUMN($BC$4),FALSE)</f>
        <v>1</v>
      </c>
      <c r="CE22" s="40">
        <f>VLOOKUP($F22,Assumptions!$E$152:$BC$157,COLUMN()-COLUMN($BC$4),FALSE)</f>
        <v>1</v>
      </c>
      <c r="CF22" s="40">
        <f>VLOOKUP($F22,Assumptions!$E$152:$BC$157,COLUMN()-COLUMN($BC$4),FALSE)</f>
        <v>1</v>
      </c>
      <c r="CG22" s="40">
        <f>VLOOKUP($F22,Assumptions!$E$152:$BC$157,COLUMN()-COLUMN($BC$4),FALSE)</f>
        <v>1</v>
      </c>
      <c r="CH22" s="40">
        <f>VLOOKUP($F22,Assumptions!$E$152:$BC$157,COLUMN()-COLUMN($BC$4),FALSE)</f>
        <v>1</v>
      </c>
      <c r="CI22" s="40">
        <f>VLOOKUP($F22,Assumptions!$E$152:$BC$157,COLUMN()-COLUMN($BC$4),FALSE)</f>
        <v>1</v>
      </c>
      <c r="CJ22" s="40">
        <f>VLOOKUP($F22,Assumptions!$E$152:$BC$157,COLUMN()-COLUMN($BC$4),FALSE)</f>
        <v>1</v>
      </c>
      <c r="CK22" s="40">
        <f>VLOOKUP($F22,Assumptions!$E$152:$BC$157,COLUMN()-COLUMN($BC$4),FALSE)</f>
        <v>1</v>
      </c>
      <c r="CL22" s="40">
        <f>VLOOKUP($F22,Assumptions!$E$152:$BC$157,COLUMN()-COLUMN($BC$4),FALSE)</f>
        <v>1</v>
      </c>
      <c r="CM22" s="40">
        <f>VLOOKUP($F22,Assumptions!$E$152:$BC$157,COLUMN()-COLUMN($BC$4),FALSE)</f>
        <v>1</v>
      </c>
      <c r="CN22" s="40">
        <f>VLOOKUP($F22,Assumptions!$E$152:$BC$157,COLUMN()-COLUMN($BC$4),FALSE)</f>
        <v>1</v>
      </c>
      <c r="CO22" s="40">
        <f>VLOOKUP($F22,Assumptions!$E$152:$BC$157,COLUMN()-COLUMN($BC$4),FALSE)</f>
        <v>1</v>
      </c>
      <c r="CP22" s="40">
        <f>VLOOKUP($F22,Assumptions!$E$152:$BC$157,COLUMN()-COLUMN($BC$4),FALSE)</f>
        <v>1</v>
      </c>
      <c r="CQ22" s="40">
        <f>VLOOKUP($F22,Assumptions!$E$152:$BC$157,COLUMN()-COLUMN($BC$4),FALSE)</f>
        <v>1</v>
      </c>
      <c r="CR22" s="40">
        <f>VLOOKUP($F22,Assumptions!$E$152:$BC$157,COLUMN()-COLUMN($BC$4),FALSE)</f>
        <v>1</v>
      </c>
      <c r="CS22" s="40">
        <f>VLOOKUP($F22,Assumptions!$E$152:$BC$157,COLUMN()-COLUMN($BC$4),FALSE)</f>
        <v>1</v>
      </c>
      <c r="CT22" s="40">
        <f>VLOOKUP($F22,Assumptions!$E$152:$BC$157,COLUMN()-COLUMN($BC$4),FALSE)</f>
        <v>1</v>
      </c>
      <c r="CU22" s="40">
        <f>VLOOKUP($F22,Assumptions!$E$152:$BC$157,COLUMN()-COLUMN($BC$4),FALSE)</f>
        <v>1</v>
      </c>
      <c r="CV22" s="40">
        <f>VLOOKUP($F22,Assumptions!$E$152:$BC$157,COLUMN()-COLUMN($BC$4),FALSE)</f>
        <v>1</v>
      </c>
      <c r="CW22" s="40">
        <f>VLOOKUP($F22,Assumptions!$E$152:$BC$157,COLUMN()-COLUMN($BC$4),FALSE)</f>
        <v>1</v>
      </c>
      <c r="CX22" s="40">
        <f>VLOOKUP($F22,Assumptions!$E$152:$BC$157,COLUMN()-COLUMN($BC$4),FALSE)</f>
        <v>1</v>
      </c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 t="str">
        <f t="shared" si="48"/>
        <v>\I:</v>
      </c>
      <c r="EX22" s="39" t="str">
        <f t="shared" si="68"/>
        <v/>
      </c>
      <c r="EY22" s="39" t="s">
        <v>133</v>
      </c>
      <c r="EZ22" s="39" t="s">
        <v>85</v>
      </c>
      <c r="FA22" s="39" t="s">
        <v>440</v>
      </c>
    </row>
    <row r="23" spans="1:157">
      <c r="C23" s="39" t="str">
        <f t="shared" si="54"/>
        <v/>
      </c>
      <c r="D23" s="39" t="s">
        <v>60</v>
      </c>
      <c r="E23" s="39"/>
      <c r="F23" s="39" t="s">
        <v>62</v>
      </c>
      <c r="G23" s="40">
        <f>SUMIFS(Assumptions!BD$105:BD$128,Assumptions!$BB$105:$BB$128,'non-road'!$F23,Assumptions!$BC$105:$BC$128,'non-road'!$D23)/SUMIF(Assumptions!$BB$105:$BB$128,'non-road'!$F23,Assumptions!BD$105:BD$128)</f>
        <v>0</v>
      </c>
      <c r="H23" s="40">
        <f>SUMIFS(Assumptions!BE$105:BE$128,Assumptions!$BB$105:$BB$128,'non-road'!$F23,Assumptions!$BC$105:$BC$128,'non-road'!$D23)/SUMIF(Assumptions!$BB$105:$BB$128,'non-road'!$F23,Assumptions!BE$105:BE$128)</f>
        <v>0.00203964651790143</v>
      </c>
      <c r="I23" s="40">
        <f>SUMIFS(Assumptions!BF$105:BF$128,Assumptions!$BB$105:$BB$128,'non-road'!$F23,Assumptions!$BC$105:$BC$128,'non-road'!$D23)/SUMIF(Assumptions!$BB$105:$BB$128,'non-road'!$F23,Assumptions!BF$105:BF$128)</f>
        <v>0</v>
      </c>
      <c r="J23" s="40">
        <f>SUMIFS(Assumptions!BG$105:BG$128,Assumptions!$BB$105:$BB$128,'non-road'!$F23,Assumptions!$BC$105:$BC$128,'non-road'!$D23)/SUMIF(Assumptions!$BB$105:$BB$128,'non-road'!$F23,Assumptions!BG$105:BG$128)</f>
        <v>0</v>
      </c>
      <c r="K23" s="40">
        <f>SUMIFS(Assumptions!BH$105:BH$128,Assumptions!$BB$105:$BB$128,'non-road'!$F23,Assumptions!$BC$105:$BC$128,'non-road'!$D23)/SUMIF(Assumptions!$BB$105:$BB$128,'non-road'!$F23,Assumptions!BH$105:BH$128)</f>
        <v>0</v>
      </c>
      <c r="L23" s="40">
        <f>SUMIFS(Assumptions!BI$105:BI$128,Assumptions!$BB$105:$BB$128,'non-road'!$F23,Assumptions!$BC$105:$BC$128,'non-road'!$D23)/SUMIF(Assumptions!$BB$105:$BB$128,'non-road'!$F23,Assumptions!BI$105:BI$128)</f>
        <v>0</v>
      </c>
      <c r="M23" s="40">
        <f>SUMIFS(Assumptions!BJ$105:BJ$128,Assumptions!$BB$105:$BB$128,'non-road'!$F23,Assumptions!$BC$105:$BC$128,'non-road'!$D23)/SUMIF(Assumptions!$BB$105:$BB$128,'non-road'!$F23,Assumptions!BJ$105:BJ$128)</f>
        <v>0</v>
      </c>
      <c r="N23" s="40">
        <f>SUMIFS(Assumptions!BK$105:BK$128,Assumptions!$BB$105:$BB$128,'non-road'!$F23,Assumptions!$BC$105:$BC$128,'non-road'!$D23)/SUMIF(Assumptions!$BB$105:$BB$128,'non-road'!$F23,Assumptions!BK$105:BK$128)</f>
        <v>0</v>
      </c>
      <c r="O23" s="40">
        <f>SUMIFS(Assumptions!BL$105:BL$128,Assumptions!$BB$105:$BB$128,'non-road'!$F23,Assumptions!$BC$105:$BC$128,'non-road'!$D23)/SUMIF(Assumptions!$BB$105:$BB$128,'non-road'!$F23,Assumptions!BL$105:BL$128)</f>
        <v>0</v>
      </c>
      <c r="P23" s="40">
        <f>SUMIFS(Assumptions!BM$105:BM$128,Assumptions!$BB$105:$BB$128,'non-road'!$F23,Assumptions!$BC$105:$BC$128,'non-road'!$D23)/SUMIF(Assumptions!$BB$105:$BB$128,'non-road'!$F23,Assumptions!BM$105:BM$128)</f>
        <v>0</v>
      </c>
      <c r="Q23" s="40">
        <f>SUMIFS(Assumptions!BN$105:BN$128,Assumptions!$BB$105:$BB$128,'non-road'!$F23,Assumptions!$BC$105:$BC$128,'non-road'!$D23)/SUMIF(Assumptions!$BB$105:$BB$128,'non-road'!$F23,Assumptions!BN$105:BN$128)</f>
        <v>0</v>
      </c>
      <c r="R23" s="40">
        <f>SUMIFS(Assumptions!BO$105:BO$128,Assumptions!$BB$105:$BB$128,'non-road'!$F23,Assumptions!$BC$105:$BC$128,'non-road'!$D23)/SUMIF(Assumptions!$BB$105:$BB$128,'non-road'!$F23,Assumptions!BO$105:BO$128)</f>
        <v>0</v>
      </c>
      <c r="S23" s="40">
        <f>SUMIFS(Assumptions!BP$105:BP$128,Assumptions!$BB$105:$BB$128,'non-road'!$F23,Assumptions!$BC$105:$BC$128,'non-road'!$D23)/SUMIF(Assumptions!$BB$105:$BB$128,'non-road'!$F23,Assumptions!BP$105:BP$128)</f>
        <v>0</v>
      </c>
      <c r="T23" s="40">
        <f>SUMIFS(Assumptions!BQ$105:BQ$128,Assumptions!$BB$105:$BB$128,'non-road'!$F23,Assumptions!$BC$105:$BC$128,'non-road'!$D23)/SUMIF(Assumptions!$BB$105:$BB$128,'non-road'!$F23,Assumptions!BQ$105:BQ$128)</f>
        <v>0</v>
      </c>
      <c r="U23" s="40">
        <f>SUMIFS(Assumptions!BR$105:BR$128,Assumptions!$BB$105:$BB$128,'non-road'!$F23,Assumptions!$BC$105:$BC$128,'non-road'!$D23)/SUMIF(Assumptions!$BB$105:$BB$128,'non-road'!$F23,Assumptions!BR$105:BR$128)</f>
        <v>0</v>
      </c>
      <c r="V23" s="40">
        <f>SUMIFS(Assumptions!BS$105:BS$128,Assumptions!$BB$105:$BB$128,'non-road'!$F23,Assumptions!$BC$105:$BC$128,'non-road'!$D23)/SUMIF(Assumptions!$BB$105:$BB$128,'non-road'!$F23,Assumptions!BS$105:BS$128)</f>
        <v>0</v>
      </c>
      <c r="W23" s="40">
        <f>SUMIFS(Assumptions!BT$105:BT$128,Assumptions!$BB$105:$BB$128,'non-road'!$F23,Assumptions!$BC$105:$BC$128,'non-road'!$D23)/SUMIF(Assumptions!$BB$105:$BB$128,'non-road'!$F23,Assumptions!BT$105:BT$128)</f>
        <v>0</v>
      </c>
      <c r="X23" s="40">
        <f>SUMIFS(Assumptions!BU$105:BU$128,Assumptions!$BB$105:$BB$128,'non-road'!$F23,Assumptions!$BC$105:$BC$128,'non-road'!$D23)/SUMIF(Assumptions!$BB$105:$BB$128,'non-road'!$F23,Assumptions!BU$105:BU$128)</f>
        <v>0</v>
      </c>
      <c r="Y23" s="40">
        <f>SUMIFS(Assumptions!BV$105:BV$128,Assumptions!$BB$105:$BB$128,'non-road'!$F23,Assumptions!$BC$105:$BC$128,'non-road'!$D23)/SUMIF(Assumptions!$BB$105:$BB$128,'non-road'!$F23,Assumptions!BV$105:BV$128)</f>
        <v>0</v>
      </c>
      <c r="Z23" s="40">
        <f>SUMIFS(Assumptions!BW$105:BW$128,Assumptions!$BB$105:$BB$128,'non-road'!$F23,Assumptions!$BC$105:$BC$128,'non-road'!$D23)/SUMIF(Assumptions!$BB$105:$BB$128,'non-road'!$F23,Assumptions!BW$105:BW$128)</f>
        <v>0.00342684874022238</v>
      </c>
      <c r="AA23" s="40">
        <f>SUMIFS(Assumptions!BX$105:BX$128,Assumptions!$BB$105:$BB$128,'non-road'!$F23,Assumptions!$BC$105:$BC$128,'non-road'!$D23)/SUMIF(Assumptions!$BB$105:$BB$128,'non-road'!$F23,Assumptions!BX$105:BX$128)</f>
        <v>0</v>
      </c>
      <c r="AB23" s="40">
        <f>SUMIFS(Assumptions!BY$105:BY$128,Assumptions!$BB$105:$BB$128,'non-road'!$F23,Assumptions!$BC$105:$BC$128,'non-road'!$D23)/SUMIF(Assumptions!$BB$105:$BB$128,'non-road'!$F23,Assumptions!BY$105:BY$128)</f>
        <v>0</v>
      </c>
      <c r="AC23" s="40">
        <f>SUMIFS(Assumptions!BZ$105:BZ$128,Assumptions!$BB$105:$BB$128,'non-road'!$F23,Assumptions!$BC$105:$BC$128,'non-road'!$D23)/SUMIF(Assumptions!$BB$105:$BB$128,'non-road'!$F23,Assumptions!BZ$105:BZ$128)</f>
        <v>0</v>
      </c>
      <c r="AD23" s="40">
        <f>SUMIFS(Assumptions!CA$105:CA$128,Assumptions!$BB$105:$BB$128,'non-road'!$F23,Assumptions!$BC$105:$BC$128,'non-road'!$D23)/SUMIF(Assumptions!$BB$105:$BB$128,'non-road'!$F23,Assumptions!CA$105:CA$128)</f>
        <v>0</v>
      </c>
      <c r="AE23" s="40">
        <f>SUMIFS(Assumptions!CB$105:CB$128,Assumptions!$BB$105:$BB$128,'non-road'!$F23,Assumptions!$BC$105:$BC$128,'non-road'!$D23)/SUMIF(Assumptions!$BB$105:$BB$128,'non-road'!$F23,Assumptions!CB$105:CB$128)</f>
        <v>0.000188969508546484</v>
      </c>
      <c r="AF23" s="40">
        <f>SUMIFS(Assumptions!CC$105:CC$128,Assumptions!$BB$105:$BB$128,'non-road'!$F23,Assumptions!$BC$105:$BC$128,'non-road'!$D23)/SUMIF(Assumptions!$BB$105:$BB$128,'non-road'!$F23,Assumptions!CC$105:CC$128)</f>
        <v>0</v>
      </c>
      <c r="AG23" s="40">
        <f>SUMIFS(Assumptions!CD$105:CD$128,Assumptions!$BB$105:$BB$128,'non-road'!$F23,Assumptions!$BC$105:$BC$128,'non-road'!$D23)/SUMIF(Assumptions!$BB$105:$BB$128,'non-road'!$F23,Assumptions!CD$105:CD$128)</f>
        <v>0</v>
      </c>
      <c r="AH23" s="40">
        <f>SUMIFS(Assumptions!CE$105:CE$128,Assumptions!$BB$105:$BB$128,'non-road'!$F23,Assumptions!$BC$105:$BC$128,'non-road'!$D23)/SUMIF(Assumptions!$BB$105:$BB$128,'non-road'!$F23,Assumptions!CE$105:CE$128)</f>
        <v>0.0141470702169951</v>
      </c>
      <c r="AI23" s="40">
        <f>SUMIFS(Assumptions!CF$105:CF$128,Assumptions!$BB$105:$BB$128,'non-road'!$F23,Assumptions!$BC$105:$BC$128,'non-road'!$D23)/SUMIF(Assumptions!$BB$105:$BB$128,'non-road'!$F23,Assumptions!CF$105:CF$128)</f>
        <v>0</v>
      </c>
      <c r="AJ23" s="40">
        <f>SUMIFS(Assumptions!CG$105:CG$128,Assumptions!$BB$105:$BB$128,'non-road'!$F23,Assumptions!$BC$105:$BC$128,'non-road'!$D23)/SUMIF(Assumptions!$BB$105:$BB$128,'non-road'!$F23,Assumptions!CG$105:CG$128)</f>
        <v>0</v>
      </c>
      <c r="AK23" s="40">
        <f>SUMIFS(Assumptions!CH$105:CH$128,Assumptions!$BB$105:$BB$128,'non-road'!$F23,Assumptions!$BC$105:$BC$128,'non-road'!$D23)/SUMIF(Assumptions!$BB$105:$BB$128,'non-road'!$F23,Assumptions!CH$105:CH$128)</f>
        <v>0</v>
      </c>
      <c r="AL23" s="40">
        <f>SUMIFS(Assumptions!CI$105:CI$128,Assumptions!$BB$105:$BB$128,'non-road'!$F23,Assumptions!$BC$105:$BC$128,'non-road'!$D23)/SUMIF(Assumptions!$BB$105:$BB$128,'non-road'!$F23,Assumptions!CI$105:CI$128)</f>
        <v>0</v>
      </c>
      <c r="AM23" s="40">
        <f>SUMIFS(Assumptions!CJ$105:CJ$128,Assumptions!$BB$105:$BB$128,'non-road'!$F23,Assumptions!$BC$105:$BC$128,'non-road'!$D23)/SUMIF(Assumptions!$BB$105:$BB$128,'non-road'!$F23,Assumptions!CJ$105:CJ$128)</f>
        <v>0</v>
      </c>
      <c r="AN23" s="40">
        <f>SUMIFS(Assumptions!CK$105:CK$128,Assumptions!$BB$105:$BB$128,'non-road'!$F23,Assumptions!$BC$105:$BC$128,'non-road'!$D23)/SUMIF(Assumptions!$BB$105:$BB$128,'non-road'!$F23,Assumptions!CK$105:CK$128)</f>
        <v>0</v>
      </c>
      <c r="AO23" s="40" t="e">
        <f>SUMIFS(Assumptions!CL$105:CL$128,Assumptions!$BB$105:$BB$128,'non-road'!$F23,Assumptions!$BC$105:$BC$128,'non-road'!$D23)/SUMIF(Assumptions!$BB$105:$BB$128,'non-road'!$F23,Assumptions!CL$105:CL$128)</f>
        <v>#DIV/0!</v>
      </c>
      <c r="AP23" s="40" t="e">
        <f>SUMIFS(Assumptions!CM$105:CM$128,Assumptions!$BB$105:$BB$128,'non-road'!$F23,Assumptions!$BC$105:$BC$128,'non-road'!$D23)/SUMIF(Assumptions!$BB$105:$BB$128,'non-road'!$F23,Assumptions!CM$105:CM$128)</f>
        <v>#DIV/0!</v>
      </c>
      <c r="AQ23" s="40" t="e">
        <f>SUMIFS(Assumptions!CN$105:CN$128,Assumptions!$BB$105:$BB$128,'non-road'!$F23,Assumptions!$BC$105:$BC$128,'non-road'!$D23)/SUMIF(Assumptions!$BB$105:$BB$128,'non-road'!$F23,Assumptions!CN$105:CN$128)</f>
        <v>#DIV/0!</v>
      </c>
      <c r="AR23" s="40" t="e">
        <f>SUMIFS(Assumptions!CO$105:CO$128,Assumptions!$BB$105:$BB$128,'non-road'!$F23,Assumptions!$BC$105:$BC$128,'non-road'!$D23)/SUMIF(Assumptions!$BB$105:$BB$128,'non-road'!$F23,Assumptions!CO$105:CO$128)</f>
        <v>#DIV/0!</v>
      </c>
      <c r="AS23" s="40" t="e">
        <f>SUMIFS(Assumptions!CP$105:CP$128,Assumptions!$BB$105:$BB$128,'non-road'!$F23,Assumptions!$BC$105:$BC$128,'non-road'!$D23)/SUMIF(Assumptions!$BB$105:$BB$128,'non-road'!$F23,Assumptions!CP$105:CP$128)</f>
        <v>#DIV/0!</v>
      </c>
      <c r="AT23" s="40" t="e">
        <f>SUMIFS(Assumptions!CQ$105:CQ$128,Assumptions!$BB$105:$BB$128,'non-road'!$F23,Assumptions!$BC$105:$BC$128,'non-road'!$D23)/SUMIF(Assumptions!$BB$105:$BB$128,'non-road'!$F23,Assumptions!CQ$105:CQ$128)</f>
        <v>#DIV/0!</v>
      </c>
      <c r="AU23" s="40" t="e">
        <f>SUMIFS(Assumptions!CR$105:CR$128,Assumptions!$BB$105:$BB$128,'non-road'!$F23,Assumptions!$BC$105:$BC$128,'non-road'!$D23)/SUMIF(Assumptions!$BB$105:$BB$128,'non-road'!$F23,Assumptions!CR$105:CR$128)</f>
        <v>#DIV/0!</v>
      </c>
      <c r="AV23" s="40" t="e">
        <f>SUMIFS(Assumptions!CS$105:CS$128,Assumptions!$BB$105:$BB$128,'non-road'!$F23,Assumptions!$BC$105:$BC$128,'non-road'!$D23)/SUMIF(Assumptions!$BB$105:$BB$128,'non-road'!$F23,Assumptions!CS$105:CS$128)</f>
        <v>#DIV/0!</v>
      </c>
      <c r="AW23" s="40" t="e">
        <f>SUMIFS(Assumptions!CT$105:CT$128,Assumptions!$BB$105:$BB$128,'non-road'!$F23,Assumptions!$BC$105:$BC$128,'non-road'!$D23)/SUMIF(Assumptions!$BB$105:$BB$128,'non-road'!$F23,Assumptions!CT$105:CT$128)</f>
        <v>#DIV/0!</v>
      </c>
      <c r="AX23" s="40" t="e">
        <f>SUMIFS(Assumptions!CU$105:CU$128,Assumptions!$BB$105:$BB$128,'non-road'!$F23,Assumptions!$BC$105:$BC$128,'non-road'!$D23)/SUMIF(Assumptions!$BB$105:$BB$128,'non-road'!$F23,Assumptions!CU$105:CU$128)</f>
        <v>#DIV/0!</v>
      </c>
      <c r="AY23" s="40" t="e">
        <f>SUMIFS(Assumptions!CV$105:CV$128,Assumptions!$BB$105:$BB$128,'non-road'!$F23,Assumptions!$BC$105:$BC$128,'non-road'!$D23)/SUMIF(Assumptions!$BB$105:$BB$128,'non-road'!$F23,Assumptions!CV$105:CV$128)</f>
        <v>#DIV/0!</v>
      </c>
      <c r="AZ23" s="40" t="e">
        <f>SUMIFS(Assumptions!CW$105:CW$128,Assumptions!$BB$105:$BB$128,'non-road'!$F23,Assumptions!$BC$105:$BC$128,'non-road'!$D23)/SUMIF(Assumptions!$BB$105:$BB$128,'non-road'!$F23,Assumptions!CW$105:CW$128)</f>
        <v>#DIV/0!</v>
      </c>
      <c r="BD23" s="39" t="str">
        <f t="shared" si="55"/>
        <v>\I:</v>
      </c>
      <c r="BE23" s="40">
        <f>VLOOKUP($F23,Assumptions!$E$152:$BC$157,COLUMN()-COLUMN($BC$4),FALSE)</f>
        <v>1</v>
      </c>
      <c r="BF23" s="40">
        <f>VLOOKUP($F23,Assumptions!$E$152:$BC$157,COLUMN()-COLUMN($BC$4),FALSE)</f>
        <v>1</v>
      </c>
      <c r="BG23" s="40">
        <f>VLOOKUP($F23,Assumptions!$E$152:$BC$157,COLUMN()-COLUMN($BC$4),FALSE)</f>
        <v>1</v>
      </c>
      <c r="BH23" s="40">
        <f>VLOOKUP($F23,Assumptions!$E$152:$BC$157,COLUMN()-COLUMN($BC$4),FALSE)</f>
        <v>1</v>
      </c>
      <c r="BI23" s="40">
        <f>VLOOKUP($F23,Assumptions!$E$152:$BC$157,COLUMN()-COLUMN($BC$4),FALSE)</f>
        <v>1</v>
      </c>
      <c r="BJ23" s="40">
        <f>VLOOKUP($F23,Assumptions!$E$152:$BC$157,COLUMN()-COLUMN($BC$4),FALSE)</f>
        <v>1</v>
      </c>
      <c r="BK23" s="40">
        <f>VLOOKUP($F23,Assumptions!$E$152:$BC$157,COLUMN()-COLUMN($BC$4),FALSE)</f>
        <v>1</v>
      </c>
      <c r="BL23" s="40">
        <f>VLOOKUP($F23,Assumptions!$E$152:$BC$157,COLUMN()-COLUMN($BC$4),FALSE)</f>
        <v>1</v>
      </c>
      <c r="BM23" s="40">
        <f>VLOOKUP($F23,Assumptions!$E$152:$BC$157,COLUMN()-COLUMN($BC$4),FALSE)</f>
        <v>1</v>
      </c>
      <c r="BN23" s="40">
        <f>VLOOKUP($F23,Assumptions!$E$152:$BC$157,COLUMN()-COLUMN($BC$4),FALSE)</f>
        <v>1</v>
      </c>
      <c r="BO23" s="40">
        <f>VLOOKUP($F23,Assumptions!$E$152:$BC$157,COLUMN()-COLUMN($BC$4),FALSE)</f>
        <v>1</v>
      </c>
      <c r="BP23" s="40">
        <f>VLOOKUP($F23,Assumptions!$E$152:$BC$157,COLUMN()-COLUMN($BC$4),FALSE)</f>
        <v>1</v>
      </c>
      <c r="BQ23" s="40">
        <f>VLOOKUP($F23,Assumptions!$E$152:$BC$157,COLUMN()-COLUMN($BC$4),FALSE)</f>
        <v>1</v>
      </c>
      <c r="BR23" s="40">
        <f>VLOOKUP($F23,Assumptions!$E$152:$BC$157,COLUMN()-COLUMN($BC$4),FALSE)</f>
        <v>1</v>
      </c>
      <c r="BS23" s="40">
        <f>VLOOKUP($F23,Assumptions!$E$152:$BC$157,COLUMN()-COLUMN($BC$4),FALSE)</f>
        <v>1</v>
      </c>
      <c r="BT23" s="40">
        <f>VLOOKUP($F23,Assumptions!$E$152:$BC$157,COLUMN()-COLUMN($BC$4),FALSE)</f>
        <v>1</v>
      </c>
      <c r="BU23" s="40">
        <f>VLOOKUP($F23,Assumptions!$E$152:$BC$157,COLUMN()-COLUMN($BC$4),FALSE)</f>
        <v>1</v>
      </c>
      <c r="BV23" s="40">
        <f>VLOOKUP($F23,Assumptions!$E$152:$BC$157,COLUMN()-COLUMN($BC$4),FALSE)</f>
        <v>1</v>
      </c>
      <c r="BW23" s="40">
        <f>VLOOKUP($F23,Assumptions!$E$152:$BC$157,COLUMN()-COLUMN($BC$4),FALSE)</f>
        <v>1</v>
      </c>
      <c r="BX23" s="40">
        <f>VLOOKUP($F23,Assumptions!$E$152:$BC$157,COLUMN()-COLUMN($BC$4),FALSE)</f>
        <v>1</v>
      </c>
      <c r="BY23" s="40">
        <f>VLOOKUP($F23,Assumptions!$E$152:$BC$157,COLUMN()-COLUMN($BC$4),FALSE)</f>
        <v>1</v>
      </c>
      <c r="BZ23" s="40">
        <f>VLOOKUP($F23,Assumptions!$E$152:$BC$157,COLUMN()-COLUMN($BC$4),FALSE)</f>
        <v>1</v>
      </c>
      <c r="CA23" s="40">
        <f>VLOOKUP($F23,Assumptions!$E$152:$BC$157,COLUMN()-COLUMN($BC$4),FALSE)</f>
        <v>1</v>
      </c>
      <c r="CB23" s="40">
        <f>VLOOKUP($F23,Assumptions!$E$152:$BC$157,COLUMN()-COLUMN($BC$4),FALSE)</f>
        <v>1</v>
      </c>
      <c r="CC23" s="40">
        <f>VLOOKUP($F23,Assumptions!$E$152:$BC$157,COLUMN()-COLUMN($BC$4),FALSE)</f>
        <v>1</v>
      </c>
      <c r="CD23" s="40">
        <f>VLOOKUP($F23,Assumptions!$E$152:$BC$157,COLUMN()-COLUMN($BC$4),FALSE)</f>
        <v>1</v>
      </c>
      <c r="CE23" s="40">
        <f>VLOOKUP($F23,Assumptions!$E$152:$BC$157,COLUMN()-COLUMN($BC$4),FALSE)</f>
        <v>1</v>
      </c>
      <c r="CF23" s="40">
        <f>VLOOKUP($F23,Assumptions!$E$152:$BC$157,COLUMN()-COLUMN($BC$4),FALSE)</f>
        <v>1</v>
      </c>
      <c r="CG23" s="40">
        <f>VLOOKUP($F23,Assumptions!$E$152:$BC$157,COLUMN()-COLUMN($BC$4),FALSE)</f>
        <v>1</v>
      </c>
      <c r="CH23" s="40">
        <f>VLOOKUP($F23,Assumptions!$E$152:$BC$157,COLUMN()-COLUMN($BC$4),FALSE)</f>
        <v>1</v>
      </c>
      <c r="CI23" s="40">
        <f>VLOOKUP($F23,Assumptions!$E$152:$BC$157,COLUMN()-COLUMN($BC$4),FALSE)</f>
        <v>1</v>
      </c>
      <c r="CJ23" s="40">
        <f>VLOOKUP($F23,Assumptions!$E$152:$BC$157,COLUMN()-COLUMN($BC$4),FALSE)</f>
        <v>1</v>
      </c>
      <c r="CK23" s="40">
        <f>VLOOKUP($F23,Assumptions!$E$152:$BC$157,COLUMN()-COLUMN($BC$4),FALSE)</f>
        <v>1</v>
      </c>
      <c r="CL23" s="40">
        <f>VLOOKUP($F23,Assumptions!$E$152:$BC$157,COLUMN()-COLUMN($BC$4),FALSE)</f>
        <v>1</v>
      </c>
      <c r="CM23" s="40">
        <f>VLOOKUP($F23,Assumptions!$E$152:$BC$157,COLUMN()-COLUMN($BC$4),FALSE)</f>
        <v>1</v>
      </c>
      <c r="CN23" s="40">
        <f>VLOOKUP($F23,Assumptions!$E$152:$BC$157,COLUMN()-COLUMN($BC$4),FALSE)</f>
        <v>1</v>
      </c>
      <c r="CO23" s="40">
        <f>VLOOKUP($F23,Assumptions!$E$152:$BC$157,COLUMN()-COLUMN($BC$4),FALSE)</f>
        <v>1</v>
      </c>
      <c r="CP23" s="40">
        <f>VLOOKUP($F23,Assumptions!$E$152:$BC$157,COLUMN()-COLUMN($BC$4),FALSE)</f>
        <v>1</v>
      </c>
      <c r="CQ23" s="40">
        <f>VLOOKUP($F23,Assumptions!$E$152:$BC$157,COLUMN()-COLUMN($BC$4),FALSE)</f>
        <v>1</v>
      </c>
      <c r="CR23" s="40">
        <f>VLOOKUP($F23,Assumptions!$E$152:$BC$157,COLUMN()-COLUMN($BC$4),FALSE)</f>
        <v>1</v>
      </c>
      <c r="CS23" s="40">
        <f>VLOOKUP($F23,Assumptions!$E$152:$BC$157,COLUMN()-COLUMN($BC$4),FALSE)</f>
        <v>1</v>
      </c>
      <c r="CT23" s="40">
        <f>VLOOKUP($F23,Assumptions!$E$152:$BC$157,COLUMN()-COLUMN($BC$4),FALSE)</f>
        <v>1</v>
      </c>
      <c r="CU23" s="40">
        <f>VLOOKUP($F23,Assumptions!$E$152:$BC$157,COLUMN()-COLUMN($BC$4),FALSE)</f>
        <v>1</v>
      </c>
      <c r="CV23" s="40">
        <f>VLOOKUP($F23,Assumptions!$E$152:$BC$157,COLUMN()-COLUMN($BC$4),FALSE)</f>
        <v>1</v>
      </c>
      <c r="CW23" s="40">
        <f>VLOOKUP($F23,Assumptions!$E$152:$BC$157,COLUMN()-COLUMN($BC$4),FALSE)</f>
        <v>1</v>
      </c>
      <c r="CX23" s="40">
        <f>VLOOKUP($F23,Assumptions!$E$152:$BC$157,COLUMN()-COLUMN($BC$4),FALSE)</f>
        <v>1</v>
      </c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 t="str">
        <f t="shared" si="48"/>
        <v>\I:</v>
      </c>
      <c r="EX23" s="39" t="str">
        <f t="shared" si="68"/>
        <v/>
      </c>
      <c r="EY23" s="39" t="s">
        <v>133</v>
      </c>
      <c r="EZ23" s="39" t="s">
        <v>85</v>
      </c>
      <c r="FA23" s="39" t="s">
        <v>440</v>
      </c>
    </row>
    <row r="24" spans="1:157">
      <c r="C24" s="39" t="str">
        <f t="shared" si="54"/>
        <v/>
      </c>
      <c r="D24" s="39" t="s">
        <v>66</v>
      </c>
      <c r="E24" s="39"/>
      <c r="F24" s="39" t="s">
        <v>62</v>
      </c>
      <c r="G24" s="40">
        <f>SUMIFS(Assumptions!BD$105:BD$128,Assumptions!$BB$105:$BB$128,'non-road'!$F24,Assumptions!$BC$105:$BC$128,'non-road'!$D24)/SUMIF(Assumptions!$BB$105:$BB$128,'non-road'!$F24,Assumptions!BD$105:BD$128)</f>
        <v>0</v>
      </c>
      <c r="H24" s="40">
        <f>SUMIFS(Assumptions!BE$105:BE$128,Assumptions!$BB$105:$BB$128,'non-road'!$F24,Assumptions!$BC$105:$BC$128,'non-road'!$D24)/SUMIF(Assumptions!$BB$105:$BB$128,'non-road'!$F24,Assumptions!BE$105:BE$128)</f>
        <v>0</v>
      </c>
      <c r="I24" s="40">
        <f>SUMIFS(Assumptions!BF$105:BF$128,Assumptions!$BB$105:$BB$128,'non-road'!$F24,Assumptions!$BC$105:$BC$128,'non-road'!$D24)/SUMIF(Assumptions!$BB$105:$BB$128,'non-road'!$F24,Assumptions!BF$105:BF$128)</f>
        <v>0</v>
      </c>
      <c r="J24" s="40">
        <f>SUMIFS(Assumptions!BG$105:BG$128,Assumptions!$BB$105:$BB$128,'non-road'!$F24,Assumptions!$BC$105:$BC$128,'non-road'!$D24)/SUMIF(Assumptions!$BB$105:$BB$128,'non-road'!$F24,Assumptions!BG$105:BG$128)</f>
        <v>0</v>
      </c>
      <c r="K24" s="40">
        <f>SUMIFS(Assumptions!BH$105:BH$128,Assumptions!$BB$105:$BB$128,'non-road'!$F24,Assumptions!$BC$105:$BC$128,'non-road'!$D24)/SUMIF(Assumptions!$BB$105:$BB$128,'non-road'!$F24,Assumptions!BH$105:BH$128)</f>
        <v>0</v>
      </c>
      <c r="L24" s="40">
        <f>SUMIFS(Assumptions!BI$105:BI$128,Assumptions!$BB$105:$BB$128,'non-road'!$F24,Assumptions!$BC$105:$BC$128,'non-road'!$D24)/SUMIF(Assumptions!$BB$105:$BB$128,'non-road'!$F24,Assumptions!BI$105:BI$128)</f>
        <v>0</v>
      </c>
      <c r="M24" s="40">
        <f>SUMIFS(Assumptions!BJ$105:BJ$128,Assumptions!$BB$105:$BB$128,'non-road'!$F24,Assumptions!$BC$105:$BC$128,'non-road'!$D24)/SUMIF(Assumptions!$BB$105:$BB$128,'non-road'!$F24,Assumptions!BJ$105:BJ$128)</f>
        <v>0</v>
      </c>
      <c r="N24" s="40">
        <f>SUMIFS(Assumptions!BK$105:BK$128,Assumptions!$BB$105:$BB$128,'non-road'!$F24,Assumptions!$BC$105:$BC$128,'non-road'!$D24)/SUMIF(Assumptions!$BB$105:$BB$128,'non-road'!$F24,Assumptions!BK$105:BK$128)</f>
        <v>0</v>
      </c>
      <c r="O24" s="40">
        <f>SUMIFS(Assumptions!BL$105:BL$128,Assumptions!$BB$105:$BB$128,'non-road'!$F24,Assumptions!$BC$105:$BC$128,'non-road'!$D24)/SUMIF(Assumptions!$BB$105:$BB$128,'non-road'!$F24,Assumptions!BL$105:BL$128)</f>
        <v>0</v>
      </c>
      <c r="P24" s="40">
        <f>SUMIFS(Assumptions!BM$105:BM$128,Assumptions!$BB$105:$BB$128,'non-road'!$F24,Assumptions!$BC$105:$BC$128,'non-road'!$D24)/SUMIF(Assumptions!$BB$105:$BB$128,'non-road'!$F24,Assumptions!BM$105:BM$128)</f>
        <v>0</v>
      </c>
      <c r="Q24" s="40">
        <f>SUMIFS(Assumptions!BN$105:BN$128,Assumptions!$BB$105:$BB$128,'non-road'!$F24,Assumptions!$BC$105:$BC$128,'non-road'!$D24)/SUMIF(Assumptions!$BB$105:$BB$128,'non-road'!$F24,Assumptions!BN$105:BN$128)</f>
        <v>0</v>
      </c>
      <c r="R24" s="40">
        <f>SUMIFS(Assumptions!BO$105:BO$128,Assumptions!$BB$105:$BB$128,'non-road'!$F24,Assumptions!$BC$105:$BC$128,'non-road'!$D24)/SUMIF(Assumptions!$BB$105:$BB$128,'non-road'!$F24,Assumptions!BO$105:BO$128)</f>
        <v>0</v>
      </c>
      <c r="S24" s="40">
        <f>SUMIFS(Assumptions!BP$105:BP$128,Assumptions!$BB$105:$BB$128,'non-road'!$F24,Assumptions!$BC$105:$BC$128,'non-road'!$D24)/SUMIF(Assumptions!$BB$105:$BB$128,'non-road'!$F24,Assumptions!BP$105:BP$128)</f>
        <v>0</v>
      </c>
      <c r="T24" s="40">
        <f>SUMIFS(Assumptions!BQ$105:BQ$128,Assumptions!$BB$105:$BB$128,'non-road'!$F24,Assumptions!$BC$105:$BC$128,'non-road'!$D24)/SUMIF(Assumptions!$BB$105:$BB$128,'non-road'!$F24,Assumptions!BQ$105:BQ$128)</f>
        <v>0</v>
      </c>
      <c r="U24" s="40">
        <f>SUMIFS(Assumptions!BR$105:BR$128,Assumptions!$BB$105:$BB$128,'non-road'!$F24,Assumptions!$BC$105:$BC$128,'non-road'!$D24)/SUMIF(Assumptions!$BB$105:$BB$128,'non-road'!$F24,Assumptions!BR$105:BR$128)</f>
        <v>0</v>
      </c>
      <c r="V24" s="40">
        <f>SUMIFS(Assumptions!BS$105:BS$128,Assumptions!$BB$105:$BB$128,'non-road'!$F24,Assumptions!$BC$105:$BC$128,'non-road'!$D24)/SUMIF(Assumptions!$BB$105:$BB$128,'non-road'!$F24,Assumptions!BS$105:BS$128)</f>
        <v>0</v>
      </c>
      <c r="W24" s="40">
        <f>SUMIFS(Assumptions!BT$105:BT$128,Assumptions!$BB$105:$BB$128,'non-road'!$F24,Assumptions!$BC$105:$BC$128,'non-road'!$D24)/SUMIF(Assumptions!$BB$105:$BB$128,'non-road'!$F24,Assumptions!BT$105:BT$128)</f>
        <v>0.126238808010389</v>
      </c>
      <c r="X24" s="40">
        <f>SUMIFS(Assumptions!BU$105:BU$128,Assumptions!$BB$105:$BB$128,'non-road'!$F24,Assumptions!$BC$105:$BC$128,'non-road'!$D24)/SUMIF(Assumptions!$BB$105:$BB$128,'non-road'!$F24,Assumptions!BU$105:BU$128)</f>
        <v>0</v>
      </c>
      <c r="Y24" s="40">
        <f>SUMIFS(Assumptions!BV$105:BV$128,Assumptions!$BB$105:$BB$128,'non-road'!$F24,Assumptions!$BC$105:$BC$128,'non-road'!$D24)/SUMIF(Assumptions!$BB$105:$BB$128,'non-road'!$F24,Assumptions!BV$105:BV$128)</f>
        <v>0</v>
      </c>
      <c r="Z24" s="40">
        <f>SUMIFS(Assumptions!BW$105:BW$128,Assumptions!$BB$105:$BB$128,'non-road'!$F24,Assumptions!$BC$105:$BC$128,'non-road'!$D24)/SUMIF(Assumptions!$BB$105:$BB$128,'non-road'!$F24,Assumptions!BW$105:BW$128)</f>
        <v>0.0076708733941208</v>
      </c>
      <c r="AA24" s="40">
        <f>SUMIFS(Assumptions!BX$105:BX$128,Assumptions!$BB$105:$BB$128,'non-road'!$F24,Assumptions!$BC$105:$BC$128,'non-road'!$D24)/SUMIF(Assumptions!$BB$105:$BB$128,'non-road'!$F24,Assumptions!BX$105:BX$128)</f>
        <v>0</v>
      </c>
      <c r="AB24" s="40">
        <f>SUMIFS(Assumptions!BY$105:BY$128,Assumptions!$BB$105:$BB$128,'non-road'!$F24,Assumptions!$BC$105:$BC$128,'non-road'!$D24)/SUMIF(Assumptions!$BB$105:$BB$128,'non-road'!$F24,Assumptions!BY$105:BY$128)</f>
        <v>0</v>
      </c>
      <c r="AC24" s="40">
        <f>SUMIFS(Assumptions!BZ$105:BZ$128,Assumptions!$BB$105:$BB$128,'non-road'!$F24,Assumptions!$BC$105:$BC$128,'non-road'!$D24)/SUMIF(Assumptions!$BB$105:$BB$128,'non-road'!$F24,Assumptions!BZ$105:BZ$128)</f>
        <v>0</v>
      </c>
      <c r="AD24" s="40">
        <f>SUMIFS(Assumptions!CA$105:CA$128,Assumptions!$BB$105:$BB$128,'non-road'!$F24,Assumptions!$BC$105:$BC$128,'non-road'!$D24)/SUMIF(Assumptions!$BB$105:$BB$128,'non-road'!$F24,Assumptions!CA$105:CA$128)</f>
        <v>0</v>
      </c>
      <c r="AE24" s="40">
        <f>SUMIFS(Assumptions!CB$105:CB$128,Assumptions!$BB$105:$BB$128,'non-road'!$F24,Assumptions!$BC$105:$BC$128,'non-road'!$D24)/SUMIF(Assumptions!$BB$105:$BB$128,'non-road'!$F24,Assumptions!CB$105:CB$128)</f>
        <v>2.46042071239642e-5</v>
      </c>
      <c r="AF24" s="40">
        <f>SUMIFS(Assumptions!CC$105:CC$128,Assumptions!$BB$105:$BB$128,'non-road'!$F24,Assumptions!$BC$105:$BC$128,'non-road'!$D24)/SUMIF(Assumptions!$BB$105:$BB$128,'non-road'!$F24,Assumptions!CC$105:CC$128)</f>
        <v>0</v>
      </c>
      <c r="AG24" s="40">
        <f>SUMIFS(Assumptions!CD$105:CD$128,Assumptions!$BB$105:$BB$128,'non-road'!$F24,Assumptions!$BC$105:$BC$128,'non-road'!$D24)/SUMIF(Assumptions!$BB$105:$BB$128,'non-road'!$F24,Assumptions!CD$105:CD$128)</f>
        <v>0</v>
      </c>
      <c r="AH24" s="40">
        <f>SUMIFS(Assumptions!CE$105:CE$128,Assumptions!$BB$105:$BB$128,'non-road'!$F24,Assumptions!$BC$105:$BC$128,'non-road'!$D24)/SUMIF(Assumptions!$BB$105:$BB$128,'non-road'!$F24,Assumptions!CE$105:CE$128)</f>
        <v>0</v>
      </c>
      <c r="AI24" s="40">
        <f>SUMIFS(Assumptions!CF$105:CF$128,Assumptions!$BB$105:$BB$128,'non-road'!$F24,Assumptions!$BC$105:$BC$128,'non-road'!$D24)/SUMIF(Assumptions!$BB$105:$BB$128,'non-road'!$F24,Assumptions!CF$105:CF$128)</f>
        <v>0</v>
      </c>
      <c r="AJ24" s="40">
        <f>SUMIFS(Assumptions!CG$105:CG$128,Assumptions!$BB$105:$BB$128,'non-road'!$F24,Assumptions!$BC$105:$BC$128,'non-road'!$D24)/SUMIF(Assumptions!$BB$105:$BB$128,'non-road'!$F24,Assumptions!CG$105:CG$128)</f>
        <v>4.27565871381189e-6</v>
      </c>
      <c r="AK24" s="40">
        <f>SUMIFS(Assumptions!CH$105:CH$128,Assumptions!$BB$105:$BB$128,'non-road'!$F24,Assumptions!$BC$105:$BC$128,'non-road'!$D24)/SUMIF(Assumptions!$BB$105:$BB$128,'non-road'!$F24,Assumptions!CH$105:CH$128)</f>
        <v>0</v>
      </c>
      <c r="AL24" s="40">
        <f>SUMIFS(Assumptions!CI$105:CI$128,Assumptions!$BB$105:$BB$128,'non-road'!$F24,Assumptions!$BC$105:$BC$128,'non-road'!$D24)/SUMIF(Assumptions!$BB$105:$BB$128,'non-road'!$F24,Assumptions!CI$105:CI$128)</f>
        <v>0</v>
      </c>
      <c r="AM24" s="40">
        <f>SUMIFS(Assumptions!CJ$105:CJ$128,Assumptions!$BB$105:$BB$128,'non-road'!$F24,Assumptions!$BC$105:$BC$128,'non-road'!$D24)/SUMIF(Assumptions!$BB$105:$BB$128,'non-road'!$F24,Assumptions!CJ$105:CJ$128)</f>
        <v>0</v>
      </c>
      <c r="AN24" s="40">
        <f>SUMIFS(Assumptions!CK$105:CK$128,Assumptions!$BB$105:$BB$128,'non-road'!$F24,Assumptions!$BC$105:$BC$128,'non-road'!$D24)/SUMIF(Assumptions!$BB$105:$BB$128,'non-road'!$F24,Assumptions!CK$105:CK$128)</f>
        <v>0</v>
      </c>
      <c r="AO24" s="40" t="e">
        <f>SUMIFS(Assumptions!CL$105:CL$128,Assumptions!$BB$105:$BB$128,'non-road'!$F24,Assumptions!$BC$105:$BC$128,'non-road'!$D24)/SUMIF(Assumptions!$BB$105:$BB$128,'non-road'!$F24,Assumptions!CL$105:CL$128)</f>
        <v>#DIV/0!</v>
      </c>
      <c r="AP24" s="40" t="e">
        <f>SUMIFS(Assumptions!CM$105:CM$128,Assumptions!$BB$105:$BB$128,'non-road'!$F24,Assumptions!$BC$105:$BC$128,'non-road'!$D24)/SUMIF(Assumptions!$BB$105:$BB$128,'non-road'!$F24,Assumptions!CM$105:CM$128)</f>
        <v>#DIV/0!</v>
      </c>
      <c r="AQ24" s="40" t="e">
        <f>SUMIFS(Assumptions!CN$105:CN$128,Assumptions!$BB$105:$BB$128,'non-road'!$F24,Assumptions!$BC$105:$BC$128,'non-road'!$D24)/SUMIF(Assumptions!$BB$105:$BB$128,'non-road'!$F24,Assumptions!CN$105:CN$128)</f>
        <v>#DIV/0!</v>
      </c>
      <c r="AR24" s="40" t="e">
        <f>SUMIFS(Assumptions!CO$105:CO$128,Assumptions!$BB$105:$BB$128,'non-road'!$F24,Assumptions!$BC$105:$BC$128,'non-road'!$D24)/SUMIF(Assumptions!$BB$105:$BB$128,'non-road'!$F24,Assumptions!CO$105:CO$128)</f>
        <v>#DIV/0!</v>
      </c>
      <c r="AS24" s="40" t="e">
        <f>SUMIFS(Assumptions!CP$105:CP$128,Assumptions!$BB$105:$BB$128,'non-road'!$F24,Assumptions!$BC$105:$BC$128,'non-road'!$D24)/SUMIF(Assumptions!$BB$105:$BB$128,'non-road'!$F24,Assumptions!CP$105:CP$128)</f>
        <v>#DIV/0!</v>
      </c>
      <c r="AT24" s="40" t="e">
        <f>SUMIFS(Assumptions!CQ$105:CQ$128,Assumptions!$BB$105:$BB$128,'non-road'!$F24,Assumptions!$BC$105:$BC$128,'non-road'!$D24)/SUMIF(Assumptions!$BB$105:$BB$128,'non-road'!$F24,Assumptions!CQ$105:CQ$128)</f>
        <v>#DIV/0!</v>
      </c>
      <c r="AU24" s="40" t="e">
        <f>SUMIFS(Assumptions!CR$105:CR$128,Assumptions!$BB$105:$BB$128,'non-road'!$F24,Assumptions!$BC$105:$BC$128,'non-road'!$D24)/SUMIF(Assumptions!$BB$105:$BB$128,'non-road'!$F24,Assumptions!CR$105:CR$128)</f>
        <v>#DIV/0!</v>
      </c>
      <c r="AV24" s="40" t="e">
        <f>SUMIFS(Assumptions!CS$105:CS$128,Assumptions!$BB$105:$BB$128,'non-road'!$F24,Assumptions!$BC$105:$BC$128,'non-road'!$D24)/SUMIF(Assumptions!$BB$105:$BB$128,'non-road'!$F24,Assumptions!CS$105:CS$128)</f>
        <v>#DIV/0!</v>
      </c>
      <c r="AW24" s="40" t="e">
        <f>SUMIFS(Assumptions!CT$105:CT$128,Assumptions!$BB$105:$BB$128,'non-road'!$F24,Assumptions!$BC$105:$BC$128,'non-road'!$D24)/SUMIF(Assumptions!$BB$105:$BB$128,'non-road'!$F24,Assumptions!CT$105:CT$128)</f>
        <v>#DIV/0!</v>
      </c>
      <c r="AX24" s="40" t="e">
        <f>SUMIFS(Assumptions!CU$105:CU$128,Assumptions!$BB$105:$BB$128,'non-road'!$F24,Assumptions!$BC$105:$BC$128,'non-road'!$D24)/SUMIF(Assumptions!$BB$105:$BB$128,'non-road'!$F24,Assumptions!CU$105:CU$128)</f>
        <v>#DIV/0!</v>
      </c>
      <c r="AY24" s="40" t="e">
        <f>SUMIFS(Assumptions!CV$105:CV$128,Assumptions!$BB$105:$BB$128,'non-road'!$F24,Assumptions!$BC$105:$BC$128,'non-road'!$D24)/SUMIF(Assumptions!$BB$105:$BB$128,'non-road'!$F24,Assumptions!CV$105:CV$128)</f>
        <v>#DIV/0!</v>
      </c>
      <c r="AZ24" s="40" t="e">
        <f>SUMIFS(Assumptions!CW$105:CW$128,Assumptions!$BB$105:$BB$128,'non-road'!$F24,Assumptions!$BC$105:$BC$128,'non-road'!$D24)/SUMIF(Assumptions!$BB$105:$BB$128,'non-road'!$F24,Assumptions!CW$105:CW$128)</f>
        <v>#DIV/0!</v>
      </c>
      <c r="BD24" s="39" t="str">
        <f t="shared" si="55"/>
        <v>\I:</v>
      </c>
      <c r="BE24" s="40">
        <f>VLOOKUP($F24,Assumptions!$E$152:$BC$157,COLUMN()-COLUMN($BC$4),FALSE)</f>
        <v>1</v>
      </c>
      <c r="BF24" s="40">
        <f>VLOOKUP($F24,Assumptions!$E$152:$BC$157,COLUMN()-COLUMN($BC$4),FALSE)</f>
        <v>1</v>
      </c>
      <c r="BG24" s="40">
        <f>VLOOKUP($F24,Assumptions!$E$152:$BC$157,COLUMN()-COLUMN($BC$4),FALSE)</f>
        <v>1</v>
      </c>
      <c r="BH24" s="40">
        <f>VLOOKUP($F24,Assumptions!$E$152:$BC$157,COLUMN()-COLUMN($BC$4),FALSE)</f>
        <v>1</v>
      </c>
      <c r="BI24" s="40">
        <f>VLOOKUP($F24,Assumptions!$E$152:$BC$157,COLUMN()-COLUMN($BC$4),FALSE)</f>
        <v>1</v>
      </c>
      <c r="BJ24" s="40">
        <f>VLOOKUP($F24,Assumptions!$E$152:$BC$157,COLUMN()-COLUMN($BC$4),FALSE)</f>
        <v>1</v>
      </c>
      <c r="BK24" s="40">
        <f>VLOOKUP($F24,Assumptions!$E$152:$BC$157,COLUMN()-COLUMN($BC$4),FALSE)</f>
        <v>1</v>
      </c>
      <c r="BL24" s="40">
        <f>VLOOKUP($F24,Assumptions!$E$152:$BC$157,COLUMN()-COLUMN($BC$4),FALSE)</f>
        <v>1</v>
      </c>
      <c r="BM24" s="40">
        <f>VLOOKUP($F24,Assumptions!$E$152:$BC$157,COLUMN()-COLUMN($BC$4),FALSE)</f>
        <v>1</v>
      </c>
      <c r="BN24" s="40">
        <f>VLOOKUP($F24,Assumptions!$E$152:$BC$157,COLUMN()-COLUMN($BC$4),FALSE)</f>
        <v>1</v>
      </c>
      <c r="BO24" s="40">
        <f>VLOOKUP($F24,Assumptions!$E$152:$BC$157,COLUMN()-COLUMN($BC$4),FALSE)</f>
        <v>1</v>
      </c>
      <c r="BP24" s="40">
        <f>VLOOKUP($F24,Assumptions!$E$152:$BC$157,COLUMN()-COLUMN($BC$4),FALSE)</f>
        <v>1</v>
      </c>
      <c r="BQ24" s="40">
        <f>VLOOKUP($F24,Assumptions!$E$152:$BC$157,COLUMN()-COLUMN($BC$4),FALSE)</f>
        <v>1</v>
      </c>
      <c r="BR24" s="40">
        <f>VLOOKUP($F24,Assumptions!$E$152:$BC$157,COLUMN()-COLUMN($BC$4),FALSE)</f>
        <v>1</v>
      </c>
      <c r="BS24" s="40">
        <f>VLOOKUP($F24,Assumptions!$E$152:$BC$157,COLUMN()-COLUMN($BC$4),FALSE)</f>
        <v>1</v>
      </c>
      <c r="BT24" s="40">
        <f>VLOOKUP($F24,Assumptions!$E$152:$BC$157,COLUMN()-COLUMN($BC$4),FALSE)</f>
        <v>1</v>
      </c>
      <c r="BU24" s="40">
        <f>VLOOKUP($F24,Assumptions!$E$152:$BC$157,COLUMN()-COLUMN($BC$4),FALSE)</f>
        <v>1</v>
      </c>
      <c r="BV24" s="40">
        <f>VLOOKUP($F24,Assumptions!$E$152:$BC$157,COLUMN()-COLUMN($BC$4),FALSE)</f>
        <v>1</v>
      </c>
      <c r="BW24" s="40">
        <f>VLOOKUP($F24,Assumptions!$E$152:$BC$157,COLUMN()-COLUMN($BC$4),FALSE)</f>
        <v>1</v>
      </c>
      <c r="BX24" s="40">
        <f>VLOOKUP($F24,Assumptions!$E$152:$BC$157,COLUMN()-COLUMN($BC$4),FALSE)</f>
        <v>1</v>
      </c>
      <c r="BY24" s="40">
        <f>VLOOKUP($F24,Assumptions!$E$152:$BC$157,COLUMN()-COLUMN($BC$4),FALSE)</f>
        <v>1</v>
      </c>
      <c r="BZ24" s="40">
        <f>VLOOKUP($F24,Assumptions!$E$152:$BC$157,COLUMN()-COLUMN($BC$4),FALSE)</f>
        <v>1</v>
      </c>
      <c r="CA24" s="40">
        <f>VLOOKUP($F24,Assumptions!$E$152:$BC$157,COLUMN()-COLUMN($BC$4),FALSE)</f>
        <v>1</v>
      </c>
      <c r="CB24" s="40">
        <f>VLOOKUP($F24,Assumptions!$E$152:$BC$157,COLUMN()-COLUMN($BC$4),FALSE)</f>
        <v>1</v>
      </c>
      <c r="CC24" s="40">
        <f>VLOOKUP($F24,Assumptions!$E$152:$BC$157,COLUMN()-COLUMN($BC$4),FALSE)</f>
        <v>1</v>
      </c>
      <c r="CD24" s="40">
        <f>VLOOKUP($F24,Assumptions!$E$152:$BC$157,COLUMN()-COLUMN($BC$4),FALSE)</f>
        <v>1</v>
      </c>
      <c r="CE24" s="40">
        <f>VLOOKUP($F24,Assumptions!$E$152:$BC$157,COLUMN()-COLUMN($BC$4),FALSE)</f>
        <v>1</v>
      </c>
      <c r="CF24" s="40">
        <f>VLOOKUP($F24,Assumptions!$E$152:$BC$157,COLUMN()-COLUMN($BC$4),FALSE)</f>
        <v>1</v>
      </c>
      <c r="CG24" s="40">
        <f>VLOOKUP($F24,Assumptions!$E$152:$BC$157,COLUMN()-COLUMN($BC$4),FALSE)</f>
        <v>1</v>
      </c>
      <c r="CH24" s="40">
        <f>VLOOKUP($F24,Assumptions!$E$152:$BC$157,COLUMN()-COLUMN($BC$4),FALSE)</f>
        <v>1</v>
      </c>
      <c r="CI24" s="40">
        <f>VLOOKUP($F24,Assumptions!$E$152:$BC$157,COLUMN()-COLUMN($BC$4),FALSE)</f>
        <v>1</v>
      </c>
      <c r="CJ24" s="40">
        <f>VLOOKUP($F24,Assumptions!$E$152:$BC$157,COLUMN()-COLUMN($BC$4),FALSE)</f>
        <v>1</v>
      </c>
      <c r="CK24" s="40">
        <f>VLOOKUP($F24,Assumptions!$E$152:$BC$157,COLUMN()-COLUMN($BC$4),FALSE)</f>
        <v>1</v>
      </c>
      <c r="CL24" s="40">
        <f>VLOOKUP($F24,Assumptions!$E$152:$BC$157,COLUMN()-COLUMN($BC$4),FALSE)</f>
        <v>1</v>
      </c>
      <c r="CM24" s="40">
        <f>VLOOKUP($F24,Assumptions!$E$152:$BC$157,COLUMN()-COLUMN($BC$4),FALSE)</f>
        <v>1</v>
      </c>
      <c r="CN24" s="40">
        <f>VLOOKUP($F24,Assumptions!$E$152:$BC$157,COLUMN()-COLUMN($BC$4),FALSE)</f>
        <v>1</v>
      </c>
      <c r="CO24" s="40">
        <f>VLOOKUP($F24,Assumptions!$E$152:$BC$157,COLUMN()-COLUMN($BC$4),FALSE)</f>
        <v>1</v>
      </c>
      <c r="CP24" s="40">
        <f>VLOOKUP($F24,Assumptions!$E$152:$BC$157,COLUMN()-COLUMN($BC$4),FALSE)</f>
        <v>1</v>
      </c>
      <c r="CQ24" s="40">
        <f>VLOOKUP($F24,Assumptions!$E$152:$BC$157,COLUMN()-COLUMN($BC$4),FALSE)</f>
        <v>1</v>
      </c>
      <c r="CR24" s="40">
        <f>VLOOKUP($F24,Assumptions!$E$152:$BC$157,COLUMN()-COLUMN($BC$4),FALSE)</f>
        <v>1</v>
      </c>
      <c r="CS24" s="40">
        <f>VLOOKUP($F24,Assumptions!$E$152:$BC$157,COLUMN()-COLUMN($BC$4),FALSE)</f>
        <v>1</v>
      </c>
      <c r="CT24" s="40">
        <f>VLOOKUP($F24,Assumptions!$E$152:$BC$157,COLUMN()-COLUMN($BC$4),FALSE)</f>
        <v>1</v>
      </c>
      <c r="CU24" s="40">
        <f>VLOOKUP($F24,Assumptions!$E$152:$BC$157,COLUMN()-COLUMN($BC$4),FALSE)</f>
        <v>1</v>
      </c>
      <c r="CV24" s="40">
        <f>VLOOKUP($F24,Assumptions!$E$152:$BC$157,COLUMN()-COLUMN($BC$4),FALSE)</f>
        <v>1</v>
      </c>
      <c r="CW24" s="40">
        <f>VLOOKUP($F24,Assumptions!$E$152:$BC$157,COLUMN()-COLUMN($BC$4),FALSE)</f>
        <v>1</v>
      </c>
      <c r="CX24" s="40">
        <f>VLOOKUP($F24,Assumptions!$E$152:$BC$157,COLUMN()-COLUMN($BC$4),FALSE)</f>
        <v>1</v>
      </c>
      <c r="CY24" s="39"/>
      <c r="EV24" s="39"/>
      <c r="EW24" s="39" t="str">
        <f t="shared" si="48"/>
        <v>\I:</v>
      </c>
      <c r="EX24" s="39" t="str">
        <f t="shared" si="68"/>
        <v/>
      </c>
      <c r="EY24" s="39" t="s">
        <v>133</v>
      </c>
      <c r="EZ24" s="39" t="s">
        <v>85</v>
      </c>
      <c r="FA24" s="39" t="s">
        <v>440</v>
      </c>
    </row>
    <row r="25" spans="1:157">
      <c r="C25" s="39" t="str">
        <f t="shared" si="54"/>
        <v/>
      </c>
      <c r="D25" s="39" t="s">
        <v>69</v>
      </c>
      <c r="E25" s="39"/>
      <c r="F25" s="39" t="s">
        <v>62</v>
      </c>
      <c r="G25" s="40">
        <f>SUMIFS(Assumptions!BD$105:BD$128,Assumptions!$BB$105:$BB$128,'non-road'!$F25,Assumptions!$BC$105:$BC$128,'non-road'!$D25)/SUMIF(Assumptions!$BB$105:$BB$128,'non-road'!$F25,Assumptions!BD$105:BD$128)</f>
        <v>0.000415136039616667</v>
      </c>
      <c r="H25" s="40">
        <f>SUMIFS(Assumptions!BE$105:BE$128,Assumptions!$BB$105:$BB$128,'non-road'!$F25,Assumptions!$BC$105:$BC$128,'non-road'!$D25)/SUMIF(Assumptions!$BB$105:$BB$128,'non-road'!$F25,Assumptions!BE$105:BE$128)</f>
        <v>0</v>
      </c>
      <c r="I25" s="40">
        <f>SUMIFS(Assumptions!BF$105:BF$128,Assumptions!$BB$105:$BB$128,'non-road'!$F25,Assumptions!$BC$105:$BC$128,'non-road'!$D25)/SUMIF(Assumptions!$BB$105:$BB$128,'non-road'!$F25,Assumptions!BF$105:BF$128)</f>
        <v>0</v>
      </c>
      <c r="J25" s="40">
        <f>SUMIFS(Assumptions!BG$105:BG$128,Assumptions!$BB$105:$BB$128,'non-road'!$F25,Assumptions!$BC$105:$BC$128,'non-road'!$D25)/SUMIF(Assumptions!$BB$105:$BB$128,'non-road'!$F25,Assumptions!BG$105:BG$128)</f>
        <v>0</v>
      </c>
      <c r="K25" s="40">
        <f>SUMIFS(Assumptions!BH$105:BH$128,Assumptions!$BB$105:$BB$128,'non-road'!$F25,Assumptions!$BC$105:$BC$128,'non-road'!$D25)/SUMIF(Assumptions!$BB$105:$BB$128,'non-road'!$F25,Assumptions!BH$105:BH$128)</f>
        <v>0</v>
      </c>
      <c r="L25" s="40">
        <f>SUMIFS(Assumptions!BI$105:BI$128,Assumptions!$BB$105:$BB$128,'non-road'!$F25,Assumptions!$BC$105:$BC$128,'non-road'!$D25)/SUMIF(Assumptions!$BB$105:$BB$128,'non-road'!$F25,Assumptions!BI$105:BI$128)</f>
        <v>0</v>
      </c>
      <c r="M25" s="40">
        <f>SUMIFS(Assumptions!BJ$105:BJ$128,Assumptions!$BB$105:$BB$128,'non-road'!$F25,Assumptions!$BC$105:$BC$128,'non-road'!$D25)/SUMIF(Assumptions!$BB$105:$BB$128,'non-road'!$F25,Assumptions!BJ$105:BJ$128)</f>
        <v>0</v>
      </c>
      <c r="N25" s="40">
        <f>SUMIFS(Assumptions!BK$105:BK$128,Assumptions!$BB$105:$BB$128,'non-road'!$F25,Assumptions!$BC$105:$BC$128,'non-road'!$D25)/SUMIF(Assumptions!$BB$105:$BB$128,'non-road'!$F25,Assumptions!BK$105:BK$128)</f>
        <v>0</v>
      </c>
      <c r="O25" s="40">
        <f>SUMIFS(Assumptions!BL$105:BL$128,Assumptions!$BB$105:$BB$128,'non-road'!$F25,Assumptions!$BC$105:$BC$128,'non-road'!$D25)/SUMIF(Assumptions!$BB$105:$BB$128,'non-road'!$F25,Assumptions!BL$105:BL$128)</f>
        <v>0</v>
      </c>
      <c r="P25" s="40">
        <f>SUMIFS(Assumptions!BM$105:BM$128,Assumptions!$BB$105:$BB$128,'non-road'!$F25,Assumptions!$BC$105:$BC$128,'non-road'!$D25)/SUMIF(Assumptions!$BB$105:$BB$128,'non-road'!$F25,Assumptions!BM$105:BM$128)</f>
        <v>0</v>
      </c>
      <c r="Q25" s="40">
        <f>SUMIFS(Assumptions!BN$105:BN$128,Assumptions!$BB$105:$BB$128,'non-road'!$F25,Assumptions!$BC$105:$BC$128,'non-road'!$D25)/SUMIF(Assumptions!$BB$105:$BB$128,'non-road'!$F25,Assumptions!BN$105:BN$128)</f>
        <v>0</v>
      </c>
      <c r="R25" s="40">
        <f>SUMIFS(Assumptions!BO$105:BO$128,Assumptions!$BB$105:$BB$128,'non-road'!$F25,Assumptions!$BC$105:$BC$128,'non-road'!$D25)/SUMIF(Assumptions!$BB$105:$BB$128,'non-road'!$F25,Assumptions!BO$105:BO$128)</f>
        <v>0</v>
      </c>
      <c r="S25" s="40">
        <f>SUMIFS(Assumptions!BP$105:BP$128,Assumptions!$BB$105:$BB$128,'non-road'!$F25,Assumptions!$BC$105:$BC$128,'non-road'!$D25)/SUMIF(Assumptions!$BB$105:$BB$128,'non-road'!$F25,Assumptions!BP$105:BP$128)</f>
        <v>0</v>
      </c>
      <c r="T25" s="40">
        <f>SUMIFS(Assumptions!BQ$105:BQ$128,Assumptions!$BB$105:$BB$128,'non-road'!$F25,Assumptions!$BC$105:$BC$128,'non-road'!$D25)/SUMIF(Assumptions!$BB$105:$BB$128,'non-road'!$F25,Assumptions!BQ$105:BQ$128)</f>
        <v>0</v>
      </c>
      <c r="U25" s="40">
        <f>SUMIFS(Assumptions!BR$105:BR$128,Assumptions!$BB$105:$BB$128,'non-road'!$F25,Assumptions!$BC$105:$BC$128,'non-road'!$D25)/SUMIF(Assumptions!$BB$105:$BB$128,'non-road'!$F25,Assumptions!BR$105:BR$128)</f>
        <v>0</v>
      </c>
      <c r="V25" s="40">
        <f>SUMIFS(Assumptions!BS$105:BS$128,Assumptions!$BB$105:$BB$128,'non-road'!$F25,Assumptions!$BC$105:$BC$128,'non-road'!$D25)/SUMIF(Assumptions!$BB$105:$BB$128,'non-road'!$F25,Assumptions!BS$105:BS$128)</f>
        <v>0</v>
      </c>
      <c r="W25" s="40">
        <f>SUMIFS(Assumptions!BT$105:BT$128,Assumptions!$BB$105:$BB$128,'non-road'!$F25,Assumptions!$BC$105:$BC$128,'non-road'!$D25)/SUMIF(Assumptions!$BB$105:$BB$128,'non-road'!$F25,Assumptions!BT$105:BT$128)</f>
        <v>0</v>
      </c>
      <c r="X25" s="40">
        <f>SUMIFS(Assumptions!BU$105:BU$128,Assumptions!$BB$105:$BB$128,'non-road'!$F25,Assumptions!$BC$105:$BC$128,'non-road'!$D25)/SUMIF(Assumptions!$BB$105:$BB$128,'non-road'!$F25,Assumptions!BU$105:BU$128)</f>
        <v>0</v>
      </c>
      <c r="Y25" s="40">
        <f>SUMIFS(Assumptions!BV$105:BV$128,Assumptions!$BB$105:$BB$128,'non-road'!$F25,Assumptions!$BC$105:$BC$128,'non-road'!$D25)/SUMIF(Assumptions!$BB$105:$BB$128,'non-road'!$F25,Assumptions!BV$105:BV$128)</f>
        <v>0</v>
      </c>
      <c r="Z25" s="40">
        <f>SUMIFS(Assumptions!BW$105:BW$128,Assumptions!$BB$105:$BB$128,'non-road'!$F25,Assumptions!$BC$105:$BC$128,'non-road'!$D25)/SUMIF(Assumptions!$BB$105:$BB$128,'non-road'!$F25,Assumptions!BW$105:BW$128)</f>
        <v>0</v>
      </c>
      <c r="AA25" s="40">
        <f>SUMIFS(Assumptions!BX$105:BX$128,Assumptions!$BB$105:$BB$128,'non-road'!$F25,Assumptions!$BC$105:$BC$128,'non-road'!$D25)/SUMIF(Assumptions!$BB$105:$BB$128,'non-road'!$F25,Assumptions!BX$105:BX$128)</f>
        <v>0</v>
      </c>
      <c r="AB25" s="40">
        <f>SUMIFS(Assumptions!BY$105:BY$128,Assumptions!$BB$105:$BB$128,'non-road'!$F25,Assumptions!$BC$105:$BC$128,'non-road'!$D25)/SUMIF(Assumptions!$BB$105:$BB$128,'non-road'!$F25,Assumptions!BY$105:BY$128)</f>
        <v>0</v>
      </c>
      <c r="AC25" s="40">
        <f>SUMIFS(Assumptions!BZ$105:BZ$128,Assumptions!$BB$105:$BB$128,'non-road'!$F25,Assumptions!$BC$105:$BC$128,'non-road'!$D25)/SUMIF(Assumptions!$BB$105:$BB$128,'non-road'!$F25,Assumptions!BZ$105:BZ$128)</f>
        <v>0</v>
      </c>
      <c r="AD25" s="40">
        <f>SUMIFS(Assumptions!CA$105:CA$128,Assumptions!$BB$105:$BB$128,'non-road'!$F25,Assumptions!$BC$105:$BC$128,'non-road'!$D25)/SUMIF(Assumptions!$BB$105:$BB$128,'non-road'!$F25,Assumptions!CA$105:CA$128)</f>
        <v>0</v>
      </c>
      <c r="AE25" s="40">
        <f>SUMIFS(Assumptions!CB$105:CB$128,Assumptions!$BB$105:$BB$128,'non-road'!$F25,Assumptions!$BC$105:$BC$128,'non-road'!$D25)/SUMIF(Assumptions!$BB$105:$BB$128,'non-road'!$F25,Assumptions!CB$105:CB$128)</f>
        <v>1.63261561289856e-6</v>
      </c>
      <c r="AF25" s="40">
        <f>SUMIFS(Assumptions!CC$105:CC$128,Assumptions!$BB$105:$BB$128,'non-road'!$F25,Assumptions!$BC$105:$BC$128,'non-road'!$D25)/SUMIF(Assumptions!$BB$105:$BB$128,'non-road'!$F25,Assumptions!CC$105:CC$128)</f>
        <v>0</v>
      </c>
      <c r="AG25" s="40">
        <f>SUMIFS(Assumptions!CD$105:CD$128,Assumptions!$BB$105:$BB$128,'non-road'!$F25,Assumptions!$BC$105:$BC$128,'non-road'!$D25)/SUMIF(Assumptions!$BB$105:$BB$128,'non-road'!$F25,Assumptions!CD$105:CD$128)</f>
        <v>0</v>
      </c>
      <c r="AH25" s="40">
        <f>SUMIFS(Assumptions!CE$105:CE$128,Assumptions!$BB$105:$BB$128,'non-road'!$F25,Assumptions!$BC$105:$BC$128,'non-road'!$D25)/SUMIF(Assumptions!$BB$105:$BB$128,'non-road'!$F25,Assumptions!CE$105:CE$128)</f>
        <v>0</v>
      </c>
      <c r="AI25" s="40">
        <f>SUMIFS(Assumptions!CF$105:CF$128,Assumptions!$BB$105:$BB$128,'non-road'!$F25,Assumptions!$BC$105:$BC$128,'non-road'!$D25)/SUMIF(Assumptions!$BB$105:$BB$128,'non-road'!$F25,Assumptions!CF$105:CF$128)</f>
        <v>0</v>
      </c>
      <c r="AJ25" s="40">
        <f>SUMIFS(Assumptions!CG$105:CG$128,Assumptions!$BB$105:$BB$128,'non-road'!$F25,Assumptions!$BC$105:$BC$128,'non-road'!$D25)/SUMIF(Assumptions!$BB$105:$BB$128,'non-road'!$F25,Assumptions!CG$105:CG$128)</f>
        <v>0</v>
      </c>
      <c r="AK25" s="40">
        <f>SUMIFS(Assumptions!CH$105:CH$128,Assumptions!$BB$105:$BB$128,'non-road'!$F25,Assumptions!$BC$105:$BC$128,'non-road'!$D25)/SUMIF(Assumptions!$BB$105:$BB$128,'non-road'!$F25,Assumptions!CH$105:CH$128)</f>
        <v>0</v>
      </c>
      <c r="AL25" s="40">
        <f>SUMIFS(Assumptions!CI$105:CI$128,Assumptions!$BB$105:$BB$128,'non-road'!$F25,Assumptions!$BC$105:$BC$128,'non-road'!$D25)/SUMIF(Assumptions!$BB$105:$BB$128,'non-road'!$F25,Assumptions!CI$105:CI$128)</f>
        <v>0</v>
      </c>
      <c r="AM25" s="40">
        <f>SUMIFS(Assumptions!CJ$105:CJ$128,Assumptions!$BB$105:$BB$128,'non-road'!$F25,Assumptions!$BC$105:$BC$128,'non-road'!$D25)/SUMIF(Assumptions!$BB$105:$BB$128,'non-road'!$F25,Assumptions!CJ$105:CJ$128)</f>
        <v>0</v>
      </c>
      <c r="AN25" s="40">
        <f>SUMIFS(Assumptions!CK$105:CK$128,Assumptions!$BB$105:$BB$128,'non-road'!$F25,Assumptions!$BC$105:$BC$128,'non-road'!$D25)/SUMIF(Assumptions!$BB$105:$BB$128,'non-road'!$F25,Assumptions!CK$105:CK$128)</f>
        <v>1</v>
      </c>
      <c r="AO25" s="40" t="e">
        <f>SUMIFS(Assumptions!CL$105:CL$128,Assumptions!$BB$105:$BB$128,'non-road'!$F25,Assumptions!$BC$105:$BC$128,'non-road'!$D25)/SUMIF(Assumptions!$BB$105:$BB$128,'non-road'!$F25,Assumptions!CL$105:CL$128)</f>
        <v>#DIV/0!</v>
      </c>
      <c r="AP25" s="40" t="e">
        <f>SUMIFS(Assumptions!CM$105:CM$128,Assumptions!$BB$105:$BB$128,'non-road'!$F25,Assumptions!$BC$105:$BC$128,'non-road'!$D25)/SUMIF(Assumptions!$BB$105:$BB$128,'non-road'!$F25,Assumptions!CM$105:CM$128)</f>
        <v>#DIV/0!</v>
      </c>
      <c r="AQ25" s="40" t="e">
        <f>SUMIFS(Assumptions!CN$105:CN$128,Assumptions!$BB$105:$BB$128,'non-road'!$F25,Assumptions!$BC$105:$BC$128,'non-road'!$D25)/SUMIF(Assumptions!$BB$105:$BB$128,'non-road'!$F25,Assumptions!CN$105:CN$128)</f>
        <v>#DIV/0!</v>
      </c>
      <c r="AR25" s="40" t="e">
        <f>SUMIFS(Assumptions!CO$105:CO$128,Assumptions!$BB$105:$BB$128,'non-road'!$F25,Assumptions!$BC$105:$BC$128,'non-road'!$D25)/SUMIF(Assumptions!$BB$105:$BB$128,'non-road'!$F25,Assumptions!CO$105:CO$128)</f>
        <v>#DIV/0!</v>
      </c>
      <c r="AS25" s="40" t="e">
        <f>SUMIFS(Assumptions!CP$105:CP$128,Assumptions!$BB$105:$BB$128,'non-road'!$F25,Assumptions!$BC$105:$BC$128,'non-road'!$D25)/SUMIF(Assumptions!$BB$105:$BB$128,'non-road'!$F25,Assumptions!CP$105:CP$128)</f>
        <v>#DIV/0!</v>
      </c>
      <c r="AT25" s="40" t="e">
        <f>SUMIFS(Assumptions!CQ$105:CQ$128,Assumptions!$BB$105:$BB$128,'non-road'!$F25,Assumptions!$BC$105:$BC$128,'non-road'!$D25)/SUMIF(Assumptions!$BB$105:$BB$128,'non-road'!$F25,Assumptions!CQ$105:CQ$128)</f>
        <v>#DIV/0!</v>
      </c>
      <c r="AU25" s="40" t="e">
        <f>SUMIFS(Assumptions!CR$105:CR$128,Assumptions!$BB$105:$BB$128,'non-road'!$F25,Assumptions!$BC$105:$BC$128,'non-road'!$D25)/SUMIF(Assumptions!$BB$105:$BB$128,'non-road'!$F25,Assumptions!CR$105:CR$128)</f>
        <v>#DIV/0!</v>
      </c>
      <c r="AV25" s="40" t="e">
        <f>SUMIFS(Assumptions!CS$105:CS$128,Assumptions!$BB$105:$BB$128,'non-road'!$F25,Assumptions!$BC$105:$BC$128,'non-road'!$D25)/SUMIF(Assumptions!$BB$105:$BB$128,'non-road'!$F25,Assumptions!CS$105:CS$128)</f>
        <v>#DIV/0!</v>
      </c>
      <c r="AW25" s="40" t="e">
        <f>SUMIFS(Assumptions!CT$105:CT$128,Assumptions!$BB$105:$BB$128,'non-road'!$F25,Assumptions!$BC$105:$BC$128,'non-road'!$D25)/SUMIF(Assumptions!$BB$105:$BB$128,'non-road'!$F25,Assumptions!CT$105:CT$128)</f>
        <v>#DIV/0!</v>
      </c>
      <c r="AX25" s="40" t="e">
        <f>SUMIFS(Assumptions!CU$105:CU$128,Assumptions!$BB$105:$BB$128,'non-road'!$F25,Assumptions!$BC$105:$BC$128,'non-road'!$D25)/SUMIF(Assumptions!$BB$105:$BB$128,'non-road'!$F25,Assumptions!CU$105:CU$128)</f>
        <v>#DIV/0!</v>
      </c>
      <c r="AY25" s="40" t="e">
        <f>SUMIFS(Assumptions!CV$105:CV$128,Assumptions!$BB$105:$BB$128,'non-road'!$F25,Assumptions!$BC$105:$BC$128,'non-road'!$D25)/SUMIF(Assumptions!$BB$105:$BB$128,'non-road'!$F25,Assumptions!CV$105:CV$128)</f>
        <v>#DIV/0!</v>
      </c>
      <c r="AZ25" s="40" t="e">
        <f>SUMIFS(Assumptions!CW$105:CW$128,Assumptions!$BB$105:$BB$128,'non-road'!$F25,Assumptions!$BC$105:$BC$128,'non-road'!$D25)/SUMIF(Assumptions!$BB$105:$BB$128,'non-road'!$F25,Assumptions!CW$105:CW$128)</f>
        <v>#DIV/0!</v>
      </c>
      <c r="BD25" s="39" t="str">
        <f t="shared" si="55"/>
        <v>\I:</v>
      </c>
      <c r="BE25" s="40">
        <f>VLOOKUP($F25,Assumptions!$E$152:$BC$157,COLUMN()-COLUMN($BC$4),FALSE)</f>
        <v>1</v>
      </c>
      <c r="BF25" s="40">
        <f>VLOOKUP($F25,Assumptions!$E$152:$BC$157,COLUMN()-COLUMN($BC$4),FALSE)</f>
        <v>1</v>
      </c>
      <c r="BG25" s="40">
        <f>VLOOKUP($F25,Assumptions!$E$152:$BC$157,COLUMN()-COLUMN($BC$4),FALSE)</f>
        <v>1</v>
      </c>
      <c r="BH25" s="40">
        <f>VLOOKUP($F25,Assumptions!$E$152:$BC$157,COLUMN()-COLUMN($BC$4),FALSE)</f>
        <v>1</v>
      </c>
      <c r="BI25" s="40">
        <f>VLOOKUP($F25,Assumptions!$E$152:$BC$157,COLUMN()-COLUMN($BC$4),FALSE)</f>
        <v>1</v>
      </c>
      <c r="BJ25" s="40">
        <f>VLOOKUP($F25,Assumptions!$E$152:$BC$157,COLUMN()-COLUMN($BC$4),FALSE)</f>
        <v>1</v>
      </c>
      <c r="BK25" s="40">
        <f>VLOOKUP($F25,Assumptions!$E$152:$BC$157,COLUMN()-COLUMN($BC$4),FALSE)</f>
        <v>1</v>
      </c>
      <c r="BL25" s="40">
        <f>VLOOKUP($F25,Assumptions!$E$152:$BC$157,COLUMN()-COLUMN($BC$4),FALSE)</f>
        <v>1</v>
      </c>
      <c r="BM25" s="40">
        <f>VLOOKUP($F25,Assumptions!$E$152:$BC$157,COLUMN()-COLUMN($BC$4),FALSE)</f>
        <v>1</v>
      </c>
      <c r="BN25" s="40">
        <f>VLOOKUP($F25,Assumptions!$E$152:$BC$157,COLUMN()-COLUMN($BC$4),FALSE)</f>
        <v>1</v>
      </c>
      <c r="BO25" s="40">
        <f>VLOOKUP($F25,Assumptions!$E$152:$BC$157,COLUMN()-COLUMN($BC$4),FALSE)</f>
        <v>1</v>
      </c>
      <c r="BP25" s="40">
        <f>VLOOKUP($F25,Assumptions!$E$152:$BC$157,COLUMN()-COLUMN($BC$4),FALSE)</f>
        <v>1</v>
      </c>
      <c r="BQ25" s="40">
        <f>VLOOKUP($F25,Assumptions!$E$152:$BC$157,COLUMN()-COLUMN($BC$4),FALSE)</f>
        <v>1</v>
      </c>
      <c r="BR25" s="40">
        <f>VLOOKUP($F25,Assumptions!$E$152:$BC$157,COLUMN()-COLUMN($BC$4),FALSE)</f>
        <v>1</v>
      </c>
      <c r="BS25" s="40">
        <f>VLOOKUP($F25,Assumptions!$E$152:$BC$157,COLUMN()-COLUMN($BC$4),FALSE)</f>
        <v>1</v>
      </c>
      <c r="BT25" s="40">
        <f>VLOOKUP($F25,Assumptions!$E$152:$BC$157,COLUMN()-COLUMN($BC$4),FALSE)</f>
        <v>1</v>
      </c>
      <c r="BU25" s="40">
        <f>VLOOKUP($F25,Assumptions!$E$152:$BC$157,COLUMN()-COLUMN($BC$4),FALSE)</f>
        <v>1</v>
      </c>
      <c r="BV25" s="40">
        <f>VLOOKUP($F25,Assumptions!$E$152:$BC$157,COLUMN()-COLUMN($BC$4),FALSE)</f>
        <v>1</v>
      </c>
      <c r="BW25" s="40">
        <f>VLOOKUP($F25,Assumptions!$E$152:$BC$157,COLUMN()-COLUMN($BC$4),FALSE)</f>
        <v>1</v>
      </c>
      <c r="BX25" s="40">
        <f>VLOOKUP($F25,Assumptions!$E$152:$BC$157,COLUMN()-COLUMN($BC$4),FALSE)</f>
        <v>1</v>
      </c>
      <c r="BY25" s="40">
        <f>VLOOKUP($F25,Assumptions!$E$152:$BC$157,COLUMN()-COLUMN($BC$4),FALSE)</f>
        <v>1</v>
      </c>
      <c r="BZ25" s="40">
        <f>VLOOKUP($F25,Assumptions!$E$152:$BC$157,COLUMN()-COLUMN($BC$4),FALSE)</f>
        <v>1</v>
      </c>
      <c r="CA25" s="40">
        <f>VLOOKUP($F25,Assumptions!$E$152:$BC$157,COLUMN()-COLUMN($BC$4),FALSE)</f>
        <v>1</v>
      </c>
      <c r="CB25" s="40">
        <f>VLOOKUP($F25,Assumptions!$E$152:$BC$157,COLUMN()-COLUMN($BC$4),FALSE)</f>
        <v>1</v>
      </c>
      <c r="CC25" s="40">
        <f>VLOOKUP($F25,Assumptions!$E$152:$BC$157,COLUMN()-COLUMN($BC$4),FALSE)</f>
        <v>1</v>
      </c>
      <c r="CD25" s="40">
        <f>VLOOKUP($F25,Assumptions!$E$152:$BC$157,COLUMN()-COLUMN($BC$4),FALSE)</f>
        <v>1</v>
      </c>
      <c r="CE25" s="40">
        <f>VLOOKUP($F25,Assumptions!$E$152:$BC$157,COLUMN()-COLUMN($BC$4),FALSE)</f>
        <v>1</v>
      </c>
      <c r="CF25" s="40">
        <f>VLOOKUP($F25,Assumptions!$E$152:$BC$157,COLUMN()-COLUMN($BC$4),FALSE)</f>
        <v>1</v>
      </c>
      <c r="CG25" s="40">
        <f>VLOOKUP($F25,Assumptions!$E$152:$BC$157,COLUMN()-COLUMN($BC$4),FALSE)</f>
        <v>1</v>
      </c>
      <c r="CH25" s="40">
        <f>VLOOKUP($F25,Assumptions!$E$152:$BC$157,COLUMN()-COLUMN($BC$4),FALSE)</f>
        <v>1</v>
      </c>
      <c r="CI25" s="40">
        <f>VLOOKUP($F25,Assumptions!$E$152:$BC$157,COLUMN()-COLUMN($BC$4),FALSE)</f>
        <v>1</v>
      </c>
      <c r="CJ25" s="40">
        <f>VLOOKUP($F25,Assumptions!$E$152:$BC$157,COLUMN()-COLUMN($BC$4),FALSE)</f>
        <v>1</v>
      </c>
      <c r="CK25" s="40">
        <f>VLOOKUP($F25,Assumptions!$E$152:$BC$157,COLUMN()-COLUMN($BC$4),FALSE)</f>
        <v>1</v>
      </c>
      <c r="CL25" s="40">
        <f>VLOOKUP($F25,Assumptions!$E$152:$BC$157,COLUMN()-COLUMN($BC$4),FALSE)</f>
        <v>1</v>
      </c>
      <c r="CM25" s="40">
        <f>VLOOKUP($F25,Assumptions!$E$152:$BC$157,COLUMN()-COLUMN($BC$4),FALSE)</f>
        <v>1</v>
      </c>
      <c r="CN25" s="40">
        <f>VLOOKUP($F25,Assumptions!$E$152:$BC$157,COLUMN()-COLUMN($BC$4),FALSE)</f>
        <v>1</v>
      </c>
      <c r="CO25" s="40">
        <f>VLOOKUP($F25,Assumptions!$E$152:$BC$157,COLUMN()-COLUMN($BC$4),FALSE)</f>
        <v>1</v>
      </c>
      <c r="CP25" s="40">
        <f>VLOOKUP($F25,Assumptions!$E$152:$BC$157,COLUMN()-COLUMN($BC$4),FALSE)</f>
        <v>1</v>
      </c>
      <c r="CQ25" s="40">
        <f>VLOOKUP($F25,Assumptions!$E$152:$BC$157,COLUMN()-COLUMN($BC$4),FALSE)</f>
        <v>1</v>
      </c>
      <c r="CR25" s="40">
        <f>VLOOKUP($F25,Assumptions!$E$152:$BC$157,COLUMN()-COLUMN($BC$4),FALSE)</f>
        <v>1</v>
      </c>
      <c r="CS25" s="40">
        <f>VLOOKUP($F25,Assumptions!$E$152:$BC$157,COLUMN()-COLUMN($BC$4),FALSE)</f>
        <v>1</v>
      </c>
      <c r="CT25" s="40">
        <f>VLOOKUP($F25,Assumptions!$E$152:$BC$157,COLUMN()-COLUMN($BC$4),FALSE)</f>
        <v>1</v>
      </c>
      <c r="CU25" s="40">
        <f>VLOOKUP($F25,Assumptions!$E$152:$BC$157,COLUMN()-COLUMN($BC$4),FALSE)</f>
        <v>1</v>
      </c>
      <c r="CV25" s="40">
        <f>VLOOKUP($F25,Assumptions!$E$152:$BC$157,COLUMN()-COLUMN($BC$4),FALSE)</f>
        <v>1</v>
      </c>
      <c r="CW25" s="40">
        <f>VLOOKUP($F25,Assumptions!$E$152:$BC$157,COLUMN()-COLUMN($BC$4),FALSE)</f>
        <v>1</v>
      </c>
      <c r="CX25" s="40">
        <f>VLOOKUP($F25,Assumptions!$E$152:$BC$157,COLUMN()-COLUMN($BC$4),FALSE)</f>
        <v>1</v>
      </c>
      <c r="CY25" s="39"/>
      <c r="EV25" s="39"/>
      <c r="EW25" s="39" t="str">
        <f t="shared" si="48"/>
        <v>\I:</v>
      </c>
      <c r="EX25" s="39" t="str">
        <f t="shared" si="68"/>
        <v/>
      </c>
      <c r="EY25" s="39" t="s">
        <v>133</v>
      </c>
      <c r="EZ25" s="39" t="s">
        <v>85</v>
      </c>
      <c r="FA25" s="39" t="s">
        <v>440</v>
      </c>
    </row>
    <row r="26" spans="1:157">
      <c r="C26" s="39" t="str">
        <f t="shared" si="54"/>
        <v/>
      </c>
      <c r="D26" s="39" t="s">
        <v>72</v>
      </c>
      <c r="E26" s="39" t="s">
        <v>449</v>
      </c>
      <c r="F26" s="39" t="s">
        <v>62</v>
      </c>
      <c r="G26" s="40">
        <f>SUMIFS(Assumptions!BD$105:BD$128,Assumptions!$BB$105:$BB$128,'non-road'!$F26,Assumptions!$BC$105:$BC$128,'non-road'!$D26)/SUMIF(Assumptions!$BB$105:$BB$128,'non-road'!$F26,Assumptions!BD$105:BD$128)</f>
        <v>0.999584863960383</v>
      </c>
      <c r="H26" s="40">
        <f>SUMIFS(Assumptions!BE$105:BE$128,Assumptions!$BB$105:$BB$128,'non-road'!$F26,Assumptions!$BC$105:$BC$128,'non-road'!$D26)/SUMIF(Assumptions!$BB$105:$BB$128,'non-road'!$F26,Assumptions!BE$105:BE$128)</f>
        <v>0.997960353482099</v>
      </c>
      <c r="I26" s="40">
        <f>SUMIFS(Assumptions!BF$105:BF$128,Assumptions!$BB$105:$BB$128,'non-road'!$F26,Assumptions!$BC$105:$BC$128,'non-road'!$D26)/SUMIF(Assumptions!$BB$105:$BB$128,'non-road'!$F26,Assumptions!BF$105:BF$128)</f>
        <v>1</v>
      </c>
      <c r="J26" s="40">
        <f>SUMIFS(Assumptions!BG$105:BG$128,Assumptions!$BB$105:$BB$128,'non-road'!$F26,Assumptions!$BC$105:$BC$128,'non-road'!$D26)/SUMIF(Assumptions!$BB$105:$BB$128,'non-road'!$F26,Assumptions!BG$105:BG$128)</f>
        <v>1</v>
      </c>
      <c r="K26" s="40">
        <f>SUMIFS(Assumptions!BH$105:BH$128,Assumptions!$BB$105:$BB$128,'non-road'!$F26,Assumptions!$BC$105:$BC$128,'non-road'!$D26)/SUMIF(Assumptions!$BB$105:$BB$128,'non-road'!$F26,Assumptions!BH$105:BH$128)</f>
        <v>1</v>
      </c>
      <c r="L26" s="40">
        <f>SUMIFS(Assumptions!BI$105:BI$128,Assumptions!$BB$105:$BB$128,'non-road'!$F26,Assumptions!$BC$105:$BC$128,'non-road'!$D26)/SUMIF(Assumptions!$BB$105:$BB$128,'non-road'!$F26,Assumptions!BI$105:BI$128)</f>
        <v>1</v>
      </c>
      <c r="M26" s="40">
        <f>SUMIFS(Assumptions!BJ$105:BJ$128,Assumptions!$BB$105:$BB$128,'non-road'!$F26,Assumptions!$BC$105:$BC$128,'non-road'!$D26)/SUMIF(Assumptions!$BB$105:$BB$128,'non-road'!$F26,Assumptions!BJ$105:BJ$128)</f>
        <v>1</v>
      </c>
      <c r="N26" s="40">
        <f>SUMIFS(Assumptions!BK$105:BK$128,Assumptions!$BB$105:$BB$128,'non-road'!$F26,Assumptions!$BC$105:$BC$128,'non-road'!$D26)/SUMIF(Assumptions!$BB$105:$BB$128,'non-road'!$F26,Assumptions!BK$105:BK$128)</f>
        <v>1</v>
      </c>
      <c r="O26" s="40">
        <f>SUMIFS(Assumptions!BL$105:BL$128,Assumptions!$BB$105:$BB$128,'non-road'!$F26,Assumptions!$BC$105:$BC$128,'non-road'!$D26)/SUMIF(Assumptions!$BB$105:$BB$128,'non-road'!$F26,Assumptions!BL$105:BL$128)</f>
        <v>1</v>
      </c>
      <c r="P26" s="40">
        <f>SUMIFS(Assumptions!BM$105:BM$128,Assumptions!$BB$105:$BB$128,'non-road'!$F26,Assumptions!$BC$105:$BC$128,'non-road'!$D26)/SUMIF(Assumptions!$BB$105:$BB$128,'non-road'!$F26,Assumptions!BM$105:BM$128)</f>
        <v>1</v>
      </c>
      <c r="Q26" s="40">
        <f>SUMIFS(Assumptions!BN$105:BN$128,Assumptions!$BB$105:$BB$128,'non-road'!$F26,Assumptions!$BC$105:$BC$128,'non-road'!$D26)/SUMIF(Assumptions!$BB$105:$BB$128,'non-road'!$F26,Assumptions!BN$105:BN$128)</f>
        <v>1</v>
      </c>
      <c r="R26" s="40">
        <f>SUMIFS(Assumptions!BO$105:BO$128,Assumptions!$BB$105:$BB$128,'non-road'!$F26,Assumptions!$BC$105:$BC$128,'non-road'!$D26)/SUMIF(Assumptions!$BB$105:$BB$128,'non-road'!$F26,Assumptions!BO$105:BO$128)</f>
        <v>1</v>
      </c>
      <c r="S26" s="40">
        <f>SUMIFS(Assumptions!BP$105:BP$128,Assumptions!$BB$105:$BB$128,'non-road'!$F26,Assumptions!$BC$105:$BC$128,'non-road'!$D26)/SUMIF(Assumptions!$BB$105:$BB$128,'non-road'!$F26,Assumptions!BP$105:BP$128)</f>
        <v>1</v>
      </c>
      <c r="T26" s="40">
        <f>SUMIFS(Assumptions!BQ$105:BQ$128,Assumptions!$BB$105:$BB$128,'non-road'!$F26,Assumptions!$BC$105:$BC$128,'non-road'!$D26)/SUMIF(Assumptions!$BB$105:$BB$128,'non-road'!$F26,Assumptions!BQ$105:BQ$128)</f>
        <v>1</v>
      </c>
      <c r="U26" s="40">
        <f>SUMIFS(Assumptions!BR$105:BR$128,Assumptions!$BB$105:$BB$128,'non-road'!$F26,Assumptions!$BC$105:$BC$128,'non-road'!$D26)/SUMIF(Assumptions!$BB$105:$BB$128,'non-road'!$F26,Assumptions!BR$105:BR$128)</f>
        <v>1</v>
      </c>
      <c r="V26" s="40">
        <f>SUMIFS(Assumptions!BS$105:BS$128,Assumptions!$BB$105:$BB$128,'non-road'!$F26,Assumptions!$BC$105:$BC$128,'non-road'!$D26)/SUMIF(Assumptions!$BB$105:$BB$128,'non-road'!$F26,Assumptions!BS$105:BS$128)</f>
        <v>1</v>
      </c>
      <c r="W26" s="40">
        <f>SUMIFS(Assumptions!BT$105:BT$128,Assumptions!$BB$105:$BB$128,'non-road'!$F26,Assumptions!$BC$105:$BC$128,'non-road'!$D26)/SUMIF(Assumptions!$BB$105:$BB$128,'non-road'!$F26,Assumptions!BT$105:BT$128)</f>
        <v>0.873761191989611</v>
      </c>
      <c r="X26" s="40">
        <f>SUMIFS(Assumptions!BU$105:BU$128,Assumptions!$BB$105:$BB$128,'non-road'!$F26,Assumptions!$BC$105:$BC$128,'non-road'!$D26)/SUMIF(Assumptions!$BB$105:$BB$128,'non-road'!$F26,Assumptions!BU$105:BU$128)</f>
        <v>1</v>
      </c>
      <c r="Y26" s="40">
        <f>SUMIFS(Assumptions!BV$105:BV$128,Assumptions!$BB$105:$BB$128,'non-road'!$F26,Assumptions!$BC$105:$BC$128,'non-road'!$D26)/SUMIF(Assumptions!$BB$105:$BB$128,'non-road'!$F26,Assumptions!BV$105:BV$128)</f>
        <v>1</v>
      </c>
      <c r="Z26" s="40">
        <f>SUMIFS(Assumptions!BW$105:BW$128,Assumptions!$BB$105:$BB$128,'non-road'!$F26,Assumptions!$BC$105:$BC$128,'non-road'!$D26)/SUMIF(Assumptions!$BB$105:$BB$128,'non-road'!$F26,Assumptions!BW$105:BW$128)</f>
        <v>0.988902277865657</v>
      </c>
      <c r="AA26" s="40">
        <f>SUMIFS(Assumptions!BX$105:BX$128,Assumptions!$BB$105:$BB$128,'non-road'!$F26,Assumptions!$BC$105:$BC$128,'non-road'!$D26)/SUMIF(Assumptions!$BB$105:$BB$128,'non-road'!$F26,Assumptions!BX$105:BX$128)</f>
        <v>1</v>
      </c>
      <c r="AB26" s="40">
        <f>SUMIFS(Assumptions!BY$105:BY$128,Assumptions!$BB$105:$BB$128,'non-road'!$F26,Assumptions!$BC$105:$BC$128,'non-road'!$D26)/SUMIF(Assumptions!$BB$105:$BB$128,'non-road'!$F26,Assumptions!BY$105:BY$128)</f>
        <v>1</v>
      </c>
      <c r="AC26" s="40">
        <f>SUMIFS(Assumptions!BZ$105:BZ$128,Assumptions!$BB$105:$BB$128,'non-road'!$F26,Assumptions!$BC$105:$BC$128,'non-road'!$D26)/SUMIF(Assumptions!$BB$105:$BB$128,'non-road'!$F26,Assumptions!BZ$105:BZ$128)</f>
        <v>1</v>
      </c>
      <c r="AD26" s="40">
        <f>SUMIFS(Assumptions!CA$105:CA$128,Assumptions!$BB$105:$BB$128,'non-road'!$F26,Assumptions!$BC$105:$BC$128,'non-road'!$D26)/SUMIF(Assumptions!$BB$105:$BB$128,'non-road'!$F26,Assumptions!CA$105:CA$128)</f>
        <v>1</v>
      </c>
      <c r="AE26" s="40">
        <f>SUMIFS(Assumptions!CB$105:CB$128,Assumptions!$BB$105:$BB$128,'non-road'!$F26,Assumptions!$BC$105:$BC$128,'non-road'!$D26)/SUMIF(Assumptions!$BB$105:$BB$128,'non-road'!$F26,Assumptions!CB$105:CB$128)</f>
        <v>0.999784793668717</v>
      </c>
      <c r="AF26" s="40">
        <f>SUMIFS(Assumptions!CC$105:CC$128,Assumptions!$BB$105:$BB$128,'non-road'!$F26,Assumptions!$BC$105:$BC$128,'non-road'!$D26)/SUMIF(Assumptions!$BB$105:$BB$128,'non-road'!$F26,Assumptions!CC$105:CC$128)</f>
        <v>1</v>
      </c>
      <c r="AG26" s="40">
        <f>SUMIFS(Assumptions!CD$105:CD$128,Assumptions!$BB$105:$BB$128,'non-road'!$F26,Assumptions!$BC$105:$BC$128,'non-road'!$D26)/SUMIF(Assumptions!$BB$105:$BB$128,'non-road'!$F26,Assumptions!CD$105:CD$128)</f>
        <v>1</v>
      </c>
      <c r="AH26" s="40">
        <f>SUMIFS(Assumptions!CE$105:CE$128,Assumptions!$BB$105:$BB$128,'non-road'!$F26,Assumptions!$BC$105:$BC$128,'non-road'!$D26)/SUMIF(Assumptions!$BB$105:$BB$128,'non-road'!$F26,Assumptions!CE$105:CE$128)</f>
        <v>0.985852929783005</v>
      </c>
      <c r="AI26" s="40">
        <f>SUMIFS(Assumptions!CF$105:CF$128,Assumptions!$BB$105:$BB$128,'non-road'!$F26,Assumptions!$BC$105:$BC$128,'non-road'!$D26)/SUMIF(Assumptions!$BB$105:$BB$128,'non-road'!$F26,Assumptions!CF$105:CF$128)</f>
        <v>1</v>
      </c>
      <c r="AJ26" s="40">
        <f>SUMIFS(Assumptions!CG$105:CG$128,Assumptions!$BB$105:$BB$128,'non-road'!$F26,Assumptions!$BC$105:$BC$128,'non-road'!$D26)/SUMIF(Assumptions!$BB$105:$BB$128,'non-road'!$F26,Assumptions!CG$105:CG$128)</f>
        <v>0.999995724341286</v>
      </c>
      <c r="AK26" s="40">
        <f>SUMIFS(Assumptions!CH$105:CH$128,Assumptions!$BB$105:$BB$128,'non-road'!$F26,Assumptions!$BC$105:$BC$128,'non-road'!$D26)/SUMIF(Assumptions!$BB$105:$BB$128,'non-road'!$F26,Assumptions!CH$105:CH$128)</f>
        <v>1</v>
      </c>
      <c r="AL26" s="40">
        <f>SUMIFS(Assumptions!CI$105:CI$128,Assumptions!$BB$105:$BB$128,'non-road'!$F26,Assumptions!$BC$105:$BC$128,'non-road'!$D26)/SUMIF(Assumptions!$BB$105:$BB$128,'non-road'!$F26,Assumptions!CI$105:CI$128)</f>
        <v>1</v>
      </c>
      <c r="AM26" s="40">
        <f>SUMIFS(Assumptions!CJ$105:CJ$128,Assumptions!$BB$105:$BB$128,'non-road'!$F26,Assumptions!$BC$105:$BC$128,'non-road'!$D26)/SUMIF(Assumptions!$BB$105:$BB$128,'non-road'!$F26,Assumptions!CJ$105:CJ$128)</f>
        <v>1</v>
      </c>
      <c r="AN26" s="40">
        <f>SUMIFS(Assumptions!CK$105:CK$128,Assumptions!$BB$105:$BB$128,'non-road'!$F26,Assumptions!$BC$105:$BC$128,'non-road'!$D26)/SUMIF(Assumptions!$BB$105:$BB$128,'non-road'!$F26,Assumptions!CK$105:CK$128)</f>
        <v>0</v>
      </c>
      <c r="AO26" s="46">
        <v>1</v>
      </c>
      <c r="AP26" s="40" t="e">
        <f>SUMIFS(Assumptions!CM$105:CM$128,Assumptions!$BB$105:$BB$128,'non-road'!$F26,Assumptions!$BC$105:$BC$128,'non-road'!$D26)/SUMIF(Assumptions!$BB$105:$BB$128,'non-road'!$F26,Assumptions!CM$105:CM$128)</f>
        <v>#DIV/0!</v>
      </c>
      <c r="AQ26" s="40" t="e">
        <f>SUMIFS(Assumptions!CN$105:CN$128,Assumptions!$BB$105:$BB$128,'non-road'!$F26,Assumptions!$BC$105:$BC$128,'non-road'!$D26)/SUMIF(Assumptions!$BB$105:$BB$128,'non-road'!$F26,Assumptions!CN$105:CN$128)</f>
        <v>#DIV/0!</v>
      </c>
      <c r="AR26" s="40" t="e">
        <f>SUMIFS(Assumptions!CO$105:CO$128,Assumptions!$BB$105:$BB$128,'non-road'!$F26,Assumptions!$BC$105:$BC$128,'non-road'!$D26)/SUMIF(Assumptions!$BB$105:$BB$128,'non-road'!$F26,Assumptions!CO$105:CO$128)</f>
        <v>#DIV/0!</v>
      </c>
      <c r="AS26" s="40" t="e">
        <f>SUMIFS(Assumptions!CP$105:CP$128,Assumptions!$BB$105:$BB$128,'non-road'!$F26,Assumptions!$BC$105:$BC$128,'non-road'!$D26)/SUMIF(Assumptions!$BB$105:$BB$128,'non-road'!$F26,Assumptions!CP$105:CP$128)</f>
        <v>#DIV/0!</v>
      </c>
      <c r="AT26" s="40" t="e">
        <f>SUMIFS(Assumptions!CQ$105:CQ$128,Assumptions!$BB$105:$BB$128,'non-road'!$F26,Assumptions!$BC$105:$BC$128,'non-road'!$D26)/SUMIF(Assumptions!$BB$105:$BB$128,'non-road'!$F26,Assumptions!CQ$105:CQ$128)</f>
        <v>#DIV/0!</v>
      </c>
      <c r="AU26" s="40" t="e">
        <f>SUMIFS(Assumptions!CR$105:CR$128,Assumptions!$BB$105:$BB$128,'non-road'!$F26,Assumptions!$BC$105:$BC$128,'non-road'!$D26)/SUMIF(Assumptions!$BB$105:$BB$128,'non-road'!$F26,Assumptions!CR$105:CR$128)</f>
        <v>#DIV/0!</v>
      </c>
      <c r="AV26" s="40" t="e">
        <f>SUMIFS(Assumptions!CS$105:CS$128,Assumptions!$BB$105:$BB$128,'non-road'!$F26,Assumptions!$BC$105:$BC$128,'non-road'!$D26)/SUMIF(Assumptions!$BB$105:$BB$128,'non-road'!$F26,Assumptions!CS$105:CS$128)</f>
        <v>#DIV/0!</v>
      </c>
      <c r="AW26" s="40" t="e">
        <f>SUMIFS(Assumptions!CT$105:CT$128,Assumptions!$BB$105:$BB$128,'non-road'!$F26,Assumptions!$BC$105:$BC$128,'non-road'!$D26)/SUMIF(Assumptions!$BB$105:$BB$128,'non-road'!$F26,Assumptions!CT$105:CT$128)</f>
        <v>#DIV/0!</v>
      </c>
      <c r="AX26" s="40" t="e">
        <f>SUMIFS(Assumptions!CU$105:CU$128,Assumptions!$BB$105:$BB$128,'non-road'!$F26,Assumptions!$BC$105:$BC$128,'non-road'!$D26)/SUMIF(Assumptions!$BB$105:$BB$128,'non-road'!$F26,Assumptions!CU$105:CU$128)</f>
        <v>#DIV/0!</v>
      </c>
      <c r="AY26" s="40" t="e">
        <f>SUMIFS(Assumptions!CV$105:CV$128,Assumptions!$BB$105:$BB$128,'non-road'!$F26,Assumptions!$BC$105:$BC$128,'non-road'!$D26)/SUMIF(Assumptions!$BB$105:$BB$128,'non-road'!$F26,Assumptions!CV$105:CV$128)</f>
        <v>#DIV/0!</v>
      </c>
      <c r="AZ26" s="40" t="e">
        <f>SUMIFS(Assumptions!CW$105:CW$128,Assumptions!$BB$105:$BB$128,'non-road'!$F26,Assumptions!$BC$105:$BC$128,'non-road'!$D26)/SUMIF(Assumptions!$BB$105:$BB$128,'non-road'!$F26,Assumptions!CW$105:CW$128)</f>
        <v>#DIV/0!</v>
      </c>
      <c r="BD26" s="39" t="str">
        <f t="shared" si="55"/>
        <v>\I:</v>
      </c>
      <c r="BE26" s="40">
        <f>VLOOKUP($F26,Assumptions!$E$152:$BC$157,COLUMN()-COLUMN($BC$4),FALSE)</f>
        <v>1</v>
      </c>
      <c r="BF26" s="40">
        <f>VLOOKUP($F26,Assumptions!$E$152:$BC$157,COLUMN()-COLUMN($BC$4),FALSE)</f>
        <v>1</v>
      </c>
      <c r="BG26" s="40">
        <f>VLOOKUP($F26,Assumptions!$E$152:$BC$157,COLUMN()-COLUMN($BC$4),FALSE)</f>
        <v>1</v>
      </c>
      <c r="BH26" s="40">
        <f>VLOOKUP($F26,Assumptions!$E$152:$BC$157,COLUMN()-COLUMN($BC$4),FALSE)</f>
        <v>1</v>
      </c>
      <c r="BI26" s="40">
        <f>VLOOKUP($F26,Assumptions!$E$152:$BC$157,COLUMN()-COLUMN($BC$4),FALSE)</f>
        <v>1</v>
      </c>
      <c r="BJ26" s="40">
        <f>VLOOKUP($F26,Assumptions!$E$152:$BC$157,COLUMN()-COLUMN($BC$4),FALSE)</f>
        <v>1</v>
      </c>
      <c r="BK26" s="40">
        <f>VLOOKUP($F26,Assumptions!$E$152:$BC$157,COLUMN()-COLUMN($BC$4),FALSE)</f>
        <v>1</v>
      </c>
      <c r="BL26" s="40">
        <f>VLOOKUP($F26,Assumptions!$E$152:$BC$157,COLUMN()-COLUMN($BC$4),FALSE)</f>
        <v>1</v>
      </c>
      <c r="BM26" s="40">
        <f>VLOOKUP($F26,Assumptions!$E$152:$BC$157,COLUMN()-COLUMN($BC$4),FALSE)</f>
        <v>1</v>
      </c>
      <c r="BN26" s="40">
        <f>VLOOKUP($F26,Assumptions!$E$152:$BC$157,COLUMN()-COLUMN($BC$4),FALSE)</f>
        <v>1</v>
      </c>
      <c r="BO26" s="40">
        <f>VLOOKUP($F26,Assumptions!$E$152:$BC$157,COLUMN()-COLUMN($BC$4),FALSE)</f>
        <v>1</v>
      </c>
      <c r="BP26" s="40">
        <f>VLOOKUP($F26,Assumptions!$E$152:$BC$157,COLUMN()-COLUMN($BC$4),FALSE)</f>
        <v>1</v>
      </c>
      <c r="BQ26" s="40">
        <f>VLOOKUP($F26,Assumptions!$E$152:$BC$157,COLUMN()-COLUMN($BC$4),FALSE)</f>
        <v>1</v>
      </c>
      <c r="BR26" s="40">
        <f>VLOOKUP($F26,Assumptions!$E$152:$BC$157,COLUMN()-COLUMN($BC$4),FALSE)</f>
        <v>1</v>
      </c>
      <c r="BS26" s="40">
        <f>VLOOKUP($F26,Assumptions!$E$152:$BC$157,COLUMN()-COLUMN($BC$4),FALSE)</f>
        <v>1</v>
      </c>
      <c r="BT26" s="40">
        <f>VLOOKUP($F26,Assumptions!$E$152:$BC$157,COLUMN()-COLUMN($BC$4),FALSE)</f>
        <v>1</v>
      </c>
      <c r="BU26" s="40">
        <f>VLOOKUP($F26,Assumptions!$E$152:$BC$157,COLUMN()-COLUMN($BC$4),FALSE)</f>
        <v>1</v>
      </c>
      <c r="BV26" s="40">
        <f>VLOOKUP($F26,Assumptions!$E$152:$BC$157,COLUMN()-COLUMN($BC$4),FALSE)</f>
        <v>1</v>
      </c>
      <c r="BW26" s="40">
        <f>VLOOKUP($F26,Assumptions!$E$152:$BC$157,COLUMN()-COLUMN($BC$4),FALSE)</f>
        <v>1</v>
      </c>
      <c r="BX26" s="40">
        <f>VLOOKUP($F26,Assumptions!$E$152:$BC$157,COLUMN()-COLUMN($BC$4),FALSE)</f>
        <v>1</v>
      </c>
      <c r="BY26" s="40">
        <f>VLOOKUP($F26,Assumptions!$E$152:$BC$157,COLUMN()-COLUMN($BC$4),FALSE)</f>
        <v>1</v>
      </c>
      <c r="BZ26" s="40">
        <f>VLOOKUP($F26,Assumptions!$E$152:$BC$157,COLUMN()-COLUMN($BC$4),FALSE)</f>
        <v>1</v>
      </c>
      <c r="CA26" s="40">
        <f>VLOOKUP($F26,Assumptions!$E$152:$BC$157,COLUMN()-COLUMN($BC$4),FALSE)</f>
        <v>1</v>
      </c>
      <c r="CB26" s="40">
        <f>VLOOKUP($F26,Assumptions!$E$152:$BC$157,COLUMN()-COLUMN($BC$4),FALSE)</f>
        <v>1</v>
      </c>
      <c r="CC26" s="40">
        <f>VLOOKUP($F26,Assumptions!$E$152:$BC$157,COLUMN()-COLUMN($BC$4),FALSE)</f>
        <v>1</v>
      </c>
      <c r="CD26" s="40">
        <f>VLOOKUP($F26,Assumptions!$E$152:$BC$157,COLUMN()-COLUMN($BC$4),FALSE)</f>
        <v>1</v>
      </c>
      <c r="CE26" s="40">
        <f>VLOOKUP($F26,Assumptions!$E$152:$BC$157,COLUMN()-COLUMN($BC$4),FALSE)</f>
        <v>1</v>
      </c>
      <c r="CF26" s="40">
        <f>VLOOKUP($F26,Assumptions!$E$152:$BC$157,COLUMN()-COLUMN($BC$4),FALSE)</f>
        <v>1</v>
      </c>
      <c r="CG26" s="40">
        <f>VLOOKUP($F26,Assumptions!$E$152:$BC$157,COLUMN()-COLUMN($BC$4),FALSE)</f>
        <v>1</v>
      </c>
      <c r="CH26" s="40">
        <f>VLOOKUP($F26,Assumptions!$E$152:$BC$157,COLUMN()-COLUMN($BC$4),FALSE)</f>
        <v>1</v>
      </c>
      <c r="CI26" s="40">
        <f>VLOOKUP($F26,Assumptions!$E$152:$BC$157,COLUMN()-COLUMN($BC$4),FALSE)</f>
        <v>1</v>
      </c>
      <c r="CJ26" s="40">
        <f>VLOOKUP($F26,Assumptions!$E$152:$BC$157,COLUMN()-COLUMN($BC$4),FALSE)</f>
        <v>1</v>
      </c>
      <c r="CK26" s="40">
        <f>VLOOKUP($F26,Assumptions!$E$152:$BC$157,COLUMN()-COLUMN($BC$4),FALSE)</f>
        <v>1</v>
      </c>
      <c r="CL26" s="40">
        <f>VLOOKUP($F26,Assumptions!$E$152:$BC$157,COLUMN()-COLUMN($BC$4),FALSE)</f>
        <v>1</v>
      </c>
      <c r="CM26" s="40">
        <f>VLOOKUP($F26,Assumptions!$E$152:$BC$157,COLUMN()-COLUMN($BC$4),FALSE)</f>
        <v>1</v>
      </c>
      <c r="CN26" s="40">
        <f>VLOOKUP($F26,Assumptions!$E$152:$BC$157,COLUMN()-COLUMN($BC$4),FALSE)</f>
        <v>1</v>
      </c>
      <c r="CO26" s="40">
        <f>VLOOKUP($F26,Assumptions!$E$152:$BC$157,COLUMN()-COLUMN($BC$4),FALSE)</f>
        <v>1</v>
      </c>
      <c r="CP26" s="40">
        <f>VLOOKUP($F26,Assumptions!$E$152:$BC$157,COLUMN()-COLUMN($BC$4),FALSE)</f>
        <v>1</v>
      </c>
      <c r="CQ26" s="40">
        <f>VLOOKUP($F26,Assumptions!$E$152:$BC$157,COLUMN()-COLUMN($BC$4),FALSE)</f>
        <v>1</v>
      </c>
      <c r="CR26" s="40">
        <f>VLOOKUP($F26,Assumptions!$E$152:$BC$157,COLUMN()-COLUMN($BC$4),FALSE)</f>
        <v>1</v>
      </c>
      <c r="CS26" s="40">
        <f>VLOOKUP($F26,Assumptions!$E$152:$BC$157,COLUMN()-COLUMN($BC$4),FALSE)</f>
        <v>1</v>
      </c>
      <c r="CT26" s="40">
        <f>VLOOKUP($F26,Assumptions!$E$152:$BC$157,COLUMN()-COLUMN($BC$4),FALSE)</f>
        <v>1</v>
      </c>
      <c r="CU26" s="40">
        <f>VLOOKUP($F26,Assumptions!$E$152:$BC$157,COLUMN()-COLUMN($BC$4),FALSE)</f>
        <v>1</v>
      </c>
      <c r="CV26" s="40">
        <f>VLOOKUP($F26,Assumptions!$E$152:$BC$157,COLUMN()-COLUMN($BC$4),FALSE)</f>
        <v>1</v>
      </c>
      <c r="CW26" s="40">
        <f>VLOOKUP($F26,Assumptions!$E$152:$BC$157,COLUMN()-COLUMN($BC$4),FALSE)</f>
        <v>1</v>
      </c>
      <c r="CX26" s="40">
        <f>VLOOKUP($F26,Assumptions!$E$152:$BC$157,COLUMN()-COLUMN($BC$4),FALSE)</f>
        <v>1</v>
      </c>
      <c r="CY26" s="39"/>
      <c r="EV26" s="39"/>
      <c r="EW26" s="39" t="str">
        <f t="shared" si="48"/>
        <v>DMD</v>
      </c>
      <c r="EX26" s="39" t="str">
        <f t="shared" si="68"/>
        <v>TWD_Generic</v>
      </c>
      <c r="EY26" s="39" t="s">
        <v>450</v>
      </c>
      <c r="EZ26" s="39" t="s">
        <v>85</v>
      </c>
      <c r="FA26" s="39" t="s">
        <v>440</v>
      </c>
    </row>
    <row r="27" spans="1:157">
      <c r="C27" s="39" t="str">
        <f>IF(F56&lt;&gt;F26,F56&amp;"_Generic","")</f>
        <v>TWD_Generic</v>
      </c>
      <c r="D27" t="s">
        <v>133</v>
      </c>
      <c r="BD27" s="39" t="str">
        <f t="shared" si="55"/>
        <v>TWD_Generic</v>
      </c>
      <c r="BE27" s="40">
        <f>VLOOKUP($F56,Assumptions!$E$152:$BC$157,COLUMN()-COLUMN($BC$4),FALSE)</f>
        <v>1</v>
      </c>
      <c r="BF27" s="40">
        <f>VLOOKUP($F56,Assumptions!$E$152:$BC$157,COLUMN()-COLUMN($BC$4),FALSE)</f>
        <v>1</v>
      </c>
      <c r="BG27" s="40">
        <f>VLOOKUP($F56,Assumptions!$E$152:$BC$157,COLUMN()-COLUMN($BC$4),FALSE)</f>
        <v>1</v>
      </c>
      <c r="BH27" s="40">
        <f>VLOOKUP($F56,Assumptions!$E$152:$BC$157,COLUMN()-COLUMN($BC$4),FALSE)</f>
        <v>1</v>
      </c>
      <c r="BI27" s="40">
        <f>VLOOKUP($F56,Assumptions!$E$152:$BC$157,COLUMN()-COLUMN($BC$4),FALSE)</f>
        <v>1</v>
      </c>
      <c r="BJ27" s="40">
        <f>VLOOKUP($F56,Assumptions!$E$152:$BC$157,COLUMN()-COLUMN($BC$4),FALSE)</f>
        <v>1</v>
      </c>
      <c r="BK27" s="40">
        <f>VLOOKUP($F56,Assumptions!$E$152:$BC$157,COLUMN()-COLUMN($BC$4),FALSE)</f>
        <v>1</v>
      </c>
      <c r="BL27" s="40">
        <f>VLOOKUP($F56,Assumptions!$E$152:$BC$157,COLUMN()-COLUMN($BC$4),FALSE)</f>
        <v>1</v>
      </c>
      <c r="BM27" s="40">
        <f>VLOOKUP($F56,Assumptions!$E$152:$BC$157,COLUMN()-COLUMN($BC$4),FALSE)</f>
        <v>1</v>
      </c>
      <c r="BN27" s="40">
        <f>VLOOKUP($F56,Assumptions!$E$152:$BC$157,COLUMN()-COLUMN($BC$4),FALSE)</f>
        <v>1</v>
      </c>
      <c r="BO27" s="40">
        <f>VLOOKUP($F56,Assumptions!$E$152:$BC$157,COLUMN()-COLUMN($BC$4),FALSE)</f>
        <v>1</v>
      </c>
      <c r="BP27" s="40">
        <f>VLOOKUP($F56,Assumptions!$E$152:$BC$157,COLUMN()-COLUMN($BC$4),FALSE)</f>
        <v>1</v>
      </c>
      <c r="BQ27" s="40">
        <f>VLOOKUP($F56,Assumptions!$E$152:$BC$157,COLUMN()-COLUMN($BC$4),FALSE)</f>
        <v>1</v>
      </c>
      <c r="BR27" s="40">
        <f>VLOOKUP($F56,Assumptions!$E$152:$BC$157,COLUMN()-COLUMN($BC$4),FALSE)</f>
        <v>1</v>
      </c>
      <c r="BS27" s="40">
        <f>VLOOKUP($F56,Assumptions!$E$152:$BC$157,COLUMN()-COLUMN($BC$4),FALSE)</f>
        <v>1</v>
      </c>
      <c r="BT27" s="40">
        <f>VLOOKUP($F56,Assumptions!$E$152:$BC$157,COLUMN()-COLUMN($BC$4),FALSE)</f>
        <v>1</v>
      </c>
      <c r="BU27" s="40">
        <f>VLOOKUP($F56,Assumptions!$E$152:$BC$157,COLUMN()-COLUMN($BC$4),FALSE)</f>
        <v>1</v>
      </c>
      <c r="BV27" s="40">
        <f>VLOOKUP($F56,Assumptions!$E$152:$BC$157,COLUMN()-COLUMN($BC$4),FALSE)</f>
        <v>1</v>
      </c>
      <c r="BW27" s="40">
        <f>VLOOKUP($F56,Assumptions!$E$152:$BC$157,COLUMN()-COLUMN($BC$4),FALSE)</f>
        <v>1</v>
      </c>
      <c r="BX27" s="40">
        <f>VLOOKUP($F56,Assumptions!$E$152:$BC$157,COLUMN()-COLUMN($BC$4),FALSE)</f>
        <v>1</v>
      </c>
      <c r="BY27" s="40">
        <f>VLOOKUP($F56,Assumptions!$E$152:$BC$157,COLUMN()-COLUMN($BC$4),FALSE)</f>
        <v>1</v>
      </c>
      <c r="BZ27" s="40">
        <f>VLOOKUP($F56,Assumptions!$E$152:$BC$157,COLUMN()-COLUMN($BC$4),FALSE)</f>
        <v>1</v>
      </c>
      <c r="CA27" s="40">
        <f>VLOOKUP($F56,Assumptions!$E$152:$BC$157,COLUMN()-COLUMN($BC$4),FALSE)</f>
        <v>1</v>
      </c>
      <c r="CB27" s="40">
        <f>VLOOKUP($F56,Assumptions!$E$152:$BC$157,COLUMN()-COLUMN($BC$4),FALSE)</f>
        <v>1</v>
      </c>
      <c r="CC27" s="40">
        <f>VLOOKUP($F56,Assumptions!$E$152:$BC$157,COLUMN()-COLUMN($BC$4),FALSE)</f>
        <v>1</v>
      </c>
      <c r="CD27" s="40">
        <f>VLOOKUP($F56,Assumptions!$E$152:$BC$157,COLUMN()-COLUMN($BC$4),FALSE)</f>
        <v>1</v>
      </c>
      <c r="CE27" s="40">
        <f>VLOOKUP($F56,Assumptions!$E$152:$BC$157,COLUMN()-COLUMN($BC$4),FALSE)</f>
        <v>1</v>
      </c>
      <c r="CF27" s="40">
        <f>VLOOKUP($F56,Assumptions!$E$152:$BC$157,COLUMN()-COLUMN($BC$4),FALSE)</f>
        <v>1</v>
      </c>
      <c r="CG27" s="40">
        <f>VLOOKUP($F56,Assumptions!$E$152:$BC$157,COLUMN()-COLUMN($BC$4),FALSE)</f>
        <v>1</v>
      </c>
      <c r="CH27" s="40">
        <f>VLOOKUP($F56,Assumptions!$E$152:$BC$157,COLUMN()-COLUMN($BC$4),FALSE)</f>
        <v>1</v>
      </c>
      <c r="CI27" s="40">
        <f>VLOOKUP($F56,Assumptions!$E$152:$BC$157,COLUMN()-COLUMN($BC$4),FALSE)</f>
        <v>1</v>
      </c>
      <c r="CJ27" s="40">
        <f>VLOOKUP($F56,Assumptions!$E$152:$BC$157,COLUMN()-COLUMN($BC$4),FALSE)</f>
        <v>1</v>
      </c>
      <c r="CK27" s="40">
        <f>VLOOKUP($F56,Assumptions!$E$152:$BC$157,COLUMN()-COLUMN($BC$4),FALSE)</f>
        <v>1</v>
      </c>
      <c r="CL27" s="40">
        <f>VLOOKUP($F56,Assumptions!$E$152:$BC$157,COLUMN()-COLUMN($BC$4),FALSE)</f>
        <v>1</v>
      </c>
      <c r="CM27" s="40">
        <f>VLOOKUP($F56,Assumptions!$E$152:$BC$157,COLUMN()-COLUMN($BC$4),FALSE)</f>
        <v>1</v>
      </c>
      <c r="CN27" s="40">
        <f>VLOOKUP($F56,Assumptions!$E$152:$BC$157,COLUMN()-COLUMN($BC$4),FALSE)</f>
        <v>1</v>
      </c>
      <c r="CO27" s="40">
        <f>VLOOKUP($F56,Assumptions!$E$152:$BC$157,COLUMN()-COLUMN($BC$4),FALSE)</f>
        <v>1</v>
      </c>
      <c r="CP27" s="40">
        <f>VLOOKUP($F56,Assumptions!$E$152:$BC$157,COLUMN()-COLUMN($BC$4),FALSE)</f>
        <v>1</v>
      </c>
      <c r="CQ27" s="40">
        <f>VLOOKUP($F56,Assumptions!$E$152:$BC$157,COLUMN()-COLUMN($BC$4),FALSE)</f>
        <v>1</v>
      </c>
      <c r="CR27" s="40">
        <f>VLOOKUP($F56,Assumptions!$E$152:$BC$157,COLUMN()-COLUMN($BC$4),FALSE)</f>
        <v>1</v>
      </c>
      <c r="CS27" s="40">
        <f>VLOOKUP($F56,Assumptions!$E$152:$BC$157,COLUMN()-COLUMN($BC$4),FALSE)</f>
        <v>1</v>
      </c>
      <c r="CT27" s="40">
        <f>VLOOKUP($F56,Assumptions!$E$152:$BC$157,COLUMN()-COLUMN($BC$4),FALSE)</f>
        <v>1</v>
      </c>
      <c r="CU27" s="40">
        <f>VLOOKUP($F56,Assumptions!$E$152:$BC$157,COLUMN()-COLUMN($BC$4),FALSE)</f>
        <v>1</v>
      </c>
      <c r="CV27" s="40">
        <f>VLOOKUP($F56,Assumptions!$E$152:$BC$157,COLUMN()-COLUMN($BC$4),FALSE)</f>
        <v>1</v>
      </c>
      <c r="CW27" s="40">
        <f>VLOOKUP($F56,Assumptions!$E$152:$BC$157,COLUMN()-COLUMN($BC$4),FALSE)</f>
        <v>1</v>
      </c>
      <c r="CX27" s="40">
        <f>VLOOKUP($F56,Assumptions!$E$152:$BC$157,COLUMN()-COLUMN($BC$4),FALSE)</f>
        <v>1</v>
      </c>
      <c r="CY27" s="39"/>
      <c r="DA27" t="s">
        <v>159</v>
      </c>
      <c r="EV27" s="39"/>
      <c r="EW27" s="39" t="str">
        <f t="shared" si="48"/>
        <v>\I:</v>
      </c>
      <c r="EX27" s="39" t="str">
        <f t="shared" si="68"/>
        <v/>
      </c>
      <c r="EY27" s="39" t="s">
        <v>133</v>
      </c>
      <c r="EZ27" s="39" t="s">
        <v>85</v>
      </c>
      <c r="FA27" s="39" t="s">
        <v>440</v>
      </c>
    </row>
    <row r="28" spans="1:157">
      <c r="C28" s="39" t="str">
        <f>IF(F57&lt;&gt;F56,F57&amp;"_Generic","")</f>
        <v/>
      </c>
      <c r="D28" t="s">
        <v>133</v>
      </c>
      <c r="BD28" s="39" t="str">
        <f t="shared" si="55"/>
        <v>\I:</v>
      </c>
      <c r="BE28" s="40">
        <f>VLOOKUP($F57,Assumptions!$E$152:$BC$157,COLUMN()-COLUMN($BC$4),FALSE)</f>
        <v>1</v>
      </c>
      <c r="BF28" s="40">
        <f>VLOOKUP($F57,Assumptions!$E$152:$BC$157,COLUMN()-COLUMN($BC$4),FALSE)</f>
        <v>1</v>
      </c>
      <c r="BG28" s="40">
        <f>VLOOKUP($F57,Assumptions!$E$152:$BC$157,COLUMN()-COLUMN($BC$4),FALSE)</f>
        <v>1</v>
      </c>
      <c r="BH28" s="40">
        <f>VLOOKUP($F57,Assumptions!$E$152:$BC$157,COLUMN()-COLUMN($BC$4),FALSE)</f>
        <v>1</v>
      </c>
      <c r="BI28" s="40">
        <f>VLOOKUP($F57,Assumptions!$E$152:$BC$157,COLUMN()-COLUMN($BC$4),FALSE)</f>
        <v>1</v>
      </c>
      <c r="BJ28" s="40">
        <f>VLOOKUP($F57,Assumptions!$E$152:$BC$157,COLUMN()-COLUMN($BC$4),FALSE)</f>
        <v>1</v>
      </c>
      <c r="BK28" s="40">
        <f>VLOOKUP($F57,Assumptions!$E$152:$BC$157,COLUMN()-COLUMN($BC$4),FALSE)</f>
        <v>1</v>
      </c>
      <c r="BL28" s="40">
        <f>VLOOKUP($F57,Assumptions!$E$152:$BC$157,COLUMN()-COLUMN($BC$4),FALSE)</f>
        <v>1</v>
      </c>
      <c r="BM28" s="40">
        <f>VLOOKUP($F57,Assumptions!$E$152:$BC$157,COLUMN()-COLUMN($BC$4),FALSE)</f>
        <v>1</v>
      </c>
      <c r="BN28" s="40">
        <f>VLOOKUP($F57,Assumptions!$E$152:$BC$157,COLUMN()-COLUMN($BC$4),FALSE)</f>
        <v>1</v>
      </c>
      <c r="BO28" s="40">
        <f>VLOOKUP($F57,Assumptions!$E$152:$BC$157,COLUMN()-COLUMN($BC$4),FALSE)</f>
        <v>1</v>
      </c>
      <c r="BP28" s="40">
        <f>VLOOKUP($F57,Assumptions!$E$152:$BC$157,COLUMN()-COLUMN($BC$4),FALSE)</f>
        <v>1</v>
      </c>
      <c r="BQ28" s="40">
        <f>VLOOKUP($F57,Assumptions!$E$152:$BC$157,COLUMN()-COLUMN($BC$4),FALSE)</f>
        <v>1</v>
      </c>
      <c r="BR28" s="40">
        <f>VLOOKUP($F57,Assumptions!$E$152:$BC$157,COLUMN()-COLUMN($BC$4),FALSE)</f>
        <v>1</v>
      </c>
      <c r="BS28" s="40">
        <f>VLOOKUP($F57,Assumptions!$E$152:$BC$157,COLUMN()-COLUMN($BC$4),FALSE)</f>
        <v>1</v>
      </c>
      <c r="BT28" s="40">
        <f>VLOOKUP($F57,Assumptions!$E$152:$BC$157,COLUMN()-COLUMN($BC$4),FALSE)</f>
        <v>1</v>
      </c>
      <c r="BU28" s="40">
        <f>VLOOKUP($F57,Assumptions!$E$152:$BC$157,COLUMN()-COLUMN($BC$4),FALSE)</f>
        <v>1</v>
      </c>
      <c r="BV28" s="40">
        <f>VLOOKUP($F57,Assumptions!$E$152:$BC$157,COLUMN()-COLUMN($BC$4),FALSE)</f>
        <v>1</v>
      </c>
      <c r="BW28" s="40">
        <f>VLOOKUP($F57,Assumptions!$E$152:$BC$157,COLUMN()-COLUMN($BC$4),FALSE)</f>
        <v>1</v>
      </c>
      <c r="BX28" s="40">
        <f>VLOOKUP($F57,Assumptions!$E$152:$BC$157,COLUMN()-COLUMN($BC$4),FALSE)</f>
        <v>1</v>
      </c>
      <c r="BY28" s="40">
        <f>VLOOKUP($F57,Assumptions!$E$152:$BC$157,COLUMN()-COLUMN($BC$4),FALSE)</f>
        <v>1</v>
      </c>
      <c r="BZ28" s="40">
        <f>VLOOKUP($F57,Assumptions!$E$152:$BC$157,COLUMN()-COLUMN($BC$4),FALSE)</f>
        <v>1</v>
      </c>
      <c r="CA28" s="40">
        <f>VLOOKUP($F57,Assumptions!$E$152:$BC$157,COLUMN()-COLUMN($BC$4),FALSE)</f>
        <v>1</v>
      </c>
      <c r="CB28" s="40">
        <f>VLOOKUP($F57,Assumptions!$E$152:$BC$157,COLUMN()-COLUMN($BC$4),FALSE)</f>
        <v>1</v>
      </c>
      <c r="CC28" s="40">
        <f>VLOOKUP($F57,Assumptions!$E$152:$BC$157,COLUMN()-COLUMN($BC$4),FALSE)</f>
        <v>1</v>
      </c>
      <c r="CD28" s="40">
        <f>VLOOKUP($F57,Assumptions!$E$152:$BC$157,COLUMN()-COLUMN($BC$4),FALSE)</f>
        <v>1</v>
      </c>
      <c r="CE28" s="40">
        <f>VLOOKUP($F57,Assumptions!$E$152:$BC$157,COLUMN()-COLUMN($BC$4),FALSE)</f>
        <v>1</v>
      </c>
      <c r="CF28" s="40">
        <f>VLOOKUP($F57,Assumptions!$E$152:$BC$157,COLUMN()-COLUMN($BC$4),FALSE)</f>
        <v>1</v>
      </c>
      <c r="CG28" s="40">
        <f>VLOOKUP($F57,Assumptions!$E$152:$BC$157,COLUMN()-COLUMN($BC$4),FALSE)</f>
        <v>1</v>
      </c>
      <c r="CH28" s="40">
        <f>VLOOKUP($F57,Assumptions!$E$152:$BC$157,COLUMN()-COLUMN($BC$4),FALSE)</f>
        <v>1</v>
      </c>
      <c r="CI28" s="40">
        <f>VLOOKUP($F57,Assumptions!$E$152:$BC$157,COLUMN()-COLUMN($BC$4),FALSE)</f>
        <v>1</v>
      </c>
      <c r="CJ28" s="40">
        <f>VLOOKUP($F57,Assumptions!$E$152:$BC$157,COLUMN()-COLUMN($BC$4),FALSE)</f>
        <v>1</v>
      </c>
      <c r="CK28" s="40">
        <f>VLOOKUP($F57,Assumptions!$E$152:$BC$157,COLUMN()-COLUMN($BC$4),FALSE)</f>
        <v>1</v>
      </c>
      <c r="CL28" s="40">
        <f>VLOOKUP($F57,Assumptions!$E$152:$BC$157,COLUMN()-COLUMN($BC$4),FALSE)</f>
        <v>1</v>
      </c>
      <c r="CM28" s="40">
        <f>VLOOKUP($F57,Assumptions!$E$152:$BC$157,COLUMN()-COLUMN($BC$4),FALSE)</f>
        <v>1</v>
      </c>
      <c r="CN28" s="40">
        <f>VLOOKUP($F57,Assumptions!$E$152:$BC$157,COLUMN()-COLUMN($BC$4),FALSE)</f>
        <v>1</v>
      </c>
      <c r="CO28" s="40">
        <f>VLOOKUP($F57,Assumptions!$E$152:$BC$157,COLUMN()-COLUMN($BC$4),FALSE)</f>
        <v>1</v>
      </c>
      <c r="CP28" s="40">
        <f>VLOOKUP($F57,Assumptions!$E$152:$BC$157,COLUMN()-COLUMN($BC$4),FALSE)</f>
        <v>1</v>
      </c>
      <c r="CQ28" s="40">
        <f>VLOOKUP($F57,Assumptions!$E$152:$BC$157,COLUMN()-COLUMN($BC$4),FALSE)</f>
        <v>1</v>
      </c>
      <c r="CR28" s="40">
        <f>VLOOKUP($F57,Assumptions!$E$152:$BC$157,COLUMN()-COLUMN($BC$4),FALSE)</f>
        <v>1</v>
      </c>
      <c r="CS28" s="40">
        <f>VLOOKUP($F57,Assumptions!$E$152:$BC$157,COLUMN()-COLUMN($BC$4),FALSE)</f>
        <v>1</v>
      </c>
      <c r="CT28" s="40">
        <f>VLOOKUP($F57,Assumptions!$E$152:$BC$157,COLUMN()-COLUMN($BC$4),FALSE)</f>
        <v>1</v>
      </c>
      <c r="CU28" s="40">
        <f>VLOOKUP($F57,Assumptions!$E$152:$BC$157,COLUMN()-COLUMN($BC$4),FALSE)</f>
        <v>1</v>
      </c>
      <c r="CV28" s="40">
        <f>VLOOKUP($F57,Assumptions!$E$152:$BC$157,COLUMN()-COLUMN($BC$4),FALSE)</f>
        <v>1</v>
      </c>
      <c r="CW28" s="40">
        <f>VLOOKUP($F57,Assumptions!$E$152:$BC$157,COLUMN()-COLUMN($BC$4),FALSE)</f>
        <v>1</v>
      </c>
      <c r="CX28" s="40">
        <f>VLOOKUP($F57,Assumptions!$E$152:$BC$157,COLUMN()-COLUMN($BC$4),FALSE)</f>
        <v>1</v>
      </c>
      <c r="CY28" s="39"/>
      <c r="DA28" t="s">
        <v>160</v>
      </c>
      <c r="DB28" t="s">
        <v>161</v>
      </c>
      <c r="DC28" t="s">
        <v>162</v>
      </c>
      <c r="DD28" t="s">
        <v>163</v>
      </c>
      <c r="EV28" s="39"/>
      <c r="EW28" s="39" t="str">
        <f t="shared" si="48"/>
        <v>\I:</v>
      </c>
      <c r="EX28" s="39" t="str">
        <f t="shared" si="68"/>
        <v/>
      </c>
      <c r="EY28" s="39" t="s">
        <v>133</v>
      </c>
      <c r="EZ28" s="39" t="s">
        <v>85</v>
      </c>
      <c r="FA28" s="39" t="s">
        <v>440</v>
      </c>
    </row>
    <row r="29" spans="1:157">
      <c r="C29" s="39" t="str">
        <f>IF(F29&lt;&gt;F57,F29&amp;"_Generic","")</f>
        <v/>
      </c>
      <c r="D29" s="39" t="s">
        <v>60</v>
      </c>
      <c r="E29" s="39"/>
      <c r="F29" s="39" t="s">
        <v>87</v>
      </c>
      <c r="G29" s="40">
        <f>SUMIFS(Assumptions!BD$105:BD$128,Assumptions!$BB$105:$BB$128,'non-road'!$F29,Assumptions!$BC$105:$BC$128,'non-road'!$D29)/SUMIF(Assumptions!$BB$105:$BB$128,'non-road'!$F29,Assumptions!BD$105:BD$128)</f>
        <v>0.187117482298499</v>
      </c>
      <c r="H29" s="40">
        <f>SUMIFS(Assumptions!BE$105:BE$128,Assumptions!$BB$105:$BB$128,'non-road'!$F29,Assumptions!$BC$105:$BC$128,'non-road'!$D29)/SUMIF(Assumptions!$BB$105:$BB$128,'non-road'!$F29,Assumptions!BE$105:BE$128)</f>
        <v>0.868725810390791</v>
      </c>
      <c r="I29" s="40">
        <f>SUMIFS(Assumptions!BF$105:BF$128,Assumptions!$BB$105:$BB$128,'non-road'!$F29,Assumptions!$BC$105:$BC$128,'non-road'!$D29)/SUMIF(Assumptions!$BB$105:$BB$128,'non-road'!$F29,Assumptions!BF$105:BF$128)</f>
        <v>0.41786547153645</v>
      </c>
      <c r="J29" s="40">
        <f>SUMIFS(Assumptions!BG$105:BG$128,Assumptions!$BB$105:$BB$128,'non-road'!$F29,Assumptions!$BC$105:$BC$128,'non-road'!$D29)/SUMIF(Assumptions!$BB$105:$BB$128,'non-road'!$F29,Assumptions!BG$105:BG$128)</f>
        <v>0.913368122000766</v>
      </c>
      <c r="K29" s="40">
        <f>SUMIFS(Assumptions!BH$105:BH$128,Assumptions!$BB$105:$BB$128,'non-road'!$F29,Assumptions!$BC$105:$BC$128,'non-road'!$D29)/SUMIF(Assumptions!$BB$105:$BB$128,'non-road'!$F29,Assumptions!BH$105:BH$128)</f>
        <v>0.99265786788982</v>
      </c>
      <c r="L29" s="40">
        <f>SUMIFS(Assumptions!BI$105:BI$128,Assumptions!$BB$105:$BB$128,'non-road'!$F29,Assumptions!$BC$105:$BC$128,'non-road'!$D29)/SUMIF(Assumptions!$BB$105:$BB$128,'non-road'!$F29,Assumptions!BI$105:BI$128)</f>
        <v>0.991753311836114</v>
      </c>
      <c r="M29" s="40">
        <f>SUMIFS(Assumptions!BJ$105:BJ$128,Assumptions!$BB$105:$BB$128,'non-road'!$F29,Assumptions!$BC$105:$BC$128,'non-road'!$D29)/SUMIF(Assumptions!$BB$105:$BB$128,'non-road'!$F29,Assumptions!BJ$105:BJ$128)</f>
        <v>0.245291910237728</v>
      </c>
      <c r="N29" s="40">
        <f>SUMIFS(Assumptions!BK$105:BK$128,Assumptions!$BB$105:$BB$128,'non-road'!$F29,Assumptions!$BC$105:$BC$128,'non-road'!$D29)/SUMIF(Assumptions!$BB$105:$BB$128,'non-road'!$F29,Assumptions!BK$105:BK$128)</f>
        <v>0.611681693775016</v>
      </c>
      <c r="O29" s="40">
        <f>SUMIFS(Assumptions!BL$105:BL$128,Assumptions!$BB$105:$BB$128,'non-road'!$F29,Assumptions!$BC$105:$BC$128,'non-road'!$D29)/SUMIF(Assumptions!$BB$105:$BB$128,'non-road'!$F29,Assumptions!BL$105:BL$128)</f>
        <v>1</v>
      </c>
      <c r="P29" s="40">
        <f>SUMIFS(Assumptions!BM$105:BM$128,Assumptions!$BB$105:$BB$128,'non-road'!$F29,Assumptions!$BC$105:$BC$128,'non-road'!$D29)/SUMIF(Assumptions!$BB$105:$BB$128,'non-road'!$F29,Assumptions!BM$105:BM$128)</f>
        <v>1</v>
      </c>
      <c r="Q29" s="40">
        <f>SUMIFS(Assumptions!BN$105:BN$128,Assumptions!$BB$105:$BB$128,'non-road'!$F29,Assumptions!$BC$105:$BC$128,'non-road'!$D29)/SUMIF(Assumptions!$BB$105:$BB$128,'non-road'!$F29,Assumptions!BN$105:BN$128)</f>
        <v>0.347541566057603</v>
      </c>
      <c r="R29" s="40">
        <f>SUMIFS(Assumptions!BO$105:BO$128,Assumptions!$BB$105:$BB$128,'non-road'!$F29,Assumptions!$BC$105:$BC$128,'non-road'!$D29)/SUMIF(Assumptions!$BB$105:$BB$128,'non-road'!$F29,Assumptions!BO$105:BO$128)</f>
        <v>1</v>
      </c>
      <c r="S29" s="40">
        <f>SUMIFS(Assumptions!BP$105:BP$128,Assumptions!$BB$105:$BB$128,'non-road'!$F29,Assumptions!$BC$105:$BC$128,'non-road'!$D29)/SUMIF(Assumptions!$BB$105:$BB$128,'non-road'!$F29,Assumptions!BP$105:BP$128)</f>
        <v>0.464700806066123</v>
      </c>
      <c r="T29" s="40">
        <f>SUMIFS(Assumptions!BQ$105:BQ$128,Assumptions!$BB$105:$BB$128,'non-road'!$F29,Assumptions!$BC$105:$BC$128,'non-road'!$D29)/SUMIF(Assumptions!$BB$105:$BB$128,'non-road'!$F29,Assumptions!BQ$105:BQ$128)</f>
        <v>1</v>
      </c>
      <c r="U29" s="40">
        <f>SUMIFS(Assumptions!BR$105:BR$128,Assumptions!$BB$105:$BB$128,'non-road'!$F29,Assumptions!$BC$105:$BC$128,'non-road'!$D29)/SUMIF(Assumptions!$BB$105:$BB$128,'non-road'!$F29,Assumptions!BR$105:BR$128)</f>
        <v>0.724005127099356</v>
      </c>
      <c r="V29" s="40">
        <f>SUMIFS(Assumptions!BS$105:BS$128,Assumptions!$BB$105:$BB$128,'non-road'!$F29,Assumptions!$BC$105:$BC$128,'non-road'!$D29)/SUMIF(Assumptions!$BB$105:$BB$128,'non-road'!$F29,Assumptions!BS$105:BS$128)</f>
        <v>0.544954438471206</v>
      </c>
      <c r="W29" s="40">
        <f>SUMIFS(Assumptions!BT$105:BT$128,Assumptions!$BB$105:$BB$128,'non-road'!$F29,Assumptions!$BC$105:$BC$128,'non-road'!$D29)/SUMIF(Assumptions!$BB$105:$BB$128,'non-road'!$F29,Assumptions!BT$105:BT$128)</f>
        <v>1</v>
      </c>
      <c r="X29" s="40">
        <f>SUMIFS(Assumptions!BU$105:BU$128,Assumptions!$BB$105:$BB$128,'non-road'!$F29,Assumptions!$BC$105:$BC$128,'non-road'!$D29)/SUMIF(Assumptions!$BB$105:$BB$128,'non-road'!$F29,Assumptions!BU$105:BU$128)</f>
        <v>0.417742178630375</v>
      </c>
      <c r="Y29" s="40">
        <f>SUMIFS(Assumptions!BV$105:BV$128,Assumptions!$BB$105:$BB$128,'non-road'!$F29,Assumptions!$BC$105:$BC$128,'non-road'!$D29)/SUMIF(Assumptions!$BB$105:$BB$128,'non-road'!$F29,Assumptions!BV$105:BV$128)</f>
        <v>0.322488915201089</v>
      </c>
      <c r="Z29" s="40">
        <f>SUMIFS(Assumptions!BW$105:BW$128,Assumptions!$BB$105:$BB$128,'non-road'!$F29,Assumptions!$BC$105:$BC$128,'non-road'!$D29)/SUMIF(Assumptions!$BB$105:$BB$128,'non-road'!$F29,Assumptions!BW$105:BW$128)</f>
        <v>0.673500226162577</v>
      </c>
      <c r="AA29" s="40" t="e">
        <f>SUMIFS(Assumptions!BX$105:BX$128,Assumptions!$BB$105:$BB$128,'non-road'!$F29,Assumptions!$BC$105:$BC$128,'non-road'!$D29)/SUMIF(Assumptions!$BB$105:$BB$128,'non-road'!$F29,Assumptions!BX$105:BX$128)</f>
        <v>#DIV/0!</v>
      </c>
      <c r="AB29" s="40">
        <f>SUMIFS(Assumptions!BY$105:BY$128,Assumptions!$BB$105:$BB$128,'non-road'!$F29,Assumptions!$BC$105:$BC$128,'non-road'!$D29)/SUMIF(Assumptions!$BB$105:$BB$128,'non-road'!$F29,Assumptions!BY$105:BY$128)</f>
        <v>0.458816741289319</v>
      </c>
      <c r="AC29" s="40">
        <f>SUMIFS(Assumptions!BZ$105:BZ$128,Assumptions!$BB$105:$BB$128,'non-road'!$F29,Assumptions!$BC$105:$BC$128,'non-road'!$D29)/SUMIF(Assumptions!$BB$105:$BB$128,'non-road'!$F29,Assumptions!BZ$105:BZ$128)</f>
        <v>0.858967370879991</v>
      </c>
      <c r="AD29" s="40">
        <f>SUMIFS(Assumptions!CA$105:CA$128,Assumptions!$BB$105:$BB$128,'non-road'!$F29,Assumptions!$BC$105:$BC$128,'non-road'!$D29)/SUMIF(Assumptions!$BB$105:$BB$128,'non-road'!$F29,Assumptions!CA$105:CA$128)</f>
        <v>1</v>
      </c>
      <c r="AE29" s="40">
        <f>SUMIFS(Assumptions!CB$105:CB$128,Assumptions!$BB$105:$BB$128,'non-road'!$F29,Assumptions!$BC$105:$BC$128,'non-road'!$D29)/SUMIF(Assumptions!$BB$105:$BB$128,'non-road'!$F29,Assumptions!CB$105:CB$128)</f>
        <v>0.877990959907674</v>
      </c>
      <c r="AF29" s="40">
        <f>SUMIFS(Assumptions!CC$105:CC$128,Assumptions!$BB$105:$BB$128,'non-road'!$F29,Assumptions!$BC$105:$BC$128,'non-road'!$D29)/SUMIF(Assumptions!$BB$105:$BB$128,'non-road'!$F29,Assumptions!CC$105:CC$128)</f>
        <v>0.670033992795752</v>
      </c>
      <c r="AG29" s="40" t="e">
        <f>SUMIFS(Assumptions!CD$105:CD$128,Assumptions!$BB$105:$BB$128,'non-road'!$F29,Assumptions!$BC$105:$BC$128,'non-road'!$D29)/SUMIF(Assumptions!$BB$105:$BB$128,'non-road'!$F29,Assumptions!CD$105:CD$128)</f>
        <v>#DIV/0!</v>
      </c>
      <c r="AH29" s="40">
        <f>SUMIFS(Assumptions!CE$105:CE$128,Assumptions!$BB$105:$BB$128,'non-road'!$F29,Assumptions!$BC$105:$BC$128,'non-road'!$D29)/SUMIF(Assumptions!$BB$105:$BB$128,'non-road'!$F29,Assumptions!CE$105:CE$128)</f>
        <v>0.996541927098324</v>
      </c>
      <c r="AI29" s="40">
        <f>SUMIFS(Assumptions!CF$105:CF$128,Assumptions!$BB$105:$BB$128,'non-road'!$F29,Assumptions!$BC$105:$BC$128,'non-road'!$D29)/SUMIF(Assumptions!$BB$105:$BB$128,'non-road'!$F29,Assumptions!CF$105:CF$128)</f>
        <v>0.44306041271599</v>
      </c>
      <c r="AJ29" s="40">
        <f>SUMIFS(Assumptions!CG$105:CG$128,Assumptions!$BB$105:$BB$128,'non-road'!$F29,Assumptions!$BC$105:$BC$128,'non-road'!$D29)/SUMIF(Assumptions!$BB$105:$BB$128,'non-road'!$F29,Assumptions!CG$105:CG$128)</f>
        <v>0.668439968169162</v>
      </c>
      <c r="AK29" s="40">
        <f>SUMIFS(Assumptions!CH$105:CH$128,Assumptions!$BB$105:$BB$128,'non-road'!$F29,Assumptions!$BC$105:$BC$128,'non-road'!$D29)/SUMIF(Assumptions!$BB$105:$BB$128,'non-road'!$F29,Assumptions!CH$105:CH$128)</f>
        <v>0.642490436475216</v>
      </c>
      <c r="AL29" s="40">
        <f>SUMIFS(Assumptions!CI$105:CI$128,Assumptions!$BB$105:$BB$128,'non-road'!$F29,Assumptions!$BC$105:$BC$128,'non-road'!$D29)/SUMIF(Assumptions!$BB$105:$BB$128,'non-road'!$F29,Assumptions!CI$105:CI$128)</f>
        <v>0.913712409621424</v>
      </c>
      <c r="AM29" s="40">
        <f>SUMIFS(Assumptions!CJ$105:CJ$128,Assumptions!$BB$105:$BB$128,'non-road'!$F29,Assumptions!$BC$105:$BC$128,'non-road'!$D29)/SUMIF(Assumptions!$BB$105:$BB$128,'non-road'!$F29,Assumptions!CJ$105:CJ$128)</f>
        <v>0.991113221710788</v>
      </c>
      <c r="AN29" s="40">
        <f>SUMIFS(Assumptions!CK$105:CK$128,Assumptions!$BB$105:$BB$128,'non-road'!$F29,Assumptions!$BC$105:$BC$128,'non-road'!$D29)/SUMIF(Assumptions!$BB$105:$BB$128,'non-road'!$F29,Assumptions!CK$105:CK$128)</f>
        <v>1</v>
      </c>
      <c r="AO29" s="40">
        <f>SUMIFS(Assumptions!CL$105:CL$128,Assumptions!$BB$105:$BB$128,'non-road'!$F29,Assumptions!$BC$105:$BC$128,'non-road'!$D29)/SUMIF(Assumptions!$BB$105:$BB$128,'non-road'!$F29,Assumptions!CL$105:CL$128)</f>
        <v>0.835761415895035</v>
      </c>
      <c r="AP29" s="40" t="e">
        <f>SUMIFS(Assumptions!CM$105:CM$128,Assumptions!$BB$105:$BB$128,'non-road'!$F29,Assumptions!$BC$105:$BC$128,'non-road'!$D29)/SUMIF(Assumptions!$BB$105:$BB$128,'non-road'!$F29,Assumptions!CM$105:CM$128)</f>
        <v>#DIV/0!</v>
      </c>
      <c r="AQ29" s="40" t="e">
        <f>SUMIFS(Assumptions!CN$105:CN$128,Assumptions!$BB$105:$BB$128,'non-road'!$F29,Assumptions!$BC$105:$BC$128,'non-road'!$D29)/SUMIF(Assumptions!$BB$105:$BB$128,'non-road'!$F29,Assumptions!CN$105:CN$128)</f>
        <v>#DIV/0!</v>
      </c>
      <c r="AR29" s="40" t="e">
        <f>SUMIFS(Assumptions!CO$105:CO$128,Assumptions!$BB$105:$BB$128,'non-road'!$F29,Assumptions!$BC$105:$BC$128,'non-road'!$D29)/SUMIF(Assumptions!$BB$105:$BB$128,'non-road'!$F29,Assumptions!CO$105:CO$128)</f>
        <v>#DIV/0!</v>
      </c>
      <c r="AS29" s="40" t="e">
        <f>SUMIFS(Assumptions!CP$105:CP$128,Assumptions!$BB$105:$BB$128,'non-road'!$F29,Assumptions!$BC$105:$BC$128,'non-road'!$D29)/SUMIF(Assumptions!$BB$105:$BB$128,'non-road'!$F29,Assumptions!CP$105:CP$128)</f>
        <v>#DIV/0!</v>
      </c>
      <c r="AT29" s="40" t="e">
        <f>SUMIFS(Assumptions!CQ$105:CQ$128,Assumptions!$BB$105:$BB$128,'non-road'!$F29,Assumptions!$BC$105:$BC$128,'non-road'!$D29)/SUMIF(Assumptions!$BB$105:$BB$128,'non-road'!$F29,Assumptions!CQ$105:CQ$128)</f>
        <v>#DIV/0!</v>
      </c>
      <c r="AU29" s="40" t="e">
        <f>SUMIFS(Assumptions!CR$105:CR$128,Assumptions!$BB$105:$BB$128,'non-road'!$F29,Assumptions!$BC$105:$BC$128,'non-road'!$D29)/SUMIF(Assumptions!$BB$105:$BB$128,'non-road'!$F29,Assumptions!CR$105:CR$128)</f>
        <v>#DIV/0!</v>
      </c>
      <c r="AV29" s="40" t="e">
        <f>SUMIFS(Assumptions!CS$105:CS$128,Assumptions!$BB$105:$BB$128,'non-road'!$F29,Assumptions!$BC$105:$BC$128,'non-road'!$D29)/SUMIF(Assumptions!$BB$105:$BB$128,'non-road'!$F29,Assumptions!CS$105:CS$128)</f>
        <v>#DIV/0!</v>
      </c>
      <c r="AW29" s="40" t="e">
        <f>SUMIFS(Assumptions!CT$105:CT$128,Assumptions!$BB$105:$BB$128,'non-road'!$F29,Assumptions!$BC$105:$BC$128,'non-road'!$D29)/SUMIF(Assumptions!$BB$105:$BB$128,'non-road'!$F29,Assumptions!CT$105:CT$128)</f>
        <v>#DIV/0!</v>
      </c>
      <c r="AX29" s="40" t="e">
        <f>SUMIFS(Assumptions!CU$105:CU$128,Assumptions!$BB$105:$BB$128,'non-road'!$F29,Assumptions!$BC$105:$BC$128,'non-road'!$D29)/SUMIF(Assumptions!$BB$105:$BB$128,'non-road'!$F29,Assumptions!CU$105:CU$128)</f>
        <v>#DIV/0!</v>
      </c>
      <c r="AY29" s="40" t="e">
        <f>SUMIFS(Assumptions!CV$105:CV$128,Assumptions!$BB$105:$BB$128,'non-road'!$F29,Assumptions!$BC$105:$BC$128,'non-road'!$D29)/SUMIF(Assumptions!$BB$105:$BB$128,'non-road'!$F29,Assumptions!CV$105:CV$128)</f>
        <v>#DIV/0!</v>
      </c>
      <c r="AZ29" s="40" t="e">
        <f>SUMIFS(Assumptions!CW$105:CW$128,Assumptions!$BB$105:$BB$128,'non-road'!$F29,Assumptions!$BC$105:$BC$128,'non-road'!$D29)/SUMIF(Assumptions!$BB$105:$BB$128,'non-road'!$F29,Assumptions!CW$105:CW$128)</f>
        <v>#DIV/0!</v>
      </c>
      <c r="BD29" s="39" t="str">
        <f t="shared" si="55"/>
        <v>\I:</v>
      </c>
      <c r="BE29" s="40">
        <f>VLOOKUP($F29,Assumptions!$E$152:$BC$157,COLUMN()-COLUMN($BC$4),FALSE)</f>
        <v>1</v>
      </c>
      <c r="BF29" s="40">
        <f>VLOOKUP($F29,Assumptions!$E$152:$BC$157,COLUMN()-COLUMN($BC$4),FALSE)</f>
        <v>1</v>
      </c>
      <c r="BG29" s="40">
        <f>VLOOKUP($F29,Assumptions!$E$152:$BC$157,COLUMN()-COLUMN($BC$4),FALSE)</f>
        <v>1</v>
      </c>
      <c r="BH29" s="40">
        <f>VLOOKUP($F29,Assumptions!$E$152:$BC$157,COLUMN()-COLUMN($BC$4),FALSE)</f>
        <v>1</v>
      </c>
      <c r="BI29" s="40">
        <f>VLOOKUP($F29,Assumptions!$E$152:$BC$157,COLUMN()-COLUMN($BC$4),FALSE)</f>
        <v>1</v>
      </c>
      <c r="BJ29" s="40">
        <f>VLOOKUP($F29,Assumptions!$E$152:$BC$157,COLUMN()-COLUMN($BC$4),FALSE)</f>
        <v>1</v>
      </c>
      <c r="BK29" s="40">
        <f>VLOOKUP($F29,Assumptions!$E$152:$BC$157,COLUMN()-COLUMN($BC$4),FALSE)</f>
        <v>1</v>
      </c>
      <c r="BL29" s="40">
        <f>VLOOKUP($F29,Assumptions!$E$152:$BC$157,COLUMN()-COLUMN($BC$4),FALSE)</f>
        <v>1</v>
      </c>
      <c r="BM29" s="40">
        <f>VLOOKUP($F29,Assumptions!$E$152:$BC$157,COLUMN()-COLUMN($BC$4),FALSE)</f>
        <v>1</v>
      </c>
      <c r="BN29" s="40">
        <f>VLOOKUP($F29,Assumptions!$E$152:$BC$157,COLUMN()-COLUMN($BC$4),FALSE)</f>
        <v>1</v>
      </c>
      <c r="BO29" s="40">
        <f>VLOOKUP($F29,Assumptions!$E$152:$BC$157,COLUMN()-COLUMN($BC$4),FALSE)</f>
        <v>1</v>
      </c>
      <c r="BP29" s="40">
        <f>VLOOKUP($F29,Assumptions!$E$152:$BC$157,COLUMN()-COLUMN($BC$4),FALSE)</f>
        <v>1</v>
      </c>
      <c r="BQ29" s="40">
        <f>VLOOKUP($F29,Assumptions!$E$152:$BC$157,COLUMN()-COLUMN($BC$4),FALSE)</f>
        <v>1</v>
      </c>
      <c r="BR29" s="40">
        <f>VLOOKUP($F29,Assumptions!$E$152:$BC$157,COLUMN()-COLUMN($BC$4),FALSE)</f>
        <v>1</v>
      </c>
      <c r="BS29" s="40">
        <f>VLOOKUP($F29,Assumptions!$E$152:$BC$157,COLUMN()-COLUMN($BC$4),FALSE)</f>
        <v>1</v>
      </c>
      <c r="BT29" s="40">
        <f>VLOOKUP($F29,Assumptions!$E$152:$BC$157,COLUMN()-COLUMN($BC$4),FALSE)</f>
        <v>1</v>
      </c>
      <c r="BU29" s="40">
        <f>VLOOKUP($F29,Assumptions!$E$152:$BC$157,COLUMN()-COLUMN($BC$4),FALSE)</f>
        <v>1</v>
      </c>
      <c r="BV29" s="40">
        <f>VLOOKUP($F29,Assumptions!$E$152:$BC$157,COLUMN()-COLUMN($BC$4),FALSE)</f>
        <v>1</v>
      </c>
      <c r="BW29" s="40">
        <f>VLOOKUP($F29,Assumptions!$E$152:$BC$157,COLUMN()-COLUMN($BC$4),FALSE)</f>
        <v>1</v>
      </c>
      <c r="BX29" s="40">
        <f>VLOOKUP($F29,Assumptions!$E$152:$BC$157,COLUMN()-COLUMN($BC$4),FALSE)</f>
        <v>1</v>
      </c>
      <c r="BY29" s="40">
        <f>VLOOKUP($F29,Assumptions!$E$152:$BC$157,COLUMN()-COLUMN($BC$4),FALSE)</f>
        <v>1</v>
      </c>
      <c r="BZ29" s="40">
        <f>VLOOKUP($F29,Assumptions!$E$152:$BC$157,COLUMN()-COLUMN($BC$4),FALSE)</f>
        <v>1</v>
      </c>
      <c r="CA29" s="40">
        <f>VLOOKUP($F29,Assumptions!$E$152:$BC$157,COLUMN()-COLUMN($BC$4),FALSE)</f>
        <v>1</v>
      </c>
      <c r="CB29" s="40">
        <f>VLOOKUP($F29,Assumptions!$E$152:$BC$157,COLUMN()-COLUMN($BC$4),FALSE)</f>
        <v>1</v>
      </c>
      <c r="CC29" s="40">
        <f>VLOOKUP($F29,Assumptions!$E$152:$BC$157,COLUMN()-COLUMN($BC$4),FALSE)</f>
        <v>1</v>
      </c>
      <c r="CD29" s="40">
        <f>VLOOKUP($F29,Assumptions!$E$152:$BC$157,COLUMN()-COLUMN($BC$4),FALSE)</f>
        <v>1</v>
      </c>
      <c r="CE29" s="40">
        <f>VLOOKUP($F29,Assumptions!$E$152:$BC$157,COLUMN()-COLUMN($BC$4),FALSE)</f>
        <v>1</v>
      </c>
      <c r="CF29" s="40">
        <f>VLOOKUP($F29,Assumptions!$E$152:$BC$157,COLUMN()-COLUMN($BC$4),FALSE)</f>
        <v>1</v>
      </c>
      <c r="CG29" s="40">
        <f>VLOOKUP($F29,Assumptions!$E$152:$BC$157,COLUMN()-COLUMN($BC$4),FALSE)</f>
        <v>1</v>
      </c>
      <c r="CH29" s="40">
        <f>VLOOKUP($F29,Assumptions!$E$152:$BC$157,COLUMN()-COLUMN($BC$4),FALSE)</f>
        <v>1</v>
      </c>
      <c r="CI29" s="40">
        <f>VLOOKUP($F29,Assumptions!$E$152:$BC$157,COLUMN()-COLUMN($BC$4),FALSE)</f>
        <v>1</v>
      </c>
      <c r="CJ29" s="40">
        <f>VLOOKUP($F29,Assumptions!$E$152:$BC$157,COLUMN()-COLUMN($BC$4),FALSE)</f>
        <v>1</v>
      </c>
      <c r="CK29" s="40">
        <f>VLOOKUP($F29,Assumptions!$E$152:$BC$157,COLUMN()-COLUMN($BC$4),FALSE)</f>
        <v>1</v>
      </c>
      <c r="CL29" s="40">
        <f>VLOOKUP($F29,Assumptions!$E$152:$BC$157,COLUMN()-COLUMN($BC$4),FALSE)</f>
        <v>1</v>
      </c>
      <c r="CM29" s="40">
        <f>VLOOKUP($F29,Assumptions!$E$152:$BC$157,COLUMN()-COLUMN($BC$4),FALSE)</f>
        <v>1</v>
      </c>
      <c r="CN29" s="40">
        <f>VLOOKUP($F29,Assumptions!$E$152:$BC$157,COLUMN()-COLUMN($BC$4),FALSE)</f>
        <v>1</v>
      </c>
      <c r="CO29" s="40">
        <f>VLOOKUP($F29,Assumptions!$E$152:$BC$157,COLUMN()-COLUMN($BC$4),FALSE)</f>
        <v>1</v>
      </c>
      <c r="CP29" s="40">
        <f>VLOOKUP($F29,Assumptions!$E$152:$BC$157,COLUMN()-COLUMN($BC$4),FALSE)</f>
        <v>1</v>
      </c>
      <c r="CQ29" s="40">
        <f>VLOOKUP($F29,Assumptions!$E$152:$BC$157,COLUMN()-COLUMN($BC$4),FALSE)</f>
        <v>1</v>
      </c>
      <c r="CR29" s="40">
        <f>VLOOKUP($F29,Assumptions!$E$152:$BC$157,COLUMN()-COLUMN($BC$4),FALSE)</f>
        <v>1</v>
      </c>
      <c r="CS29" s="40">
        <f>VLOOKUP($F29,Assumptions!$E$152:$BC$157,COLUMN()-COLUMN($BC$4),FALSE)</f>
        <v>1</v>
      </c>
      <c r="CT29" s="40">
        <f>VLOOKUP($F29,Assumptions!$E$152:$BC$157,COLUMN()-COLUMN($BC$4),FALSE)</f>
        <v>1</v>
      </c>
      <c r="CU29" s="40">
        <f>VLOOKUP($F29,Assumptions!$E$152:$BC$157,COLUMN()-COLUMN($BC$4),FALSE)</f>
        <v>1</v>
      </c>
      <c r="CV29" s="40">
        <f>VLOOKUP($F29,Assumptions!$E$152:$BC$157,COLUMN()-COLUMN($BC$4),FALSE)</f>
        <v>1</v>
      </c>
      <c r="CW29" s="40">
        <f>VLOOKUP($F29,Assumptions!$E$152:$BC$157,COLUMN()-COLUMN($BC$4),FALSE)</f>
        <v>1</v>
      </c>
      <c r="CX29" s="40">
        <f>VLOOKUP($F29,Assumptions!$E$152:$BC$157,COLUMN()-COLUMN($BC$4),FALSE)</f>
        <v>1</v>
      </c>
      <c r="CY29" s="39"/>
      <c r="DA29" t="s">
        <v>164</v>
      </c>
      <c r="DB29" t="str">
        <f>DA3</f>
        <v>TTF</v>
      </c>
      <c r="DD29" t="s">
        <v>85</v>
      </c>
      <c r="EV29" s="39"/>
      <c r="EW29" s="39" t="str">
        <f t="shared" si="48"/>
        <v>\I:</v>
      </c>
      <c r="EX29" s="39" t="str">
        <f t="shared" si="68"/>
        <v/>
      </c>
      <c r="EY29" s="39" t="s">
        <v>133</v>
      </c>
      <c r="EZ29" s="39" t="s">
        <v>85</v>
      </c>
      <c r="FA29" s="39" t="s">
        <v>440</v>
      </c>
    </row>
    <row r="30" spans="1:157">
      <c r="C30" s="39" t="str">
        <f t="shared" si="54"/>
        <v/>
      </c>
      <c r="D30" s="39" t="s">
        <v>66</v>
      </c>
      <c r="E30" s="39"/>
      <c r="F30" s="39" t="s">
        <v>87</v>
      </c>
      <c r="G30" s="40">
        <f>SUMIFS(Assumptions!BD$105:BD$128,Assumptions!$BB$105:$BB$128,'non-road'!$F30,Assumptions!$BC$105:$BC$128,'non-road'!$D30)/SUMIF(Assumptions!$BB$105:$BB$128,'non-road'!$F30,Assumptions!BD$105:BD$128)</f>
        <v>0</v>
      </c>
      <c r="H30" s="40">
        <f>SUMIFS(Assumptions!BE$105:BE$128,Assumptions!$BB$105:$BB$128,'non-road'!$F30,Assumptions!$BC$105:$BC$128,'non-road'!$D30)/SUMIF(Assumptions!$BB$105:$BB$128,'non-road'!$F30,Assumptions!BE$105:BE$128)</f>
        <v>0.120095110690514</v>
      </c>
      <c r="I30" s="40">
        <f>SUMIFS(Assumptions!BF$105:BF$128,Assumptions!$BB$105:$BB$128,'non-road'!$F30,Assumptions!$BC$105:$BC$128,'non-road'!$D30)/SUMIF(Assumptions!$BB$105:$BB$128,'non-road'!$F30,Assumptions!BF$105:BF$128)</f>
        <v>0.38518333842812</v>
      </c>
      <c r="J30" s="40">
        <f>SUMIFS(Assumptions!BG$105:BG$128,Assumptions!$BB$105:$BB$128,'non-road'!$F30,Assumptions!$BC$105:$BC$128,'non-road'!$D30)/SUMIF(Assumptions!$BB$105:$BB$128,'non-road'!$F30,Assumptions!BG$105:BG$128)</f>
        <v>0.0866318779992346</v>
      </c>
      <c r="K30" s="40">
        <f>SUMIFS(Assumptions!BH$105:BH$128,Assumptions!$BB$105:$BB$128,'non-road'!$F30,Assumptions!$BC$105:$BC$128,'non-road'!$D30)/SUMIF(Assumptions!$BB$105:$BB$128,'non-road'!$F30,Assumptions!BH$105:BH$128)</f>
        <v>0.00734213211018018</v>
      </c>
      <c r="L30" s="40">
        <f>SUMIFS(Assumptions!BI$105:BI$128,Assumptions!$BB$105:$BB$128,'non-road'!$F30,Assumptions!$BC$105:$BC$128,'non-road'!$D30)/SUMIF(Assumptions!$BB$105:$BB$128,'non-road'!$F30,Assumptions!BI$105:BI$128)</f>
        <v>0.000102815489095147</v>
      </c>
      <c r="M30" s="40">
        <f>SUMIFS(Assumptions!BJ$105:BJ$128,Assumptions!$BB$105:$BB$128,'non-road'!$F30,Assumptions!$BC$105:$BC$128,'non-road'!$D30)/SUMIF(Assumptions!$BB$105:$BB$128,'non-road'!$F30,Assumptions!BJ$105:BJ$128)</f>
        <v>0</v>
      </c>
      <c r="N30" s="40">
        <f>SUMIFS(Assumptions!BK$105:BK$128,Assumptions!$BB$105:$BB$128,'non-road'!$F30,Assumptions!$BC$105:$BC$128,'non-road'!$D30)/SUMIF(Assumptions!$BB$105:$BB$128,'non-road'!$F30,Assumptions!BK$105:BK$128)</f>
        <v>0</v>
      </c>
      <c r="O30" s="40">
        <f>SUMIFS(Assumptions!BL$105:BL$128,Assumptions!$BB$105:$BB$128,'non-road'!$F30,Assumptions!$BC$105:$BC$128,'non-road'!$D30)/SUMIF(Assumptions!$BB$105:$BB$128,'non-road'!$F30,Assumptions!BL$105:BL$128)</f>
        <v>0</v>
      </c>
      <c r="P30" s="40">
        <f>SUMIFS(Assumptions!BM$105:BM$128,Assumptions!$BB$105:$BB$128,'non-road'!$F30,Assumptions!$BC$105:$BC$128,'non-road'!$D30)/SUMIF(Assumptions!$BB$105:$BB$128,'non-road'!$F30,Assumptions!BM$105:BM$128)</f>
        <v>0</v>
      </c>
      <c r="Q30" s="40">
        <f>SUMIFS(Assumptions!BN$105:BN$128,Assumptions!$BB$105:$BB$128,'non-road'!$F30,Assumptions!$BC$105:$BC$128,'non-road'!$D30)/SUMIF(Assumptions!$BB$105:$BB$128,'non-road'!$F30,Assumptions!BN$105:BN$128)</f>
        <v>0.62153584759228</v>
      </c>
      <c r="R30" s="40">
        <f>SUMIFS(Assumptions!BO$105:BO$128,Assumptions!$BB$105:$BB$128,'non-road'!$F30,Assumptions!$BC$105:$BC$128,'non-road'!$D30)/SUMIF(Assumptions!$BB$105:$BB$128,'non-road'!$F30,Assumptions!BO$105:BO$128)</f>
        <v>0</v>
      </c>
      <c r="S30" s="40">
        <f>SUMIFS(Assumptions!BP$105:BP$128,Assumptions!$BB$105:$BB$128,'non-road'!$F30,Assumptions!$BC$105:$BC$128,'non-road'!$D30)/SUMIF(Assumptions!$BB$105:$BB$128,'non-road'!$F30,Assumptions!BP$105:BP$128)</f>
        <v>0.000103175965049843</v>
      </c>
      <c r="T30" s="40">
        <f>SUMIFS(Assumptions!BQ$105:BQ$128,Assumptions!$BB$105:$BB$128,'non-road'!$F30,Assumptions!$BC$105:$BC$128,'non-road'!$D30)/SUMIF(Assumptions!$BB$105:$BB$128,'non-road'!$F30,Assumptions!BQ$105:BQ$128)</f>
        <v>0</v>
      </c>
      <c r="U30" s="40">
        <f>SUMIFS(Assumptions!BR$105:BR$128,Assumptions!$BB$105:$BB$128,'non-road'!$F30,Assumptions!$BC$105:$BC$128,'non-road'!$D30)/SUMIF(Assumptions!$BB$105:$BB$128,'non-road'!$F30,Assumptions!BR$105:BR$128)</f>
        <v>0</v>
      </c>
      <c r="V30" s="40">
        <f>SUMIFS(Assumptions!BS$105:BS$128,Assumptions!$BB$105:$BB$128,'non-road'!$F30,Assumptions!$BC$105:$BC$128,'non-road'!$D30)/SUMIF(Assumptions!$BB$105:$BB$128,'non-road'!$F30,Assumptions!BS$105:BS$128)</f>
        <v>0</v>
      </c>
      <c r="W30" s="40">
        <f>SUMIFS(Assumptions!BT$105:BT$128,Assumptions!$BB$105:$BB$128,'non-road'!$F30,Assumptions!$BC$105:$BC$128,'non-road'!$D30)/SUMIF(Assumptions!$BB$105:$BB$128,'non-road'!$F30,Assumptions!BT$105:BT$128)</f>
        <v>0</v>
      </c>
      <c r="X30" s="40">
        <f>SUMIFS(Assumptions!BU$105:BU$128,Assumptions!$BB$105:$BB$128,'non-road'!$F30,Assumptions!$BC$105:$BC$128,'non-road'!$D30)/SUMIF(Assumptions!$BB$105:$BB$128,'non-road'!$F30,Assumptions!BU$105:BU$128)</f>
        <v>0.000673375240127999</v>
      </c>
      <c r="Y30" s="40">
        <f>SUMIFS(Assumptions!BV$105:BV$128,Assumptions!$BB$105:$BB$128,'non-road'!$F30,Assumptions!$BC$105:$BC$128,'non-road'!$D30)/SUMIF(Assumptions!$BB$105:$BB$128,'non-road'!$F30,Assumptions!BV$105:BV$128)</f>
        <v>0</v>
      </c>
      <c r="Z30" s="40">
        <f>SUMIFS(Assumptions!BW$105:BW$128,Assumptions!$BB$105:$BB$128,'non-road'!$F30,Assumptions!$BC$105:$BC$128,'non-road'!$D30)/SUMIF(Assumptions!$BB$105:$BB$128,'non-road'!$F30,Assumptions!BW$105:BW$128)</f>
        <v>0.00646884614529019</v>
      </c>
      <c r="AA30" s="40" t="e">
        <f>SUMIFS(Assumptions!BX$105:BX$128,Assumptions!$BB$105:$BB$128,'non-road'!$F30,Assumptions!$BC$105:$BC$128,'non-road'!$D30)/SUMIF(Assumptions!$BB$105:$BB$128,'non-road'!$F30,Assumptions!BX$105:BX$128)</f>
        <v>#DIV/0!</v>
      </c>
      <c r="AB30" s="40">
        <f>SUMIFS(Assumptions!BY$105:BY$128,Assumptions!$BB$105:$BB$128,'non-road'!$F30,Assumptions!$BC$105:$BC$128,'non-road'!$D30)/SUMIF(Assumptions!$BB$105:$BB$128,'non-road'!$F30,Assumptions!BY$105:BY$128)</f>
        <v>0.444733590978057</v>
      </c>
      <c r="AC30" s="40">
        <f>SUMIFS(Assumptions!BZ$105:BZ$128,Assumptions!$BB$105:$BB$128,'non-road'!$F30,Assumptions!$BC$105:$BC$128,'non-road'!$D30)/SUMIF(Assumptions!$BB$105:$BB$128,'non-road'!$F30,Assumptions!BZ$105:BZ$128)</f>
        <v>0.0627868776960747</v>
      </c>
      <c r="AD30" s="40">
        <f>SUMIFS(Assumptions!CA$105:CA$128,Assumptions!$BB$105:$BB$128,'non-road'!$F30,Assumptions!$BC$105:$BC$128,'non-road'!$D30)/SUMIF(Assumptions!$BB$105:$BB$128,'non-road'!$F30,Assumptions!CA$105:CA$128)</f>
        <v>0</v>
      </c>
      <c r="AE30" s="40">
        <f>SUMIFS(Assumptions!CB$105:CB$128,Assumptions!$BB$105:$BB$128,'non-road'!$F30,Assumptions!$BC$105:$BC$128,'non-road'!$D30)/SUMIF(Assumptions!$BB$105:$BB$128,'non-road'!$F30,Assumptions!CB$105:CB$128)</f>
        <v>0.0323863739078748</v>
      </c>
      <c r="AF30" s="40">
        <f>SUMIFS(Assumptions!CC$105:CC$128,Assumptions!$BB$105:$BB$128,'non-road'!$F30,Assumptions!$BC$105:$BC$128,'non-road'!$D30)/SUMIF(Assumptions!$BB$105:$BB$128,'non-road'!$F30,Assumptions!CC$105:CC$128)</f>
        <v>0.0228646537086173</v>
      </c>
      <c r="AG30" s="40" t="e">
        <f>SUMIFS(Assumptions!CD$105:CD$128,Assumptions!$BB$105:$BB$128,'non-road'!$F30,Assumptions!$BC$105:$BC$128,'non-road'!$D30)/SUMIF(Assumptions!$BB$105:$BB$128,'non-road'!$F30,Assumptions!CD$105:CD$128)</f>
        <v>#DIV/0!</v>
      </c>
      <c r="AH30" s="40">
        <f>SUMIFS(Assumptions!CE$105:CE$128,Assumptions!$BB$105:$BB$128,'non-road'!$F30,Assumptions!$BC$105:$BC$128,'non-road'!$D30)/SUMIF(Assumptions!$BB$105:$BB$128,'non-road'!$F30,Assumptions!CE$105:CE$128)</f>
        <v>0.00345807290167575</v>
      </c>
      <c r="AI30" s="40">
        <f>SUMIFS(Assumptions!CF$105:CF$128,Assumptions!$BB$105:$BB$128,'non-road'!$F30,Assumptions!$BC$105:$BC$128,'non-road'!$D30)/SUMIF(Assumptions!$BB$105:$BB$128,'non-road'!$F30,Assumptions!CF$105:CF$128)</f>
        <v>0</v>
      </c>
      <c r="AJ30" s="40">
        <f>SUMIFS(Assumptions!CG$105:CG$128,Assumptions!$BB$105:$BB$128,'non-road'!$F30,Assumptions!$BC$105:$BC$128,'non-road'!$D30)/SUMIF(Assumptions!$BB$105:$BB$128,'non-road'!$F30,Assumptions!CG$105:CG$128)</f>
        <v>0.0829337931799934</v>
      </c>
      <c r="AK30" s="40">
        <f>SUMIFS(Assumptions!CH$105:CH$128,Assumptions!$BB$105:$BB$128,'non-road'!$F30,Assumptions!$BC$105:$BC$128,'non-road'!$D30)/SUMIF(Assumptions!$BB$105:$BB$128,'non-road'!$F30,Assumptions!CH$105:CH$128)</f>
        <v>0.338804255261628</v>
      </c>
      <c r="AL30" s="40">
        <f>SUMIFS(Assumptions!CI$105:CI$128,Assumptions!$BB$105:$BB$128,'non-road'!$F30,Assumptions!$BC$105:$BC$128,'non-road'!$D30)/SUMIF(Assumptions!$BB$105:$BB$128,'non-road'!$F30,Assumptions!CI$105:CI$128)</f>
        <v>0</v>
      </c>
      <c r="AM30" s="40">
        <f>SUMIFS(Assumptions!CJ$105:CJ$128,Assumptions!$BB$105:$BB$128,'non-road'!$F30,Assumptions!$BC$105:$BC$128,'non-road'!$D30)/SUMIF(Assumptions!$BB$105:$BB$128,'non-road'!$F30,Assumptions!CJ$105:CJ$128)</f>
        <v>0</v>
      </c>
      <c r="AN30" s="40">
        <f>SUMIFS(Assumptions!CK$105:CK$128,Assumptions!$BB$105:$BB$128,'non-road'!$F30,Assumptions!$BC$105:$BC$128,'non-road'!$D30)/SUMIF(Assumptions!$BB$105:$BB$128,'non-road'!$F30,Assumptions!CK$105:CK$128)</f>
        <v>0</v>
      </c>
      <c r="AO30" s="40">
        <f>SUMIFS(Assumptions!CL$105:CL$128,Assumptions!$BB$105:$BB$128,'non-road'!$F30,Assumptions!$BC$105:$BC$128,'non-road'!$D30)/SUMIF(Assumptions!$BB$105:$BB$128,'non-road'!$F30,Assumptions!CL$105:CL$128)</f>
        <v>0.164238584104965</v>
      </c>
      <c r="AP30" s="40" t="e">
        <f>SUMIFS(Assumptions!CM$105:CM$128,Assumptions!$BB$105:$BB$128,'non-road'!$F30,Assumptions!$BC$105:$BC$128,'non-road'!$D30)/SUMIF(Assumptions!$BB$105:$BB$128,'non-road'!$F30,Assumptions!CM$105:CM$128)</f>
        <v>#DIV/0!</v>
      </c>
      <c r="AQ30" s="40" t="e">
        <f>SUMIFS(Assumptions!CN$105:CN$128,Assumptions!$BB$105:$BB$128,'non-road'!$F30,Assumptions!$BC$105:$BC$128,'non-road'!$D30)/SUMIF(Assumptions!$BB$105:$BB$128,'non-road'!$F30,Assumptions!CN$105:CN$128)</f>
        <v>#DIV/0!</v>
      </c>
      <c r="AR30" s="40" t="e">
        <f>SUMIFS(Assumptions!CO$105:CO$128,Assumptions!$BB$105:$BB$128,'non-road'!$F30,Assumptions!$BC$105:$BC$128,'non-road'!$D30)/SUMIF(Assumptions!$BB$105:$BB$128,'non-road'!$F30,Assumptions!CO$105:CO$128)</f>
        <v>#DIV/0!</v>
      </c>
      <c r="AS30" s="40" t="e">
        <f>SUMIFS(Assumptions!CP$105:CP$128,Assumptions!$BB$105:$BB$128,'non-road'!$F30,Assumptions!$BC$105:$BC$128,'non-road'!$D30)/SUMIF(Assumptions!$BB$105:$BB$128,'non-road'!$F30,Assumptions!CP$105:CP$128)</f>
        <v>#DIV/0!</v>
      </c>
      <c r="AT30" s="40" t="e">
        <f>SUMIFS(Assumptions!CQ$105:CQ$128,Assumptions!$BB$105:$BB$128,'non-road'!$F30,Assumptions!$BC$105:$BC$128,'non-road'!$D30)/SUMIF(Assumptions!$BB$105:$BB$128,'non-road'!$F30,Assumptions!CQ$105:CQ$128)</f>
        <v>#DIV/0!</v>
      </c>
      <c r="AU30" s="40" t="e">
        <f>SUMIFS(Assumptions!CR$105:CR$128,Assumptions!$BB$105:$BB$128,'non-road'!$F30,Assumptions!$BC$105:$BC$128,'non-road'!$D30)/SUMIF(Assumptions!$BB$105:$BB$128,'non-road'!$F30,Assumptions!CR$105:CR$128)</f>
        <v>#DIV/0!</v>
      </c>
      <c r="AV30" s="40" t="e">
        <f>SUMIFS(Assumptions!CS$105:CS$128,Assumptions!$BB$105:$BB$128,'non-road'!$F30,Assumptions!$BC$105:$BC$128,'non-road'!$D30)/SUMIF(Assumptions!$BB$105:$BB$128,'non-road'!$F30,Assumptions!CS$105:CS$128)</f>
        <v>#DIV/0!</v>
      </c>
      <c r="AW30" s="40" t="e">
        <f>SUMIFS(Assumptions!CT$105:CT$128,Assumptions!$BB$105:$BB$128,'non-road'!$F30,Assumptions!$BC$105:$BC$128,'non-road'!$D30)/SUMIF(Assumptions!$BB$105:$BB$128,'non-road'!$F30,Assumptions!CT$105:CT$128)</f>
        <v>#DIV/0!</v>
      </c>
      <c r="AX30" s="40" t="e">
        <f>SUMIFS(Assumptions!CU$105:CU$128,Assumptions!$BB$105:$BB$128,'non-road'!$F30,Assumptions!$BC$105:$BC$128,'non-road'!$D30)/SUMIF(Assumptions!$BB$105:$BB$128,'non-road'!$F30,Assumptions!CU$105:CU$128)</f>
        <v>#DIV/0!</v>
      </c>
      <c r="AY30" s="40" t="e">
        <f>SUMIFS(Assumptions!CV$105:CV$128,Assumptions!$BB$105:$BB$128,'non-road'!$F30,Assumptions!$BC$105:$BC$128,'non-road'!$D30)/SUMIF(Assumptions!$BB$105:$BB$128,'non-road'!$F30,Assumptions!CV$105:CV$128)</f>
        <v>#DIV/0!</v>
      </c>
      <c r="AZ30" s="40" t="e">
        <f>SUMIFS(Assumptions!CW$105:CW$128,Assumptions!$BB$105:$BB$128,'non-road'!$F30,Assumptions!$BC$105:$BC$128,'non-road'!$D30)/SUMIF(Assumptions!$BB$105:$BB$128,'non-road'!$F30,Assumptions!CW$105:CW$128)</f>
        <v>#DIV/0!</v>
      </c>
      <c r="BD30" s="39" t="str">
        <f t="shared" si="55"/>
        <v>\I:</v>
      </c>
      <c r="BE30" s="40">
        <f>VLOOKUP($F30,Assumptions!$E$152:$BC$157,COLUMN()-COLUMN($BC$4),FALSE)</f>
        <v>1</v>
      </c>
      <c r="BF30" s="40">
        <f>VLOOKUP($F30,Assumptions!$E$152:$BC$157,COLUMN()-COLUMN($BC$4),FALSE)</f>
        <v>1</v>
      </c>
      <c r="BG30" s="40">
        <f>VLOOKUP($F30,Assumptions!$E$152:$BC$157,COLUMN()-COLUMN($BC$4),FALSE)</f>
        <v>1</v>
      </c>
      <c r="BH30" s="40">
        <f>VLOOKUP($F30,Assumptions!$E$152:$BC$157,COLUMN()-COLUMN($BC$4),FALSE)</f>
        <v>1</v>
      </c>
      <c r="BI30" s="40">
        <f>VLOOKUP($F30,Assumptions!$E$152:$BC$157,COLUMN()-COLUMN($BC$4),FALSE)</f>
        <v>1</v>
      </c>
      <c r="BJ30" s="40">
        <f>VLOOKUP($F30,Assumptions!$E$152:$BC$157,COLUMN()-COLUMN($BC$4),FALSE)</f>
        <v>1</v>
      </c>
      <c r="BK30" s="40">
        <f>VLOOKUP($F30,Assumptions!$E$152:$BC$157,COLUMN()-COLUMN($BC$4),FALSE)</f>
        <v>1</v>
      </c>
      <c r="BL30" s="40">
        <f>VLOOKUP($F30,Assumptions!$E$152:$BC$157,COLUMN()-COLUMN($BC$4),FALSE)</f>
        <v>1</v>
      </c>
      <c r="BM30" s="40">
        <f>VLOOKUP($F30,Assumptions!$E$152:$BC$157,COLUMN()-COLUMN($BC$4),FALSE)</f>
        <v>1</v>
      </c>
      <c r="BN30" s="40">
        <f>VLOOKUP($F30,Assumptions!$E$152:$BC$157,COLUMN()-COLUMN($BC$4),FALSE)</f>
        <v>1</v>
      </c>
      <c r="BO30" s="40">
        <f>VLOOKUP($F30,Assumptions!$E$152:$BC$157,COLUMN()-COLUMN($BC$4),FALSE)</f>
        <v>1</v>
      </c>
      <c r="BP30" s="40">
        <f>VLOOKUP($F30,Assumptions!$E$152:$BC$157,COLUMN()-COLUMN($BC$4),FALSE)</f>
        <v>1</v>
      </c>
      <c r="BQ30" s="40">
        <f>VLOOKUP($F30,Assumptions!$E$152:$BC$157,COLUMN()-COLUMN($BC$4),FALSE)</f>
        <v>1</v>
      </c>
      <c r="BR30" s="40">
        <f>VLOOKUP($F30,Assumptions!$E$152:$BC$157,COLUMN()-COLUMN($BC$4),FALSE)</f>
        <v>1</v>
      </c>
      <c r="BS30" s="40">
        <f>VLOOKUP($F30,Assumptions!$E$152:$BC$157,COLUMN()-COLUMN($BC$4),FALSE)</f>
        <v>1</v>
      </c>
      <c r="BT30" s="40">
        <f>VLOOKUP($F30,Assumptions!$E$152:$BC$157,COLUMN()-COLUMN($BC$4),FALSE)</f>
        <v>1</v>
      </c>
      <c r="BU30" s="40">
        <f>VLOOKUP($F30,Assumptions!$E$152:$BC$157,COLUMN()-COLUMN($BC$4),FALSE)</f>
        <v>1</v>
      </c>
      <c r="BV30" s="40">
        <f>VLOOKUP($F30,Assumptions!$E$152:$BC$157,COLUMN()-COLUMN($BC$4),FALSE)</f>
        <v>1</v>
      </c>
      <c r="BW30" s="40">
        <f>VLOOKUP($F30,Assumptions!$E$152:$BC$157,COLUMN()-COLUMN($BC$4),FALSE)</f>
        <v>1</v>
      </c>
      <c r="BX30" s="40">
        <f>VLOOKUP($F30,Assumptions!$E$152:$BC$157,COLUMN()-COLUMN($BC$4),FALSE)</f>
        <v>1</v>
      </c>
      <c r="BY30" s="40">
        <f>VLOOKUP($F30,Assumptions!$E$152:$BC$157,COLUMN()-COLUMN($BC$4),FALSE)</f>
        <v>1</v>
      </c>
      <c r="BZ30" s="40">
        <f>VLOOKUP($F30,Assumptions!$E$152:$BC$157,COLUMN()-COLUMN($BC$4),FALSE)</f>
        <v>1</v>
      </c>
      <c r="CA30" s="40">
        <f>VLOOKUP($F30,Assumptions!$E$152:$BC$157,COLUMN()-COLUMN($BC$4),FALSE)</f>
        <v>1</v>
      </c>
      <c r="CB30" s="40">
        <f>VLOOKUP($F30,Assumptions!$E$152:$BC$157,COLUMN()-COLUMN($BC$4),FALSE)</f>
        <v>1</v>
      </c>
      <c r="CC30" s="40">
        <f>VLOOKUP($F30,Assumptions!$E$152:$BC$157,COLUMN()-COLUMN($BC$4),FALSE)</f>
        <v>1</v>
      </c>
      <c r="CD30" s="40">
        <f>VLOOKUP($F30,Assumptions!$E$152:$BC$157,COLUMN()-COLUMN($BC$4),FALSE)</f>
        <v>1</v>
      </c>
      <c r="CE30" s="40">
        <f>VLOOKUP($F30,Assumptions!$E$152:$BC$157,COLUMN()-COLUMN($BC$4),FALSE)</f>
        <v>1</v>
      </c>
      <c r="CF30" s="40">
        <f>VLOOKUP($F30,Assumptions!$E$152:$BC$157,COLUMN()-COLUMN($BC$4),FALSE)</f>
        <v>1</v>
      </c>
      <c r="CG30" s="40">
        <f>VLOOKUP($F30,Assumptions!$E$152:$BC$157,COLUMN()-COLUMN($BC$4),FALSE)</f>
        <v>1</v>
      </c>
      <c r="CH30" s="40">
        <f>VLOOKUP($F30,Assumptions!$E$152:$BC$157,COLUMN()-COLUMN($BC$4),FALSE)</f>
        <v>1</v>
      </c>
      <c r="CI30" s="40">
        <f>VLOOKUP($F30,Assumptions!$E$152:$BC$157,COLUMN()-COLUMN($BC$4),FALSE)</f>
        <v>1</v>
      </c>
      <c r="CJ30" s="40">
        <f>VLOOKUP($F30,Assumptions!$E$152:$BC$157,COLUMN()-COLUMN($BC$4),FALSE)</f>
        <v>1</v>
      </c>
      <c r="CK30" s="40">
        <f>VLOOKUP($F30,Assumptions!$E$152:$BC$157,COLUMN()-COLUMN($BC$4),FALSE)</f>
        <v>1</v>
      </c>
      <c r="CL30" s="40">
        <f>VLOOKUP($F30,Assumptions!$E$152:$BC$157,COLUMN()-COLUMN($BC$4),FALSE)</f>
        <v>1</v>
      </c>
      <c r="CM30" s="40">
        <f>VLOOKUP($F30,Assumptions!$E$152:$BC$157,COLUMN()-COLUMN($BC$4),FALSE)</f>
        <v>1</v>
      </c>
      <c r="CN30" s="40">
        <f>VLOOKUP($F30,Assumptions!$E$152:$BC$157,COLUMN()-COLUMN($BC$4),FALSE)</f>
        <v>1</v>
      </c>
      <c r="CO30" s="40">
        <f>VLOOKUP($F30,Assumptions!$E$152:$BC$157,COLUMN()-COLUMN($BC$4),FALSE)</f>
        <v>1</v>
      </c>
      <c r="CP30" s="40">
        <f>VLOOKUP($F30,Assumptions!$E$152:$BC$157,COLUMN()-COLUMN($BC$4),FALSE)</f>
        <v>1</v>
      </c>
      <c r="CQ30" s="40">
        <f>VLOOKUP($F30,Assumptions!$E$152:$BC$157,COLUMN()-COLUMN($BC$4),FALSE)</f>
        <v>1</v>
      </c>
      <c r="CR30" s="40">
        <f>VLOOKUP($F30,Assumptions!$E$152:$BC$157,COLUMN()-COLUMN($BC$4),FALSE)</f>
        <v>1</v>
      </c>
      <c r="CS30" s="40">
        <f>VLOOKUP($F30,Assumptions!$E$152:$BC$157,COLUMN()-COLUMN($BC$4),FALSE)</f>
        <v>1</v>
      </c>
      <c r="CT30" s="40">
        <f>VLOOKUP($F30,Assumptions!$E$152:$BC$157,COLUMN()-COLUMN($BC$4),FALSE)</f>
        <v>1</v>
      </c>
      <c r="CU30" s="40">
        <f>VLOOKUP($F30,Assumptions!$E$152:$BC$157,COLUMN()-COLUMN($BC$4),FALSE)</f>
        <v>1</v>
      </c>
      <c r="CV30" s="40">
        <f>VLOOKUP($F30,Assumptions!$E$152:$BC$157,COLUMN()-COLUMN($BC$4),FALSE)</f>
        <v>1</v>
      </c>
      <c r="CW30" s="40">
        <f>VLOOKUP($F30,Assumptions!$E$152:$BC$157,COLUMN()-COLUMN($BC$4),FALSE)</f>
        <v>1</v>
      </c>
      <c r="CX30" s="40">
        <f>VLOOKUP($F30,Assumptions!$E$152:$BC$157,COLUMN()-COLUMN($BC$4),FALSE)</f>
        <v>1</v>
      </c>
      <c r="CY30" s="39"/>
      <c r="DB30" t="str">
        <f t="shared" ref="DB30:DB34" si="69">DA4</f>
        <v>TTP</v>
      </c>
      <c r="DD30" t="s">
        <v>85</v>
      </c>
      <c r="EV30" s="39"/>
      <c r="EW30" s="39" t="str">
        <f t="shared" si="48"/>
        <v>\I:</v>
      </c>
      <c r="EX30" s="39" t="str">
        <f t="shared" si="68"/>
        <v/>
      </c>
      <c r="EY30" s="39" t="s">
        <v>133</v>
      </c>
      <c r="EZ30" s="39" t="s">
        <v>85</v>
      </c>
      <c r="FA30" s="39" t="s">
        <v>440</v>
      </c>
    </row>
    <row r="31" spans="1:157">
      <c r="C31" s="39" t="str">
        <f t="shared" si="54"/>
        <v/>
      </c>
      <c r="D31" s="39" t="s">
        <v>69</v>
      </c>
      <c r="E31" s="39"/>
      <c r="F31" s="39" t="s">
        <v>87</v>
      </c>
      <c r="G31" s="40">
        <f>SUMIFS(Assumptions!BD$105:BD$128,Assumptions!$BB$105:$BB$128,'non-road'!$F31,Assumptions!$BC$105:$BC$128,'non-road'!$D31)/SUMIF(Assumptions!$BB$105:$BB$128,'non-road'!$F31,Assumptions!BD$105:BD$128)</f>
        <v>0.812882517701501</v>
      </c>
      <c r="H31" s="40">
        <f>SUMIFS(Assumptions!BE$105:BE$128,Assumptions!$BB$105:$BB$128,'non-road'!$F31,Assumptions!$BC$105:$BC$128,'non-road'!$D31)/SUMIF(Assumptions!$BB$105:$BB$128,'non-road'!$F31,Assumptions!BE$105:BE$128)</f>
        <v>0.0111790789186945</v>
      </c>
      <c r="I31" s="40">
        <f>SUMIFS(Assumptions!BF$105:BF$128,Assumptions!$BB$105:$BB$128,'non-road'!$F31,Assumptions!$BC$105:$BC$128,'non-road'!$D31)/SUMIF(Assumptions!$BB$105:$BB$128,'non-road'!$F31,Assumptions!BF$105:BF$128)</f>
        <v>0.19695119003543</v>
      </c>
      <c r="J31" s="40">
        <f>SUMIFS(Assumptions!BG$105:BG$128,Assumptions!$BB$105:$BB$128,'non-road'!$F31,Assumptions!$BC$105:$BC$128,'non-road'!$D31)/SUMIF(Assumptions!$BB$105:$BB$128,'non-road'!$F31,Assumptions!BG$105:BG$128)</f>
        <v>0</v>
      </c>
      <c r="K31" s="40">
        <f>SUMIFS(Assumptions!BH$105:BH$128,Assumptions!$BB$105:$BB$128,'non-road'!$F31,Assumptions!$BC$105:$BC$128,'non-road'!$D31)/SUMIF(Assumptions!$BB$105:$BB$128,'non-road'!$F31,Assumptions!BH$105:BH$128)</f>
        <v>0</v>
      </c>
      <c r="L31" s="40">
        <f>SUMIFS(Assumptions!BI$105:BI$128,Assumptions!$BB$105:$BB$128,'non-road'!$F31,Assumptions!$BC$105:$BC$128,'non-road'!$D31)/SUMIF(Assumptions!$BB$105:$BB$128,'non-road'!$F31,Assumptions!BI$105:BI$128)</f>
        <v>0.00155925168042708</v>
      </c>
      <c r="M31" s="40">
        <f>SUMIFS(Assumptions!BJ$105:BJ$128,Assumptions!$BB$105:$BB$128,'non-road'!$F31,Assumptions!$BC$105:$BC$128,'non-road'!$D31)/SUMIF(Assumptions!$BB$105:$BB$128,'non-road'!$F31,Assumptions!BJ$105:BJ$128)</f>
        <v>0.754708089762272</v>
      </c>
      <c r="N31" s="40">
        <f>SUMIFS(Assumptions!BK$105:BK$128,Assumptions!$BB$105:$BB$128,'non-road'!$F31,Assumptions!$BC$105:$BC$128,'non-road'!$D31)/SUMIF(Assumptions!$BB$105:$BB$128,'non-road'!$F31,Assumptions!BK$105:BK$128)</f>
        <v>0.388318306224984</v>
      </c>
      <c r="O31" s="40">
        <f>SUMIFS(Assumptions!BL$105:BL$128,Assumptions!$BB$105:$BB$128,'non-road'!$F31,Assumptions!$BC$105:$BC$128,'non-road'!$D31)/SUMIF(Assumptions!$BB$105:$BB$128,'non-road'!$F31,Assumptions!BL$105:BL$128)</f>
        <v>0</v>
      </c>
      <c r="P31" s="40">
        <f>SUMIFS(Assumptions!BM$105:BM$128,Assumptions!$BB$105:$BB$128,'non-road'!$F31,Assumptions!$BC$105:$BC$128,'non-road'!$D31)/SUMIF(Assumptions!$BB$105:$BB$128,'non-road'!$F31,Assumptions!BM$105:BM$128)</f>
        <v>0</v>
      </c>
      <c r="Q31" s="40">
        <f>SUMIFS(Assumptions!BN$105:BN$128,Assumptions!$BB$105:$BB$128,'non-road'!$F31,Assumptions!$BC$105:$BC$128,'non-road'!$D31)/SUMIF(Assumptions!$BB$105:$BB$128,'non-road'!$F31,Assumptions!BN$105:BN$128)</f>
        <v>0.0224657681073984</v>
      </c>
      <c r="R31" s="40">
        <f>SUMIFS(Assumptions!BO$105:BO$128,Assumptions!$BB$105:$BB$128,'non-road'!$F31,Assumptions!$BC$105:$BC$128,'non-road'!$D31)/SUMIF(Assumptions!$BB$105:$BB$128,'non-road'!$F31,Assumptions!BO$105:BO$128)</f>
        <v>0</v>
      </c>
      <c r="S31" s="40">
        <f>SUMIFS(Assumptions!BP$105:BP$128,Assumptions!$BB$105:$BB$128,'non-road'!$F31,Assumptions!$BC$105:$BC$128,'non-road'!$D31)/SUMIF(Assumptions!$BB$105:$BB$128,'non-road'!$F31,Assumptions!BP$105:BP$128)</f>
        <v>0.53456449378396</v>
      </c>
      <c r="T31" s="40">
        <f>SUMIFS(Assumptions!BQ$105:BQ$128,Assumptions!$BB$105:$BB$128,'non-road'!$F31,Assumptions!$BC$105:$BC$128,'non-road'!$D31)/SUMIF(Assumptions!$BB$105:$BB$128,'non-road'!$F31,Assumptions!BQ$105:BQ$128)</f>
        <v>0</v>
      </c>
      <c r="U31" s="40">
        <f>SUMIFS(Assumptions!BR$105:BR$128,Assumptions!$BB$105:$BB$128,'non-road'!$F31,Assumptions!$BC$105:$BC$128,'non-road'!$D31)/SUMIF(Assumptions!$BB$105:$BB$128,'non-road'!$F31,Assumptions!BR$105:BR$128)</f>
        <v>0.275934976880136</v>
      </c>
      <c r="V31" s="40">
        <f>SUMIFS(Assumptions!BS$105:BS$128,Assumptions!$BB$105:$BB$128,'non-road'!$F31,Assumptions!$BC$105:$BC$128,'non-road'!$D31)/SUMIF(Assumptions!$BB$105:$BB$128,'non-road'!$F31,Assumptions!BS$105:BS$128)</f>
        <v>0.455045561528794</v>
      </c>
      <c r="W31" s="40">
        <f>SUMIFS(Assumptions!BT$105:BT$128,Assumptions!$BB$105:$BB$128,'non-road'!$F31,Assumptions!$BC$105:$BC$128,'non-road'!$D31)/SUMIF(Assumptions!$BB$105:$BB$128,'non-road'!$F31,Assumptions!BT$105:BT$128)</f>
        <v>0</v>
      </c>
      <c r="X31" s="40">
        <f>SUMIFS(Assumptions!BU$105:BU$128,Assumptions!$BB$105:$BB$128,'non-road'!$F31,Assumptions!$BC$105:$BC$128,'non-road'!$D31)/SUMIF(Assumptions!$BB$105:$BB$128,'non-road'!$F31,Assumptions!BU$105:BU$128)</f>
        <v>0.581584446129497</v>
      </c>
      <c r="Y31" s="40">
        <f>SUMIFS(Assumptions!BV$105:BV$128,Assumptions!$BB$105:$BB$128,'non-road'!$F31,Assumptions!$BC$105:$BC$128,'non-road'!$D31)/SUMIF(Assumptions!$BB$105:$BB$128,'non-road'!$F31,Assumptions!BV$105:BV$128)</f>
        <v>0.677511084798911</v>
      </c>
      <c r="Z31" s="40">
        <f>SUMIFS(Assumptions!BW$105:BW$128,Assumptions!$BB$105:$BB$128,'non-road'!$F31,Assumptions!$BC$105:$BC$128,'non-road'!$D31)/SUMIF(Assumptions!$BB$105:$BB$128,'non-road'!$F31,Assumptions!BW$105:BW$128)</f>
        <v>0.320030927692133</v>
      </c>
      <c r="AA31" s="40" t="e">
        <f>SUMIFS(Assumptions!BX$105:BX$128,Assumptions!$BB$105:$BB$128,'non-road'!$F31,Assumptions!$BC$105:$BC$128,'non-road'!$D31)/SUMIF(Assumptions!$BB$105:$BB$128,'non-road'!$F31,Assumptions!BX$105:BX$128)</f>
        <v>#DIV/0!</v>
      </c>
      <c r="AB31" s="40">
        <f>SUMIFS(Assumptions!BY$105:BY$128,Assumptions!$BB$105:$BB$128,'non-road'!$F31,Assumptions!$BC$105:$BC$128,'non-road'!$D31)/SUMIF(Assumptions!$BB$105:$BB$128,'non-road'!$F31,Assumptions!BY$105:BY$128)</f>
        <v>0.0863232324314077</v>
      </c>
      <c r="AC31" s="40">
        <f>SUMIFS(Assumptions!BZ$105:BZ$128,Assumptions!$BB$105:$BB$128,'non-road'!$F31,Assumptions!$BC$105:$BC$128,'non-road'!$D31)/SUMIF(Assumptions!$BB$105:$BB$128,'non-road'!$F31,Assumptions!BZ$105:BZ$128)</f>
        <v>0.0031466208067734</v>
      </c>
      <c r="AD31" s="40">
        <f>SUMIFS(Assumptions!CA$105:CA$128,Assumptions!$BB$105:$BB$128,'non-road'!$F31,Assumptions!$BC$105:$BC$128,'non-road'!$D31)/SUMIF(Assumptions!$BB$105:$BB$128,'non-road'!$F31,Assumptions!CA$105:CA$128)</f>
        <v>0</v>
      </c>
      <c r="AE31" s="40">
        <f>SUMIFS(Assumptions!CB$105:CB$128,Assumptions!$BB$105:$BB$128,'non-road'!$F31,Assumptions!$BC$105:$BC$128,'non-road'!$D31)/SUMIF(Assumptions!$BB$105:$BB$128,'non-road'!$F31,Assumptions!CB$105:CB$128)</f>
        <v>0.0887093989415674</v>
      </c>
      <c r="AF31" s="40">
        <f>SUMIFS(Assumptions!CC$105:CC$128,Assumptions!$BB$105:$BB$128,'non-road'!$F31,Assumptions!$BC$105:$BC$128,'non-road'!$D31)/SUMIF(Assumptions!$BB$105:$BB$128,'non-road'!$F31,Assumptions!CC$105:CC$128)</f>
        <v>0.307101353495631</v>
      </c>
      <c r="AG31" s="40" t="e">
        <f>SUMIFS(Assumptions!CD$105:CD$128,Assumptions!$BB$105:$BB$128,'non-road'!$F31,Assumptions!$BC$105:$BC$128,'non-road'!$D31)/SUMIF(Assumptions!$BB$105:$BB$128,'non-road'!$F31,Assumptions!CD$105:CD$128)</f>
        <v>#DIV/0!</v>
      </c>
      <c r="AH31" s="40">
        <f>SUMIFS(Assumptions!CE$105:CE$128,Assumptions!$BB$105:$BB$128,'non-road'!$F31,Assumptions!$BC$105:$BC$128,'non-road'!$D31)/SUMIF(Assumptions!$BB$105:$BB$128,'non-road'!$F31,Assumptions!CE$105:CE$128)</f>
        <v>0</v>
      </c>
      <c r="AI31" s="40">
        <f>SUMIFS(Assumptions!CF$105:CF$128,Assumptions!$BB$105:$BB$128,'non-road'!$F31,Assumptions!$BC$105:$BC$128,'non-road'!$D31)/SUMIF(Assumptions!$BB$105:$BB$128,'non-road'!$F31,Assumptions!CF$105:CF$128)</f>
        <v>0.554670578135176</v>
      </c>
      <c r="AJ31" s="40">
        <f>SUMIFS(Assumptions!CG$105:CG$128,Assumptions!$BB$105:$BB$128,'non-road'!$F31,Assumptions!$BC$105:$BC$128,'non-road'!$D31)/SUMIF(Assumptions!$BB$105:$BB$128,'non-road'!$F31,Assumptions!CG$105:CG$128)</f>
        <v>0.238399079899375</v>
      </c>
      <c r="AK31" s="40">
        <f>SUMIFS(Assumptions!CH$105:CH$128,Assumptions!$BB$105:$BB$128,'non-road'!$F31,Assumptions!$BC$105:$BC$128,'non-road'!$D31)/SUMIF(Assumptions!$BB$105:$BB$128,'non-road'!$F31,Assumptions!CH$105:CH$128)</f>
        <v>0</v>
      </c>
      <c r="AL31" s="40">
        <f>SUMIFS(Assumptions!CI$105:CI$128,Assumptions!$BB$105:$BB$128,'non-road'!$F31,Assumptions!$BC$105:$BC$128,'non-road'!$D31)/SUMIF(Assumptions!$BB$105:$BB$128,'non-road'!$F31,Assumptions!CI$105:CI$128)</f>
        <v>0.0862875903785765</v>
      </c>
      <c r="AM31" s="40">
        <f>SUMIFS(Assumptions!CJ$105:CJ$128,Assumptions!$BB$105:$BB$128,'non-road'!$F31,Assumptions!$BC$105:$BC$128,'non-road'!$D31)/SUMIF(Assumptions!$BB$105:$BB$128,'non-road'!$F31,Assumptions!CJ$105:CJ$128)</f>
        <v>0.00888677828921157</v>
      </c>
      <c r="AN31" s="40">
        <f>SUMIFS(Assumptions!CK$105:CK$128,Assumptions!$BB$105:$BB$128,'non-road'!$F31,Assumptions!$BC$105:$BC$128,'non-road'!$D31)/SUMIF(Assumptions!$BB$105:$BB$128,'non-road'!$F31,Assumptions!CK$105:CK$128)</f>
        <v>0</v>
      </c>
      <c r="AO31" s="40">
        <f>SUMIFS(Assumptions!CL$105:CL$128,Assumptions!$BB$105:$BB$128,'non-road'!$F31,Assumptions!$BC$105:$BC$128,'non-road'!$D31)/SUMIF(Assumptions!$BB$105:$BB$128,'non-road'!$F31,Assumptions!CL$105:CL$128)</f>
        <v>0</v>
      </c>
      <c r="AP31" s="40" t="e">
        <f>SUMIFS(Assumptions!CM$105:CM$128,Assumptions!$BB$105:$BB$128,'non-road'!$F31,Assumptions!$BC$105:$BC$128,'non-road'!$D31)/SUMIF(Assumptions!$BB$105:$BB$128,'non-road'!$F31,Assumptions!CM$105:CM$128)</f>
        <v>#DIV/0!</v>
      </c>
      <c r="AQ31" s="40" t="e">
        <f>SUMIFS(Assumptions!CN$105:CN$128,Assumptions!$BB$105:$BB$128,'non-road'!$F31,Assumptions!$BC$105:$BC$128,'non-road'!$D31)/SUMIF(Assumptions!$BB$105:$BB$128,'non-road'!$F31,Assumptions!CN$105:CN$128)</f>
        <v>#DIV/0!</v>
      </c>
      <c r="AR31" s="40" t="e">
        <f>SUMIFS(Assumptions!CO$105:CO$128,Assumptions!$BB$105:$BB$128,'non-road'!$F31,Assumptions!$BC$105:$BC$128,'non-road'!$D31)/SUMIF(Assumptions!$BB$105:$BB$128,'non-road'!$F31,Assumptions!CO$105:CO$128)</f>
        <v>#DIV/0!</v>
      </c>
      <c r="AS31" s="40" t="e">
        <f>SUMIFS(Assumptions!CP$105:CP$128,Assumptions!$BB$105:$BB$128,'non-road'!$F31,Assumptions!$BC$105:$BC$128,'non-road'!$D31)/SUMIF(Assumptions!$BB$105:$BB$128,'non-road'!$F31,Assumptions!CP$105:CP$128)</f>
        <v>#DIV/0!</v>
      </c>
      <c r="AT31" s="40" t="e">
        <f>SUMIFS(Assumptions!CQ$105:CQ$128,Assumptions!$BB$105:$BB$128,'non-road'!$F31,Assumptions!$BC$105:$BC$128,'non-road'!$D31)/SUMIF(Assumptions!$BB$105:$BB$128,'non-road'!$F31,Assumptions!CQ$105:CQ$128)</f>
        <v>#DIV/0!</v>
      </c>
      <c r="AU31" s="40" t="e">
        <f>SUMIFS(Assumptions!CR$105:CR$128,Assumptions!$BB$105:$BB$128,'non-road'!$F31,Assumptions!$BC$105:$BC$128,'non-road'!$D31)/SUMIF(Assumptions!$BB$105:$BB$128,'non-road'!$F31,Assumptions!CR$105:CR$128)</f>
        <v>#DIV/0!</v>
      </c>
      <c r="AV31" s="40" t="e">
        <f>SUMIFS(Assumptions!CS$105:CS$128,Assumptions!$BB$105:$BB$128,'non-road'!$F31,Assumptions!$BC$105:$BC$128,'non-road'!$D31)/SUMIF(Assumptions!$BB$105:$BB$128,'non-road'!$F31,Assumptions!CS$105:CS$128)</f>
        <v>#DIV/0!</v>
      </c>
      <c r="AW31" s="40" t="e">
        <f>SUMIFS(Assumptions!CT$105:CT$128,Assumptions!$BB$105:$BB$128,'non-road'!$F31,Assumptions!$BC$105:$BC$128,'non-road'!$D31)/SUMIF(Assumptions!$BB$105:$BB$128,'non-road'!$F31,Assumptions!CT$105:CT$128)</f>
        <v>#DIV/0!</v>
      </c>
      <c r="AX31" s="40" t="e">
        <f>SUMIFS(Assumptions!CU$105:CU$128,Assumptions!$BB$105:$BB$128,'non-road'!$F31,Assumptions!$BC$105:$BC$128,'non-road'!$D31)/SUMIF(Assumptions!$BB$105:$BB$128,'non-road'!$F31,Assumptions!CU$105:CU$128)</f>
        <v>#DIV/0!</v>
      </c>
      <c r="AY31" s="40" t="e">
        <f>SUMIFS(Assumptions!CV$105:CV$128,Assumptions!$BB$105:$BB$128,'non-road'!$F31,Assumptions!$BC$105:$BC$128,'non-road'!$D31)/SUMIF(Assumptions!$BB$105:$BB$128,'non-road'!$F31,Assumptions!CV$105:CV$128)</f>
        <v>#DIV/0!</v>
      </c>
      <c r="AZ31" s="40" t="e">
        <f>SUMIFS(Assumptions!CW$105:CW$128,Assumptions!$BB$105:$BB$128,'non-road'!$F31,Assumptions!$BC$105:$BC$128,'non-road'!$D31)/SUMIF(Assumptions!$BB$105:$BB$128,'non-road'!$F31,Assumptions!CW$105:CW$128)</f>
        <v>#DIV/0!</v>
      </c>
      <c r="BD31" s="39" t="str">
        <f t="shared" si="55"/>
        <v>\I:</v>
      </c>
      <c r="BE31" s="40">
        <f>VLOOKUP($F31,Assumptions!$E$152:$BC$157,COLUMN()-COLUMN($BC$4),FALSE)</f>
        <v>1</v>
      </c>
      <c r="BF31" s="40">
        <f>VLOOKUP($F31,Assumptions!$E$152:$BC$157,COLUMN()-COLUMN($BC$4),FALSE)</f>
        <v>1</v>
      </c>
      <c r="BG31" s="40">
        <f>VLOOKUP($F31,Assumptions!$E$152:$BC$157,COLUMN()-COLUMN($BC$4),FALSE)</f>
        <v>1</v>
      </c>
      <c r="BH31" s="40">
        <f>VLOOKUP($F31,Assumptions!$E$152:$BC$157,COLUMN()-COLUMN($BC$4),FALSE)</f>
        <v>1</v>
      </c>
      <c r="BI31" s="40">
        <f>VLOOKUP($F31,Assumptions!$E$152:$BC$157,COLUMN()-COLUMN($BC$4),FALSE)</f>
        <v>1</v>
      </c>
      <c r="BJ31" s="40">
        <f>VLOOKUP($F31,Assumptions!$E$152:$BC$157,COLUMN()-COLUMN($BC$4),FALSE)</f>
        <v>1</v>
      </c>
      <c r="BK31" s="40">
        <f>VLOOKUP($F31,Assumptions!$E$152:$BC$157,COLUMN()-COLUMN($BC$4),FALSE)</f>
        <v>1</v>
      </c>
      <c r="BL31" s="40">
        <f>VLOOKUP($F31,Assumptions!$E$152:$BC$157,COLUMN()-COLUMN($BC$4),FALSE)</f>
        <v>1</v>
      </c>
      <c r="BM31" s="40">
        <f>VLOOKUP($F31,Assumptions!$E$152:$BC$157,COLUMN()-COLUMN($BC$4),FALSE)</f>
        <v>1</v>
      </c>
      <c r="BN31" s="40">
        <f>VLOOKUP($F31,Assumptions!$E$152:$BC$157,COLUMN()-COLUMN($BC$4),FALSE)</f>
        <v>1</v>
      </c>
      <c r="BO31" s="40">
        <f>VLOOKUP($F31,Assumptions!$E$152:$BC$157,COLUMN()-COLUMN($BC$4),FALSE)</f>
        <v>1</v>
      </c>
      <c r="BP31" s="40">
        <f>VLOOKUP($F31,Assumptions!$E$152:$BC$157,COLUMN()-COLUMN($BC$4),FALSE)</f>
        <v>1</v>
      </c>
      <c r="BQ31" s="40">
        <f>VLOOKUP($F31,Assumptions!$E$152:$BC$157,COLUMN()-COLUMN($BC$4),FALSE)</f>
        <v>1</v>
      </c>
      <c r="BR31" s="40">
        <f>VLOOKUP($F31,Assumptions!$E$152:$BC$157,COLUMN()-COLUMN($BC$4),FALSE)</f>
        <v>1</v>
      </c>
      <c r="BS31" s="40">
        <f>VLOOKUP($F31,Assumptions!$E$152:$BC$157,COLUMN()-COLUMN($BC$4),FALSE)</f>
        <v>1</v>
      </c>
      <c r="BT31" s="40">
        <f>VLOOKUP($F31,Assumptions!$E$152:$BC$157,COLUMN()-COLUMN($BC$4),FALSE)</f>
        <v>1</v>
      </c>
      <c r="BU31" s="40">
        <f>VLOOKUP($F31,Assumptions!$E$152:$BC$157,COLUMN()-COLUMN($BC$4),FALSE)</f>
        <v>1</v>
      </c>
      <c r="BV31" s="40">
        <f>VLOOKUP($F31,Assumptions!$E$152:$BC$157,COLUMN()-COLUMN($BC$4),FALSE)</f>
        <v>1</v>
      </c>
      <c r="BW31" s="40">
        <f>VLOOKUP($F31,Assumptions!$E$152:$BC$157,COLUMN()-COLUMN($BC$4),FALSE)</f>
        <v>1</v>
      </c>
      <c r="BX31" s="40">
        <f>VLOOKUP($F31,Assumptions!$E$152:$BC$157,COLUMN()-COLUMN($BC$4),FALSE)</f>
        <v>1</v>
      </c>
      <c r="BY31" s="40">
        <f>VLOOKUP($F31,Assumptions!$E$152:$BC$157,COLUMN()-COLUMN($BC$4),FALSE)</f>
        <v>1</v>
      </c>
      <c r="BZ31" s="40">
        <f>VLOOKUP($F31,Assumptions!$E$152:$BC$157,COLUMN()-COLUMN($BC$4),FALSE)</f>
        <v>1</v>
      </c>
      <c r="CA31" s="40">
        <f>VLOOKUP($F31,Assumptions!$E$152:$BC$157,COLUMN()-COLUMN($BC$4),FALSE)</f>
        <v>1</v>
      </c>
      <c r="CB31" s="40">
        <f>VLOOKUP($F31,Assumptions!$E$152:$BC$157,COLUMN()-COLUMN($BC$4),FALSE)</f>
        <v>1</v>
      </c>
      <c r="CC31" s="40">
        <f>VLOOKUP($F31,Assumptions!$E$152:$BC$157,COLUMN()-COLUMN($BC$4),FALSE)</f>
        <v>1</v>
      </c>
      <c r="CD31" s="40">
        <f>VLOOKUP($F31,Assumptions!$E$152:$BC$157,COLUMN()-COLUMN($BC$4),FALSE)</f>
        <v>1</v>
      </c>
      <c r="CE31" s="40">
        <f>VLOOKUP($F31,Assumptions!$E$152:$BC$157,COLUMN()-COLUMN($BC$4),FALSE)</f>
        <v>1</v>
      </c>
      <c r="CF31" s="40">
        <f>VLOOKUP($F31,Assumptions!$E$152:$BC$157,COLUMN()-COLUMN($BC$4),FALSE)</f>
        <v>1</v>
      </c>
      <c r="CG31" s="40">
        <f>VLOOKUP($F31,Assumptions!$E$152:$BC$157,COLUMN()-COLUMN($BC$4),FALSE)</f>
        <v>1</v>
      </c>
      <c r="CH31" s="40">
        <f>VLOOKUP($F31,Assumptions!$E$152:$BC$157,COLUMN()-COLUMN($BC$4),FALSE)</f>
        <v>1</v>
      </c>
      <c r="CI31" s="40">
        <f>VLOOKUP($F31,Assumptions!$E$152:$BC$157,COLUMN()-COLUMN($BC$4),FALSE)</f>
        <v>1</v>
      </c>
      <c r="CJ31" s="40">
        <f>VLOOKUP($F31,Assumptions!$E$152:$BC$157,COLUMN()-COLUMN($BC$4),FALSE)</f>
        <v>1</v>
      </c>
      <c r="CK31" s="40">
        <f>VLOOKUP($F31,Assumptions!$E$152:$BC$157,COLUMN()-COLUMN($BC$4),FALSE)</f>
        <v>1</v>
      </c>
      <c r="CL31" s="40">
        <f>VLOOKUP($F31,Assumptions!$E$152:$BC$157,COLUMN()-COLUMN($BC$4),FALSE)</f>
        <v>1</v>
      </c>
      <c r="CM31" s="40">
        <f>VLOOKUP($F31,Assumptions!$E$152:$BC$157,COLUMN()-COLUMN($BC$4),FALSE)</f>
        <v>1</v>
      </c>
      <c r="CN31" s="40">
        <f>VLOOKUP($F31,Assumptions!$E$152:$BC$157,COLUMN()-COLUMN($BC$4),FALSE)</f>
        <v>1</v>
      </c>
      <c r="CO31" s="40">
        <f>VLOOKUP($F31,Assumptions!$E$152:$BC$157,COLUMN()-COLUMN($BC$4),FALSE)</f>
        <v>1</v>
      </c>
      <c r="CP31" s="40">
        <f>VLOOKUP($F31,Assumptions!$E$152:$BC$157,COLUMN()-COLUMN($BC$4),FALSE)</f>
        <v>1</v>
      </c>
      <c r="CQ31" s="40">
        <f>VLOOKUP($F31,Assumptions!$E$152:$BC$157,COLUMN()-COLUMN($BC$4),FALSE)</f>
        <v>1</v>
      </c>
      <c r="CR31" s="40">
        <f>VLOOKUP($F31,Assumptions!$E$152:$BC$157,COLUMN()-COLUMN($BC$4),FALSE)</f>
        <v>1</v>
      </c>
      <c r="CS31" s="40">
        <f>VLOOKUP($F31,Assumptions!$E$152:$BC$157,COLUMN()-COLUMN($BC$4),FALSE)</f>
        <v>1</v>
      </c>
      <c r="CT31" s="40">
        <f>VLOOKUP($F31,Assumptions!$E$152:$BC$157,COLUMN()-COLUMN($BC$4),FALSE)</f>
        <v>1</v>
      </c>
      <c r="CU31" s="40">
        <f>VLOOKUP($F31,Assumptions!$E$152:$BC$157,COLUMN()-COLUMN($BC$4),FALSE)</f>
        <v>1</v>
      </c>
      <c r="CV31" s="40">
        <f>VLOOKUP($F31,Assumptions!$E$152:$BC$157,COLUMN()-COLUMN($BC$4),FALSE)</f>
        <v>1</v>
      </c>
      <c r="CW31" s="40">
        <f>VLOOKUP($F31,Assumptions!$E$152:$BC$157,COLUMN()-COLUMN($BC$4),FALSE)</f>
        <v>1</v>
      </c>
      <c r="CX31" s="40">
        <f>VLOOKUP($F31,Assumptions!$E$152:$BC$157,COLUMN()-COLUMN($BC$4),FALSE)</f>
        <v>1</v>
      </c>
      <c r="CY31" s="39"/>
      <c r="DB31" t="str">
        <f t="shared" si="69"/>
        <v>TAI</v>
      </c>
      <c r="DD31" t="s">
        <v>85</v>
      </c>
      <c r="EV31" s="39"/>
      <c r="EW31" s="39" t="str">
        <f t="shared" si="48"/>
        <v>\I:</v>
      </c>
      <c r="EX31" s="39" t="str">
        <f t="shared" si="68"/>
        <v/>
      </c>
      <c r="EY31" s="39" t="s">
        <v>133</v>
      </c>
      <c r="EZ31" s="39" t="s">
        <v>85</v>
      </c>
      <c r="FA31" s="39" t="s">
        <v>440</v>
      </c>
    </row>
    <row r="32" spans="1:157">
      <c r="C32" s="39" t="str">
        <f t="shared" si="54"/>
        <v/>
      </c>
      <c r="D32" s="39" t="s">
        <v>72</v>
      </c>
      <c r="E32" s="39"/>
      <c r="F32" s="39" t="s">
        <v>87</v>
      </c>
      <c r="G32" s="40">
        <f>SUMIFS(Assumptions!BD$105:BD$128,Assumptions!$BB$105:$BB$128,'non-road'!$F32,Assumptions!$BC$105:$BC$128,'non-road'!$D32)/SUMIF(Assumptions!$BB$105:$BB$128,'non-road'!$F32,Assumptions!BD$105:BD$128)</f>
        <v>0</v>
      </c>
      <c r="H32" s="40">
        <f>SUMIFS(Assumptions!BE$105:BE$128,Assumptions!$BB$105:$BB$128,'non-road'!$F32,Assumptions!$BC$105:$BC$128,'non-road'!$D32)/SUMIF(Assumptions!$BB$105:$BB$128,'non-road'!$F32,Assumptions!BE$105:BE$128)</f>
        <v>0</v>
      </c>
      <c r="I32" s="40">
        <f>SUMIFS(Assumptions!BF$105:BF$128,Assumptions!$BB$105:$BB$128,'non-road'!$F32,Assumptions!$BC$105:$BC$128,'non-road'!$D32)/SUMIF(Assumptions!$BB$105:$BB$128,'non-road'!$F32,Assumptions!BF$105:BF$128)</f>
        <v>0</v>
      </c>
      <c r="J32" s="40">
        <f>SUMIFS(Assumptions!BG$105:BG$128,Assumptions!$BB$105:$BB$128,'non-road'!$F32,Assumptions!$BC$105:$BC$128,'non-road'!$D32)/SUMIF(Assumptions!$BB$105:$BB$128,'non-road'!$F32,Assumptions!BG$105:BG$128)</f>
        <v>0</v>
      </c>
      <c r="K32" s="40">
        <f>SUMIFS(Assumptions!BH$105:BH$128,Assumptions!$BB$105:$BB$128,'non-road'!$F32,Assumptions!$BC$105:$BC$128,'non-road'!$D32)/SUMIF(Assumptions!$BB$105:$BB$128,'non-road'!$F32,Assumptions!BH$105:BH$128)</f>
        <v>0</v>
      </c>
      <c r="L32" s="40">
        <f>SUMIFS(Assumptions!BI$105:BI$128,Assumptions!$BB$105:$BB$128,'non-road'!$F32,Assumptions!$BC$105:$BC$128,'non-road'!$D32)/SUMIF(Assumptions!$BB$105:$BB$128,'non-road'!$F32,Assumptions!BI$105:BI$128)</f>
        <v>0</v>
      </c>
      <c r="M32" s="40">
        <f>SUMIFS(Assumptions!BJ$105:BJ$128,Assumptions!$BB$105:$BB$128,'non-road'!$F32,Assumptions!$BC$105:$BC$128,'non-road'!$D32)/SUMIF(Assumptions!$BB$105:$BB$128,'non-road'!$F32,Assumptions!BJ$105:BJ$128)</f>
        <v>0</v>
      </c>
      <c r="N32" s="40">
        <f>SUMIFS(Assumptions!BK$105:BK$128,Assumptions!$BB$105:$BB$128,'non-road'!$F32,Assumptions!$BC$105:$BC$128,'non-road'!$D32)/SUMIF(Assumptions!$BB$105:$BB$128,'non-road'!$F32,Assumptions!BK$105:BK$128)</f>
        <v>0</v>
      </c>
      <c r="O32" s="40">
        <f>SUMIFS(Assumptions!BL$105:BL$128,Assumptions!$BB$105:$BB$128,'non-road'!$F32,Assumptions!$BC$105:$BC$128,'non-road'!$D32)/SUMIF(Assumptions!$BB$105:$BB$128,'non-road'!$F32,Assumptions!BL$105:BL$128)</f>
        <v>0</v>
      </c>
      <c r="P32" s="40">
        <f>SUMIFS(Assumptions!BM$105:BM$128,Assumptions!$BB$105:$BB$128,'non-road'!$F32,Assumptions!$BC$105:$BC$128,'non-road'!$D32)/SUMIF(Assumptions!$BB$105:$BB$128,'non-road'!$F32,Assumptions!BM$105:BM$128)</f>
        <v>0</v>
      </c>
      <c r="Q32" s="40">
        <f>SUMIFS(Assumptions!BN$105:BN$128,Assumptions!$BB$105:$BB$128,'non-road'!$F32,Assumptions!$BC$105:$BC$128,'non-road'!$D32)/SUMIF(Assumptions!$BB$105:$BB$128,'non-road'!$F32,Assumptions!BN$105:BN$128)</f>
        <v>0</v>
      </c>
      <c r="R32" s="40">
        <f>SUMIFS(Assumptions!BO$105:BO$128,Assumptions!$BB$105:$BB$128,'non-road'!$F32,Assumptions!$BC$105:$BC$128,'non-road'!$D32)/SUMIF(Assumptions!$BB$105:$BB$128,'non-road'!$F32,Assumptions!BO$105:BO$128)</f>
        <v>0</v>
      </c>
      <c r="S32" s="40">
        <f>SUMIFS(Assumptions!BP$105:BP$128,Assumptions!$BB$105:$BB$128,'non-road'!$F32,Assumptions!$BC$105:$BC$128,'non-road'!$D32)/SUMIF(Assumptions!$BB$105:$BB$128,'non-road'!$F32,Assumptions!BP$105:BP$128)</f>
        <v>0</v>
      </c>
      <c r="T32" s="40">
        <f>SUMIFS(Assumptions!BQ$105:BQ$128,Assumptions!$BB$105:$BB$128,'non-road'!$F32,Assumptions!$BC$105:$BC$128,'non-road'!$D32)/SUMIF(Assumptions!$BB$105:$BB$128,'non-road'!$F32,Assumptions!BQ$105:BQ$128)</f>
        <v>0</v>
      </c>
      <c r="U32" s="40">
        <f>SUMIFS(Assumptions!BR$105:BR$128,Assumptions!$BB$105:$BB$128,'non-road'!$F32,Assumptions!$BC$105:$BC$128,'non-road'!$D32)/SUMIF(Assumptions!$BB$105:$BB$128,'non-road'!$F32,Assumptions!BR$105:BR$128)</f>
        <v>0</v>
      </c>
      <c r="V32" s="40">
        <f>SUMIFS(Assumptions!BS$105:BS$128,Assumptions!$BB$105:$BB$128,'non-road'!$F32,Assumptions!$BC$105:$BC$128,'non-road'!$D32)/SUMIF(Assumptions!$BB$105:$BB$128,'non-road'!$F32,Assumptions!BS$105:BS$128)</f>
        <v>0</v>
      </c>
      <c r="W32" s="40">
        <f>SUMIFS(Assumptions!BT$105:BT$128,Assumptions!$BB$105:$BB$128,'non-road'!$F32,Assumptions!$BC$105:$BC$128,'non-road'!$D32)/SUMIF(Assumptions!$BB$105:$BB$128,'non-road'!$F32,Assumptions!BT$105:BT$128)</f>
        <v>0</v>
      </c>
      <c r="X32" s="40">
        <f>SUMIFS(Assumptions!BU$105:BU$128,Assumptions!$BB$105:$BB$128,'non-road'!$F32,Assumptions!$BC$105:$BC$128,'non-road'!$D32)/SUMIF(Assumptions!$BB$105:$BB$128,'non-road'!$F32,Assumptions!BU$105:BU$128)</f>
        <v>0</v>
      </c>
      <c r="Y32" s="40">
        <f>SUMIFS(Assumptions!BV$105:BV$128,Assumptions!$BB$105:$BB$128,'non-road'!$F32,Assumptions!$BC$105:$BC$128,'non-road'!$D32)/SUMIF(Assumptions!$BB$105:$BB$128,'non-road'!$F32,Assumptions!BV$105:BV$128)</f>
        <v>0</v>
      </c>
      <c r="Z32" s="40">
        <f>SUMIFS(Assumptions!BW$105:BW$128,Assumptions!$BB$105:$BB$128,'non-road'!$F32,Assumptions!$BC$105:$BC$128,'non-road'!$D32)/SUMIF(Assumptions!$BB$105:$BB$128,'non-road'!$F32,Assumptions!BW$105:BW$128)</f>
        <v>0</v>
      </c>
      <c r="AA32" s="40" t="e">
        <f>SUMIFS(Assumptions!BX$105:BX$128,Assumptions!$BB$105:$BB$128,'non-road'!$F32,Assumptions!$BC$105:$BC$128,'non-road'!$D32)/SUMIF(Assumptions!$BB$105:$BB$128,'non-road'!$F32,Assumptions!BX$105:BX$128)</f>
        <v>#DIV/0!</v>
      </c>
      <c r="AB32" s="40">
        <f>SUMIFS(Assumptions!BY$105:BY$128,Assumptions!$BB$105:$BB$128,'non-road'!$F32,Assumptions!$BC$105:$BC$128,'non-road'!$D32)/SUMIF(Assumptions!$BB$105:$BB$128,'non-road'!$F32,Assumptions!BY$105:BY$128)</f>
        <v>0</v>
      </c>
      <c r="AC32" s="40">
        <f>SUMIFS(Assumptions!BZ$105:BZ$128,Assumptions!$BB$105:$BB$128,'non-road'!$F32,Assumptions!$BC$105:$BC$128,'non-road'!$D32)/SUMIF(Assumptions!$BB$105:$BB$128,'non-road'!$F32,Assumptions!BZ$105:BZ$128)</f>
        <v>0</v>
      </c>
      <c r="AD32" s="40">
        <f>SUMIFS(Assumptions!CA$105:CA$128,Assumptions!$BB$105:$BB$128,'non-road'!$F32,Assumptions!$BC$105:$BC$128,'non-road'!$D32)/SUMIF(Assumptions!$BB$105:$BB$128,'non-road'!$F32,Assumptions!CA$105:CA$128)</f>
        <v>0</v>
      </c>
      <c r="AE32" s="40">
        <f>SUMIFS(Assumptions!CB$105:CB$128,Assumptions!$BB$105:$BB$128,'non-road'!$F32,Assumptions!$BC$105:$BC$128,'non-road'!$D32)/SUMIF(Assumptions!$BB$105:$BB$128,'non-road'!$F32,Assumptions!CB$105:CB$128)</f>
        <v>0</v>
      </c>
      <c r="AF32" s="40">
        <f>SUMIFS(Assumptions!CC$105:CC$128,Assumptions!$BB$105:$BB$128,'non-road'!$F32,Assumptions!$BC$105:$BC$128,'non-road'!$D32)/SUMIF(Assumptions!$BB$105:$BB$128,'non-road'!$F32,Assumptions!CC$105:CC$128)</f>
        <v>0</v>
      </c>
      <c r="AG32" s="40" t="e">
        <f>SUMIFS(Assumptions!CD$105:CD$128,Assumptions!$BB$105:$BB$128,'non-road'!$F32,Assumptions!$BC$105:$BC$128,'non-road'!$D32)/SUMIF(Assumptions!$BB$105:$BB$128,'non-road'!$F32,Assumptions!CD$105:CD$128)</f>
        <v>#DIV/0!</v>
      </c>
      <c r="AH32" s="40">
        <f>SUMIFS(Assumptions!CE$105:CE$128,Assumptions!$BB$105:$BB$128,'non-road'!$F32,Assumptions!$BC$105:$BC$128,'non-road'!$D32)/SUMIF(Assumptions!$BB$105:$BB$128,'non-road'!$F32,Assumptions!CE$105:CE$128)</f>
        <v>0</v>
      </c>
      <c r="AI32" s="40">
        <f>SUMIFS(Assumptions!CF$105:CF$128,Assumptions!$BB$105:$BB$128,'non-road'!$F32,Assumptions!$BC$105:$BC$128,'non-road'!$D32)/SUMIF(Assumptions!$BB$105:$BB$128,'non-road'!$F32,Assumptions!CF$105:CF$128)</f>
        <v>0</v>
      </c>
      <c r="AJ32" s="40">
        <f>SUMIFS(Assumptions!CG$105:CG$128,Assumptions!$BB$105:$BB$128,'non-road'!$F32,Assumptions!$BC$105:$BC$128,'non-road'!$D32)/SUMIF(Assumptions!$BB$105:$BB$128,'non-road'!$F32,Assumptions!CG$105:CG$128)</f>
        <v>0</v>
      </c>
      <c r="AK32" s="40">
        <f>SUMIFS(Assumptions!CH$105:CH$128,Assumptions!$BB$105:$BB$128,'non-road'!$F32,Assumptions!$BC$105:$BC$128,'non-road'!$D32)/SUMIF(Assumptions!$BB$105:$BB$128,'non-road'!$F32,Assumptions!CH$105:CH$128)</f>
        <v>0</v>
      </c>
      <c r="AL32" s="40">
        <f>SUMIFS(Assumptions!CI$105:CI$128,Assumptions!$BB$105:$BB$128,'non-road'!$F32,Assumptions!$BC$105:$BC$128,'non-road'!$D32)/SUMIF(Assumptions!$BB$105:$BB$128,'non-road'!$F32,Assumptions!CI$105:CI$128)</f>
        <v>0</v>
      </c>
      <c r="AM32" s="40">
        <f>SUMIFS(Assumptions!CJ$105:CJ$128,Assumptions!$BB$105:$BB$128,'non-road'!$F32,Assumptions!$BC$105:$BC$128,'non-road'!$D32)/SUMIF(Assumptions!$BB$105:$BB$128,'non-road'!$F32,Assumptions!CJ$105:CJ$128)</f>
        <v>0</v>
      </c>
      <c r="AN32" s="40">
        <f>SUMIFS(Assumptions!CK$105:CK$128,Assumptions!$BB$105:$BB$128,'non-road'!$F32,Assumptions!$BC$105:$BC$128,'non-road'!$D32)/SUMIF(Assumptions!$BB$105:$BB$128,'non-road'!$F32,Assumptions!CK$105:CK$128)</f>
        <v>0</v>
      </c>
      <c r="AO32" s="40">
        <f>SUMIFS(Assumptions!CL$105:CL$128,Assumptions!$BB$105:$BB$128,'non-road'!$F32,Assumptions!$BC$105:$BC$128,'non-road'!$D32)/SUMIF(Assumptions!$BB$105:$BB$128,'non-road'!$F32,Assumptions!CL$105:CL$128)</f>
        <v>0</v>
      </c>
      <c r="AP32" s="40" t="e">
        <f>SUMIFS(Assumptions!CM$105:CM$128,Assumptions!$BB$105:$BB$128,'non-road'!$F32,Assumptions!$BC$105:$BC$128,'non-road'!$D32)/SUMIF(Assumptions!$BB$105:$BB$128,'non-road'!$F32,Assumptions!CM$105:CM$128)</f>
        <v>#DIV/0!</v>
      </c>
      <c r="AQ32" s="40" t="e">
        <f>SUMIFS(Assumptions!CN$105:CN$128,Assumptions!$BB$105:$BB$128,'non-road'!$F32,Assumptions!$BC$105:$BC$128,'non-road'!$D32)/SUMIF(Assumptions!$BB$105:$BB$128,'non-road'!$F32,Assumptions!CN$105:CN$128)</f>
        <v>#DIV/0!</v>
      </c>
      <c r="AR32" s="40" t="e">
        <f>SUMIFS(Assumptions!CO$105:CO$128,Assumptions!$BB$105:$BB$128,'non-road'!$F32,Assumptions!$BC$105:$BC$128,'non-road'!$D32)/SUMIF(Assumptions!$BB$105:$BB$128,'non-road'!$F32,Assumptions!CO$105:CO$128)</f>
        <v>#DIV/0!</v>
      </c>
      <c r="AS32" s="40" t="e">
        <f>SUMIFS(Assumptions!CP$105:CP$128,Assumptions!$BB$105:$BB$128,'non-road'!$F32,Assumptions!$BC$105:$BC$128,'non-road'!$D32)/SUMIF(Assumptions!$BB$105:$BB$128,'non-road'!$F32,Assumptions!CP$105:CP$128)</f>
        <v>#DIV/0!</v>
      </c>
      <c r="AT32" s="40" t="e">
        <f>SUMIFS(Assumptions!CQ$105:CQ$128,Assumptions!$BB$105:$BB$128,'non-road'!$F32,Assumptions!$BC$105:$BC$128,'non-road'!$D32)/SUMIF(Assumptions!$BB$105:$BB$128,'non-road'!$F32,Assumptions!CQ$105:CQ$128)</f>
        <v>#DIV/0!</v>
      </c>
      <c r="AU32" s="40" t="e">
        <f>SUMIFS(Assumptions!CR$105:CR$128,Assumptions!$BB$105:$BB$128,'non-road'!$F32,Assumptions!$BC$105:$BC$128,'non-road'!$D32)/SUMIF(Assumptions!$BB$105:$BB$128,'non-road'!$F32,Assumptions!CR$105:CR$128)</f>
        <v>#DIV/0!</v>
      </c>
      <c r="AV32" s="40" t="e">
        <f>SUMIFS(Assumptions!CS$105:CS$128,Assumptions!$BB$105:$BB$128,'non-road'!$F32,Assumptions!$BC$105:$BC$128,'non-road'!$D32)/SUMIF(Assumptions!$BB$105:$BB$128,'non-road'!$F32,Assumptions!CS$105:CS$128)</f>
        <v>#DIV/0!</v>
      </c>
      <c r="AW32" s="40" t="e">
        <f>SUMIFS(Assumptions!CT$105:CT$128,Assumptions!$BB$105:$BB$128,'non-road'!$F32,Assumptions!$BC$105:$BC$128,'non-road'!$D32)/SUMIF(Assumptions!$BB$105:$BB$128,'non-road'!$F32,Assumptions!CT$105:CT$128)</f>
        <v>#DIV/0!</v>
      </c>
      <c r="AX32" s="40" t="e">
        <f>SUMIFS(Assumptions!CU$105:CU$128,Assumptions!$BB$105:$BB$128,'non-road'!$F32,Assumptions!$BC$105:$BC$128,'non-road'!$D32)/SUMIF(Assumptions!$BB$105:$BB$128,'non-road'!$F32,Assumptions!CU$105:CU$128)</f>
        <v>#DIV/0!</v>
      </c>
      <c r="AY32" s="40" t="e">
        <f>SUMIFS(Assumptions!CV$105:CV$128,Assumptions!$BB$105:$BB$128,'non-road'!$F32,Assumptions!$BC$105:$BC$128,'non-road'!$D32)/SUMIF(Assumptions!$BB$105:$BB$128,'non-road'!$F32,Assumptions!CV$105:CV$128)</f>
        <v>#DIV/0!</v>
      </c>
      <c r="AZ32" s="40" t="e">
        <f>SUMIFS(Assumptions!CW$105:CW$128,Assumptions!$BB$105:$BB$128,'non-road'!$F32,Assumptions!$BC$105:$BC$128,'non-road'!$D32)/SUMIF(Assumptions!$BB$105:$BB$128,'non-road'!$F32,Assumptions!CW$105:CW$128)</f>
        <v>#DIV/0!</v>
      </c>
      <c r="BD32" s="39" t="str">
        <f t="shared" si="55"/>
        <v>\I:</v>
      </c>
      <c r="BE32" s="40">
        <f>VLOOKUP($F32,Assumptions!$E$152:$BC$157,COLUMN()-COLUMN($BC$4),FALSE)</f>
        <v>1</v>
      </c>
      <c r="BF32" s="40">
        <f>VLOOKUP($F32,Assumptions!$E$152:$BC$157,COLUMN()-COLUMN($BC$4),FALSE)</f>
        <v>1</v>
      </c>
      <c r="BG32" s="40">
        <f>VLOOKUP($F32,Assumptions!$E$152:$BC$157,COLUMN()-COLUMN($BC$4),FALSE)</f>
        <v>1</v>
      </c>
      <c r="BH32" s="40">
        <f>VLOOKUP($F32,Assumptions!$E$152:$BC$157,COLUMN()-COLUMN($BC$4),FALSE)</f>
        <v>1</v>
      </c>
      <c r="BI32" s="40">
        <f>VLOOKUP($F32,Assumptions!$E$152:$BC$157,COLUMN()-COLUMN($BC$4),FALSE)</f>
        <v>1</v>
      </c>
      <c r="BJ32" s="40">
        <f>VLOOKUP($F32,Assumptions!$E$152:$BC$157,COLUMN()-COLUMN($BC$4),FALSE)</f>
        <v>1</v>
      </c>
      <c r="BK32" s="40">
        <f>VLOOKUP($F32,Assumptions!$E$152:$BC$157,COLUMN()-COLUMN($BC$4),FALSE)</f>
        <v>1</v>
      </c>
      <c r="BL32" s="40">
        <f>VLOOKUP($F32,Assumptions!$E$152:$BC$157,COLUMN()-COLUMN($BC$4),FALSE)</f>
        <v>1</v>
      </c>
      <c r="BM32" s="40">
        <f>VLOOKUP($F32,Assumptions!$E$152:$BC$157,COLUMN()-COLUMN($BC$4),FALSE)</f>
        <v>1</v>
      </c>
      <c r="BN32" s="40">
        <f>VLOOKUP($F32,Assumptions!$E$152:$BC$157,COLUMN()-COLUMN($BC$4),FALSE)</f>
        <v>1</v>
      </c>
      <c r="BO32" s="40">
        <f>VLOOKUP($F32,Assumptions!$E$152:$BC$157,COLUMN()-COLUMN($BC$4),FALSE)</f>
        <v>1</v>
      </c>
      <c r="BP32" s="40">
        <f>VLOOKUP($F32,Assumptions!$E$152:$BC$157,COLUMN()-COLUMN($BC$4),FALSE)</f>
        <v>1</v>
      </c>
      <c r="BQ32" s="40">
        <f>VLOOKUP($F32,Assumptions!$E$152:$BC$157,COLUMN()-COLUMN($BC$4),FALSE)</f>
        <v>1</v>
      </c>
      <c r="BR32" s="40">
        <f>VLOOKUP($F32,Assumptions!$E$152:$BC$157,COLUMN()-COLUMN($BC$4),FALSE)</f>
        <v>1</v>
      </c>
      <c r="BS32" s="40">
        <f>VLOOKUP($F32,Assumptions!$E$152:$BC$157,COLUMN()-COLUMN($BC$4),FALSE)</f>
        <v>1</v>
      </c>
      <c r="BT32" s="40">
        <f>VLOOKUP($F32,Assumptions!$E$152:$BC$157,COLUMN()-COLUMN($BC$4),FALSE)</f>
        <v>1</v>
      </c>
      <c r="BU32" s="40">
        <f>VLOOKUP($F32,Assumptions!$E$152:$BC$157,COLUMN()-COLUMN($BC$4),FALSE)</f>
        <v>1</v>
      </c>
      <c r="BV32" s="40">
        <f>VLOOKUP($F32,Assumptions!$E$152:$BC$157,COLUMN()-COLUMN($BC$4),FALSE)</f>
        <v>1</v>
      </c>
      <c r="BW32" s="40">
        <f>VLOOKUP($F32,Assumptions!$E$152:$BC$157,COLUMN()-COLUMN($BC$4),FALSE)</f>
        <v>1</v>
      </c>
      <c r="BX32" s="40">
        <f>VLOOKUP($F32,Assumptions!$E$152:$BC$157,COLUMN()-COLUMN($BC$4),FALSE)</f>
        <v>1</v>
      </c>
      <c r="BY32" s="40">
        <f>VLOOKUP($F32,Assumptions!$E$152:$BC$157,COLUMN()-COLUMN($BC$4),FALSE)</f>
        <v>1</v>
      </c>
      <c r="BZ32" s="40">
        <f>VLOOKUP($F32,Assumptions!$E$152:$BC$157,COLUMN()-COLUMN($BC$4),FALSE)</f>
        <v>1</v>
      </c>
      <c r="CA32" s="40">
        <f>VLOOKUP($F32,Assumptions!$E$152:$BC$157,COLUMN()-COLUMN($BC$4),FALSE)</f>
        <v>1</v>
      </c>
      <c r="CB32" s="40">
        <f>VLOOKUP($F32,Assumptions!$E$152:$BC$157,COLUMN()-COLUMN($BC$4),FALSE)</f>
        <v>1</v>
      </c>
      <c r="CC32" s="40">
        <f>VLOOKUP($F32,Assumptions!$E$152:$BC$157,COLUMN()-COLUMN($BC$4),FALSE)</f>
        <v>1</v>
      </c>
      <c r="CD32" s="40">
        <f>VLOOKUP($F32,Assumptions!$E$152:$BC$157,COLUMN()-COLUMN($BC$4),FALSE)</f>
        <v>1</v>
      </c>
      <c r="CE32" s="40">
        <f>VLOOKUP($F32,Assumptions!$E$152:$BC$157,COLUMN()-COLUMN($BC$4),FALSE)</f>
        <v>1</v>
      </c>
      <c r="CF32" s="40">
        <f>VLOOKUP($F32,Assumptions!$E$152:$BC$157,COLUMN()-COLUMN($BC$4),FALSE)</f>
        <v>1</v>
      </c>
      <c r="CG32" s="40">
        <f>VLOOKUP($F32,Assumptions!$E$152:$BC$157,COLUMN()-COLUMN($BC$4),FALSE)</f>
        <v>1</v>
      </c>
      <c r="CH32" s="40">
        <f>VLOOKUP($F32,Assumptions!$E$152:$BC$157,COLUMN()-COLUMN($BC$4),FALSE)</f>
        <v>1</v>
      </c>
      <c r="CI32" s="40">
        <f>VLOOKUP($F32,Assumptions!$E$152:$BC$157,COLUMN()-COLUMN($BC$4),FALSE)</f>
        <v>1</v>
      </c>
      <c r="CJ32" s="40">
        <f>VLOOKUP($F32,Assumptions!$E$152:$BC$157,COLUMN()-COLUMN($BC$4),FALSE)</f>
        <v>1</v>
      </c>
      <c r="CK32" s="40">
        <f>VLOOKUP($F32,Assumptions!$E$152:$BC$157,COLUMN()-COLUMN($BC$4),FALSE)</f>
        <v>1</v>
      </c>
      <c r="CL32" s="40">
        <f>VLOOKUP($F32,Assumptions!$E$152:$BC$157,COLUMN()-COLUMN($BC$4),FALSE)</f>
        <v>1</v>
      </c>
      <c r="CM32" s="40">
        <f>VLOOKUP($F32,Assumptions!$E$152:$BC$157,COLUMN()-COLUMN($BC$4),FALSE)</f>
        <v>1</v>
      </c>
      <c r="CN32" s="40">
        <f>VLOOKUP($F32,Assumptions!$E$152:$BC$157,COLUMN()-COLUMN($BC$4),FALSE)</f>
        <v>1</v>
      </c>
      <c r="CO32" s="40">
        <f>VLOOKUP($F32,Assumptions!$E$152:$BC$157,COLUMN()-COLUMN($BC$4),FALSE)</f>
        <v>1</v>
      </c>
      <c r="CP32" s="40">
        <f>VLOOKUP($F32,Assumptions!$E$152:$BC$157,COLUMN()-COLUMN($BC$4),FALSE)</f>
        <v>1</v>
      </c>
      <c r="CQ32" s="40">
        <f>VLOOKUP($F32,Assumptions!$E$152:$BC$157,COLUMN()-COLUMN($BC$4),FALSE)</f>
        <v>1</v>
      </c>
      <c r="CR32" s="40">
        <f>VLOOKUP($F32,Assumptions!$E$152:$BC$157,COLUMN()-COLUMN($BC$4),FALSE)</f>
        <v>1</v>
      </c>
      <c r="CS32" s="40">
        <f>VLOOKUP($F32,Assumptions!$E$152:$BC$157,COLUMN()-COLUMN($BC$4),FALSE)</f>
        <v>1</v>
      </c>
      <c r="CT32" s="40">
        <f>VLOOKUP($F32,Assumptions!$E$152:$BC$157,COLUMN()-COLUMN($BC$4),FALSE)</f>
        <v>1</v>
      </c>
      <c r="CU32" s="40">
        <f>VLOOKUP($F32,Assumptions!$E$152:$BC$157,COLUMN()-COLUMN($BC$4),FALSE)</f>
        <v>1</v>
      </c>
      <c r="CV32" s="40">
        <f>VLOOKUP($F32,Assumptions!$E$152:$BC$157,COLUMN()-COLUMN($BC$4),FALSE)</f>
        <v>1</v>
      </c>
      <c r="CW32" s="40">
        <f>VLOOKUP($F32,Assumptions!$E$152:$BC$157,COLUMN()-COLUMN($BC$4),FALSE)</f>
        <v>1</v>
      </c>
      <c r="CX32" s="40">
        <f>VLOOKUP($F32,Assumptions!$E$152:$BC$157,COLUMN()-COLUMN($BC$4),FALSE)</f>
        <v>1</v>
      </c>
      <c r="CY32" s="39"/>
      <c r="CZ32" s="39"/>
      <c r="DA32" s="39"/>
      <c r="DB32" t="str">
        <f t="shared" si="69"/>
        <v>TAD</v>
      </c>
      <c r="DC32" s="39"/>
      <c r="DD32" t="s">
        <v>85</v>
      </c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 t="str">
        <f t="shared" si="48"/>
        <v>\I:</v>
      </c>
      <c r="EX32" s="39" t="str">
        <f t="shared" si="68"/>
        <v/>
      </c>
      <c r="EY32" s="39" t="s">
        <v>133</v>
      </c>
      <c r="EZ32" s="39" t="s">
        <v>85</v>
      </c>
      <c r="FA32" s="39" t="s">
        <v>440</v>
      </c>
    </row>
    <row r="33" spans="3:157">
      <c r="C33" s="39" t="str">
        <f t="shared" si="54"/>
        <v/>
      </c>
      <c r="D33" s="39" t="s">
        <v>74</v>
      </c>
      <c r="E33" s="39"/>
      <c r="F33" s="39" t="s">
        <v>87</v>
      </c>
      <c r="G33" s="40">
        <f>SUMIFS(Assumptions!BD$105:BD$128,Assumptions!$BB$105:$BB$128,'non-road'!$F33,Assumptions!$BC$105:$BC$128,'non-road'!$D33)/SUMIF(Assumptions!$BB$105:$BB$128,'non-road'!$F33,Assumptions!BD$105:BD$128)</f>
        <v>0</v>
      </c>
      <c r="H33" s="40">
        <f>SUMIFS(Assumptions!BE$105:BE$128,Assumptions!$BB$105:$BB$128,'non-road'!$F33,Assumptions!$BC$105:$BC$128,'non-road'!$D33)/SUMIF(Assumptions!$BB$105:$BB$128,'non-road'!$F33,Assumptions!BE$105:BE$128)</f>
        <v>0</v>
      </c>
      <c r="I33" s="40">
        <f>SUMIFS(Assumptions!BF$105:BF$128,Assumptions!$BB$105:$BB$128,'non-road'!$F33,Assumptions!$BC$105:$BC$128,'non-road'!$D33)/SUMIF(Assumptions!$BB$105:$BB$128,'non-road'!$F33,Assumptions!BF$105:BF$128)</f>
        <v>0</v>
      </c>
      <c r="J33" s="40">
        <f>SUMIFS(Assumptions!BG$105:BG$128,Assumptions!$BB$105:$BB$128,'non-road'!$F33,Assumptions!$BC$105:$BC$128,'non-road'!$D33)/SUMIF(Assumptions!$BB$105:$BB$128,'non-road'!$F33,Assumptions!BG$105:BG$128)</f>
        <v>0</v>
      </c>
      <c r="K33" s="40">
        <f>SUMIFS(Assumptions!BH$105:BH$128,Assumptions!$BB$105:$BB$128,'non-road'!$F33,Assumptions!$BC$105:$BC$128,'non-road'!$D33)/SUMIF(Assumptions!$BB$105:$BB$128,'non-road'!$F33,Assumptions!BH$105:BH$128)</f>
        <v>0</v>
      </c>
      <c r="L33" s="40">
        <f>SUMIFS(Assumptions!BI$105:BI$128,Assumptions!$BB$105:$BB$128,'non-road'!$F33,Assumptions!$BC$105:$BC$128,'non-road'!$D33)/SUMIF(Assumptions!$BB$105:$BB$128,'non-road'!$F33,Assumptions!BI$105:BI$128)</f>
        <v>0</v>
      </c>
      <c r="M33" s="40">
        <f>SUMIFS(Assumptions!BJ$105:BJ$128,Assumptions!$BB$105:$BB$128,'non-road'!$F33,Assumptions!$BC$105:$BC$128,'non-road'!$D33)/SUMIF(Assumptions!$BB$105:$BB$128,'non-road'!$F33,Assumptions!BJ$105:BJ$128)</f>
        <v>0</v>
      </c>
      <c r="N33" s="40">
        <f>SUMIFS(Assumptions!BK$105:BK$128,Assumptions!$BB$105:$BB$128,'non-road'!$F33,Assumptions!$BC$105:$BC$128,'non-road'!$D33)/SUMIF(Assumptions!$BB$105:$BB$128,'non-road'!$F33,Assumptions!BK$105:BK$128)</f>
        <v>0</v>
      </c>
      <c r="O33" s="40">
        <f>SUMIFS(Assumptions!BL$105:BL$128,Assumptions!$BB$105:$BB$128,'non-road'!$F33,Assumptions!$BC$105:$BC$128,'non-road'!$D33)/SUMIF(Assumptions!$BB$105:$BB$128,'non-road'!$F33,Assumptions!BL$105:BL$128)</f>
        <v>0</v>
      </c>
      <c r="P33" s="40">
        <f>SUMIFS(Assumptions!BM$105:BM$128,Assumptions!$BB$105:$BB$128,'non-road'!$F33,Assumptions!$BC$105:$BC$128,'non-road'!$D33)/SUMIF(Assumptions!$BB$105:$BB$128,'non-road'!$F33,Assumptions!BM$105:BM$128)</f>
        <v>0</v>
      </c>
      <c r="Q33" s="40">
        <f>SUMIFS(Assumptions!BN$105:BN$128,Assumptions!$BB$105:$BB$128,'non-road'!$F33,Assumptions!$BC$105:$BC$128,'non-road'!$D33)/SUMIF(Assumptions!$BB$105:$BB$128,'non-road'!$F33,Assumptions!BN$105:BN$128)</f>
        <v>0</v>
      </c>
      <c r="R33" s="40">
        <f>SUMIFS(Assumptions!BO$105:BO$128,Assumptions!$BB$105:$BB$128,'non-road'!$F33,Assumptions!$BC$105:$BC$128,'non-road'!$D33)/SUMIF(Assumptions!$BB$105:$BB$128,'non-road'!$F33,Assumptions!BO$105:BO$128)</f>
        <v>0</v>
      </c>
      <c r="S33" s="40">
        <f>SUMIFS(Assumptions!BP$105:BP$128,Assumptions!$BB$105:$BB$128,'non-road'!$F33,Assumptions!$BC$105:$BC$128,'non-road'!$D33)/SUMIF(Assumptions!$BB$105:$BB$128,'non-road'!$F33,Assumptions!BP$105:BP$128)</f>
        <v>0</v>
      </c>
      <c r="T33" s="40">
        <f>SUMIFS(Assumptions!BQ$105:BQ$128,Assumptions!$BB$105:$BB$128,'non-road'!$F33,Assumptions!$BC$105:$BC$128,'non-road'!$D33)/SUMIF(Assumptions!$BB$105:$BB$128,'non-road'!$F33,Assumptions!BQ$105:BQ$128)</f>
        <v>0</v>
      </c>
      <c r="U33" s="40">
        <f>SUMIFS(Assumptions!BR$105:BR$128,Assumptions!$BB$105:$BB$128,'non-road'!$F33,Assumptions!$BC$105:$BC$128,'non-road'!$D33)/SUMIF(Assumptions!$BB$105:$BB$128,'non-road'!$F33,Assumptions!BR$105:BR$128)</f>
        <v>0</v>
      </c>
      <c r="V33" s="40">
        <f>SUMIFS(Assumptions!BS$105:BS$128,Assumptions!$BB$105:$BB$128,'non-road'!$F33,Assumptions!$BC$105:$BC$128,'non-road'!$D33)/SUMIF(Assumptions!$BB$105:$BB$128,'non-road'!$F33,Assumptions!BS$105:BS$128)</f>
        <v>0</v>
      </c>
      <c r="W33" s="40">
        <f>SUMIFS(Assumptions!BT$105:BT$128,Assumptions!$BB$105:$BB$128,'non-road'!$F33,Assumptions!$BC$105:$BC$128,'non-road'!$D33)/SUMIF(Assumptions!$BB$105:$BB$128,'non-road'!$F33,Assumptions!BT$105:BT$128)</f>
        <v>0</v>
      </c>
      <c r="X33" s="40">
        <f>SUMIFS(Assumptions!BU$105:BU$128,Assumptions!$BB$105:$BB$128,'non-road'!$F33,Assumptions!$BC$105:$BC$128,'non-road'!$D33)/SUMIF(Assumptions!$BB$105:$BB$128,'non-road'!$F33,Assumptions!BU$105:BU$128)</f>
        <v>0</v>
      </c>
      <c r="Y33" s="40">
        <f>SUMIFS(Assumptions!BV$105:BV$128,Assumptions!$BB$105:$BB$128,'non-road'!$F33,Assumptions!$BC$105:$BC$128,'non-road'!$D33)/SUMIF(Assumptions!$BB$105:$BB$128,'non-road'!$F33,Assumptions!BV$105:BV$128)</f>
        <v>0</v>
      </c>
      <c r="Z33" s="40">
        <f>SUMIFS(Assumptions!BW$105:BW$128,Assumptions!$BB$105:$BB$128,'non-road'!$F33,Assumptions!$BC$105:$BC$128,'non-road'!$D33)/SUMIF(Assumptions!$BB$105:$BB$128,'non-road'!$F33,Assumptions!BW$105:BW$128)</f>
        <v>0</v>
      </c>
      <c r="AA33" s="40" t="e">
        <f>SUMIFS(Assumptions!BX$105:BX$128,Assumptions!$BB$105:$BB$128,'non-road'!$F33,Assumptions!$BC$105:$BC$128,'non-road'!$D33)/SUMIF(Assumptions!$BB$105:$BB$128,'non-road'!$F33,Assumptions!BX$105:BX$128)</f>
        <v>#DIV/0!</v>
      </c>
      <c r="AB33" s="40">
        <f>SUMIFS(Assumptions!BY$105:BY$128,Assumptions!$BB$105:$BB$128,'non-road'!$F33,Assumptions!$BC$105:$BC$128,'non-road'!$D33)/SUMIF(Assumptions!$BB$105:$BB$128,'non-road'!$F33,Assumptions!BY$105:BY$128)</f>
        <v>0</v>
      </c>
      <c r="AC33" s="40">
        <f>SUMIFS(Assumptions!BZ$105:BZ$128,Assumptions!$BB$105:$BB$128,'non-road'!$F33,Assumptions!$BC$105:$BC$128,'non-road'!$D33)/SUMIF(Assumptions!$BB$105:$BB$128,'non-road'!$F33,Assumptions!BZ$105:BZ$128)</f>
        <v>0</v>
      </c>
      <c r="AD33" s="40">
        <f>SUMIFS(Assumptions!CA$105:CA$128,Assumptions!$BB$105:$BB$128,'non-road'!$F33,Assumptions!$BC$105:$BC$128,'non-road'!$D33)/SUMIF(Assumptions!$BB$105:$BB$128,'non-road'!$F33,Assumptions!CA$105:CA$128)</f>
        <v>0</v>
      </c>
      <c r="AE33" s="40">
        <f>SUMIFS(Assumptions!CB$105:CB$128,Assumptions!$BB$105:$BB$128,'non-road'!$F33,Assumptions!$BC$105:$BC$128,'non-road'!$D33)/SUMIF(Assumptions!$BB$105:$BB$128,'non-road'!$F33,Assumptions!CB$105:CB$128)</f>
        <v>0</v>
      </c>
      <c r="AF33" s="40">
        <f>SUMIFS(Assumptions!CC$105:CC$128,Assumptions!$BB$105:$BB$128,'non-road'!$F33,Assumptions!$BC$105:$BC$128,'non-road'!$D33)/SUMIF(Assumptions!$BB$105:$BB$128,'non-road'!$F33,Assumptions!CC$105:CC$128)</f>
        <v>0</v>
      </c>
      <c r="AG33" s="40" t="e">
        <f>SUMIFS(Assumptions!CD$105:CD$128,Assumptions!$BB$105:$BB$128,'non-road'!$F33,Assumptions!$BC$105:$BC$128,'non-road'!$D33)/SUMIF(Assumptions!$BB$105:$BB$128,'non-road'!$F33,Assumptions!CD$105:CD$128)</f>
        <v>#DIV/0!</v>
      </c>
      <c r="AH33" s="40">
        <f>SUMIFS(Assumptions!CE$105:CE$128,Assumptions!$BB$105:$BB$128,'non-road'!$F33,Assumptions!$BC$105:$BC$128,'non-road'!$D33)/SUMIF(Assumptions!$BB$105:$BB$128,'non-road'!$F33,Assumptions!CE$105:CE$128)</f>
        <v>0</v>
      </c>
      <c r="AI33" s="40">
        <f>SUMIFS(Assumptions!CF$105:CF$128,Assumptions!$BB$105:$BB$128,'non-road'!$F33,Assumptions!$BC$105:$BC$128,'non-road'!$D33)/SUMIF(Assumptions!$BB$105:$BB$128,'non-road'!$F33,Assumptions!CF$105:CF$128)</f>
        <v>0</v>
      </c>
      <c r="AJ33" s="40">
        <f>SUMIFS(Assumptions!CG$105:CG$128,Assumptions!$BB$105:$BB$128,'non-road'!$F33,Assumptions!$BC$105:$BC$128,'non-road'!$D33)/SUMIF(Assumptions!$BB$105:$BB$128,'non-road'!$F33,Assumptions!CG$105:CG$128)</f>
        <v>0</v>
      </c>
      <c r="AK33" s="40">
        <f>SUMIFS(Assumptions!CH$105:CH$128,Assumptions!$BB$105:$BB$128,'non-road'!$F33,Assumptions!$BC$105:$BC$128,'non-road'!$D33)/SUMIF(Assumptions!$BB$105:$BB$128,'non-road'!$F33,Assumptions!CH$105:CH$128)</f>
        <v>0</v>
      </c>
      <c r="AL33" s="40">
        <f>SUMIFS(Assumptions!CI$105:CI$128,Assumptions!$BB$105:$BB$128,'non-road'!$F33,Assumptions!$BC$105:$BC$128,'non-road'!$D33)/SUMIF(Assumptions!$BB$105:$BB$128,'non-road'!$F33,Assumptions!CI$105:CI$128)</f>
        <v>0</v>
      </c>
      <c r="AM33" s="40">
        <f>SUMIFS(Assumptions!CJ$105:CJ$128,Assumptions!$BB$105:$BB$128,'non-road'!$F33,Assumptions!$BC$105:$BC$128,'non-road'!$D33)/SUMIF(Assumptions!$BB$105:$BB$128,'non-road'!$F33,Assumptions!CJ$105:CJ$128)</f>
        <v>0</v>
      </c>
      <c r="AN33" s="40">
        <f>SUMIFS(Assumptions!CK$105:CK$128,Assumptions!$BB$105:$BB$128,'non-road'!$F33,Assumptions!$BC$105:$BC$128,'non-road'!$D33)/SUMIF(Assumptions!$BB$105:$BB$128,'non-road'!$F33,Assumptions!CK$105:CK$128)</f>
        <v>0</v>
      </c>
      <c r="AO33" s="40">
        <f>SUMIFS(Assumptions!CL$105:CL$128,Assumptions!$BB$105:$BB$128,'non-road'!$F33,Assumptions!$BC$105:$BC$128,'non-road'!$D33)/SUMIF(Assumptions!$BB$105:$BB$128,'non-road'!$F33,Assumptions!CL$105:CL$128)</f>
        <v>0</v>
      </c>
      <c r="AP33" s="40" t="e">
        <f>SUMIFS(Assumptions!CM$105:CM$128,Assumptions!$BB$105:$BB$128,'non-road'!$F33,Assumptions!$BC$105:$BC$128,'non-road'!$D33)/SUMIF(Assumptions!$BB$105:$BB$128,'non-road'!$F33,Assumptions!CM$105:CM$128)</f>
        <v>#DIV/0!</v>
      </c>
      <c r="AQ33" s="40" t="e">
        <f>SUMIFS(Assumptions!CN$105:CN$128,Assumptions!$BB$105:$BB$128,'non-road'!$F33,Assumptions!$BC$105:$BC$128,'non-road'!$D33)/SUMIF(Assumptions!$BB$105:$BB$128,'non-road'!$F33,Assumptions!CN$105:CN$128)</f>
        <v>#DIV/0!</v>
      </c>
      <c r="AR33" s="40" t="e">
        <f>SUMIFS(Assumptions!CO$105:CO$128,Assumptions!$BB$105:$BB$128,'non-road'!$F33,Assumptions!$BC$105:$BC$128,'non-road'!$D33)/SUMIF(Assumptions!$BB$105:$BB$128,'non-road'!$F33,Assumptions!CO$105:CO$128)</f>
        <v>#DIV/0!</v>
      </c>
      <c r="AS33" s="40" t="e">
        <f>SUMIFS(Assumptions!CP$105:CP$128,Assumptions!$BB$105:$BB$128,'non-road'!$F33,Assumptions!$BC$105:$BC$128,'non-road'!$D33)/SUMIF(Assumptions!$BB$105:$BB$128,'non-road'!$F33,Assumptions!CP$105:CP$128)</f>
        <v>#DIV/0!</v>
      </c>
      <c r="AT33" s="40" t="e">
        <f>SUMIFS(Assumptions!CQ$105:CQ$128,Assumptions!$BB$105:$BB$128,'non-road'!$F33,Assumptions!$BC$105:$BC$128,'non-road'!$D33)/SUMIF(Assumptions!$BB$105:$BB$128,'non-road'!$F33,Assumptions!CQ$105:CQ$128)</f>
        <v>#DIV/0!</v>
      </c>
      <c r="AU33" s="40" t="e">
        <f>SUMIFS(Assumptions!CR$105:CR$128,Assumptions!$BB$105:$BB$128,'non-road'!$F33,Assumptions!$BC$105:$BC$128,'non-road'!$D33)/SUMIF(Assumptions!$BB$105:$BB$128,'non-road'!$F33,Assumptions!CR$105:CR$128)</f>
        <v>#DIV/0!</v>
      </c>
      <c r="AV33" s="40" t="e">
        <f>SUMIFS(Assumptions!CS$105:CS$128,Assumptions!$BB$105:$BB$128,'non-road'!$F33,Assumptions!$BC$105:$BC$128,'non-road'!$D33)/SUMIF(Assumptions!$BB$105:$BB$128,'non-road'!$F33,Assumptions!CS$105:CS$128)</f>
        <v>#DIV/0!</v>
      </c>
      <c r="AW33" s="40" t="e">
        <f>SUMIFS(Assumptions!CT$105:CT$128,Assumptions!$BB$105:$BB$128,'non-road'!$F33,Assumptions!$BC$105:$BC$128,'non-road'!$D33)/SUMIF(Assumptions!$BB$105:$BB$128,'non-road'!$F33,Assumptions!CT$105:CT$128)</f>
        <v>#DIV/0!</v>
      </c>
      <c r="AX33" s="40" t="e">
        <f>SUMIFS(Assumptions!CU$105:CU$128,Assumptions!$BB$105:$BB$128,'non-road'!$F33,Assumptions!$BC$105:$BC$128,'non-road'!$D33)/SUMIF(Assumptions!$BB$105:$BB$128,'non-road'!$F33,Assumptions!CU$105:CU$128)</f>
        <v>#DIV/0!</v>
      </c>
      <c r="AY33" s="40" t="e">
        <f>SUMIFS(Assumptions!CV$105:CV$128,Assumptions!$BB$105:$BB$128,'non-road'!$F33,Assumptions!$BC$105:$BC$128,'non-road'!$D33)/SUMIF(Assumptions!$BB$105:$BB$128,'non-road'!$F33,Assumptions!CV$105:CV$128)</f>
        <v>#DIV/0!</v>
      </c>
      <c r="AZ33" s="40" t="e">
        <f>SUMIFS(Assumptions!CW$105:CW$128,Assumptions!$BB$105:$BB$128,'non-road'!$F33,Assumptions!$BC$105:$BC$128,'non-road'!$D33)/SUMIF(Assumptions!$BB$105:$BB$128,'non-road'!$F33,Assumptions!CW$105:CW$128)</f>
        <v>#DIV/0!</v>
      </c>
      <c r="BD33" s="39" t="str">
        <f t="shared" si="55"/>
        <v>\I:</v>
      </c>
      <c r="BE33" s="40">
        <f>VLOOKUP($F33,Assumptions!$E$152:$BC$157,COLUMN()-COLUMN($BC$4),FALSE)</f>
        <v>1</v>
      </c>
      <c r="BF33" s="40">
        <f>VLOOKUP($F33,Assumptions!$E$152:$BC$157,COLUMN()-COLUMN($BC$4),FALSE)</f>
        <v>1</v>
      </c>
      <c r="BG33" s="40">
        <f>VLOOKUP($F33,Assumptions!$E$152:$BC$157,COLUMN()-COLUMN($BC$4),FALSE)</f>
        <v>1</v>
      </c>
      <c r="BH33" s="40">
        <f>VLOOKUP($F33,Assumptions!$E$152:$BC$157,COLUMN()-COLUMN($BC$4),FALSE)</f>
        <v>1</v>
      </c>
      <c r="BI33" s="40">
        <f>VLOOKUP($F33,Assumptions!$E$152:$BC$157,COLUMN()-COLUMN($BC$4),FALSE)</f>
        <v>1</v>
      </c>
      <c r="BJ33" s="40">
        <f>VLOOKUP($F33,Assumptions!$E$152:$BC$157,COLUMN()-COLUMN($BC$4),FALSE)</f>
        <v>1</v>
      </c>
      <c r="BK33" s="40">
        <f>VLOOKUP($F33,Assumptions!$E$152:$BC$157,COLUMN()-COLUMN($BC$4),FALSE)</f>
        <v>1</v>
      </c>
      <c r="BL33" s="40">
        <f>VLOOKUP($F33,Assumptions!$E$152:$BC$157,COLUMN()-COLUMN($BC$4),FALSE)</f>
        <v>1</v>
      </c>
      <c r="BM33" s="40">
        <f>VLOOKUP($F33,Assumptions!$E$152:$BC$157,COLUMN()-COLUMN($BC$4),FALSE)</f>
        <v>1</v>
      </c>
      <c r="BN33" s="40">
        <f>VLOOKUP($F33,Assumptions!$E$152:$BC$157,COLUMN()-COLUMN($BC$4),FALSE)</f>
        <v>1</v>
      </c>
      <c r="BO33" s="40">
        <f>VLOOKUP($F33,Assumptions!$E$152:$BC$157,COLUMN()-COLUMN($BC$4),FALSE)</f>
        <v>1</v>
      </c>
      <c r="BP33" s="40">
        <f>VLOOKUP($F33,Assumptions!$E$152:$BC$157,COLUMN()-COLUMN($BC$4),FALSE)</f>
        <v>1</v>
      </c>
      <c r="BQ33" s="40">
        <f>VLOOKUP($F33,Assumptions!$E$152:$BC$157,COLUMN()-COLUMN($BC$4),FALSE)</f>
        <v>1</v>
      </c>
      <c r="BR33" s="40">
        <f>VLOOKUP($F33,Assumptions!$E$152:$BC$157,COLUMN()-COLUMN($BC$4),FALSE)</f>
        <v>1</v>
      </c>
      <c r="BS33" s="40">
        <f>VLOOKUP($F33,Assumptions!$E$152:$BC$157,COLUMN()-COLUMN($BC$4),FALSE)</f>
        <v>1</v>
      </c>
      <c r="BT33" s="40">
        <f>VLOOKUP($F33,Assumptions!$E$152:$BC$157,COLUMN()-COLUMN($BC$4),FALSE)</f>
        <v>1</v>
      </c>
      <c r="BU33" s="40">
        <f>VLOOKUP($F33,Assumptions!$E$152:$BC$157,COLUMN()-COLUMN($BC$4),FALSE)</f>
        <v>1</v>
      </c>
      <c r="BV33" s="40">
        <f>VLOOKUP($F33,Assumptions!$E$152:$BC$157,COLUMN()-COLUMN($BC$4),FALSE)</f>
        <v>1</v>
      </c>
      <c r="BW33" s="40">
        <f>VLOOKUP($F33,Assumptions!$E$152:$BC$157,COLUMN()-COLUMN($BC$4),FALSE)</f>
        <v>1</v>
      </c>
      <c r="BX33" s="40">
        <f>VLOOKUP($F33,Assumptions!$E$152:$BC$157,COLUMN()-COLUMN($BC$4),FALSE)</f>
        <v>1</v>
      </c>
      <c r="BY33" s="40">
        <f>VLOOKUP($F33,Assumptions!$E$152:$BC$157,COLUMN()-COLUMN($BC$4),FALSE)</f>
        <v>1</v>
      </c>
      <c r="BZ33" s="40">
        <f>VLOOKUP($F33,Assumptions!$E$152:$BC$157,COLUMN()-COLUMN($BC$4),FALSE)</f>
        <v>1</v>
      </c>
      <c r="CA33" s="40">
        <f>VLOOKUP($F33,Assumptions!$E$152:$BC$157,COLUMN()-COLUMN($BC$4),FALSE)</f>
        <v>1</v>
      </c>
      <c r="CB33" s="40">
        <f>VLOOKUP($F33,Assumptions!$E$152:$BC$157,COLUMN()-COLUMN($BC$4),FALSE)</f>
        <v>1</v>
      </c>
      <c r="CC33" s="40">
        <f>VLOOKUP($F33,Assumptions!$E$152:$BC$157,COLUMN()-COLUMN($BC$4),FALSE)</f>
        <v>1</v>
      </c>
      <c r="CD33" s="40">
        <f>VLOOKUP($F33,Assumptions!$E$152:$BC$157,COLUMN()-COLUMN($BC$4),FALSE)</f>
        <v>1</v>
      </c>
      <c r="CE33" s="40">
        <f>VLOOKUP($F33,Assumptions!$E$152:$BC$157,COLUMN()-COLUMN($BC$4),FALSE)</f>
        <v>1</v>
      </c>
      <c r="CF33" s="40">
        <f>VLOOKUP($F33,Assumptions!$E$152:$BC$157,COLUMN()-COLUMN($BC$4),FALSE)</f>
        <v>1</v>
      </c>
      <c r="CG33" s="40">
        <f>VLOOKUP($F33,Assumptions!$E$152:$BC$157,COLUMN()-COLUMN($BC$4),FALSE)</f>
        <v>1</v>
      </c>
      <c r="CH33" s="40">
        <f>VLOOKUP($F33,Assumptions!$E$152:$BC$157,COLUMN()-COLUMN($BC$4),FALSE)</f>
        <v>1</v>
      </c>
      <c r="CI33" s="40">
        <f>VLOOKUP($F33,Assumptions!$E$152:$BC$157,COLUMN()-COLUMN($BC$4),FALSE)</f>
        <v>1</v>
      </c>
      <c r="CJ33" s="40">
        <f>VLOOKUP($F33,Assumptions!$E$152:$BC$157,COLUMN()-COLUMN($BC$4),FALSE)</f>
        <v>1</v>
      </c>
      <c r="CK33" s="40">
        <f>VLOOKUP($F33,Assumptions!$E$152:$BC$157,COLUMN()-COLUMN($BC$4),FALSE)</f>
        <v>1</v>
      </c>
      <c r="CL33" s="40">
        <f>VLOOKUP($F33,Assumptions!$E$152:$BC$157,COLUMN()-COLUMN($BC$4),FALSE)</f>
        <v>1</v>
      </c>
      <c r="CM33" s="40">
        <f>VLOOKUP($F33,Assumptions!$E$152:$BC$157,COLUMN()-COLUMN($BC$4),FALSE)</f>
        <v>1</v>
      </c>
      <c r="CN33" s="40">
        <f>VLOOKUP($F33,Assumptions!$E$152:$BC$157,COLUMN()-COLUMN($BC$4),FALSE)</f>
        <v>1</v>
      </c>
      <c r="CO33" s="40">
        <f>VLOOKUP($F33,Assumptions!$E$152:$BC$157,COLUMN()-COLUMN($BC$4),FALSE)</f>
        <v>1</v>
      </c>
      <c r="CP33" s="40">
        <f>VLOOKUP($F33,Assumptions!$E$152:$BC$157,COLUMN()-COLUMN($BC$4),FALSE)</f>
        <v>1</v>
      </c>
      <c r="CQ33" s="40">
        <f>VLOOKUP($F33,Assumptions!$E$152:$BC$157,COLUMN()-COLUMN($BC$4),FALSE)</f>
        <v>1</v>
      </c>
      <c r="CR33" s="40">
        <f>VLOOKUP($F33,Assumptions!$E$152:$BC$157,COLUMN()-COLUMN($BC$4),FALSE)</f>
        <v>1</v>
      </c>
      <c r="CS33" s="40">
        <f>VLOOKUP($F33,Assumptions!$E$152:$BC$157,COLUMN()-COLUMN($BC$4),FALSE)</f>
        <v>1</v>
      </c>
      <c r="CT33" s="40">
        <f>VLOOKUP($F33,Assumptions!$E$152:$BC$157,COLUMN()-COLUMN($BC$4),FALSE)</f>
        <v>1</v>
      </c>
      <c r="CU33" s="40">
        <f>VLOOKUP($F33,Assumptions!$E$152:$BC$157,COLUMN()-COLUMN($BC$4),FALSE)</f>
        <v>1</v>
      </c>
      <c r="CV33" s="40">
        <f>VLOOKUP($F33,Assumptions!$E$152:$BC$157,COLUMN()-COLUMN($BC$4),FALSE)</f>
        <v>1</v>
      </c>
      <c r="CW33" s="40">
        <f>VLOOKUP($F33,Assumptions!$E$152:$BC$157,COLUMN()-COLUMN($BC$4),FALSE)</f>
        <v>1</v>
      </c>
      <c r="CX33" s="40">
        <f>VLOOKUP($F33,Assumptions!$E$152:$BC$157,COLUMN()-COLUMN($BC$4),FALSE)</f>
        <v>1</v>
      </c>
      <c r="CY33" s="39"/>
      <c r="CZ33" s="39"/>
      <c r="DA33" s="39"/>
      <c r="DB33" t="str">
        <f t="shared" si="69"/>
        <v>TWD</v>
      </c>
      <c r="DC33" s="39"/>
      <c r="DD33" t="s">
        <v>85</v>
      </c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 t="str">
        <f t="shared" si="48"/>
        <v>\I:</v>
      </c>
      <c r="EX33" s="39" t="str">
        <f t="shared" si="68"/>
        <v/>
      </c>
      <c r="EY33" s="39" t="s">
        <v>133</v>
      </c>
      <c r="EZ33" s="39" t="s">
        <v>85</v>
      </c>
      <c r="FA33" s="39" t="s">
        <v>440</v>
      </c>
    </row>
    <row r="34" spans="3:157">
      <c r="C34" s="39" t="str">
        <f t="shared" si="54"/>
        <v/>
      </c>
      <c r="D34" s="39" t="s">
        <v>52</v>
      </c>
      <c r="E34" s="39"/>
      <c r="F34" s="39" t="s">
        <v>87</v>
      </c>
      <c r="G34" s="40">
        <f>SUMIFS(Assumptions!BD$105:BD$128,Assumptions!$BB$105:$BB$128,'non-road'!$F34,Assumptions!$BC$105:$BC$128,'non-road'!$D34)/SUMIF(Assumptions!$BB$105:$BB$128,'non-road'!$F34,Assumptions!BD$105:BD$128)</f>
        <v>0</v>
      </c>
      <c r="H34" s="40">
        <f>SUMIFS(Assumptions!BE$105:BE$128,Assumptions!$BB$105:$BB$128,'non-road'!$F34,Assumptions!$BC$105:$BC$128,'non-road'!$D34)/SUMIF(Assumptions!$BB$105:$BB$128,'non-road'!$F34,Assumptions!BE$105:BE$128)</f>
        <v>0</v>
      </c>
      <c r="I34" s="40">
        <f>SUMIFS(Assumptions!BF$105:BF$128,Assumptions!$BB$105:$BB$128,'non-road'!$F34,Assumptions!$BC$105:$BC$128,'non-road'!$D34)/SUMIF(Assumptions!$BB$105:$BB$128,'non-road'!$F34,Assumptions!BF$105:BF$128)</f>
        <v>0</v>
      </c>
      <c r="J34" s="40">
        <f>SUMIFS(Assumptions!BG$105:BG$128,Assumptions!$BB$105:$BB$128,'non-road'!$F34,Assumptions!$BC$105:$BC$128,'non-road'!$D34)/SUMIF(Assumptions!$BB$105:$BB$128,'non-road'!$F34,Assumptions!BG$105:BG$128)</f>
        <v>0</v>
      </c>
      <c r="K34" s="40">
        <f>SUMIFS(Assumptions!BH$105:BH$128,Assumptions!$BB$105:$BB$128,'non-road'!$F34,Assumptions!$BC$105:$BC$128,'non-road'!$D34)/SUMIF(Assumptions!$BB$105:$BB$128,'non-road'!$F34,Assumptions!BH$105:BH$128)</f>
        <v>0</v>
      </c>
      <c r="L34" s="40">
        <f>SUMIFS(Assumptions!BI$105:BI$128,Assumptions!$BB$105:$BB$128,'non-road'!$F34,Assumptions!$BC$105:$BC$128,'non-road'!$D34)/SUMIF(Assumptions!$BB$105:$BB$128,'non-road'!$F34,Assumptions!BI$105:BI$128)</f>
        <v>0</v>
      </c>
      <c r="M34" s="40">
        <f>SUMIFS(Assumptions!BJ$105:BJ$128,Assumptions!$BB$105:$BB$128,'non-road'!$F34,Assumptions!$BC$105:$BC$128,'non-road'!$D34)/SUMIF(Assumptions!$BB$105:$BB$128,'non-road'!$F34,Assumptions!BJ$105:BJ$128)</f>
        <v>0</v>
      </c>
      <c r="N34" s="40">
        <f>SUMIFS(Assumptions!BK$105:BK$128,Assumptions!$BB$105:$BB$128,'non-road'!$F34,Assumptions!$BC$105:$BC$128,'non-road'!$D34)/SUMIF(Assumptions!$BB$105:$BB$128,'non-road'!$F34,Assumptions!BK$105:BK$128)</f>
        <v>0</v>
      </c>
      <c r="O34" s="40">
        <f>SUMIFS(Assumptions!BL$105:BL$128,Assumptions!$BB$105:$BB$128,'non-road'!$F34,Assumptions!$BC$105:$BC$128,'non-road'!$D34)/SUMIF(Assumptions!$BB$105:$BB$128,'non-road'!$F34,Assumptions!BL$105:BL$128)</f>
        <v>0</v>
      </c>
      <c r="P34" s="40">
        <f>SUMIFS(Assumptions!BM$105:BM$128,Assumptions!$BB$105:$BB$128,'non-road'!$F34,Assumptions!$BC$105:$BC$128,'non-road'!$D34)/SUMIF(Assumptions!$BB$105:$BB$128,'non-road'!$F34,Assumptions!BM$105:BM$128)</f>
        <v>0</v>
      </c>
      <c r="Q34" s="40">
        <f>SUMIFS(Assumptions!BN$105:BN$128,Assumptions!$BB$105:$BB$128,'non-road'!$F34,Assumptions!$BC$105:$BC$128,'non-road'!$D34)/SUMIF(Assumptions!$BB$105:$BB$128,'non-road'!$F34,Assumptions!BN$105:BN$128)</f>
        <v>0</v>
      </c>
      <c r="R34" s="40">
        <f>SUMIFS(Assumptions!BO$105:BO$128,Assumptions!$BB$105:$BB$128,'non-road'!$F34,Assumptions!$BC$105:$BC$128,'non-road'!$D34)/SUMIF(Assumptions!$BB$105:$BB$128,'non-road'!$F34,Assumptions!BO$105:BO$128)</f>
        <v>0</v>
      </c>
      <c r="S34" s="40">
        <f>SUMIFS(Assumptions!BP$105:BP$128,Assumptions!$BB$105:$BB$128,'non-road'!$F34,Assumptions!$BC$105:$BC$128,'non-road'!$D34)/SUMIF(Assumptions!$BB$105:$BB$128,'non-road'!$F34,Assumptions!BP$105:BP$128)</f>
        <v>0</v>
      </c>
      <c r="T34" s="40">
        <f>SUMIFS(Assumptions!BQ$105:BQ$128,Assumptions!$BB$105:$BB$128,'non-road'!$F34,Assumptions!$BC$105:$BC$128,'non-road'!$D34)/SUMIF(Assumptions!$BB$105:$BB$128,'non-road'!$F34,Assumptions!BQ$105:BQ$128)</f>
        <v>0</v>
      </c>
      <c r="U34" s="40">
        <f>SUMIFS(Assumptions!BR$105:BR$128,Assumptions!$BB$105:$BB$128,'non-road'!$F34,Assumptions!$BC$105:$BC$128,'non-road'!$D34)/SUMIF(Assumptions!$BB$105:$BB$128,'non-road'!$F34,Assumptions!BR$105:BR$128)</f>
        <v>0</v>
      </c>
      <c r="V34" s="40">
        <f>SUMIFS(Assumptions!BS$105:BS$128,Assumptions!$BB$105:$BB$128,'non-road'!$F34,Assumptions!$BC$105:$BC$128,'non-road'!$D34)/SUMIF(Assumptions!$BB$105:$BB$128,'non-road'!$F34,Assumptions!BS$105:BS$128)</f>
        <v>0</v>
      </c>
      <c r="W34" s="40">
        <f>SUMIFS(Assumptions!BT$105:BT$128,Assumptions!$BB$105:$BB$128,'non-road'!$F34,Assumptions!$BC$105:$BC$128,'non-road'!$D34)/SUMIF(Assumptions!$BB$105:$BB$128,'non-road'!$F34,Assumptions!BT$105:BT$128)</f>
        <v>0</v>
      </c>
      <c r="X34" s="40">
        <f>SUMIFS(Assumptions!BU$105:BU$128,Assumptions!$BB$105:$BB$128,'non-road'!$F34,Assumptions!$BC$105:$BC$128,'non-road'!$D34)/SUMIF(Assumptions!$BB$105:$BB$128,'non-road'!$F34,Assumptions!BU$105:BU$128)</f>
        <v>0</v>
      </c>
      <c r="Y34" s="40">
        <f>SUMIFS(Assumptions!BV$105:BV$128,Assumptions!$BB$105:$BB$128,'non-road'!$F34,Assumptions!$BC$105:$BC$128,'non-road'!$D34)/SUMIF(Assumptions!$BB$105:$BB$128,'non-road'!$F34,Assumptions!BV$105:BV$128)</f>
        <v>0</v>
      </c>
      <c r="Z34" s="40">
        <f>SUMIFS(Assumptions!BW$105:BW$128,Assumptions!$BB$105:$BB$128,'non-road'!$F34,Assumptions!$BC$105:$BC$128,'non-road'!$D34)/SUMIF(Assumptions!$BB$105:$BB$128,'non-road'!$F34,Assumptions!BW$105:BW$128)</f>
        <v>0</v>
      </c>
      <c r="AA34" s="40" t="e">
        <f>SUMIFS(Assumptions!BX$105:BX$128,Assumptions!$BB$105:$BB$128,'non-road'!$F34,Assumptions!$BC$105:$BC$128,'non-road'!$D34)/SUMIF(Assumptions!$BB$105:$BB$128,'non-road'!$F34,Assumptions!BX$105:BX$128)</f>
        <v>#DIV/0!</v>
      </c>
      <c r="AB34" s="40">
        <f>SUMIFS(Assumptions!BY$105:BY$128,Assumptions!$BB$105:$BB$128,'non-road'!$F34,Assumptions!$BC$105:$BC$128,'non-road'!$D34)/SUMIF(Assumptions!$BB$105:$BB$128,'non-road'!$F34,Assumptions!BY$105:BY$128)</f>
        <v>0</v>
      </c>
      <c r="AC34" s="40">
        <f>SUMIFS(Assumptions!BZ$105:BZ$128,Assumptions!$BB$105:$BB$128,'non-road'!$F34,Assumptions!$BC$105:$BC$128,'non-road'!$D34)/SUMIF(Assumptions!$BB$105:$BB$128,'non-road'!$F34,Assumptions!BZ$105:BZ$128)</f>
        <v>0.0750991306171607</v>
      </c>
      <c r="AD34" s="40">
        <f>SUMIFS(Assumptions!CA$105:CA$128,Assumptions!$BB$105:$BB$128,'non-road'!$F34,Assumptions!$BC$105:$BC$128,'non-road'!$D34)/SUMIF(Assumptions!$BB$105:$BB$128,'non-road'!$F34,Assumptions!CA$105:CA$128)</f>
        <v>0</v>
      </c>
      <c r="AE34" s="40">
        <f>SUMIFS(Assumptions!CB$105:CB$128,Assumptions!$BB$105:$BB$128,'non-road'!$F34,Assumptions!$BC$105:$BC$128,'non-road'!$D34)/SUMIF(Assumptions!$BB$105:$BB$128,'non-road'!$F34,Assumptions!CB$105:CB$128)</f>
        <v>0</v>
      </c>
      <c r="AF34" s="40">
        <f>SUMIFS(Assumptions!CC$105:CC$128,Assumptions!$BB$105:$BB$128,'non-road'!$F34,Assumptions!$BC$105:$BC$128,'non-road'!$D34)/SUMIF(Assumptions!$BB$105:$BB$128,'non-road'!$F34,Assumptions!CC$105:CC$128)</f>
        <v>0</v>
      </c>
      <c r="AG34" s="40" t="e">
        <f>SUMIFS(Assumptions!CD$105:CD$128,Assumptions!$BB$105:$BB$128,'non-road'!$F34,Assumptions!$BC$105:$BC$128,'non-road'!$D34)/SUMIF(Assumptions!$BB$105:$BB$128,'non-road'!$F34,Assumptions!CD$105:CD$128)</f>
        <v>#DIV/0!</v>
      </c>
      <c r="AH34" s="40">
        <f>SUMIFS(Assumptions!CE$105:CE$128,Assumptions!$BB$105:$BB$128,'non-road'!$F34,Assumptions!$BC$105:$BC$128,'non-road'!$D34)/SUMIF(Assumptions!$BB$105:$BB$128,'non-road'!$F34,Assumptions!CE$105:CE$128)</f>
        <v>0</v>
      </c>
      <c r="AI34" s="40">
        <f>SUMIFS(Assumptions!CF$105:CF$128,Assumptions!$BB$105:$BB$128,'non-road'!$F34,Assumptions!$BC$105:$BC$128,'non-road'!$D34)/SUMIF(Assumptions!$BB$105:$BB$128,'non-road'!$F34,Assumptions!CF$105:CF$128)</f>
        <v>0</v>
      </c>
      <c r="AJ34" s="40">
        <f>SUMIFS(Assumptions!CG$105:CG$128,Assumptions!$BB$105:$BB$128,'non-road'!$F34,Assumptions!$BC$105:$BC$128,'non-road'!$D34)/SUMIF(Assumptions!$BB$105:$BB$128,'non-road'!$F34,Assumptions!CG$105:CG$128)</f>
        <v>0</v>
      </c>
      <c r="AK34" s="40">
        <f>SUMIFS(Assumptions!CH$105:CH$128,Assumptions!$BB$105:$BB$128,'non-road'!$F34,Assumptions!$BC$105:$BC$128,'non-road'!$D34)/SUMIF(Assumptions!$BB$105:$BB$128,'non-road'!$F34,Assumptions!CH$105:CH$128)</f>
        <v>0</v>
      </c>
      <c r="AL34" s="40">
        <f>SUMIFS(Assumptions!CI$105:CI$128,Assumptions!$BB$105:$BB$128,'non-road'!$F34,Assumptions!$BC$105:$BC$128,'non-road'!$D34)/SUMIF(Assumptions!$BB$105:$BB$128,'non-road'!$F34,Assumptions!CI$105:CI$128)</f>
        <v>0</v>
      </c>
      <c r="AM34" s="40">
        <f>SUMIFS(Assumptions!CJ$105:CJ$128,Assumptions!$BB$105:$BB$128,'non-road'!$F34,Assumptions!$BC$105:$BC$128,'non-road'!$D34)/SUMIF(Assumptions!$BB$105:$BB$128,'non-road'!$F34,Assumptions!CJ$105:CJ$128)</f>
        <v>0</v>
      </c>
      <c r="AN34" s="40">
        <f>SUMIFS(Assumptions!CK$105:CK$128,Assumptions!$BB$105:$BB$128,'non-road'!$F34,Assumptions!$BC$105:$BC$128,'non-road'!$D34)/SUMIF(Assumptions!$BB$105:$BB$128,'non-road'!$F34,Assumptions!CK$105:CK$128)</f>
        <v>0</v>
      </c>
      <c r="AO34" s="40">
        <f>SUMIFS(Assumptions!CL$105:CL$128,Assumptions!$BB$105:$BB$128,'non-road'!$F34,Assumptions!$BC$105:$BC$128,'non-road'!$D34)/SUMIF(Assumptions!$BB$105:$BB$128,'non-road'!$F34,Assumptions!CL$105:CL$128)</f>
        <v>0</v>
      </c>
      <c r="AP34" s="40" t="e">
        <f>SUMIFS(Assumptions!CM$105:CM$128,Assumptions!$BB$105:$BB$128,'non-road'!$F34,Assumptions!$BC$105:$BC$128,'non-road'!$D34)/SUMIF(Assumptions!$BB$105:$BB$128,'non-road'!$F34,Assumptions!CM$105:CM$128)</f>
        <v>#DIV/0!</v>
      </c>
      <c r="AQ34" s="40" t="e">
        <f>SUMIFS(Assumptions!CN$105:CN$128,Assumptions!$BB$105:$BB$128,'non-road'!$F34,Assumptions!$BC$105:$BC$128,'non-road'!$D34)/SUMIF(Assumptions!$BB$105:$BB$128,'non-road'!$F34,Assumptions!CN$105:CN$128)</f>
        <v>#DIV/0!</v>
      </c>
      <c r="AR34" s="40" t="e">
        <f>SUMIFS(Assumptions!CO$105:CO$128,Assumptions!$BB$105:$BB$128,'non-road'!$F34,Assumptions!$BC$105:$BC$128,'non-road'!$D34)/SUMIF(Assumptions!$BB$105:$BB$128,'non-road'!$F34,Assumptions!CO$105:CO$128)</f>
        <v>#DIV/0!</v>
      </c>
      <c r="AS34" s="40" t="e">
        <f>SUMIFS(Assumptions!CP$105:CP$128,Assumptions!$BB$105:$BB$128,'non-road'!$F34,Assumptions!$BC$105:$BC$128,'non-road'!$D34)/SUMIF(Assumptions!$BB$105:$BB$128,'non-road'!$F34,Assumptions!CP$105:CP$128)</f>
        <v>#DIV/0!</v>
      </c>
      <c r="AT34" s="40" t="e">
        <f>SUMIFS(Assumptions!CQ$105:CQ$128,Assumptions!$BB$105:$BB$128,'non-road'!$F34,Assumptions!$BC$105:$BC$128,'non-road'!$D34)/SUMIF(Assumptions!$BB$105:$BB$128,'non-road'!$F34,Assumptions!CQ$105:CQ$128)</f>
        <v>#DIV/0!</v>
      </c>
      <c r="AU34" s="40" t="e">
        <f>SUMIFS(Assumptions!CR$105:CR$128,Assumptions!$BB$105:$BB$128,'non-road'!$F34,Assumptions!$BC$105:$BC$128,'non-road'!$D34)/SUMIF(Assumptions!$BB$105:$BB$128,'non-road'!$F34,Assumptions!CR$105:CR$128)</f>
        <v>#DIV/0!</v>
      </c>
      <c r="AV34" s="40" t="e">
        <f>SUMIFS(Assumptions!CS$105:CS$128,Assumptions!$BB$105:$BB$128,'non-road'!$F34,Assumptions!$BC$105:$BC$128,'non-road'!$D34)/SUMIF(Assumptions!$BB$105:$BB$128,'non-road'!$F34,Assumptions!CS$105:CS$128)</f>
        <v>#DIV/0!</v>
      </c>
      <c r="AW34" s="40" t="e">
        <f>SUMIFS(Assumptions!CT$105:CT$128,Assumptions!$BB$105:$BB$128,'non-road'!$F34,Assumptions!$BC$105:$BC$128,'non-road'!$D34)/SUMIF(Assumptions!$BB$105:$BB$128,'non-road'!$F34,Assumptions!CT$105:CT$128)</f>
        <v>#DIV/0!</v>
      </c>
      <c r="AX34" s="40" t="e">
        <f>SUMIFS(Assumptions!CU$105:CU$128,Assumptions!$BB$105:$BB$128,'non-road'!$F34,Assumptions!$BC$105:$BC$128,'non-road'!$D34)/SUMIF(Assumptions!$BB$105:$BB$128,'non-road'!$F34,Assumptions!CU$105:CU$128)</f>
        <v>#DIV/0!</v>
      </c>
      <c r="AY34" s="40" t="e">
        <f>SUMIFS(Assumptions!CV$105:CV$128,Assumptions!$BB$105:$BB$128,'non-road'!$F34,Assumptions!$BC$105:$BC$128,'non-road'!$D34)/SUMIF(Assumptions!$BB$105:$BB$128,'non-road'!$F34,Assumptions!CV$105:CV$128)</f>
        <v>#DIV/0!</v>
      </c>
      <c r="AZ34" s="40" t="e">
        <f>SUMIFS(Assumptions!CW$105:CW$128,Assumptions!$BB$105:$BB$128,'non-road'!$F34,Assumptions!$BC$105:$BC$128,'non-road'!$D34)/SUMIF(Assumptions!$BB$105:$BB$128,'non-road'!$F34,Assumptions!CW$105:CW$128)</f>
        <v>#DIV/0!</v>
      </c>
      <c r="BD34" s="39" t="str">
        <f t="shared" si="55"/>
        <v>\I:</v>
      </c>
      <c r="BE34" s="40">
        <f>VLOOKUP($F34,Assumptions!$E$152:$BC$157,COLUMN()-COLUMN($BC$4),FALSE)</f>
        <v>1</v>
      </c>
      <c r="BF34" s="40">
        <f>VLOOKUP($F34,Assumptions!$E$152:$BC$157,COLUMN()-COLUMN($BC$4),FALSE)</f>
        <v>1</v>
      </c>
      <c r="BG34" s="40">
        <f>VLOOKUP($F34,Assumptions!$E$152:$BC$157,COLUMN()-COLUMN($BC$4),FALSE)</f>
        <v>1</v>
      </c>
      <c r="BH34" s="40">
        <f>VLOOKUP($F34,Assumptions!$E$152:$BC$157,COLUMN()-COLUMN($BC$4),FALSE)</f>
        <v>1</v>
      </c>
      <c r="BI34" s="40">
        <f>VLOOKUP($F34,Assumptions!$E$152:$BC$157,COLUMN()-COLUMN($BC$4),FALSE)</f>
        <v>1</v>
      </c>
      <c r="BJ34" s="40">
        <f>VLOOKUP($F34,Assumptions!$E$152:$BC$157,COLUMN()-COLUMN($BC$4),FALSE)</f>
        <v>1</v>
      </c>
      <c r="BK34" s="40">
        <f>VLOOKUP($F34,Assumptions!$E$152:$BC$157,COLUMN()-COLUMN($BC$4),FALSE)</f>
        <v>1</v>
      </c>
      <c r="BL34" s="40">
        <f>VLOOKUP($F34,Assumptions!$E$152:$BC$157,COLUMN()-COLUMN($BC$4),FALSE)</f>
        <v>1</v>
      </c>
      <c r="BM34" s="40">
        <f>VLOOKUP($F34,Assumptions!$E$152:$BC$157,COLUMN()-COLUMN($BC$4),FALSE)</f>
        <v>1</v>
      </c>
      <c r="BN34" s="40">
        <f>VLOOKUP($F34,Assumptions!$E$152:$BC$157,COLUMN()-COLUMN($BC$4),FALSE)</f>
        <v>1</v>
      </c>
      <c r="BO34" s="40">
        <f>VLOOKUP($F34,Assumptions!$E$152:$BC$157,COLUMN()-COLUMN($BC$4),FALSE)</f>
        <v>1</v>
      </c>
      <c r="BP34" s="40">
        <f>VLOOKUP($F34,Assumptions!$E$152:$BC$157,COLUMN()-COLUMN($BC$4),FALSE)</f>
        <v>1</v>
      </c>
      <c r="BQ34" s="40">
        <f>VLOOKUP($F34,Assumptions!$E$152:$BC$157,COLUMN()-COLUMN($BC$4),FALSE)</f>
        <v>1</v>
      </c>
      <c r="BR34" s="40">
        <f>VLOOKUP($F34,Assumptions!$E$152:$BC$157,COLUMN()-COLUMN($BC$4),FALSE)</f>
        <v>1</v>
      </c>
      <c r="BS34" s="40">
        <f>VLOOKUP($F34,Assumptions!$E$152:$BC$157,COLUMN()-COLUMN($BC$4),FALSE)</f>
        <v>1</v>
      </c>
      <c r="BT34" s="40">
        <f>VLOOKUP($F34,Assumptions!$E$152:$BC$157,COLUMN()-COLUMN($BC$4),FALSE)</f>
        <v>1</v>
      </c>
      <c r="BU34" s="40">
        <f>VLOOKUP($F34,Assumptions!$E$152:$BC$157,COLUMN()-COLUMN($BC$4),FALSE)</f>
        <v>1</v>
      </c>
      <c r="BV34" s="40">
        <f>VLOOKUP($F34,Assumptions!$E$152:$BC$157,COLUMN()-COLUMN($BC$4),FALSE)</f>
        <v>1</v>
      </c>
      <c r="BW34" s="40">
        <f>VLOOKUP($F34,Assumptions!$E$152:$BC$157,COLUMN()-COLUMN($BC$4),FALSE)</f>
        <v>1</v>
      </c>
      <c r="BX34" s="40">
        <f>VLOOKUP($F34,Assumptions!$E$152:$BC$157,COLUMN()-COLUMN($BC$4),FALSE)</f>
        <v>1</v>
      </c>
      <c r="BY34" s="40">
        <f>VLOOKUP($F34,Assumptions!$E$152:$BC$157,COLUMN()-COLUMN($BC$4),FALSE)</f>
        <v>1</v>
      </c>
      <c r="BZ34" s="40">
        <f>VLOOKUP($F34,Assumptions!$E$152:$BC$157,COLUMN()-COLUMN($BC$4),FALSE)</f>
        <v>1</v>
      </c>
      <c r="CA34" s="40">
        <f>VLOOKUP($F34,Assumptions!$E$152:$BC$157,COLUMN()-COLUMN($BC$4),FALSE)</f>
        <v>1</v>
      </c>
      <c r="CB34" s="40">
        <f>VLOOKUP($F34,Assumptions!$E$152:$BC$157,COLUMN()-COLUMN($BC$4),FALSE)</f>
        <v>1</v>
      </c>
      <c r="CC34" s="40">
        <f>VLOOKUP($F34,Assumptions!$E$152:$BC$157,COLUMN()-COLUMN($BC$4),FALSE)</f>
        <v>1</v>
      </c>
      <c r="CD34" s="40">
        <f>VLOOKUP($F34,Assumptions!$E$152:$BC$157,COLUMN()-COLUMN($BC$4),FALSE)</f>
        <v>1</v>
      </c>
      <c r="CE34" s="40">
        <f>VLOOKUP($F34,Assumptions!$E$152:$BC$157,COLUMN()-COLUMN($BC$4),FALSE)</f>
        <v>1</v>
      </c>
      <c r="CF34" s="40">
        <f>VLOOKUP($F34,Assumptions!$E$152:$BC$157,COLUMN()-COLUMN($BC$4),FALSE)</f>
        <v>1</v>
      </c>
      <c r="CG34" s="40">
        <f>VLOOKUP($F34,Assumptions!$E$152:$BC$157,COLUMN()-COLUMN($BC$4),FALSE)</f>
        <v>1</v>
      </c>
      <c r="CH34" s="40">
        <f>VLOOKUP($F34,Assumptions!$E$152:$BC$157,COLUMN()-COLUMN($BC$4),FALSE)</f>
        <v>1</v>
      </c>
      <c r="CI34" s="40">
        <f>VLOOKUP($F34,Assumptions!$E$152:$BC$157,COLUMN()-COLUMN($BC$4),FALSE)</f>
        <v>1</v>
      </c>
      <c r="CJ34" s="40">
        <f>VLOOKUP($F34,Assumptions!$E$152:$BC$157,COLUMN()-COLUMN($BC$4),FALSE)</f>
        <v>1</v>
      </c>
      <c r="CK34" s="40">
        <f>VLOOKUP($F34,Assumptions!$E$152:$BC$157,COLUMN()-COLUMN($BC$4),FALSE)</f>
        <v>1</v>
      </c>
      <c r="CL34" s="40">
        <f>VLOOKUP($F34,Assumptions!$E$152:$BC$157,COLUMN()-COLUMN($BC$4),FALSE)</f>
        <v>1</v>
      </c>
      <c r="CM34" s="40">
        <f>VLOOKUP($F34,Assumptions!$E$152:$BC$157,COLUMN()-COLUMN($BC$4),FALSE)</f>
        <v>1</v>
      </c>
      <c r="CN34" s="40">
        <f>VLOOKUP($F34,Assumptions!$E$152:$BC$157,COLUMN()-COLUMN($BC$4),FALSE)</f>
        <v>1</v>
      </c>
      <c r="CO34" s="40">
        <f>VLOOKUP($F34,Assumptions!$E$152:$BC$157,COLUMN()-COLUMN($BC$4),FALSE)</f>
        <v>1</v>
      </c>
      <c r="CP34" s="40">
        <f>VLOOKUP($F34,Assumptions!$E$152:$BC$157,COLUMN()-COLUMN($BC$4),FALSE)</f>
        <v>1</v>
      </c>
      <c r="CQ34" s="40">
        <f>VLOOKUP($F34,Assumptions!$E$152:$BC$157,COLUMN()-COLUMN($BC$4),FALSE)</f>
        <v>1</v>
      </c>
      <c r="CR34" s="40">
        <f>VLOOKUP($F34,Assumptions!$E$152:$BC$157,COLUMN()-COLUMN($BC$4),FALSE)</f>
        <v>1</v>
      </c>
      <c r="CS34" s="40">
        <f>VLOOKUP($F34,Assumptions!$E$152:$BC$157,COLUMN()-COLUMN($BC$4),FALSE)</f>
        <v>1</v>
      </c>
      <c r="CT34" s="40">
        <f>VLOOKUP($F34,Assumptions!$E$152:$BC$157,COLUMN()-COLUMN($BC$4),FALSE)</f>
        <v>1</v>
      </c>
      <c r="CU34" s="40">
        <f>VLOOKUP($F34,Assumptions!$E$152:$BC$157,COLUMN()-COLUMN($BC$4),FALSE)</f>
        <v>1</v>
      </c>
      <c r="CV34" s="40">
        <f>VLOOKUP($F34,Assumptions!$E$152:$BC$157,COLUMN()-COLUMN($BC$4),FALSE)</f>
        <v>1</v>
      </c>
      <c r="CW34" s="40">
        <f>VLOOKUP($F34,Assumptions!$E$152:$BC$157,COLUMN()-COLUMN($BC$4),FALSE)</f>
        <v>1</v>
      </c>
      <c r="CX34" s="40">
        <f>VLOOKUP($F34,Assumptions!$E$152:$BC$157,COLUMN()-COLUMN($BC$4),FALSE)</f>
        <v>1</v>
      </c>
      <c r="CY34" s="39"/>
      <c r="CZ34" s="39"/>
      <c r="DA34" s="39"/>
      <c r="DB34" t="str">
        <f t="shared" si="69"/>
        <v>TWI</v>
      </c>
      <c r="DC34" s="39"/>
      <c r="DD34" t="s">
        <v>85</v>
      </c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 t="str">
        <f t="shared" si="48"/>
        <v>DMD</v>
      </c>
      <c r="EX34" s="39" t="str">
        <f t="shared" si="68"/>
        <v>TWI_Generic</v>
      </c>
      <c r="EY34" s="39" t="s">
        <v>451</v>
      </c>
      <c r="EZ34" s="39" t="s">
        <v>85</v>
      </c>
      <c r="FA34" s="39" t="s">
        <v>440</v>
      </c>
    </row>
    <row r="35" spans="3:157">
      <c r="C35" s="39" t="str">
        <f>IF(F61&lt;&gt;F34,F61&amp;"_Generic","")</f>
        <v>TWI_Generic</v>
      </c>
      <c r="D35" t="s">
        <v>133</v>
      </c>
      <c r="BD35" s="39" t="str">
        <f t="shared" si="55"/>
        <v>TWI_Generic</v>
      </c>
      <c r="BE35" s="40">
        <f>VLOOKUP($F61,Assumptions!$E$152:$BC$157,COLUMN()-COLUMN($BC$4),FALSE)</f>
        <v>1</v>
      </c>
      <c r="BF35" s="40">
        <f>VLOOKUP($F61,Assumptions!$E$152:$BC$157,COLUMN()-COLUMN($BC$4),FALSE)</f>
        <v>1</v>
      </c>
      <c r="BG35" s="40">
        <f>VLOOKUP($F61,Assumptions!$E$152:$BC$157,COLUMN()-COLUMN($BC$4),FALSE)</f>
        <v>1</v>
      </c>
      <c r="BH35" s="40">
        <f>VLOOKUP($F61,Assumptions!$E$152:$BC$157,COLUMN()-COLUMN($BC$4),FALSE)</f>
        <v>1</v>
      </c>
      <c r="BI35" s="40">
        <f>VLOOKUP($F61,Assumptions!$E$152:$BC$157,COLUMN()-COLUMN($BC$4),FALSE)</f>
        <v>1</v>
      </c>
      <c r="BJ35" s="40">
        <f>VLOOKUP($F61,Assumptions!$E$152:$BC$157,COLUMN()-COLUMN($BC$4),FALSE)</f>
        <v>1</v>
      </c>
      <c r="BK35" s="40">
        <f>VLOOKUP($F61,Assumptions!$E$152:$BC$157,COLUMN()-COLUMN($BC$4),FALSE)</f>
        <v>1</v>
      </c>
      <c r="BL35" s="40">
        <f>VLOOKUP($F61,Assumptions!$E$152:$BC$157,COLUMN()-COLUMN($BC$4),FALSE)</f>
        <v>1</v>
      </c>
      <c r="BM35" s="40">
        <f>VLOOKUP($F61,Assumptions!$E$152:$BC$157,COLUMN()-COLUMN($BC$4),FALSE)</f>
        <v>1</v>
      </c>
      <c r="BN35" s="40">
        <f>VLOOKUP($F61,Assumptions!$E$152:$BC$157,COLUMN()-COLUMN($BC$4),FALSE)</f>
        <v>1</v>
      </c>
      <c r="BO35" s="40">
        <f>VLOOKUP($F61,Assumptions!$E$152:$BC$157,COLUMN()-COLUMN($BC$4),FALSE)</f>
        <v>1</v>
      </c>
      <c r="BP35" s="40">
        <f>VLOOKUP($F61,Assumptions!$E$152:$BC$157,COLUMN()-COLUMN($BC$4),FALSE)</f>
        <v>1</v>
      </c>
      <c r="BQ35" s="40">
        <f>VLOOKUP($F61,Assumptions!$E$152:$BC$157,COLUMN()-COLUMN($BC$4),FALSE)</f>
        <v>1</v>
      </c>
      <c r="BR35" s="40">
        <f>VLOOKUP($F61,Assumptions!$E$152:$BC$157,COLUMN()-COLUMN($BC$4),FALSE)</f>
        <v>1</v>
      </c>
      <c r="BS35" s="40">
        <f>VLOOKUP($F61,Assumptions!$E$152:$BC$157,COLUMN()-COLUMN($BC$4),FALSE)</f>
        <v>1</v>
      </c>
      <c r="BT35" s="40">
        <f>VLOOKUP($F61,Assumptions!$E$152:$BC$157,COLUMN()-COLUMN($BC$4),FALSE)</f>
        <v>1</v>
      </c>
      <c r="BU35" s="40">
        <f>VLOOKUP($F61,Assumptions!$E$152:$BC$157,COLUMN()-COLUMN($BC$4),FALSE)</f>
        <v>1</v>
      </c>
      <c r="BV35" s="40">
        <f>VLOOKUP($F61,Assumptions!$E$152:$BC$157,COLUMN()-COLUMN($BC$4),FALSE)</f>
        <v>1</v>
      </c>
      <c r="BW35" s="40">
        <f>VLOOKUP($F61,Assumptions!$E$152:$BC$157,COLUMN()-COLUMN($BC$4),FALSE)</f>
        <v>1</v>
      </c>
      <c r="BX35" s="40">
        <f>VLOOKUP($F61,Assumptions!$E$152:$BC$157,COLUMN()-COLUMN($BC$4),FALSE)</f>
        <v>1</v>
      </c>
      <c r="BY35" s="40">
        <f>VLOOKUP($F61,Assumptions!$E$152:$BC$157,COLUMN()-COLUMN($BC$4),FALSE)</f>
        <v>1</v>
      </c>
      <c r="BZ35" s="40">
        <f>VLOOKUP($F61,Assumptions!$E$152:$BC$157,COLUMN()-COLUMN($BC$4),FALSE)</f>
        <v>1</v>
      </c>
      <c r="CA35" s="40">
        <f>VLOOKUP($F61,Assumptions!$E$152:$BC$157,COLUMN()-COLUMN($BC$4),FALSE)</f>
        <v>1</v>
      </c>
      <c r="CB35" s="40">
        <f>VLOOKUP($F61,Assumptions!$E$152:$BC$157,COLUMN()-COLUMN($BC$4),FALSE)</f>
        <v>1</v>
      </c>
      <c r="CC35" s="40">
        <f>VLOOKUP($F61,Assumptions!$E$152:$BC$157,COLUMN()-COLUMN($BC$4),FALSE)</f>
        <v>1</v>
      </c>
      <c r="CD35" s="40">
        <f>VLOOKUP($F61,Assumptions!$E$152:$BC$157,COLUMN()-COLUMN($BC$4),FALSE)</f>
        <v>1</v>
      </c>
      <c r="CE35" s="40">
        <f>VLOOKUP($F61,Assumptions!$E$152:$BC$157,COLUMN()-COLUMN($BC$4),FALSE)</f>
        <v>1</v>
      </c>
      <c r="CF35" s="40">
        <f>VLOOKUP($F61,Assumptions!$E$152:$BC$157,COLUMN()-COLUMN($BC$4),FALSE)</f>
        <v>1</v>
      </c>
      <c r="CG35" s="40">
        <f>VLOOKUP($F61,Assumptions!$E$152:$BC$157,COLUMN()-COLUMN($BC$4),FALSE)</f>
        <v>1</v>
      </c>
      <c r="CH35" s="40">
        <f>VLOOKUP($F61,Assumptions!$E$152:$BC$157,COLUMN()-COLUMN($BC$4),FALSE)</f>
        <v>1</v>
      </c>
      <c r="CI35" s="40">
        <f>VLOOKUP($F61,Assumptions!$E$152:$BC$157,COLUMN()-COLUMN($BC$4),FALSE)</f>
        <v>1</v>
      </c>
      <c r="CJ35" s="40">
        <f>VLOOKUP($F61,Assumptions!$E$152:$BC$157,COLUMN()-COLUMN($BC$4),FALSE)</f>
        <v>1</v>
      </c>
      <c r="CK35" s="40">
        <f>VLOOKUP($F61,Assumptions!$E$152:$BC$157,COLUMN()-COLUMN($BC$4),FALSE)</f>
        <v>1</v>
      </c>
      <c r="CL35" s="40">
        <f>VLOOKUP($F61,Assumptions!$E$152:$BC$157,COLUMN()-COLUMN($BC$4),FALSE)</f>
        <v>1</v>
      </c>
      <c r="CM35" s="40">
        <f>VLOOKUP($F61,Assumptions!$E$152:$BC$157,COLUMN()-COLUMN($BC$4),FALSE)</f>
        <v>1</v>
      </c>
      <c r="CN35" s="40">
        <f>VLOOKUP($F61,Assumptions!$E$152:$BC$157,COLUMN()-COLUMN($BC$4),FALSE)</f>
        <v>1</v>
      </c>
      <c r="CO35" s="40">
        <f>VLOOKUP($F61,Assumptions!$E$152:$BC$157,COLUMN()-COLUMN($BC$4),FALSE)</f>
        <v>1</v>
      </c>
      <c r="CP35" s="40">
        <f>VLOOKUP($F61,Assumptions!$E$152:$BC$157,COLUMN()-COLUMN($BC$4),FALSE)</f>
        <v>1</v>
      </c>
      <c r="CQ35" s="40">
        <f>VLOOKUP($F61,Assumptions!$E$152:$BC$157,COLUMN()-COLUMN($BC$4),FALSE)</f>
        <v>1</v>
      </c>
      <c r="CR35" s="40">
        <f>VLOOKUP($F61,Assumptions!$E$152:$BC$157,COLUMN()-COLUMN($BC$4),FALSE)</f>
        <v>1</v>
      </c>
      <c r="CS35" s="40">
        <f>VLOOKUP($F61,Assumptions!$E$152:$BC$157,COLUMN()-COLUMN($BC$4),FALSE)</f>
        <v>1</v>
      </c>
      <c r="CT35" s="40">
        <f>VLOOKUP($F61,Assumptions!$E$152:$BC$157,COLUMN()-COLUMN($BC$4),FALSE)</f>
        <v>1</v>
      </c>
      <c r="CU35" s="40">
        <f>VLOOKUP($F61,Assumptions!$E$152:$BC$157,COLUMN()-COLUMN($BC$4),FALSE)</f>
        <v>1</v>
      </c>
      <c r="CV35" s="40">
        <f>VLOOKUP($F61,Assumptions!$E$152:$BC$157,COLUMN()-COLUMN($BC$4),FALSE)</f>
        <v>1</v>
      </c>
      <c r="CW35" s="40">
        <f>VLOOKUP($F61,Assumptions!$E$152:$BC$157,COLUMN()-COLUMN($BC$4),FALSE)</f>
        <v>1</v>
      </c>
      <c r="CX35" s="40">
        <f>VLOOKUP($F61,Assumptions!$E$152:$BC$157,COLUMN()-COLUMN($BC$4),FALSE)</f>
        <v>1</v>
      </c>
      <c r="CY35" s="39"/>
      <c r="CZ35" s="39"/>
      <c r="DA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 t="str">
        <f t="shared" si="48"/>
        <v>\I:</v>
      </c>
      <c r="EX35" s="39" t="str">
        <f t="shared" si="68"/>
        <v/>
      </c>
      <c r="EY35" s="39" t="s">
        <v>133</v>
      </c>
      <c r="EZ35" s="39" t="s">
        <v>85</v>
      </c>
      <c r="FA35" s="39" t="s">
        <v>440</v>
      </c>
    </row>
    <row r="36" spans="3:157">
      <c r="C36" s="39" t="str">
        <f>IF(F36&lt;&gt;F61,F36&amp;"_Generic","")</f>
        <v/>
      </c>
      <c r="D36" s="39" t="s">
        <v>60</v>
      </c>
      <c r="E36" s="39"/>
      <c r="F36" s="39" t="s">
        <v>88</v>
      </c>
      <c r="G36" s="40">
        <f>SUMIFS(Assumptions!BD$105:BD$128,Assumptions!$BB$105:$BB$128,'non-road'!$F36,Assumptions!$BC$105:$BC$128,'non-road'!$D36)/SUMIF(Assumptions!$BB$105:$BB$128,'non-road'!$F36,Assumptions!BD$105:BD$128)</f>
        <v>0.255062074520259</v>
      </c>
      <c r="H36" s="40">
        <f>SUMIFS(Assumptions!BE$105:BE$128,Assumptions!$BB$105:$BB$128,'non-road'!$F36,Assumptions!$BC$105:$BC$128,'non-road'!$D36)/SUMIF(Assumptions!$BB$105:$BB$128,'non-road'!$F36,Assumptions!BE$105:BE$128)</f>
        <v>0.396021703757666</v>
      </c>
      <c r="I36" s="40">
        <f>SUMIFS(Assumptions!BF$105:BF$128,Assumptions!$BB$105:$BB$128,'non-road'!$F36,Assumptions!$BC$105:$BC$128,'non-road'!$D36)/SUMIF(Assumptions!$BB$105:$BB$128,'non-road'!$F36,Assumptions!BF$105:BF$128)</f>
        <v>0.101608844201598</v>
      </c>
      <c r="J36" s="40">
        <f>SUMIFS(Assumptions!BG$105:BG$128,Assumptions!$BB$105:$BB$128,'non-road'!$F36,Assumptions!$BC$105:$BC$128,'non-road'!$D36)/SUMIF(Assumptions!$BB$105:$BB$128,'non-road'!$F36,Assumptions!BG$105:BG$128)</f>
        <v>1</v>
      </c>
      <c r="K36" s="40">
        <f>SUMIFS(Assumptions!BH$105:BH$128,Assumptions!$BB$105:$BB$128,'non-road'!$F36,Assumptions!$BC$105:$BC$128,'non-road'!$D36)/SUMIF(Assumptions!$BB$105:$BB$128,'non-road'!$F36,Assumptions!BH$105:BH$128)</f>
        <v>0.588802336599853</v>
      </c>
      <c r="L36" s="40">
        <f>SUMIFS(Assumptions!BI$105:BI$128,Assumptions!$BB$105:$BB$128,'non-road'!$F36,Assumptions!$BC$105:$BC$128,'non-road'!$D36)/SUMIF(Assumptions!$BB$105:$BB$128,'non-road'!$F36,Assumptions!BI$105:BI$128)</f>
        <v>0.164058805228167</v>
      </c>
      <c r="M36" s="40">
        <f>SUMIFS(Assumptions!BJ$105:BJ$128,Assumptions!$BB$105:$BB$128,'non-road'!$F36,Assumptions!$BC$105:$BC$128,'non-road'!$D36)/SUMIF(Assumptions!$BB$105:$BB$128,'non-road'!$F36,Assumptions!BJ$105:BJ$128)</f>
        <v>0.141699829906107</v>
      </c>
      <c r="N36" s="40">
        <f>SUMIFS(Assumptions!BK$105:BK$128,Assumptions!$BB$105:$BB$128,'non-road'!$F36,Assumptions!$BC$105:$BC$128,'non-road'!$D36)/SUMIF(Assumptions!$BB$105:$BB$128,'non-road'!$F36,Assumptions!BK$105:BK$128)</f>
        <v>0.0684653380314056</v>
      </c>
      <c r="O36" s="40">
        <f>SUMIFS(Assumptions!BL$105:BL$128,Assumptions!$BB$105:$BB$128,'non-road'!$F36,Assumptions!$BC$105:$BC$128,'non-road'!$D36)/SUMIF(Assumptions!$BB$105:$BB$128,'non-road'!$F36,Assumptions!BL$105:BL$128)</f>
        <v>0.232153177993681</v>
      </c>
      <c r="P36" s="40" t="e">
        <f>SUMIFS(Assumptions!BM$105:BM$128,Assumptions!$BB$105:$BB$128,'non-road'!$F36,Assumptions!$BC$105:$BC$128,'non-road'!$D36)/SUMIF(Assumptions!$BB$105:$BB$128,'non-road'!$F36,Assumptions!BM$105:BM$128)</f>
        <v>#DIV/0!</v>
      </c>
      <c r="Q36" s="40">
        <f>SUMIFS(Assumptions!BN$105:BN$128,Assumptions!$BB$105:$BB$128,'non-road'!$F36,Assumptions!$BC$105:$BC$128,'non-road'!$D36)/SUMIF(Assumptions!$BB$105:$BB$128,'non-road'!$F36,Assumptions!BN$105:BN$128)</f>
        <v>0.0834158808724017</v>
      </c>
      <c r="R36" s="40">
        <f>SUMIFS(Assumptions!BO$105:BO$128,Assumptions!$BB$105:$BB$128,'non-road'!$F36,Assumptions!$BC$105:$BC$128,'non-road'!$D36)/SUMIF(Assumptions!$BB$105:$BB$128,'non-road'!$F36,Assumptions!BO$105:BO$128)</f>
        <v>0.529541046940318</v>
      </c>
      <c r="S36" s="40">
        <f>SUMIFS(Assumptions!BP$105:BP$128,Assumptions!$BB$105:$BB$128,'non-road'!$F36,Assumptions!$BC$105:$BC$128,'non-road'!$D36)/SUMIF(Assumptions!$BB$105:$BB$128,'non-road'!$F36,Assumptions!BP$105:BP$128)</f>
        <v>0.184805768353234</v>
      </c>
      <c r="T36" s="40">
        <f>SUMIFS(Assumptions!BQ$105:BQ$128,Assumptions!$BB$105:$BB$128,'non-road'!$F36,Assumptions!$BC$105:$BC$128,'non-road'!$D36)/SUMIF(Assumptions!$BB$105:$BB$128,'non-road'!$F36,Assumptions!BQ$105:BQ$128)</f>
        <v>0.84802576339693</v>
      </c>
      <c r="U36" s="40">
        <f>SUMIFS(Assumptions!BR$105:BR$128,Assumptions!$BB$105:$BB$128,'non-road'!$F36,Assumptions!$BC$105:$BC$128,'non-road'!$D36)/SUMIF(Assumptions!$BB$105:$BB$128,'non-road'!$F36,Assumptions!BR$105:BR$128)</f>
        <v>0.713472677142019</v>
      </c>
      <c r="V36" s="40">
        <f>SUMIFS(Assumptions!BS$105:BS$128,Assumptions!$BB$105:$BB$128,'non-road'!$F36,Assumptions!$BC$105:$BC$128,'non-road'!$D36)/SUMIF(Assumptions!$BB$105:$BB$128,'non-road'!$F36,Assumptions!BS$105:BS$128)</f>
        <v>0.0349455477159776</v>
      </c>
      <c r="W36" s="40">
        <f>SUMIFS(Assumptions!BT$105:BT$128,Assumptions!$BB$105:$BB$128,'non-road'!$F36,Assumptions!$BC$105:$BC$128,'non-road'!$D36)/SUMIF(Assumptions!$BB$105:$BB$128,'non-road'!$F36,Assumptions!BT$105:BT$128)</f>
        <v>0.928865373309818</v>
      </c>
      <c r="X36" s="40">
        <f>SUMIFS(Assumptions!BU$105:BU$128,Assumptions!$BB$105:$BB$128,'non-road'!$F36,Assumptions!$BC$105:$BC$128,'non-road'!$D36)/SUMIF(Assumptions!$BB$105:$BB$128,'non-road'!$F36,Assumptions!BU$105:BU$128)</f>
        <v>0.184909889582449</v>
      </c>
      <c r="Y36" s="40">
        <f>SUMIFS(Assumptions!BV$105:BV$128,Assumptions!$BB$105:$BB$128,'non-road'!$F36,Assumptions!$BC$105:$BC$128,'non-road'!$D36)/SUMIF(Assumptions!$BB$105:$BB$128,'non-road'!$F36,Assumptions!BV$105:BV$128)</f>
        <v>0.0280616195456352</v>
      </c>
      <c r="Z36" s="40">
        <f>SUMIFS(Assumptions!BW$105:BW$128,Assumptions!$BB$105:$BB$128,'non-road'!$F36,Assumptions!$BC$105:$BC$128,'non-road'!$D36)/SUMIF(Assumptions!$BB$105:$BB$128,'non-road'!$F36,Assumptions!BW$105:BW$128)</f>
        <v>0.191925589613668</v>
      </c>
      <c r="AA36" s="40">
        <f>SUMIFS(Assumptions!BX$105:BX$128,Assumptions!$BB$105:$BB$128,'non-road'!$F36,Assumptions!$BC$105:$BC$128,'non-road'!$D36)/SUMIF(Assumptions!$BB$105:$BB$128,'non-road'!$F36,Assumptions!BX$105:BX$128)</f>
        <v>0.0409576766737898</v>
      </c>
      <c r="AB36" s="40">
        <f>SUMIFS(Assumptions!BY$105:BY$128,Assumptions!$BB$105:$BB$128,'non-road'!$F36,Assumptions!$BC$105:$BC$128,'non-road'!$D36)/SUMIF(Assumptions!$BB$105:$BB$128,'non-road'!$F36,Assumptions!BY$105:BY$128)</f>
        <v>0.45486859480564</v>
      </c>
      <c r="AC36" s="40">
        <f>SUMIFS(Assumptions!BZ$105:BZ$128,Assumptions!$BB$105:$BB$128,'non-road'!$F36,Assumptions!$BC$105:$BC$128,'non-road'!$D36)/SUMIF(Assumptions!$BB$105:$BB$128,'non-road'!$F36,Assumptions!BZ$105:BZ$128)</f>
        <v>0.736740112898207</v>
      </c>
      <c r="AD36" s="40">
        <f>SUMIFS(Assumptions!CA$105:CA$128,Assumptions!$BB$105:$BB$128,'non-road'!$F36,Assumptions!$BC$105:$BC$128,'non-road'!$D36)/SUMIF(Assumptions!$BB$105:$BB$128,'non-road'!$F36,Assumptions!CA$105:CA$128)</f>
        <v>0.717228046339986</v>
      </c>
      <c r="AE36" s="40">
        <f>SUMIFS(Assumptions!CB$105:CB$128,Assumptions!$BB$105:$BB$128,'non-road'!$F36,Assumptions!$BC$105:$BC$128,'non-road'!$D36)/SUMIF(Assumptions!$BB$105:$BB$128,'non-road'!$F36,Assumptions!CB$105:CB$128)</f>
        <v>0.141772138789292</v>
      </c>
      <c r="AF36" s="40">
        <f>SUMIFS(Assumptions!CC$105:CC$128,Assumptions!$BB$105:$BB$128,'non-road'!$F36,Assumptions!$BC$105:$BC$128,'non-road'!$D36)/SUMIF(Assumptions!$BB$105:$BB$128,'non-road'!$F36,Assumptions!CC$105:CC$128)</f>
        <v>0.804461686520562</v>
      </c>
      <c r="AG36" s="40">
        <f>SUMIFS(Assumptions!CD$105:CD$128,Assumptions!$BB$105:$BB$128,'non-road'!$F36,Assumptions!$BC$105:$BC$128,'non-road'!$D36)/SUMIF(Assumptions!$BB$105:$BB$128,'non-road'!$F36,Assumptions!CD$105:CD$128)</f>
        <v>0</v>
      </c>
      <c r="AH36" s="40">
        <f>SUMIFS(Assumptions!CE$105:CE$128,Assumptions!$BB$105:$BB$128,'non-road'!$F36,Assumptions!$BC$105:$BC$128,'non-road'!$D36)/SUMIF(Assumptions!$BB$105:$BB$128,'non-road'!$F36,Assumptions!CE$105:CE$128)</f>
        <v>0.543465748990789</v>
      </c>
      <c r="AI36" s="40">
        <f>SUMIFS(Assumptions!CF$105:CF$128,Assumptions!$BB$105:$BB$128,'non-road'!$F36,Assumptions!$BC$105:$BC$128,'non-road'!$D36)/SUMIF(Assumptions!$BB$105:$BB$128,'non-road'!$F36,Assumptions!CF$105:CF$128)</f>
        <v>0.220402832935727</v>
      </c>
      <c r="AJ36" s="40">
        <f>SUMIFS(Assumptions!CG$105:CG$128,Assumptions!$BB$105:$BB$128,'non-road'!$F36,Assumptions!$BC$105:$BC$128,'non-road'!$D36)/SUMIF(Assumptions!$BB$105:$BB$128,'non-road'!$F36,Assumptions!CG$105:CG$128)</f>
        <v>0.302193378088716</v>
      </c>
      <c r="AK36" s="40">
        <f>SUMIFS(Assumptions!CH$105:CH$128,Assumptions!$BB$105:$BB$128,'non-road'!$F36,Assumptions!$BC$105:$BC$128,'non-road'!$D36)/SUMIF(Assumptions!$BB$105:$BB$128,'non-road'!$F36,Assumptions!CH$105:CH$128)</f>
        <v>1</v>
      </c>
      <c r="AL36" s="40">
        <f>SUMIFS(Assumptions!CI$105:CI$128,Assumptions!$BB$105:$BB$128,'non-road'!$F36,Assumptions!$BC$105:$BC$128,'non-road'!$D36)/SUMIF(Assumptions!$BB$105:$BB$128,'non-road'!$F36,Assumptions!CI$105:CI$128)</f>
        <v>0.167411973882683</v>
      </c>
      <c r="AM36" s="40">
        <f>SUMIFS(Assumptions!CJ$105:CJ$128,Assumptions!$BB$105:$BB$128,'non-road'!$F36,Assumptions!$BC$105:$BC$128,'non-road'!$D36)/SUMIF(Assumptions!$BB$105:$BB$128,'non-road'!$F36,Assumptions!CJ$105:CJ$128)</f>
        <v>0.709611529809978</v>
      </c>
      <c r="AN36" s="40" t="e">
        <f>SUMIFS(Assumptions!CK$105:CK$128,Assumptions!$BB$105:$BB$128,'non-road'!$F36,Assumptions!$BC$105:$BC$128,'non-road'!$D36)/SUMIF(Assumptions!$BB$105:$BB$128,'non-road'!$F36,Assumptions!CK$105:CK$128)</f>
        <v>#DIV/0!</v>
      </c>
      <c r="AO36" s="40">
        <f>SUMIFS(Assumptions!CL$105:CL$128,Assumptions!$BB$105:$BB$128,'non-road'!$F36,Assumptions!$BC$105:$BC$128,'non-road'!$D36)/SUMIF(Assumptions!$BB$105:$BB$128,'non-road'!$F36,Assumptions!CL$105:CL$128)</f>
        <v>1</v>
      </c>
      <c r="AP36" s="40" t="e">
        <f>SUMIFS(Assumptions!CM$105:CM$128,Assumptions!$BB$105:$BB$128,'non-road'!$F36,Assumptions!$BC$105:$BC$128,'non-road'!$D36)/SUMIF(Assumptions!$BB$105:$BB$128,'non-road'!$F36,Assumptions!CM$105:CM$128)</f>
        <v>#DIV/0!</v>
      </c>
      <c r="AQ36" s="40" t="e">
        <f>SUMIFS(Assumptions!CN$105:CN$128,Assumptions!$BB$105:$BB$128,'non-road'!$F36,Assumptions!$BC$105:$BC$128,'non-road'!$D36)/SUMIF(Assumptions!$BB$105:$BB$128,'non-road'!$F36,Assumptions!CN$105:CN$128)</f>
        <v>#DIV/0!</v>
      </c>
      <c r="AR36" s="40" t="e">
        <f>SUMIFS(Assumptions!CO$105:CO$128,Assumptions!$BB$105:$BB$128,'non-road'!$F36,Assumptions!$BC$105:$BC$128,'non-road'!$D36)/SUMIF(Assumptions!$BB$105:$BB$128,'non-road'!$F36,Assumptions!CO$105:CO$128)</f>
        <v>#DIV/0!</v>
      </c>
      <c r="AS36" s="40" t="e">
        <f>SUMIFS(Assumptions!CP$105:CP$128,Assumptions!$BB$105:$BB$128,'non-road'!$F36,Assumptions!$BC$105:$BC$128,'non-road'!$D36)/SUMIF(Assumptions!$BB$105:$BB$128,'non-road'!$F36,Assumptions!CP$105:CP$128)</f>
        <v>#DIV/0!</v>
      </c>
      <c r="AT36" s="40" t="e">
        <f>SUMIFS(Assumptions!CQ$105:CQ$128,Assumptions!$BB$105:$BB$128,'non-road'!$F36,Assumptions!$BC$105:$BC$128,'non-road'!$D36)/SUMIF(Assumptions!$BB$105:$BB$128,'non-road'!$F36,Assumptions!CQ$105:CQ$128)</f>
        <v>#DIV/0!</v>
      </c>
      <c r="AU36" s="40" t="e">
        <f>SUMIFS(Assumptions!CR$105:CR$128,Assumptions!$BB$105:$BB$128,'non-road'!$F36,Assumptions!$BC$105:$BC$128,'non-road'!$D36)/SUMIF(Assumptions!$BB$105:$BB$128,'non-road'!$F36,Assumptions!CR$105:CR$128)</f>
        <v>#DIV/0!</v>
      </c>
      <c r="AV36" s="40" t="e">
        <f>SUMIFS(Assumptions!CS$105:CS$128,Assumptions!$BB$105:$BB$128,'non-road'!$F36,Assumptions!$BC$105:$BC$128,'non-road'!$D36)/SUMIF(Assumptions!$BB$105:$BB$128,'non-road'!$F36,Assumptions!CS$105:CS$128)</f>
        <v>#DIV/0!</v>
      </c>
      <c r="AW36" s="40" t="e">
        <f>SUMIFS(Assumptions!CT$105:CT$128,Assumptions!$BB$105:$BB$128,'non-road'!$F36,Assumptions!$BC$105:$BC$128,'non-road'!$D36)/SUMIF(Assumptions!$BB$105:$BB$128,'non-road'!$F36,Assumptions!CT$105:CT$128)</f>
        <v>#DIV/0!</v>
      </c>
      <c r="AX36" s="40" t="e">
        <f>SUMIFS(Assumptions!CU$105:CU$128,Assumptions!$BB$105:$BB$128,'non-road'!$F36,Assumptions!$BC$105:$BC$128,'non-road'!$D36)/SUMIF(Assumptions!$BB$105:$BB$128,'non-road'!$F36,Assumptions!CU$105:CU$128)</f>
        <v>#DIV/0!</v>
      </c>
      <c r="AY36" s="40" t="e">
        <f>SUMIFS(Assumptions!CV$105:CV$128,Assumptions!$BB$105:$BB$128,'non-road'!$F36,Assumptions!$BC$105:$BC$128,'non-road'!$D36)/SUMIF(Assumptions!$BB$105:$BB$128,'non-road'!$F36,Assumptions!CV$105:CV$128)</f>
        <v>#DIV/0!</v>
      </c>
      <c r="AZ36" s="40" t="e">
        <f>SUMIFS(Assumptions!CW$105:CW$128,Assumptions!$BB$105:$BB$128,'non-road'!$F36,Assumptions!$BC$105:$BC$128,'non-road'!$D36)/SUMIF(Assumptions!$BB$105:$BB$128,'non-road'!$F36,Assumptions!CW$105:CW$128)</f>
        <v>#DIV/0!</v>
      </c>
      <c r="BD36" s="39" t="str">
        <f t="shared" si="55"/>
        <v>\I:</v>
      </c>
      <c r="BE36" s="40">
        <f>VLOOKUP($F36,Assumptions!$E$152:$BC$157,COLUMN()-COLUMN($BC$4),FALSE)</f>
        <v>1</v>
      </c>
      <c r="BF36" s="40">
        <f>VLOOKUP($F36,Assumptions!$E$152:$BC$157,COLUMN()-COLUMN($BC$4),FALSE)</f>
        <v>1</v>
      </c>
      <c r="BG36" s="40">
        <f>VLOOKUP($F36,Assumptions!$E$152:$BC$157,COLUMN()-COLUMN($BC$4),FALSE)</f>
        <v>1</v>
      </c>
      <c r="BH36" s="40">
        <f>VLOOKUP($F36,Assumptions!$E$152:$BC$157,COLUMN()-COLUMN($BC$4),FALSE)</f>
        <v>1</v>
      </c>
      <c r="BI36" s="40">
        <f>VLOOKUP($F36,Assumptions!$E$152:$BC$157,COLUMN()-COLUMN($BC$4),FALSE)</f>
        <v>1</v>
      </c>
      <c r="BJ36" s="40">
        <f>VLOOKUP($F36,Assumptions!$E$152:$BC$157,COLUMN()-COLUMN($BC$4),FALSE)</f>
        <v>1</v>
      </c>
      <c r="BK36" s="40">
        <f>VLOOKUP($F36,Assumptions!$E$152:$BC$157,COLUMN()-COLUMN($BC$4),FALSE)</f>
        <v>1</v>
      </c>
      <c r="BL36" s="40">
        <f>VLOOKUP($F36,Assumptions!$E$152:$BC$157,COLUMN()-COLUMN($BC$4),FALSE)</f>
        <v>1</v>
      </c>
      <c r="BM36" s="40">
        <f>VLOOKUP($F36,Assumptions!$E$152:$BC$157,COLUMN()-COLUMN($BC$4),FALSE)</f>
        <v>1</v>
      </c>
      <c r="BN36" s="40">
        <f>VLOOKUP($F36,Assumptions!$E$152:$BC$157,COLUMN()-COLUMN($BC$4),FALSE)</f>
        <v>1</v>
      </c>
      <c r="BO36" s="40">
        <f>VLOOKUP($F36,Assumptions!$E$152:$BC$157,COLUMN()-COLUMN($BC$4),FALSE)</f>
        <v>1</v>
      </c>
      <c r="BP36" s="40">
        <f>VLOOKUP($F36,Assumptions!$E$152:$BC$157,COLUMN()-COLUMN($BC$4),FALSE)</f>
        <v>1</v>
      </c>
      <c r="BQ36" s="40">
        <f>VLOOKUP($F36,Assumptions!$E$152:$BC$157,COLUMN()-COLUMN($BC$4),FALSE)</f>
        <v>1</v>
      </c>
      <c r="BR36" s="40">
        <f>VLOOKUP($F36,Assumptions!$E$152:$BC$157,COLUMN()-COLUMN($BC$4),FALSE)</f>
        <v>1</v>
      </c>
      <c r="BS36" s="40">
        <f>VLOOKUP($F36,Assumptions!$E$152:$BC$157,COLUMN()-COLUMN($BC$4),FALSE)</f>
        <v>1</v>
      </c>
      <c r="BT36" s="40">
        <f>VLOOKUP($F36,Assumptions!$E$152:$BC$157,COLUMN()-COLUMN($BC$4),FALSE)</f>
        <v>1</v>
      </c>
      <c r="BU36" s="40">
        <f>VLOOKUP($F36,Assumptions!$E$152:$BC$157,COLUMN()-COLUMN($BC$4),FALSE)</f>
        <v>1</v>
      </c>
      <c r="BV36" s="40">
        <f>VLOOKUP($F36,Assumptions!$E$152:$BC$157,COLUMN()-COLUMN($BC$4),FALSE)</f>
        <v>1</v>
      </c>
      <c r="BW36" s="40">
        <f>VLOOKUP($F36,Assumptions!$E$152:$BC$157,COLUMN()-COLUMN($BC$4),FALSE)</f>
        <v>1</v>
      </c>
      <c r="BX36" s="40">
        <f>VLOOKUP($F36,Assumptions!$E$152:$BC$157,COLUMN()-COLUMN($BC$4),FALSE)</f>
        <v>1</v>
      </c>
      <c r="BY36" s="40">
        <f>VLOOKUP($F36,Assumptions!$E$152:$BC$157,COLUMN()-COLUMN($BC$4),FALSE)</f>
        <v>1</v>
      </c>
      <c r="BZ36" s="40">
        <f>VLOOKUP($F36,Assumptions!$E$152:$BC$157,COLUMN()-COLUMN($BC$4),FALSE)</f>
        <v>1</v>
      </c>
      <c r="CA36" s="40">
        <f>VLOOKUP($F36,Assumptions!$E$152:$BC$157,COLUMN()-COLUMN($BC$4),FALSE)</f>
        <v>1</v>
      </c>
      <c r="CB36" s="40">
        <f>VLOOKUP($F36,Assumptions!$E$152:$BC$157,COLUMN()-COLUMN($BC$4),FALSE)</f>
        <v>1</v>
      </c>
      <c r="CC36" s="40">
        <f>VLOOKUP($F36,Assumptions!$E$152:$BC$157,COLUMN()-COLUMN($BC$4),FALSE)</f>
        <v>1</v>
      </c>
      <c r="CD36" s="40">
        <f>VLOOKUP($F36,Assumptions!$E$152:$BC$157,COLUMN()-COLUMN($BC$4),FALSE)</f>
        <v>1</v>
      </c>
      <c r="CE36" s="40">
        <f>VLOOKUP($F36,Assumptions!$E$152:$BC$157,COLUMN()-COLUMN($BC$4),FALSE)</f>
        <v>1</v>
      </c>
      <c r="CF36" s="40">
        <f>VLOOKUP($F36,Assumptions!$E$152:$BC$157,COLUMN()-COLUMN($BC$4),FALSE)</f>
        <v>1</v>
      </c>
      <c r="CG36" s="40">
        <f>VLOOKUP($F36,Assumptions!$E$152:$BC$157,COLUMN()-COLUMN($BC$4),FALSE)</f>
        <v>1</v>
      </c>
      <c r="CH36" s="40">
        <f>VLOOKUP($F36,Assumptions!$E$152:$BC$157,COLUMN()-COLUMN($BC$4),FALSE)</f>
        <v>1</v>
      </c>
      <c r="CI36" s="40">
        <f>VLOOKUP($F36,Assumptions!$E$152:$BC$157,COLUMN()-COLUMN($BC$4),FALSE)</f>
        <v>1</v>
      </c>
      <c r="CJ36" s="40">
        <f>VLOOKUP($F36,Assumptions!$E$152:$BC$157,COLUMN()-COLUMN($BC$4),FALSE)</f>
        <v>1</v>
      </c>
      <c r="CK36" s="40">
        <f>VLOOKUP($F36,Assumptions!$E$152:$BC$157,COLUMN()-COLUMN($BC$4),FALSE)</f>
        <v>1</v>
      </c>
      <c r="CL36" s="40">
        <f>VLOOKUP($F36,Assumptions!$E$152:$BC$157,COLUMN()-COLUMN($BC$4),FALSE)</f>
        <v>1</v>
      </c>
      <c r="CM36" s="40">
        <f>VLOOKUP($F36,Assumptions!$E$152:$BC$157,COLUMN()-COLUMN($BC$4),FALSE)</f>
        <v>1</v>
      </c>
      <c r="CN36" s="40">
        <f>VLOOKUP($F36,Assumptions!$E$152:$BC$157,COLUMN()-COLUMN($BC$4),FALSE)</f>
        <v>1</v>
      </c>
      <c r="CO36" s="40">
        <f>VLOOKUP($F36,Assumptions!$E$152:$BC$157,COLUMN()-COLUMN($BC$4),FALSE)</f>
        <v>1</v>
      </c>
      <c r="CP36" s="40">
        <f>VLOOKUP($F36,Assumptions!$E$152:$BC$157,COLUMN()-COLUMN($BC$4),FALSE)</f>
        <v>1</v>
      </c>
      <c r="CQ36" s="40">
        <f>VLOOKUP($F36,Assumptions!$E$152:$BC$157,COLUMN()-COLUMN($BC$4),FALSE)</f>
        <v>1</v>
      </c>
      <c r="CR36" s="40">
        <f>VLOOKUP($F36,Assumptions!$E$152:$BC$157,COLUMN()-COLUMN($BC$4),FALSE)</f>
        <v>1</v>
      </c>
      <c r="CS36" s="40">
        <f>VLOOKUP($F36,Assumptions!$E$152:$BC$157,COLUMN()-COLUMN($BC$4),FALSE)</f>
        <v>1</v>
      </c>
      <c r="CT36" s="40">
        <f>VLOOKUP($F36,Assumptions!$E$152:$BC$157,COLUMN()-COLUMN($BC$4),FALSE)</f>
        <v>1</v>
      </c>
      <c r="CU36" s="40">
        <f>VLOOKUP($F36,Assumptions!$E$152:$BC$157,COLUMN()-COLUMN($BC$4),FALSE)</f>
        <v>1</v>
      </c>
      <c r="CV36" s="40">
        <f>VLOOKUP($F36,Assumptions!$E$152:$BC$157,COLUMN()-COLUMN($BC$4),FALSE)</f>
        <v>1</v>
      </c>
      <c r="CW36" s="40">
        <f>VLOOKUP($F36,Assumptions!$E$152:$BC$157,COLUMN()-COLUMN($BC$4),FALSE)</f>
        <v>1</v>
      </c>
      <c r="CX36" s="40">
        <f>VLOOKUP($F36,Assumptions!$E$152:$BC$157,COLUMN()-COLUMN($BC$4),FALSE)</f>
        <v>1</v>
      </c>
      <c r="CY36" s="39"/>
      <c r="CZ36" s="39"/>
      <c r="DA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 t="str">
        <f t="shared" si="48"/>
        <v>\I:</v>
      </c>
      <c r="EX36" s="39" t="str">
        <f t="shared" si="68"/>
        <v/>
      </c>
      <c r="EY36" s="39" t="s">
        <v>133</v>
      </c>
      <c r="EZ36" s="39" t="s">
        <v>85</v>
      </c>
      <c r="FA36" s="39" t="s">
        <v>440</v>
      </c>
    </row>
    <row r="37" spans="3:157">
      <c r="C37" s="39" t="str">
        <f t="shared" si="54"/>
        <v/>
      </c>
      <c r="D37" s="39" t="s">
        <v>66</v>
      </c>
      <c r="E37" s="39"/>
      <c r="F37" s="39" t="s">
        <v>88</v>
      </c>
      <c r="G37" s="40">
        <f>SUMIFS(Assumptions!BD$105:BD$128,Assumptions!$BB$105:$BB$128,'non-road'!$F37,Assumptions!$BC$105:$BC$128,'non-road'!$D37)/SUMIF(Assumptions!$BB$105:$BB$128,'non-road'!$F37,Assumptions!BD$105:BD$128)</f>
        <v>0</v>
      </c>
      <c r="H37" s="40">
        <f>SUMIFS(Assumptions!BE$105:BE$128,Assumptions!$BB$105:$BB$128,'non-road'!$F37,Assumptions!$BC$105:$BC$128,'non-road'!$D37)/SUMIF(Assumptions!$BB$105:$BB$128,'non-road'!$F37,Assumptions!BE$105:BE$128)</f>
        <v>0</v>
      </c>
      <c r="I37" s="40">
        <f>SUMIFS(Assumptions!BF$105:BF$128,Assumptions!$BB$105:$BB$128,'non-road'!$F37,Assumptions!$BC$105:$BC$128,'non-road'!$D37)/SUMIF(Assumptions!$BB$105:$BB$128,'non-road'!$F37,Assumptions!BF$105:BF$128)</f>
        <v>0</v>
      </c>
      <c r="J37" s="40">
        <f>SUMIFS(Assumptions!BG$105:BG$128,Assumptions!$BB$105:$BB$128,'non-road'!$F37,Assumptions!$BC$105:$BC$128,'non-road'!$D37)/SUMIF(Assumptions!$BB$105:$BB$128,'non-road'!$F37,Assumptions!BG$105:BG$128)</f>
        <v>0</v>
      </c>
      <c r="K37" s="40">
        <f>SUMIFS(Assumptions!BH$105:BH$128,Assumptions!$BB$105:$BB$128,'non-road'!$F37,Assumptions!$BC$105:$BC$128,'non-road'!$D37)/SUMIF(Assumptions!$BB$105:$BB$128,'non-road'!$F37,Assumptions!BH$105:BH$128)</f>
        <v>0</v>
      </c>
      <c r="L37" s="40">
        <f>SUMIFS(Assumptions!BI$105:BI$128,Assumptions!$BB$105:$BB$128,'non-road'!$F37,Assumptions!$BC$105:$BC$128,'non-road'!$D37)/SUMIF(Assumptions!$BB$105:$BB$128,'non-road'!$F37,Assumptions!BI$105:BI$128)</f>
        <v>0</v>
      </c>
      <c r="M37" s="40">
        <f>SUMIFS(Assumptions!BJ$105:BJ$128,Assumptions!$BB$105:$BB$128,'non-road'!$F37,Assumptions!$BC$105:$BC$128,'non-road'!$D37)/SUMIF(Assumptions!$BB$105:$BB$128,'non-road'!$F37,Assumptions!BJ$105:BJ$128)</f>
        <v>0</v>
      </c>
      <c r="N37" s="40">
        <f>SUMIFS(Assumptions!BK$105:BK$128,Assumptions!$BB$105:$BB$128,'non-road'!$F37,Assumptions!$BC$105:$BC$128,'non-road'!$D37)/SUMIF(Assumptions!$BB$105:$BB$128,'non-road'!$F37,Assumptions!BK$105:BK$128)</f>
        <v>0</v>
      </c>
      <c r="O37" s="40">
        <f>SUMIFS(Assumptions!BL$105:BL$128,Assumptions!$BB$105:$BB$128,'non-road'!$F37,Assumptions!$BC$105:$BC$128,'non-road'!$D37)/SUMIF(Assumptions!$BB$105:$BB$128,'non-road'!$F37,Assumptions!BL$105:BL$128)</f>
        <v>0</v>
      </c>
      <c r="P37" s="40" t="e">
        <f>SUMIFS(Assumptions!BM$105:BM$128,Assumptions!$BB$105:$BB$128,'non-road'!$F37,Assumptions!$BC$105:$BC$128,'non-road'!$D37)/SUMIF(Assumptions!$BB$105:$BB$128,'non-road'!$F37,Assumptions!BM$105:BM$128)</f>
        <v>#DIV/0!</v>
      </c>
      <c r="Q37" s="40">
        <f>SUMIFS(Assumptions!BN$105:BN$128,Assumptions!$BB$105:$BB$128,'non-road'!$F37,Assumptions!$BC$105:$BC$128,'non-road'!$D37)/SUMIF(Assumptions!$BB$105:$BB$128,'non-road'!$F37,Assumptions!BN$105:BN$128)</f>
        <v>0</v>
      </c>
      <c r="R37" s="40">
        <f>SUMIFS(Assumptions!BO$105:BO$128,Assumptions!$BB$105:$BB$128,'non-road'!$F37,Assumptions!$BC$105:$BC$128,'non-road'!$D37)/SUMIF(Assumptions!$BB$105:$BB$128,'non-road'!$F37,Assumptions!BO$105:BO$128)</f>
        <v>0</v>
      </c>
      <c r="S37" s="40">
        <f>SUMIFS(Assumptions!BP$105:BP$128,Assumptions!$BB$105:$BB$128,'non-road'!$F37,Assumptions!$BC$105:$BC$128,'non-road'!$D37)/SUMIF(Assumptions!$BB$105:$BB$128,'non-road'!$F37,Assumptions!BP$105:BP$128)</f>
        <v>0</v>
      </c>
      <c r="T37" s="40">
        <f>SUMIFS(Assumptions!BQ$105:BQ$128,Assumptions!$BB$105:$BB$128,'non-road'!$F37,Assumptions!$BC$105:$BC$128,'non-road'!$D37)/SUMIF(Assumptions!$BB$105:$BB$128,'non-road'!$F37,Assumptions!BQ$105:BQ$128)</f>
        <v>0</v>
      </c>
      <c r="U37" s="40">
        <f>SUMIFS(Assumptions!BR$105:BR$128,Assumptions!$BB$105:$BB$128,'non-road'!$F37,Assumptions!$BC$105:$BC$128,'non-road'!$D37)/SUMIF(Assumptions!$BB$105:$BB$128,'non-road'!$F37,Assumptions!BR$105:BR$128)</f>
        <v>0</v>
      </c>
      <c r="V37" s="40">
        <f>SUMIFS(Assumptions!BS$105:BS$128,Assumptions!$BB$105:$BB$128,'non-road'!$F37,Assumptions!$BC$105:$BC$128,'non-road'!$D37)/SUMIF(Assumptions!$BB$105:$BB$128,'non-road'!$F37,Assumptions!BS$105:BS$128)</f>
        <v>0</v>
      </c>
      <c r="W37" s="40">
        <f>SUMIFS(Assumptions!BT$105:BT$128,Assumptions!$BB$105:$BB$128,'non-road'!$F37,Assumptions!$BC$105:$BC$128,'non-road'!$D37)/SUMIF(Assumptions!$BB$105:$BB$128,'non-road'!$F37,Assumptions!BT$105:BT$128)</f>
        <v>0</v>
      </c>
      <c r="X37" s="40">
        <f>SUMIFS(Assumptions!BU$105:BU$128,Assumptions!$BB$105:$BB$128,'non-road'!$F37,Assumptions!$BC$105:$BC$128,'non-road'!$D37)/SUMIF(Assumptions!$BB$105:$BB$128,'non-road'!$F37,Assumptions!BU$105:BU$128)</f>
        <v>0</v>
      </c>
      <c r="Y37" s="40">
        <f>SUMIFS(Assumptions!BV$105:BV$128,Assumptions!$BB$105:$BB$128,'non-road'!$F37,Assumptions!$BC$105:$BC$128,'non-road'!$D37)/SUMIF(Assumptions!$BB$105:$BB$128,'non-road'!$F37,Assumptions!BV$105:BV$128)</f>
        <v>0</v>
      </c>
      <c r="Z37" s="40">
        <f>SUMIFS(Assumptions!BW$105:BW$128,Assumptions!$BB$105:$BB$128,'non-road'!$F37,Assumptions!$BC$105:$BC$128,'non-road'!$D37)/SUMIF(Assumptions!$BB$105:$BB$128,'non-road'!$F37,Assumptions!BW$105:BW$128)</f>
        <v>0</v>
      </c>
      <c r="AA37" s="40">
        <f>SUMIFS(Assumptions!BX$105:BX$128,Assumptions!$BB$105:$BB$128,'non-road'!$F37,Assumptions!$BC$105:$BC$128,'non-road'!$D37)/SUMIF(Assumptions!$BB$105:$BB$128,'non-road'!$F37,Assumptions!BX$105:BX$128)</f>
        <v>0</v>
      </c>
      <c r="AB37" s="40">
        <f>SUMIFS(Assumptions!BY$105:BY$128,Assumptions!$BB$105:$BB$128,'non-road'!$F37,Assumptions!$BC$105:$BC$128,'non-road'!$D37)/SUMIF(Assumptions!$BB$105:$BB$128,'non-road'!$F37,Assumptions!BY$105:BY$128)</f>
        <v>0</v>
      </c>
      <c r="AC37" s="40">
        <f>SUMIFS(Assumptions!BZ$105:BZ$128,Assumptions!$BB$105:$BB$128,'non-road'!$F37,Assumptions!$BC$105:$BC$128,'non-road'!$D37)/SUMIF(Assumptions!$BB$105:$BB$128,'non-road'!$F37,Assumptions!BZ$105:BZ$128)</f>
        <v>0</v>
      </c>
      <c r="AD37" s="40">
        <f>SUMIFS(Assumptions!CA$105:CA$128,Assumptions!$BB$105:$BB$128,'non-road'!$F37,Assumptions!$BC$105:$BC$128,'non-road'!$D37)/SUMIF(Assumptions!$BB$105:$BB$128,'non-road'!$F37,Assumptions!CA$105:CA$128)</f>
        <v>0</v>
      </c>
      <c r="AE37" s="40">
        <f>SUMIFS(Assumptions!CB$105:CB$128,Assumptions!$BB$105:$BB$128,'non-road'!$F37,Assumptions!$BC$105:$BC$128,'non-road'!$D37)/SUMIF(Assumptions!$BB$105:$BB$128,'non-road'!$F37,Assumptions!CB$105:CB$128)</f>
        <v>0</v>
      </c>
      <c r="AF37" s="40">
        <f>SUMIFS(Assumptions!CC$105:CC$128,Assumptions!$BB$105:$BB$128,'non-road'!$F37,Assumptions!$BC$105:$BC$128,'non-road'!$D37)/SUMIF(Assumptions!$BB$105:$BB$128,'non-road'!$F37,Assumptions!CC$105:CC$128)</f>
        <v>0</v>
      </c>
      <c r="AG37" s="40">
        <f>SUMIFS(Assumptions!CD$105:CD$128,Assumptions!$BB$105:$BB$128,'non-road'!$F37,Assumptions!$BC$105:$BC$128,'non-road'!$D37)/SUMIF(Assumptions!$BB$105:$BB$128,'non-road'!$F37,Assumptions!CD$105:CD$128)</f>
        <v>0</v>
      </c>
      <c r="AH37" s="40">
        <f>SUMIFS(Assumptions!CE$105:CE$128,Assumptions!$BB$105:$BB$128,'non-road'!$F37,Assumptions!$BC$105:$BC$128,'non-road'!$D37)/SUMIF(Assumptions!$BB$105:$BB$128,'non-road'!$F37,Assumptions!CE$105:CE$128)</f>
        <v>0</v>
      </c>
      <c r="AI37" s="40">
        <f>SUMIFS(Assumptions!CF$105:CF$128,Assumptions!$BB$105:$BB$128,'non-road'!$F37,Assumptions!$BC$105:$BC$128,'non-road'!$D37)/SUMIF(Assumptions!$BB$105:$BB$128,'non-road'!$F37,Assumptions!CF$105:CF$128)</f>
        <v>0</v>
      </c>
      <c r="AJ37" s="40">
        <f>SUMIFS(Assumptions!CG$105:CG$128,Assumptions!$BB$105:$BB$128,'non-road'!$F37,Assumptions!$BC$105:$BC$128,'non-road'!$D37)/SUMIF(Assumptions!$BB$105:$BB$128,'non-road'!$F37,Assumptions!CG$105:CG$128)</f>
        <v>0</v>
      </c>
      <c r="AK37" s="40">
        <f>SUMIFS(Assumptions!CH$105:CH$128,Assumptions!$BB$105:$BB$128,'non-road'!$F37,Assumptions!$BC$105:$BC$128,'non-road'!$D37)/SUMIF(Assumptions!$BB$105:$BB$128,'non-road'!$F37,Assumptions!CH$105:CH$128)</f>
        <v>0</v>
      </c>
      <c r="AL37" s="40">
        <f>SUMIFS(Assumptions!CI$105:CI$128,Assumptions!$BB$105:$BB$128,'non-road'!$F37,Assumptions!$BC$105:$BC$128,'non-road'!$D37)/SUMIF(Assumptions!$BB$105:$BB$128,'non-road'!$F37,Assumptions!CI$105:CI$128)</f>
        <v>0</v>
      </c>
      <c r="AM37" s="40">
        <f>SUMIFS(Assumptions!CJ$105:CJ$128,Assumptions!$BB$105:$BB$128,'non-road'!$F37,Assumptions!$BC$105:$BC$128,'non-road'!$D37)/SUMIF(Assumptions!$BB$105:$BB$128,'non-road'!$F37,Assumptions!CJ$105:CJ$128)</f>
        <v>0</v>
      </c>
      <c r="AN37" s="40" t="e">
        <f>SUMIFS(Assumptions!CK$105:CK$128,Assumptions!$BB$105:$BB$128,'non-road'!$F37,Assumptions!$BC$105:$BC$128,'non-road'!$D37)/SUMIF(Assumptions!$BB$105:$BB$128,'non-road'!$F37,Assumptions!CK$105:CK$128)</f>
        <v>#DIV/0!</v>
      </c>
      <c r="AO37" s="40">
        <f>SUMIFS(Assumptions!CL$105:CL$128,Assumptions!$BB$105:$BB$128,'non-road'!$F37,Assumptions!$BC$105:$BC$128,'non-road'!$D37)/SUMIF(Assumptions!$BB$105:$BB$128,'non-road'!$F37,Assumptions!CL$105:CL$128)</f>
        <v>0</v>
      </c>
      <c r="AP37" s="40" t="e">
        <f>SUMIFS(Assumptions!CM$105:CM$128,Assumptions!$BB$105:$BB$128,'non-road'!$F37,Assumptions!$BC$105:$BC$128,'non-road'!$D37)/SUMIF(Assumptions!$BB$105:$BB$128,'non-road'!$F37,Assumptions!CM$105:CM$128)</f>
        <v>#DIV/0!</v>
      </c>
      <c r="AQ37" s="40" t="e">
        <f>SUMIFS(Assumptions!CN$105:CN$128,Assumptions!$BB$105:$BB$128,'non-road'!$F37,Assumptions!$BC$105:$BC$128,'non-road'!$D37)/SUMIF(Assumptions!$BB$105:$BB$128,'non-road'!$F37,Assumptions!CN$105:CN$128)</f>
        <v>#DIV/0!</v>
      </c>
      <c r="AR37" s="40" t="e">
        <f>SUMIFS(Assumptions!CO$105:CO$128,Assumptions!$BB$105:$BB$128,'non-road'!$F37,Assumptions!$BC$105:$BC$128,'non-road'!$D37)/SUMIF(Assumptions!$BB$105:$BB$128,'non-road'!$F37,Assumptions!CO$105:CO$128)</f>
        <v>#DIV/0!</v>
      </c>
      <c r="AS37" s="40" t="e">
        <f>SUMIFS(Assumptions!CP$105:CP$128,Assumptions!$BB$105:$BB$128,'non-road'!$F37,Assumptions!$BC$105:$BC$128,'non-road'!$D37)/SUMIF(Assumptions!$BB$105:$BB$128,'non-road'!$F37,Assumptions!CP$105:CP$128)</f>
        <v>#DIV/0!</v>
      </c>
      <c r="AT37" s="40" t="e">
        <f>SUMIFS(Assumptions!CQ$105:CQ$128,Assumptions!$BB$105:$BB$128,'non-road'!$F37,Assumptions!$BC$105:$BC$128,'non-road'!$D37)/SUMIF(Assumptions!$BB$105:$BB$128,'non-road'!$F37,Assumptions!CQ$105:CQ$128)</f>
        <v>#DIV/0!</v>
      </c>
      <c r="AU37" s="40" t="e">
        <f>SUMIFS(Assumptions!CR$105:CR$128,Assumptions!$BB$105:$BB$128,'non-road'!$F37,Assumptions!$BC$105:$BC$128,'non-road'!$D37)/SUMIF(Assumptions!$BB$105:$BB$128,'non-road'!$F37,Assumptions!CR$105:CR$128)</f>
        <v>#DIV/0!</v>
      </c>
      <c r="AV37" s="40" t="e">
        <f>SUMIFS(Assumptions!CS$105:CS$128,Assumptions!$BB$105:$BB$128,'non-road'!$F37,Assumptions!$BC$105:$BC$128,'non-road'!$D37)/SUMIF(Assumptions!$BB$105:$BB$128,'non-road'!$F37,Assumptions!CS$105:CS$128)</f>
        <v>#DIV/0!</v>
      </c>
      <c r="AW37" s="40" t="e">
        <f>SUMIFS(Assumptions!CT$105:CT$128,Assumptions!$BB$105:$BB$128,'non-road'!$F37,Assumptions!$BC$105:$BC$128,'non-road'!$D37)/SUMIF(Assumptions!$BB$105:$BB$128,'non-road'!$F37,Assumptions!CT$105:CT$128)</f>
        <v>#DIV/0!</v>
      </c>
      <c r="AX37" s="40" t="e">
        <f>SUMIFS(Assumptions!CU$105:CU$128,Assumptions!$BB$105:$BB$128,'non-road'!$F37,Assumptions!$BC$105:$BC$128,'non-road'!$D37)/SUMIF(Assumptions!$BB$105:$BB$128,'non-road'!$F37,Assumptions!CU$105:CU$128)</f>
        <v>#DIV/0!</v>
      </c>
      <c r="AY37" s="40" t="e">
        <f>SUMIFS(Assumptions!CV$105:CV$128,Assumptions!$BB$105:$BB$128,'non-road'!$F37,Assumptions!$BC$105:$BC$128,'non-road'!$D37)/SUMIF(Assumptions!$BB$105:$BB$128,'non-road'!$F37,Assumptions!CV$105:CV$128)</f>
        <v>#DIV/0!</v>
      </c>
      <c r="AZ37" s="40" t="e">
        <f>SUMIFS(Assumptions!CW$105:CW$128,Assumptions!$BB$105:$BB$128,'non-road'!$F37,Assumptions!$BC$105:$BC$128,'non-road'!$D37)/SUMIF(Assumptions!$BB$105:$BB$128,'non-road'!$F37,Assumptions!CW$105:CW$128)</f>
        <v>#DIV/0!</v>
      </c>
      <c r="BD37" s="39" t="str">
        <f t="shared" si="55"/>
        <v>\I:</v>
      </c>
      <c r="BE37" s="40">
        <f>VLOOKUP($F37,Assumptions!$E$152:$BC$157,COLUMN()-COLUMN($BC$4),FALSE)</f>
        <v>1</v>
      </c>
      <c r="BF37" s="40">
        <f>VLOOKUP($F37,Assumptions!$E$152:$BC$157,COLUMN()-COLUMN($BC$4),FALSE)</f>
        <v>1</v>
      </c>
      <c r="BG37" s="40">
        <f>VLOOKUP($F37,Assumptions!$E$152:$BC$157,COLUMN()-COLUMN($BC$4),FALSE)</f>
        <v>1</v>
      </c>
      <c r="BH37" s="40">
        <f>VLOOKUP($F37,Assumptions!$E$152:$BC$157,COLUMN()-COLUMN($BC$4),FALSE)</f>
        <v>1</v>
      </c>
      <c r="BI37" s="40">
        <f>VLOOKUP($F37,Assumptions!$E$152:$BC$157,COLUMN()-COLUMN($BC$4),FALSE)</f>
        <v>1</v>
      </c>
      <c r="BJ37" s="40">
        <f>VLOOKUP($F37,Assumptions!$E$152:$BC$157,COLUMN()-COLUMN($BC$4),FALSE)</f>
        <v>1</v>
      </c>
      <c r="BK37" s="40">
        <f>VLOOKUP($F37,Assumptions!$E$152:$BC$157,COLUMN()-COLUMN($BC$4),FALSE)</f>
        <v>1</v>
      </c>
      <c r="BL37" s="40">
        <f>VLOOKUP($F37,Assumptions!$E$152:$BC$157,COLUMN()-COLUMN($BC$4),FALSE)</f>
        <v>1</v>
      </c>
      <c r="BM37" s="40">
        <f>VLOOKUP($F37,Assumptions!$E$152:$BC$157,COLUMN()-COLUMN($BC$4),FALSE)</f>
        <v>1</v>
      </c>
      <c r="BN37" s="40">
        <f>VLOOKUP($F37,Assumptions!$E$152:$BC$157,COLUMN()-COLUMN($BC$4),FALSE)</f>
        <v>1</v>
      </c>
      <c r="BO37" s="40">
        <f>VLOOKUP($F37,Assumptions!$E$152:$BC$157,COLUMN()-COLUMN($BC$4),FALSE)</f>
        <v>1</v>
      </c>
      <c r="BP37" s="40">
        <f>VLOOKUP($F37,Assumptions!$E$152:$BC$157,COLUMN()-COLUMN($BC$4),FALSE)</f>
        <v>1</v>
      </c>
      <c r="BQ37" s="40">
        <f>VLOOKUP($F37,Assumptions!$E$152:$BC$157,COLUMN()-COLUMN($BC$4),FALSE)</f>
        <v>1</v>
      </c>
      <c r="BR37" s="40">
        <f>VLOOKUP($F37,Assumptions!$E$152:$BC$157,COLUMN()-COLUMN($BC$4),FALSE)</f>
        <v>1</v>
      </c>
      <c r="BS37" s="40">
        <f>VLOOKUP($F37,Assumptions!$E$152:$BC$157,COLUMN()-COLUMN($BC$4),FALSE)</f>
        <v>1</v>
      </c>
      <c r="BT37" s="40">
        <f>VLOOKUP($F37,Assumptions!$E$152:$BC$157,COLUMN()-COLUMN($BC$4),FALSE)</f>
        <v>1</v>
      </c>
      <c r="BU37" s="40">
        <f>VLOOKUP($F37,Assumptions!$E$152:$BC$157,COLUMN()-COLUMN($BC$4),FALSE)</f>
        <v>1</v>
      </c>
      <c r="BV37" s="40">
        <f>VLOOKUP($F37,Assumptions!$E$152:$BC$157,COLUMN()-COLUMN($BC$4),FALSE)</f>
        <v>1</v>
      </c>
      <c r="BW37" s="40">
        <f>VLOOKUP($F37,Assumptions!$E$152:$BC$157,COLUMN()-COLUMN($BC$4),FALSE)</f>
        <v>1</v>
      </c>
      <c r="BX37" s="40">
        <f>VLOOKUP($F37,Assumptions!$E$152:$BC$157,COLUMN()-COLUMN($BC$4),FALSE)</f>
        <v>1</v>
      </c>
      <c r="BY37" s="40">
        <f>VLOOKUP($F37,Assumptions!$E$152:$BC$157,COLUMN()-COLUMN($BC$4),FALSE)</f>
        <v>1</v>
      </c>
      <c r="BZ37" s="40">
        <f>VLOOKUP($F37,Assumptions!$E$152:$BC$157,COLUMN()-COLUMN($BC$4),FALSE)</f>
        <v>1</v>
      </c>
      <c r="CA37" s="40">
        <f>VLOOKUP($F37,Assumptions!$E$152:$BC$157,COLUMN()-COLUMN($BC$4),FALSE)</f>
        <v>1</v>
      </c>
      <c r="CB37" s="40">
        <f>VLOOKUP($F37,Assumptions!$E$152:$BC$157,COLUMN()-COLUMN($BC$4),FALSE)</f>
        <v>1</v>
      </c>
      <c r="CC37" s="40">
        <f>VLOOKUP($F37,Assumptions!$E$152:$BC$157,COLUMN()-COLUMN($BC$4),FALSE)</f>
        <v>1</v>
      </c>
      <c r="CD37" s="40">
        <f>VLOOKUP($F37,Assumptions!$E$152:$BC$157,COLUMN()-COLUMN($BC$4),FALSE)</f>
        <v>1</v>
      </c>
      <c r="CE37" s="40">
        <f>VLOOKUP($F37,Assumptions!$E$152:$BC$157,COLUMN()-COLUMN($BC$4),FALSE)</f>
        <v>1</v>
      </c>
      <c r="CF37" s="40">
        <f>VLOOKUP($F37,Assumptions!$E$152:$BC$157,COLUMN()-COLUMN($BC$4),FALSE)</f>
        <v>1</v>
      </c>
      <c r="CG37" s="40">
        <f>VLOOKUP($F37,Assumptions!$E$152:$BC$157,COLUMN()-COLUMN($BC$4),FALSE)</f>
        <v>1</v>
      </c>
      <c r="CH37" s="40">
        <f>VLOOKUP($F37,Assumptions!$E$152:$BC$157,COLUMN()-COLUMN($BC$4),FALSE)</f>
        <v>1</v>
      </c>
      <c r="CI37" s="40">
        <f>VLOOKUP($F37,Assumptions!$E$152:$BC$157,COLUMN()-COLUMN($BC$4),FALSE)</f>
        <v>1</v>
      </c>
      <c r="CJ37" s="40">
        <f>VLOOKUP($F37,Assumptions!$E$152:$BC$157,COLUMN()-COLUMN($BC$4),FALSE)</f>
        <v>1</v>
      </c>
      <c r="CK37" s="40">
        <f>VLOOKUP($F37,Assumptions!$E$152:$BC$157,COLUMN()-COLUMN($BC$4),FALSE)</f>
        <v>1</v>
      </c>
      <c r="CL37" s="40">
        <f>VLOOKUP($F37,Assumptions!$E$152:$BC$157,COLUMN()-COLUMN($BC$4),FALSE)</f>
        <v>1</v>
      </c>
      <c r="CM37" s="40">
        <f>VLOOKUP($F37,Assumptions!$E$152:$BC$157,COLUMN()-COLUMN($BC$4),FALSE)</f>
        <v>1</v>
      </c>
      <c r="CN37" s="40">
        <f>VLOOKUP($F37,Assumptions!$E$152:$BC$157,COLUMN()-COLUMN($BC$4),FALSE)</f>
        <v>1</v>
      </c>
      <c r="CO37" s="40">
        <f>VLOOKUP($F37,Assumptions!$E$152:$BC$157,COLUMN()-COLUMN($BC$4),FALSE)</f>
        <v>1</v>
      </c>
      <c r="CP37" s="40">
        <f>VLOOKUP($F37,Assumptions!$E$152:$BC$157,COLUMN()-COLUMN($BC$4),FALSE)</f>
        <v>1</v>
      </c>
      <c r="CQ37" s="40">
        <f>VLOOKUP($F37,Assumptions!$E$152:$BC$157,COLUMN()-COLUMN($BC$4),FALSE)</f>
        <v>1</v>
      </c>
      <c r="CR37" s="40">
        <f>VLOOKUP($F37,Assumptions!$E$152:$BC$157,COLUMN()-COLUMN($BC$4),FALSE)</f>
        <v>1</v>
      </c>
      <c r="CS37" s="40">
        <f>VLOOKUP($F37,Assumptions!$E$152:$BC$157,COLUMN()-COLUMN($BC$4),FALSE)</f>
        <v>1</v>
      </c>
      <c r="CT37" s="40">
        <f>VLOOKUP($F37,Assumptions!$E$152:$BC$157,COLUMN()-COLUMN($BC$4),FALSE)</f>
        <v>1</v>
      </c>
      <c r="CU37" s="40">
        <f>VLOOKUP($F37,Assumptions!$E$152:$BC$157,COLUMN()-COLUMN($BC$4),FALSE)</f>
        <v>1</v>
      </c>
      <c r="CV37" s="40">
        <f>VLOOKUP($F37,Assumptions!$E$152:$BC$157,COLUMN()-COLUMN($BC$4),FALSE)</f>
        <v>1</v>
      </c>
      <c r="CW37" s="40">
        <f>VLOOKUP($F37,Assumptions!$E$152:$BC$157,COLUMN()-COLUMN($BC$4),FALSE)</f>
        <v>1</v>
      </c>
      <c r="CX37" s="40">
        <f>VLOOKUP($F37,Assumptions!$E$152:$BC$157,COLUMN()-COLUMN($BC$4),FALSE)</f>
        <v>1</v>
      </c>
      <c r="CY37" s="39"/>
      <c r="CZ37" s="39"/>
      <c r="DA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 t="str">
        <f t="shared" si="48"/>
        <v>\I:</v>
      </c>
      <c r="EX37" s="39" t="str">
        <f t="shared" si="68"/>
        <v/>
      </c>
      <c r="EY37" s="39" t="s">
        <v>133</v>
      </c>
      <c r="EZ37" s="39" t="s">
        <v>85</v>
      </c>
      <c r="FA37" s="39" t="s">
        <v>440</v>
      </c>
    </row>
    <row r="38" spans="3:157">
      <c r="C38" s="39" t="str">
        <f t="shared" si="54"/>
        <v/>
      </c>
      <c r="D38" s="39" t="s">
        <v>69</v>
      </c>
      <c r="E38" s="39"/>
      <c r="F38" s="39" t="s">
        <v>88</v>
      </c>
      <c r="G38" s="40">
        <f>SUMIFS(Assumptions!BD$105:BD$128,Assumptions!$BB$105:$BB$128,'non-road'!$F38,Assumptions!$BC$105:$BC$128,'non-road'!$D38)/SUMIF(Assumptions!$BB$105:$BB$128,'non-road'!$F38,Assumptions!BD$105:BD$128)</f>
        <v>0.744937925479741</v>
      </c>
      <c r="H38" s="40">
        <f>SUMIFS(Assumptions!BE$105:BE$128,Assumptions!$BB$105:$BB$128,'non-road'!$F38,Assumptions!$BC$105:$BC$128,'non-road'!$D38)/SUMIF(Assumptions!$BB$105:$BB$128,'non-road'!$F38,Assumptions!BE$105:BE$128)</f>
        <v>0.603978296242334</v>
      </c>
      <c r="I38" s="40">
        <f>SUMIFS(Assumptions!BF$105:BF$128,Assumptions!$BB$105:$BB$128,'non-road'!$F38,Assumptions!$BC$105:$BC$128,'non-road'!$D38)/SUMIF(Assumptions!$BB$105:$BB$128,'non-road'!$F38,Assumptions!BF$105:BF$128)</f>
        <v>0.898391155798402</v>
      </c>
      <c r="J38" s="40">
        <f>SUMIFS(Assumptions!BG$105:BG$128,Assumptions!$BB$105:$BB$128,'non-road'!$F38,Assumptions!$BC$105:$BC$128,'non-road'!$D38)/SUMIF(Assumptions!$BB$105:$BB$128,'non-road'!$F38,Assumptions!BG$105:BG$128)</f>
        <v>0</v>
      </c>
      <c r="K38" s="40">
        <f>SUMIFS(Assumptions!BH$105:BH$128,Assumptions!$BB$105:$BB$128,'non-road'!$F38,Assumptions!$BC$105:$BC$128,'non-road'!$D38)/SUMIF(Assumptions!$BB$105:$BB$128,'non-road'!$F38,Assumptions!BH$105:BH$128)</f>
        <v>0.380958054069375</v>
      </c>
      <c r="L38" s="40">
        <f>SUMIFS(Assumptions!BI$105:BI$128,Assumptions!$BB$105:$BB$128,'non-road'!$F38,Assumptions!$BC$105:$BC$128,'non-road'!$D38)/SUMIF(Assumptions!$BB$105:$BB$128,'non-road'!$F38,Assumptions!BI$105:BI$128)</f>
        <v>0.829959576034999</v>
      </c>
      <c r="M38" s="40">
        <f>SUMIFS(Assumptions!BJ$105:BJ$128,Assumptions!$BB$105:$BB$128,'non-road'!$F38,Assumptions!$BC$105:$BC$128,'non-road'!$D38)/SUMIF(Assumptions!$BB$105:$BB$128,'non-road'!$F38,Assumptions!BJ$105:BJ$128)</f>
        <v>0.858300170093893</v>
      </c>
      <c r="N38" s="40">
        <f>SUMIFS(Assumptions!BK$105:BK$128,Assumptions!$BB$105:$BB$128,'non-road'!$F38,Assumptions!$BC$105:$BC$128,'non-road'!$D38)/SUMIF(Assumptions!$BB$105:$BB$128,'non-road'!$F38,Assumptions!BK$105:BK$128)</f>
        <v>0.931534661968594</v>
      </c>
      <c r="O38" s="40">
        <f>SUMIFS(Assumptions!BL$105:BL$128,Assumptions!$BB$105:$BB$128,'non-road'!$F38,Assumptions!$BC$105:$BC$128,'non-road'!$D38)/SUMIF(Assumptions!$BB$105:$BB$128,'non-road'!$F38,Assumptions!BL$105:BL$128)</f>
        <v>0.767846822006319</v>
      </c>
      <c r="P38" s="40" t="e">
        <f>SUMIFS(Assumptions!BM$105:BM$128,Assumptions!$BB$105:$BB$128,'non-road'!$F38,Assumptions!$BC$105:$BC$128,'non-road'!$D38)/SUMIF(Assumptions!$BB$105:$BB$128,'non-road'!$F38,Assumptions!BM$105:BM$128)</f>
        <v>#DIV/0!</v>
      </c>
      <c r="Q38" s="40">
        <f>SUMIFS(Assumptions!BN$105:BN$128,Assumptions!$BB$105:$BB$128,'non-road'!$F38,Assumptions!$BC$105:$BC$128,'non-road'!$D38)/SUMIF(Assumptions!$BB$105:$BB$128,'non-road'!$F38,Assumptions!BN$105:BN$128)</f>
        <v>0.916584119127598</v>
      </c>
      <c r="R38" s="40">
        <f>SUMIFS(Assumptions!BO$105:BO$128,Assumptions!$BB$105:$BB$128,'non-road'!$F38,Assumptions!$BC$105:$BC$128,'non-road'!$D38)/SUMIF(Assumptions!$BB$105:$BB$128,'non-road'!$F38,Assumptions!BO$105:BO$128)</f>
        <v>0.470458953059682</v>
      </c>
      <c r="S38" s="40">
        <f>SUMIFS(Assumptions!BP$105:BP$128,Assumptions!$BB$105:$BB$128,'non-road'!$F38,Assumptions!$BC$105:$BC$128,'non-road'!$D38)/SUMIF(Assumptions!$BB$105:$BB$128,'non-road'!$F38,Assumptions!BP$105:BP$128)</f>
        <v>0.815181036647091</v>
      </c>
      <c r="T38" s="40">
        <f>SUMIFS(Assumptions!BQ$105:BQ$128,Assumptions!$BB$105:$BB$128,'non-road'!$F38,Assumptions!$BC$105:$BC$128,'non-road'!$D38)/SUMIF(Assumptions!$BB$105:$BB$128,'non-road'!$F38,Assumptions!BQ$105:BQ$128)</f>
        <v>0.15197423660307</v>
      </c>
      <c r="U38" s="40">
        <f>SUMIFS(Assumptions!BR$105:BR$128,Assumptions!$BB$105:$BB$128,'non-road'!$F38,Assumptions!$BC$105:$BC$128,'non-road'!$D38)/SUMIF(Assumptions!$BB$105:$BB$128,'non-road'!$F38,Assumptions!BR$105:BR$128)</f>
        <v>0.286527322857981</v>
      </c>
      <c r="V38" s="40">
        <f>SUMIFS(Assumptions!BS$105:BS$128,Assumptions!$BB$105:$BB$128,'non-road'!$F38,Assumptions!$BC$105:$BC$128,'non-road'!$D38)/SUMIF(Assumptions!$BB$105:$BB$128,'non-road'!$F38,Assumptions!BS$105:BS$128)</f>
        <v>0.965054452284022</v>
      </c>
      <c r="W38" s="40">
        <f>SUMIFS(Assumptions!BT$105:BT$128,Assumptions!$BB$105:$BB$128,'non-road'!$F38,Assumptions!$BC$105:$BC$128,'non-road'!$D38)/SUMIF(Assumptions!$BB$105:$BB$128,'non-road'!$F38,Assumptions!BT$105:BT$128)</f>
        <v>0.0711346266901823</v>
      </c>
      <c r="X38" s="40">
        <f>SUMIFS(Assumptions!BU$105:BU$128,Assumptions!$BB$105:$BB$128,'non-road'!$F38,Assumptions!$BC$105:$BC$128,'non-road'!$D38)/SUMIF(Assumptions!$BB$105:$BB$128,'non-road'!$F38,Assumptions!BU$105:BU$128)</f>
        <v>0.815090110417551</v>
      </c>
      <c r="Y38" s="40">
        <f>SUMIFS(Assumptions!BV$105:BV$128,Assumptions!$BB$105:$BB$128,'non-road'!$F38,Assumptions!$BC$105:$BC$128,'non-road'!$D38)/SUMIF(Assumptions!$BB$105:$BB$128,'non-road'!$F38,Assumptions!BV$105:BV$128)</f>
        <v>0.971938380454365</v>
      </c>
      <c r="Z38" s="40">
        <f>SUMIFS(Assumptions!BW$105:BW$128,Assumptions!$BB$105:$BB$128,'non-road'!$F38,Assumptions!$BC$105:$BC$128,'non-road'!$D38)/SUMIF(Assumptions!$BB$105:$BB$128,'non-road'!$F38,Assumptions!BW$105:BW$128)</f>
        <v>0.808074410386332</v>
      </c>
      <c r="AA38" s="40">
        <f>SUMIFS(Assumptions!BX$105:BX$128,Assumptions!$BB$105:$BB$128,'non-road'!$F38,Assumptions!$BC$105:$BC$128,'non-road'!$D38)/SUMIF(Assumptions!$BB$105:$BB$128,'non-road'!$F38,Assumptions!BX$105:BX$128)</f>
        <v>0.95904232332621</v>
      </c>
      <c r="AB38" s="40">
        <f>SUMIFS(Assumptions!BY$105:BY$128,Assumptions!$BB$105:$BB$128,'non-road'!$F38,Assumptions!$BC$105:$BC$128,'non-road'!$D38)/SUMIF(Assumptions!$BB$105:$BB$128,'non-road'!$F38,Assumptions!BY$105:BY$128)</f>
        <v>0.536690173782353</v>
      </c>
      <c r="AC38" s="40">
        <f>SUMIFS(Assumptions!BZ$105:BZ$128,Assumptions!$BB$105:$BB$128,'non-road'!$F38,Assumptions!$BC$105:$BC$128,'non-road'!$D38)/SUMIF(Assumptions!$BB$105:$BB$128,'non-road'!$F38,Assumptions!BZ$105:BZ$128)</f>
        <v>0.103471486152709</v>
      </c>
      <c r="AD38" s="40">
        <f>SUMIFS(Assumptions!CA$105:CA$128,Assumptions!$BB$105:$BB$128,'non-road'!$F38,Assumptions!$BC$105:$BC$128,'non-road'!$D38)/SUMIF(Assumptions!$BB$105:$BB$128,'non-road'!$F38,Assumptions!CA$105:CA$128)</f>
        <v>0.282771953660014</v>
      </c>
      <c r="AE38" s="40">
        <f>SUMIFS(Assumptions!CB$105:CB$128,Assumptions!$BB$105:$BB$128,'non-road'!$F38,Assumptions!$BC$105:$BC$128,'non-road'!$D38)/SUMIF(Assumptions!$BB$105:$BB$128,'non-road'!$F38,Assumptions!CB$105:CB$128)</f>
        <v>0.855827124169815</v>
      </c>
      <c r="AF38" s="40">
        <f>SUMIFS(Assumptions!CC$105:CC$128,Assumptions!$BB$105:$BB$128,'non-road'!$F38,Assumptions!$BC$105:$BC$128,'non-road'!$D38)/SUMIF(Assumptions!$BB$105:$BB$128,'non-road'!$F38,Assumptions!CC$105:CC$128)</f>
        <v>0.195538313479438</v>
      </c>
      <c r="AG38" s="40">
        <f>SUMIFS(Assumptions!CD$105:CD$128,Assumptions!$BB$105:$BB$128,'non-road'!$F38,Assumptions!$BC$105:$BC$128,'non-road'!$D38)/SUMIF(Assumptions!$BB$105:$BB$128,'non-road'!$F38,Assumptions!CD$105:CD$128)</f>
        <v>1</v>
      </c>
      <c r="AH38" s="40">
        <f>SUMIFS(Assumptions!CE$105:CE$128,Assumptions!$BB$105:$BB$128,'non-road'!$F38,Assumptions!$BC$105:$BC$128,'non-road'!$D38)/SUMIF(Assumptions!$BB$105:$BB$128,'non-road'!$F38,Assumptions!CE$105:CE$128)</f>
        <v>0.456534251009211</v>
      </c>
      <c r="AI38" s="40">
        <f>SUMIFS(Assumptions!CF$105:CF$128,Assumptions!$BB$105:$BB$128,'non-road'!$F38,Assumptions!$BC$105:$BC$128,'non-road'!$D38)/SUMIF(Assumptions!$BB$105:$BB$128,'non-road'!$F38,Assumptions!CF$105:CF$128)</f>
        <v>0.775181447040989</v>
      </c>
      <c r="AJ38" s="40">
        <f>SUMIFS(Assumptions!CG$105:CG$128,Assumptions!$BB$105:$BB$128,'non-road'!$F38,Assumptions!$BC$105:$BC$128,'non-road'!$D38)/SUMIF(Assumptions!$BB$105:$BB$128,'non-road'!$F38,Assumptions!CG$105:CG$128)</f>
        <v>0.692035739867136</v>
      </c>
      <c r="AK38" s="40">
        <f>SUMIFS(Assumptions!CH$105:CH$128,Assumptions!$BB$105:$BB$128,'non-road'!$F38,Assumptions!$BC$105:$BC$128,'non-road'!$D38)/SUMIF(Assumptions!$BB$105:$BB$128,'non-road'!$F38,Assumptions!CH$105:CH$128)</f>
        <v>0</v>
      </c>
      <c r="AL38" s="40">
        <f>SUMIFS(Assumptions!CI$105:CI$128,Assumptions!$BB$105:$BB$128,'non-road'!$F38,Assumptions!$BC$105:$BC$128,'non-road'!$D38)/SUMIF(Assumptions!$BB$105:$BB$128,'non-road'!$F38,Assumptions!CI$105:CI$128)</f>
        <v>0.832588026117317</v>
      </c>
      <c r="AM38" s="40">
        <f>SUMIFS(Assumptions!CJ$105:CJ$128,Assumptions!$BB$105:$BB$128,'non-road'!$F38,Assumptions!$BC$105:$BC$128,'non-road'!$D38)/SUMIF(Assumptions!$BB$105:$BB$128,'non-road'!$F38,Assumptions!CJ$105:CJ$128)</f>
        <v>0.290388470190022</v>
      </c>
      <c r="AN38" s="40" t="e">
        <f>SUMIFS(Assumptions!CK$105:CK$128,Assumptions!$BB$105:$BB$128,'non-road'!$F38,Assumptions!$BC$105:$BC$128,'non-road'!$D38)/SUMIF(Assumptions!$BB$105:$BB$128,'non-road'!$F38,Assumptions!CK$105:CK$128)</f>
        <v>#DIV/0!</v>
      </c>
      <c r="AO38" s="40">
        <f>SUMIFS(Assumptions!CL$105:CL$128,Assumptions!$BB$105:$BB$128,'non-road'!$F38,Assumptions!$BC$105:$BC$128,'non-road'!$D38)/SUMIF(Assumptions!$BB$105:$BB$128,'non-road'!$F38,Assumptions!CL$105:CL$128)</f>
        <v>0</v>
      </c>
      <c r="AP38" s="40" t="e">
        <f>SUMIFS(Assumptions!CM$105:CM$128,Assumptions!$BB$105:$BB$128,'non-road'!$F38,Assumptions!$BC$105:$BC$128,'non-road'!$D38)/SUMIF(Assumptions!$BB$105:$BB$128,'non-road'!$F38,Assumptions!CM$105:CM$128)</f>
        <v>#DIV/0!</v>
      </c>
      <c r="AQ38" s="40" t="e">
        <f>SUMIFS(Assumptions!CN$105:CN$128,Assumptions!$BB$105:$BB$128,'non-road'!$F38,Assumptions!$BC$105:$BC$128,'non-road'!$D38)/SUMIF(Assumptions!$BB$105:$BB$128,'non-road'!$F38,Assumptions!CN$105:CN$128)</f>
        <v>#DIV/0!</v>
      </c>
      <c r="AR38" s="40" t="e">
        <f>SUMIFS(Assumptions!CO$105:CO$128,Assumptions!$BB$105:$BB$128,'non-road'!$F38,Assumptions!$BC$105:$BC$128,'non-road'!$D38)/SUMIF(Assumptions!$BB$105:$BB$128,'non-road'!$F38,Assumptions!CO$105:CO$128)</f>
        <v>#DIV/0!</v>
      </c>
      <c r="AS38" s="40" t="e">
        <f>SUMIFS(Assumptions!CP$105:CP$128,Assumptions!$BB$105:$BB$128,'non-road'!$F38,Assumptions!$BC$105:$BC$128,'non-road'!$D38)/SUMIF(Assumptions!$BB$105:$BB$128,'non-road'!$F38,Assumptions!CP$105:CP$128)</f>
        <v>#DIV/0!</v>
      </c>
      <c r="AT38" s="40" t="e">
        <f>SUMIFS(Assumptions!CQ$105:CQ$128,Assumptions!$BB$105:$BB$128,'non-road'!$F38,Assumptions!$BC$105:$BC$128,'non-road'!$D38)/SUMIF(Assumptions!$BB$105:$BB$128,'non-road'!$F38,Assumptions!CQ$105:CQ$128)</f>
        <v>#DIV/0!</v>
      </c>
      <c r="AU38" s="40" t="e">
        <f>SUMIFS(Assumptions!CR$105:CR$128,Assumptions!$BB$105:$BB$128,'non-road'!$F38,Assumptions!$BC$105:$BC$128,'non-road'!$D38)/SUMIF(Assumptions!$BB$105:$BB$128,'non-road'!$F38,Assumptions!CR$105:CR$128)</f>
        <v>#DIV/0!</v>
      </c>
      <c r="AV38" s="40" t="e">
        <f>SUMIFS(Assumptions!CS$105:CS$128,Assumptions!$BB$105:$BB$128,'non-road'!$F38,Assumptions!$BC$105:$BC$128,'non-road'!$D38)/SUMIF(Assumptions!$BB$105:$BB$128,'non-road'!$F38,Assumptions!CS$105:CS$128)</f>
        <v>#DIV/0!</v>
      </c>
      <c r="AW38" s="40" t="e">
        <f>SUMIFS(Assumptions!CT$105:CT$128,Assumptions!$BB$105:$BB$128,'non-road'!$F38,Assumptions!$BC$105:$BC$128,'non-road'!$D38)/SUMIF(Assumptions!$BB$105:$BB$128,'non-road'!$F38,Assumptions!CT$105:CT$128)</f>
        <v>#DIV/0!</v>
      </c>
      <c r="AX38" s="40" t="e">
        <f>SUMIFS(Assumptions!CU$105:CU$128,Assumptions!$BB$105:$BB$128,'non-road'!$F38,Assumptions!$BC$105:$BC$128,'non-road'!$D38)/SUMIF(Assumptions!$BB$105:$BB$128,'non-road'!$F38,Assumptions!CU$105:CU$128)</f>
        <v>#DIV/0!</v>
      </c>
      <c r="AY38" s="40" t="e">
        <f>SUMIFS(Assumptions!CV$105:CV$128,Assumptions!$BB$105:$BB$128,'non-road'!$F38,Assumptions!$BC$105:$BC$128,'non-road'!$D38)/SUMIF(Assumptions!$BB$105:$BB$128,'non-road'!$F38,Assumptions!CV$105:CV$128)</f>
        <v>#DIV/0!</v>
      </c>
      <c r="AZ38" s="40" t="e">
        <f>SUMIFS(Assumptions!CW$105:CW$128,Assumptions!$BB$105:$BB$128,'non-road'!$F38,Assumptions!$BC$105:$BC$128,'non-road'!$D38)/SUMIF(Assumptions!$BB$105:$BB$128,'non-road'!$F38,Assumptions!CW$105:CW$128)</f>
        <v>#DIV/0!</v>
      </c>
      <c r="BD38" s="39" t="str">
        <f t="shared" si="55"/>
        <v>\I:</v>
      </c>
      <c r="BE38" s="40">
        <f>VLOOKUP($F38,Assumptions!$E$152:$BC$157,COLUMN()-COLUMN($BC$4),FALSE)</f>
        <v>1</v>
      </c>
      <c r="BF38" s="40">
        <f>VLOOKUP($F38,Assumptions!$E$152:$BC$157,COLUMN()-COLUMN($BC$4),FALSE)</f>
        <v>1</v>
      </c>
      <c r="BG38" s="40">
        <f>VLOOKUP($F38,Assumptions!$E$152:$BC$157,COLUMN()-COLUMN($BC$4),FALSE)</f>
        <v>1</v>
      </c>
      <c r="BH38" s="40">
        <f>VLOOKUP($F38,Assumptions!$E$152:$BC$157,COLUMN()-COLUMN($BC$4),FALSE)</f>
        <v>1</v>
      </c>
      <c r="BI38" s="40">
        <f>VLOOKUP($F38,Assumptions!$E$152:$BC$157,COLUMN()-COLUMN($BC$4),FALSE)</f>
        <v>1</v>
      </c>
      <c r="BJ38" s="40">
        <f>VLOOKUP($F38,Assumptions!$E$152:$BC$157,COLUMN()-COLUMN($BC$4),FALSE)</f>
        <v>1</v>
      </c>
      <c r="BK38" s="40">
        <f>VLOOKUP($F38,Assumptions!$E$152:$BC$157,COLUMN()-COLUMN($BC$4),FALSE)</f>
        <v>1</v>
      </c>
      <c r="BL38" s="40">
        <f>VLOOKUP($F38,Assumptions!$E$152:$BC$157,COLUMN()-COLUMN($BC$4),FALSE)</f>
        <v>1</v>
      </c>
      <c r="BM38" s="40">
        <f>VLOOKUP($F38,Assumptions!$E$152:$BC$157,COLUMN()-COLUMN($BC$4),FALSE)</f>
        <v>1</v>
      </c>
      <c r="BN38" s="40">
        <f>VLOOKUP($F38,Assumptions!$E$152:$BC$157,COLUMN()-COLUMN($BC$4),FALSE)</f>
        <v>1</v>
      </c>
      <c r="BO38" s="40">
        <f>VLOOKUP($F38,Assumptions!$E$152:$BC$157,COLUMN()-COLUMN($BC$4),FALSE)</f>
        <v>1</v>
      </c>
      <c r="BP38" s="40">
        <f>VLOOKUP($F38,Assumptions!$E$152:$BC$157,COLUMN()-COLUMN($BC$4),FALSE)</f>
        <v>1</v>
      </c>
      <c r="BQ38" s="40">
        <f>VLOOKUP($F38,Assumptions!$E$152:$BC$157,COLUMN()-COLUMN($BC$4),FALSE)</f>
        <v>1</v>
      </c>
      <c r="BR38" s="40">
        <f>VLOOKUP($F38,Assumptions!$E$152:$BC$157,COLUMN()-COLUMN($BC$4),FALSE)</f>
        <v>1</v>
      </c>
      <c r="BS38" s="40">
        <f>VLOOKUP($F38,Assumptions!$E$152:$BC$157,COLUMN()-COLUMN($BC$4),FALSE)</f>
        <v>1</v>
      </c>
      <c r="BT38" s="40">
        <f>VLOOKUP($F38,Assumptions!$E$152:$BC$157,COLUMN()-COLUMN($BC$4),FALSE)</f>
        <v>1</v>
      </c>
      <c r="BU38" s="40">
        <f>VLOOKUP($F38,Assumptions!$E$152:$BC$157,COLUMN()-COLUMN($BC$4),FALSE)</f>
        <v>1</v>
      </c>
      <c r="BV38" s="40">
        <f>VLOOKUP($F38,Assumptions!$E$152:$BC$157,COLUMN()-COLUMN($BC$4),FALSE)</f>
        <v>1</v>
      </c>
      <c r="BW38" s="40">
        <f>VLOOKUP($F38,Assumptions!$E$152:$BC$157,COLUMN()-COLUMN($BC$4),FALSE)</f>
        <v>1</v>
      </c>
      <c r="BX38" s="40">
        <f>VLOOKUP($F38,Assumptions!$E$152:$BC$157,COLUMN()-COLUMN($BC$4),FALSE)</f>
        <v>1</v>
      </c>
      <c r="BY38" s="40">
        <f>VLOOKUP($F38,Assumptions!$E$152:$BC$157,COLUMN()-COLUMN($BC$4),FALSE)</f>
        <v>1</v>
      </c>
      <c r="BZ38" s="40">
        <f>VLOOKUP($F38,Assumptions!$E$152:$BC$157,COLUMN()-COLUMN($BC$4),FALSE)</f>
        <v>1</v>
      </c>
      <c r="CA38" s="40">
        <f>VLOOKUP($F38,Assumptions!$E$152:$BC$157,COLUMN()-COLUMN($BC$4),FALSE)</f>
        <v>1</v>
      </c>
      <c r="CB38" s="40">
        <f>VLOOKUP($F38,Assumptions!$E$152:$BC$157,COLUMN()-COLUMN($BC$4),FALSE)</f>
        <v>1</v>
      </c>
      <c r="CC38" s="40">
        <f>VLOOKUP($F38,Assumptions!$E$152:$BC$157,COLUMN()-COLUMN($BC$4),FALSE)</f>
        <v>1</v>
      </c>
      <c r="CD38" s="40">
        <f>VLOOKUP($F38,Assumptions!$E$152:$BC$157,COLUMN()-COLUMN($BC$4),FALSE)</f>
        <v>1</v>
      </c>
      <c r="CE38" s="40">
        <f>VLOOKUP($F38,Assumptions!$E$152:$BC$157,COLUMN()-COLUMN($BC$4),FALSE)</f>
        <v>1</v>
      </c>
      <c r="CF38" s="40">
        <f>VLOOKUP($F38,Assumptions!$E$152:$BC$157,COLUMN()-COLUMN($BC$4),FALSE)</f>
        <v>1</v>
      </c>
      <c r="CG38" s="40">
        <f>VLOOKUP($F38,Assumptions!$E$152:$BC$157,COLUMN()-COLUMN($BC$4),FALSE)</f>
        <v>1</v>
      </c>
      <c r="CH38" s="40">
        <f>VLOOKUP($F38,Assumptions!$E$152:$BC$157,COLUMN()-COLUMN($BC$4),FALSE)</f>
        <v>1</v>
      </c>
      <c r="CI38" s="40">
        <f>VLOOKUP($F38,Assumptions!$E$152:$BC$157,COLUMN()-COLUMN($BC$4),FALSE)</f>
        <v>1</v>
      </c>
      <c r="CJ38" s="40">
        <f>VLOOKUP($F38,Assumptions!$E$152:$BC$157,COLUMN()-COLUMN($BC$4),FALSE)</f>
        <v>1</v>
      </c>
      <c r="CK38" s="40">
        <f>VLOOKUP($F38,Assumptions!$E$152:$BC$157,COLUMN()-COLUMN($BC$4),FALSE)</f>
        <v>1</v>
      </c>
      <c r="CL38" s="40">
        <f>VLOOKUP($F38,Assumptions!$E$152:$BC$157,COLUMN()-COLUMN($BC$4),FALSE)</f>
        <v>1</v>
      </c>
      <c r="CM38" s="40">
        <f>VLOOKUP($F38,Assumptions!$E$152:$BC$157,COLUMN()-COLUMN($BC$4),FALSE)</f>
        <v>1</v>
      </c>
      <c r="CN38" s="40">
        <f>VLOOKUP($F38,Assumptions!$E$152:$BC$157,COLUMN()-COLUMN($BC$4),FALSE)</f>
        <v>1</v>
      </c>
      <c r="CO38" s="40">
        <f>VLOOKUP($F38,Assumptions!$E$152:$BC$157,COLUMN()-COLUMN($BC$4),FALSE)</f>
        <v>1</v>
      </c>
      <c r="CP38" s="40">
        <f>VLOOKUP($F38,Assumptions!$E$152:$BC$157,COLUMN()-COLUMN($BC$4),FALSE)</f>
        <v>1</v>
      </c>
      <c r="CQ38" s="40">
        <f>VLOOKUP($F38,Assumptions!$E$152:$BC$157,COLUMN()-COLUMN($BC$4),FALSE)</f>
        <v>1</v>
      </c>
      <c r="CR38" s="40">
        <f>VLOOKUP($F38,Assumptions!$E$152:$BC$157,COLUMN()-COLUMN($BC$4),FALSE)</f>
        <v>1</v>
      </c>
      <c r="CS38" s="40">
        <f>VLOOKUP($F38,Assumptions!$E$152:$BC$157,COLUMN()-COLUMN($BC$4),FALSE)</f>
        <v>1</v>
      </c>
      <c r="CT38" s="40">
        <f>VLOOKUP($F38,Assumptions!$E$152:$BC$157,COLUMN()-COLUMN($BC$4),FALSE)</f>
        <v>1</v>
      </c>
      <c r="CU38" s="40">
        <f>VLOOKUP($F38,Assumptions!$E$152:$BC$157,COLUMN()-COLUMN($BC$4),FALSE)</f>
        <v>1</v>
      </c>
      <c r="CV38" s="40">
        <f>VLOOKUP($F38,Assumptions!$E$152:$BC$157,COLUMN()-COLUMN($BC$4),FALSE)</f>
        <v>1</v>
      </c>
      <c r="CW38" s="40">
        <f>VLOOKUP($F38,Assumptions!$E$152:$BC$157,COLUMN()-COLUMN($BC$4),FALSE)</f>
        <v>1</v>
      </c>
      <c r="CX38" s="40">
        <f>VLOOKUP($F38,Assumptions!$E$152:$BC$157,COLUMN()-COLUMN($BC$4),FALSE)</f>
        <v>1</v>
      </c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 t="str">
        <f t="shared" si="48"/>
        <v>\I:</v>
      </c>
      <c r="EX38" s="39" t="str">
        <f t="shared" si="68"/>
        <v/>
      </c>
      <c r="EY38" s="39" t="s">
        <v>133</v>
      </c>
      <c r="EZ38" s="39" t="s">
        <v>85</v>
      </c>
      <c r="FA38" s="39" t="s">
        <v>440</v>
      </c>
    </row>
    <row r="39" spans="3:157">
      <c r="C39" s="39" t="str">
        <f t="shared" si="54"/>
        <v/>
      </c>
      <c r="D39" s="39" t="s">
        <v>72</v>
      </c>
      <c r="E39" s="39"/>
      <c r="F39" s="39" t="s">
        <v>88</v>
      </c>
      <c r="G39" s="40">
        <f>SUMIFS(Assumptions!BD$105:BD$128,Assumptions!$BB$105:$BB$128,'non-road'!$F39,Assumptions!$BC$105:$BC$128,'non-road'!$D39)/SUMIF(Assumptions!$BB$105:$BB$128,'non-road'!$F39,Assumptions!BD$105:BD$128)</f>
        <v>0</v>
      </c>
      <c r="H39" s="40">
        <f>SUMIFS(Assumptions!BE$105:BE$128,Assumptions!$BB$105:$BB$128,'non-road'!$F39,Assumptions!$BC$105:$BC$128,'non-road'!$D39)/SUMIF(Assumptions!$BB$105:$BB$128,'non-road'!$F39,Assumptions!BE$105:BE$128)</f>
        <v>0</v>
      </c>
      <c r="I39" s="40">
        <f>SUMIFS(Assumptions!BF$105:BF$128,Assumptions!$BB$105:$BB$128,'non-road'!$F39,Assumptions!$BC$105:$BC$128,'non-road'!$D39)/SUMIF(Assumptions!$BB$105:$BB$128,'non-road'!$F39,Assumptions!BF$105:BF$128)</f>
        <v>0</v>
      </c>
      <c r="J39" s="40">
        <f>SUMIFS(Assumptions!BG$105:BG$128,Assumptions!$BB$105:$BB$128,'non-road'!$F39,Assumptions!$BC$105:$BC$128,'non-road'!$D39)/SUMIF(Assumptions!$BB$105:$BB$128,'non-road'!$F39,Assumptions!BG$105:BG$128)</f>
        <v>0</v>
      </c>
      <c r="K39" s="40">
        <f>SUMIFS(Assumptions!BH$105:BH$128,Assumptions!$BB$105:$BB$128,'non-road'!$F39,Assumptions!$BC$105:$BC$128,'non-road'!$D39)/SUMIF(Assumptions!$BB$105:$BB$128,'non-road'!$F39,Assumptions!BH$105:BH$128)</f>
        <v>0</v>
      </c>
      <c r="L39" s="40">
        <f>SUMIFS(Assumptions!BI$105:BI$128,Assumptions!$BB$105:$BB$128,'non-road'!$F39,Assumptions!$BC$105:$BC$128,'non-road'!$D39)/SUMIF(Assumptions!$BB$105:$BB$128,'non-road'!$F39,Assumptions!BI$105:BI$128)</f>
        <v>0</v>
      </c>
      <c r="M39" s="40">
        <f>SUMIFS(Assumptions!BJ$105:BJ$128,Assumptions!$BB$105:$BB$128,'non-road'!$F39,Assumptions!$BC$105:$BC$128,'non-road'!$D39)/SUMIF(Assumptions!$BB$105:$BB$128,'non-road'!$F39,Assumptions!BJ$105:BJ$128)</f>
        <v>0</v>
      </c>
      <c r="N39" s="40">
        <f>SUMIFS(Assumptions!BK$105:BK$128,Assumptions!$BB$105:$BB$128,'non-road'!$F39,Assumptions!$BC$105:$BC$128,'non-road'!$D39)/SUMIF(Assumptions!$BB$105:$BB$128,'non-road'!$F39,Assumptions!BK$105:BK$128)</f>
        <v>0</v>
      </c>
      <c r="O39" s="40">
        <f>SUMIFS(Assumptions!BL$105:BL$128,Assumptions!$BB$105:$BB$128,'non-road'!$F39,Assumptions!$BC$105:$BC$128,'non-road'!$D39)/SUMIF(Assumptions!$BB$105:$BB$128,'non-road'!$F39,Assumptions!BL$105:BL$128)</f>
        <v>0</v>
      </c>
      <c r="P39" s="40" t="e">
        <f>SUMIFS(Assumptions!BM$105:BM$128,Assumptions!$BB$105:$BB$128,'non-road'!$F39,Assumptions!$BC$105:$BC$128,'non-road'!$D39)/SUMIF(Assumptions!$BB$105:$BB$128,'non-road'!$F39,Assumptions!BM$105:BM$128)</f>
        <v>#DIV/0!</v>
      </c>
      <c r="Q39" s="40">
        <f>SUMIFS(Assumptions!BN$105:BN$128,Assumptions!$BB$105:$BB$128,'non-road'!$F39,Assumptions!$BC$105:$BC$128,'non-road'!$D39)/SUMIF(Assumptions!$BB$105:$BB$128,'non-road'!$F39,Assumptions!BN$105:BN$128)</f>
        <v>0</v>
      </c>
      <c r="R39" s="40">
        <f>SUMIFS(Assumptions!BO$105:BO$128,Assumptions!$BB$105:$BB$128,'non-road'!$F39,Assumptions!$BC$105:$BC$128,'non-road'!$D39)/SUMIF(Assumptions!$BB$105:$BB$128,'non-road'!$F39,Assumptions!BO$105:BO$128)</f>
        <v>0</v>
      </c>
      <c r="S39" s="40">
        <f>SUMIFS(Assumptions!BP$105:BP$128,Assumptions!$BB$105:$BB$128,'non-road'!$F39,Assumptions!$BC$105:$BC$128,'non-road'!$D39)/SUMIF(Assumptions!$BB$105:$BB$128,'non-road'!$F39,Assumptions!BP$105:BP$128)</f>
        <v>0</v>
      </c>
      <c r="T39" s="40">
        <f>SUMIFS(Assumptions!BQ$105:BQ$128,Assumptions!$BB$105:$BB$128,'non-road'!$F39,Assumptions!$BC$105:$BC$128,'non-road'!$D39)/SUMIF(Assumptions!$BB$105:$BB$128,'non-road'!$F39,Assumptions!BQ$105:BQ$128)</f>
        <v>0</v>
      </c>
      <c r="U39" s="40">
        <f>SUMIFS(Assumptions!BR$105:BR$128,Assumptions!$BB$105:$BB$128,'non-road'!$F39,Assumptions!$BC$105:$BC$128,'non-road'!$D39)/SUMIF(Assumptions!$BB$105:$BB$128,'non-road'!$F39,Assumptions!BR$105:BR$128)</f>
        <v>0</v>
      </c>
      <c r="V39" s="40">
        <f>SUMIFS(Assumptions!BS$105:BS$128,Assumptions!$BB$105:$BB$128,'non-road'!$F39,Assumptions!$BC$105:$BC$128,'non-road'!$D39)/SUMIF(Assumptions!$BB$105:$BB$128,'non-road'!$F39,Assumptions!BS$105:BS$128)</f>
        <v>0</v>
      </c>
      <c r="W39" s="40">
        <f>SUMIFS(Assumptions!BT$105:BT$128,Assumptions!$BB$105:$BB$128,'non-road'!$F39,Assumptions!$BC$105:$BC$128,'non-road'!$D39)/SUMIF(Assumptions!$BB$105:$BB$128,'non-road'!$F39,Assumptions!BT$105:BT$128)</f>
        <v>0</v>
      </c>
      <c r="X39" s="40">
        <f>SUMIFS(Assumptions!BU$105:BU$128,Assumptions!$BB$105:$BB$128,'non-road'!$F39,Assumptions!$BC$105:$BC$128,'non-road'!$D39)/SUMIF(Assumptions!$BB$105:$BB$128,'non-road'!$F39,Assumptions!BU$105:BU$128)</f>
        <v>0</v>
      </c>
      <c r="Y39" s="40">
        <f>SUMIFS(Assumptions!BV$105:BV$128,Assumptions!$BB$105:$BB$128,'non-road'!$F39,Assumptions!$BC$105:$BC$128,'non-road'!$D39)/SUMIF(Assumptions!$BB$105:$BB$128,'non-road'!$F39,Assumptions!BV$105:BV$128)</f>
        <v>0</v>
      </c>
      <c r="Z39" s="40">
        <f>SUMIFS(Assumptions!BW$105:BW$128,Assumptions!$BB$105:$BB$128,'non-road'!$F39,Assumptions!$BC$105:$BC$128,'non-road'!$D39)/SUMIF(Assumptions!$BB$105:$BB$128,'non-road'!$F39,Assumptions!BW$105:BW$128)</f>
        <v>0</v>
      </c>
      <c r="AA39" s="40">
        <f>SUMIFS(Assumptions!BX$105:BX$128,Assumptions!$BB$105:$BB$128,'non-road'!$F39,Assumptions!$BC$105:$BC$128,'non-road'!$D39)/SUMIF(Assumptions!$BB$105:$BB$128,'non-road'!$F39,Assumptions!BX$105:BX$128)</f>
        <v>0</v>
      </c>
      <c r="AB39" s="40">
        <f>SUMIFS(Assumptions!BY$105:BY$128,Assumptions!$BB$105:$BB$128,'non-road'!$F39,Assumptions!$BC$105:$BC$128,'non-road'!$D39)/SUMIF(Assumptions!$BB$105:$BB$128,'non-road'!$F39,Assumptions!BY$105:BY$128)</f>
        <v>0</v>
      </c>
      <c r="AC39" s="40">
        <f>SUMIFS(Assumptions!BZ$105:BZ$128,Assumptions!$BB$105:$BB$128,'non-road'!$F39,Assumptions!$BC$105:$BC$128,'non-road'!$D39)/SUMIF(Assumptions!$BB$105:$BB$128,'non-road'!$F39,Assumptions!BZ$105:BZ$128)</f>
        <v>0</v>
      </c>
      <c r="AD39" s="40">
        <f>SUMIFS(Assumptions!CA$105:CA$128,Assumptions!$BB$105:$BB$128,'non-road'!$F39,Assumptions!$BC$105:$BC$128,'non-road'!$D39)/SUMIF(Assumptions!$BB$105:$BB$128,'non-road'!$F39,Assumptions!CA$105:CA$128)</f>
        <v>0</v>
      </c>
      <c r="AE39" s="40">
        <f>SUMIFS(Assumptions!CB$105:CB$128,Assumptions!$BB$105:$BB$128,'non-road'!$F39,Assumptions!$BC$105:$BC$128,'non-road'!$D39)/SUMIF(Assumptions!$BB$105:$BB$128,'non-road'!$F39,Assumptions!CB$105:CB$128)</f>
        <v>0.00240073704089321</v>
      </c>
      <c r="AF39" s="40">
        <f>SUMIFS(Assumptions!CC$105:CC$128,Assumptions!$BB$105:$BB$128,'non-road'!$F39,Assumptions!$BC$105:$BC$128,'non-road'!$D39)/SUMIF(Assumptions!$BB$105:$BB$128,'non-road'!$F39,Assumptions!CC$105:CC$128)</f>
        <v>0</v>
      </c>
      <c r="AG39" s="40">
        <f>SUMIFS(Assumptions!CD$105:CD$128,Assumptions!$BB$105:$BB$128,'non-road'!$F39,Assumptions!$BC$105:$BC$128,'non-road'!$D39)/SUMIF(Assumptions!$BB$105:$BB$128,'non-road'!$F39,Assumptions!CD$105:CD$128)</f>
        <v>0</v>
      </c>
      <c r="AH39" s="40">
        <f>SUMIFS(Assumptions!CE$105:CE$128,Assumptions!$BB$105:$BB$128,'non-road'!$F39,Assumptions!$BC$105:$BC$128,'non-road'!$D39)/SUMIF(Assumptions!$BB$105:$BB$128,'non-road'!$F39,Assumptions!CE$105:CE$128)</f>
        <v>0</v>
      </c>
      <c r="AI39" s="40">
        <f>SUMIFS(Assumptions!CF$105:CF$128,Assumptions!$BB$105:$BB$128,'non-road'!$F39,Assumptions!$BC$105:$BC$128,'non-road'!$D39)/SUMIF(Assumptions!$BB$105:$BB$128,'non-road'!$F39,Assumptions!CF$105:CF$128)</f>
        <v>0</v>
      </c>
      <c r="AJ39" s="40">
        <f>SUMIFS(Assumptions!CG$105:CG$128,Assumptions!$BB$105:$BB$128,'non-road'!$F39,Assumptions!$BC$105:$BC$128,'non-road'!$D39)/SUMIF(Assumptions!$BB$105:$BB$128,'non-road'!$F39,Assumptions!CG$105:CG$128)</f>
        <v>0</v>
      </c>
      <c r="AK39" s="40">
        <f>SUMIFS(Assumptions!CH$105:CH$128,Assumptions!$BB$105:$BB$128,'non-road'!$F39,Assumptions!$BC$105:$BC$128,'non-road'!$D39)/SUMIF(Assumptions!$BB$105:$BB$128,'non-road'!$F39,Assumptions!CH$105:CH$128)</f>
        <v>0</v>
      </c>
      <c r="AL39" s="40">
        <f>SUMIFS(Assumptions!CI$105:CI$128,Assumptions!$BB$105:$BB$128,'non-road'!$F39,Assumptions!$BC$105:$BC$128,'non-road'!$D39)/SUMIF(Assumptions!$BB$105:$BB$128,'non-road'!$F39,Assumptions!CI$105:CI$128)</f>
        <v>0</v>
      </c>
      <c r="AM39" s="40">
        <f>SUMIFS(Assumptions!CJ$105:CJ$128,Assumptions!$BB$105:$BB$128,'non-road'!$F39,Assumptions!$BC$105:$BC$128,'non-road'!$D39)/SUMIF(Assumptions!$BB$105:$BB$128,'non-road'!$F39,Assumptions!CJ$105:CJ$128)</f>
        <v>0</v>
      </c>
      <c r="AN39" s="40" t="e">
        <f>SUMIFS(Assumptions!CK$105:CK$128,Assumptions!$BB$105:$BB$128,'non-road'!$F39,Assumptions!$BC$105:$BC$128,'non-road'!$D39)/SUMIF(Assumptions!$BB$105:$BB$128,'non-road'!$F39,Assumptions!CK$105:CK$128)</f>
        <v>#DIV/0!</v>
      </c>
      <c r="AO39" s="40">
        <f>SUMIFS(Assumptions!CL$105:CL$128,Assumptions!$BB$105:$BB$128,'non-road'!$F39,Assumptions!$BC$105:$BC$128,'non-road'!$D39)/SUMIF(Assumptions!$BB$105:$BB$128,'non-road'!$F39,Assumptions!CL$105:CL$128)</f>
        <v>0</v>
      </c>
      <c r="AP39" s="40" t="e">
        <f>SUMIFS(Assumptions!CM$105:CM$128,Assumptions!$BB$105:$BB$128,'non-road'!$F39,Assumptions!$BC$105:$BC$128,'non-road'!$D39)/SUMIF(Assumptions!$BB$105:$BB$128,'non-road'!$F39,Assumptions!CM$105:CM$128)</f>
        <v>#DIV/0!</v>
      </c>
      <c r="AQ39" s="40" t="e">
        <f>SUMIFS(Assumptions!CN$105:CN$128,Assumptions!$BB$105:$BB$128,'non-road'!$F39,Assumptions!$BC$105:$BC$128,'non-road'!$D39)/SUMIF(Assumptions!$BB$105:$BB$128,'non-road'!$F39,Assumptions!CN$105:CN$128)</f>
        <v>#DIV/0!</v>
      </c>
      <c r="AR39" s="40" t="e">
        <f>SUMIFS(Assumptions!CO$105:CO$128,Assumptions!$BB$105:$BB$128,'non-road'!$F39,Assumptions!$BC$105:$BC$128,'non-road'!$D39)/SUMIF(Assumptions!$BB$105:$BB$128,'non-road'!$F39,Assumptions!CO$105:CO$128)</f>
        <v>#DIV/0!</v>
      </c>
      <c r="AS39" s="40" t="e">
        <f>SUMIFS(Assumptions!CP$105:CP$128,Assumptions!$BB$105:$BB$128,'non-road'!$F39,Assumptions!$BC$105:$BC$128,'non-road'!$D39)/SUMIF(Assumptions!$BB$105:$BB$128,'non-road'!$F39,Assumptions!CP$105:CP$128)</f>
        <v>#DIV/0!</v>
      </c>
      <c r="AT39" s="40" t="e">
        <f>SUMIFS(Assumptions!CQ$105:CQ$128,Assumptions!$BB$105:$BB$128,'non-road'!$F39,Assumptions!$BC$105:$BC$128,'non-road'!$D39)/SUMIF(Assumptions!$BB$105:$BB$128,'non-road'!$F39,Assumptions!CQ$105:CQ$128)</f>
        <v>#DIV/0!</v>
      </c>
      <c r="AU39" s="40" t="e">
        <f>SUMIFS(Assumptions!CR$105:CR$128,Assumptions!$BB$105:$BB$128,'non-road'!$F39,Assumptions!$BC$105:$BC$128,'non-road'!$D39)/SUMIF(Assumptions!$BB$105:$BB$128,'non-road'!$F39,Assumptions!CR$105:CR$128)</f>
        <v>#DIV/0!</v>
      </c>
      <c r="AV39" s="40" t="e">
        <f>SUMIFS(Assumptions!CS$105:CS$128,Assumptions!$BB$105:$BB$128,'non-road'!$F39,Assumptions!$BC$105:$BC$128,'non-road'!$D39)/SUMIF(Assumptions!$BB$105:$BB$128,'non-road'!$F39,Assumptions!CS$105:CS$128)</f>
        <v>#DIV/0!</v>
      </c>
      <c r="AW39" s="40" t="e">
        <f>SUMIFS(Assumptions!CT$105:CT$128,Assumptions!$BB$105:$BB$128,'non-road'!$F39,Assumptions!$BC$105:$BC$128,'non-road'!$D39)/SUMIF(Assumptions!$BB$105:$BB$128,'non-road'!$F39,Assumptions!CT$105:CT$128)</f>
        <v>#DIV/0!</v>
      </c>
      <c r="AX39" s="40" t="e">
        <f>SUMIFS(Assumptions!CU$105:CU$128,Assumptions!$BB$105:$BB$128,'non-road'!$F39,Assumptions!$BC$105:$BC$128,'non-road'!$D39)/SUMIF(Assumptions!$BB$105:$BB$128,'non-road'!$F39,Assumptions!CU$105:CU$128)</f>
        <v>#DIV/0!</v>
      </c>
      <c r="AY39" s="40" t="e">
        <f>SUMIFS(Assumptions!CV$105:CV$128,Assumptions!$BB$105:$BB$128,'non-road'!$F39,Assumptions!$BC$105:$BC$128,'non-road'!$D39)/SUMIF(Assumptions!$BB$105:$BB$128,'non-road'!$F39,Assumptions!CV$105:CV$128)</f>
        <v>#DIV/0!</v>
      </c>
      <c r="AZ39" s="40" t="e">
        <f>SUMIFS(Assumptions!CW$105:CW$128,Assumptions!$BB$105:$BB$128,'non-road'!$F39,Assumptions!$BC$105:$BC$128,'non-road'!$D39)/SUMIF(Assumptions!$BB$105:$BB$128,'non-road'!$F39,Assumptions!CW$105:CW$128)</f>
        <v>#DIV/0!</v>
      </c>
      <c r="BD39" s="39" t="str">
        <f t="shared" si="55"/>
        <v>\I:</v>
      </c>
      <c r="BE39" s="40">
        <f>VLOOKUP($F39,Assumptions!$E$152:$BC$157,COLUMN()-COLUMN($BC$4),FALSE)</f>
        <v>1</v>
      </c>
      <c r="BF39" s="40">
        <f>VLOOKUP($F39,Assumptions!$E$152:$BC$157,COLUMN()-COLUMN($BC$4),FALSE)</f>
        <v>1</v>
      </c>
      <c r="BG39" s="40">
        <f>VLOOKUP($F39,Assumptions!$E$152:$BC$157,COLUMN()-COLUMN($BC$4),FALSE)</f>
        <v>1</v>
      </c>
      <c r="BH39" s="40">
        <f>VLOOKUP($F39,Assumptions!$E$152:$BC$157,COLUMN()-COLUMN($BC$4),FALSE)</f>
        <v>1</v>
      </c>
      <c r="BI39" s="40">
        <f>VLOOKUP($F39,Assumptions!$E$152:$BC$157,COLUMN()-COLUMN($BC$4),FALSE)</f>
        <v>1</v>
      </c>
      <c r="BJ39" s="40">
        <f>VLOOKUP($F39,Assumptions!$E$152:$BC$157,COLUMN()-COLUMN($BC$4),FALSE)</f>
        <v>1</v>
      </c>
      <c r="BK39" s="40">
        <f>VLOOKUP($F39,Assumptions!$E$152:$BC$157,COLUMN()-COLUMN($BC$4),FALSE)</f>
        <v>1</v>
      </c>
      <c r="BL39" s="40">
        <f>VLOOKUP($F39,Assumptions!$E$152:$BC$157,COLUMN()-COLUMN($BC$4),FALSE)</f>
        <v>1</v>
      </c>
      <c r="BM39" s="40">
        <f>VLOOKUP($F39,Assumptions!$E$152:$BC$157,COLUMN()-COLUMN($BC$4),FALSE)</f>
        <v>1</v>
      </c>
      <c r="BN39" s="40">
        <f>VLOOKUP($F39,Assumptions!$E$152:$BC$157,COLUMN()-COLUMN($BC$4),FALSE)</f>
        <v>1</v>
      </c>
      <c r="BO39" s="40">
        <f>VLOOKUP($F39,Assumptions!$E$152:$BC$157,COLUMN()-COLUMN($BC$4),FALSE)</f>
        <v>1</v>
      </c>
      <c r="BP39" s="40">
        <f>VLOOKUP($F39,Assumptions!$E$152:$BC$157,COLUMN()-COLUMN($BC$4),FALSE)</f>
        <v>1</v>
      </c>
      <c r="BQ39" s="40">
        <f>VLOOKUP($F39,Assumptions!$E$152:$BC$157,COLUMN()-COLUMN($BC$4),FALSE)</f>
        <v>1</v>
      </c>
      <c r="BR39" s="40">
        <f>VLOOKUP($F39,Assumptions!$E$152:$BC$157,COLUMN()-COLUMN($BC$4),FALSE)</f>
        <v>1</v>
      </c>
      <c r="BS39" s="40">
        <f>VLOOKUP($F39,Assumptions!$E$152:$BC$157,COLUMN()-COLUMN($BC$4),FALSE)</f>
        <v>1</v>
      </c>
      <c r="BT39" s="40">
        <f>VLOOKUP($F39,Assumptions!$E$152:$BC$157,COLUMN()-COLUMN($BC$4),FALSE)</f>
        <v>1</v>
      </c>
      <c r="BU39" s="40">
        <f>VLOOKUP($F39,Assumptions!$E$152:$BC$157,COLUMN()-COLUMN($BC$4),FALSE)</f>
        <v>1</v>
      </c>
      <c r="BV39" s="40">
        <f>VLOOKUP($F39,Assumptions!$E$152:$BC$157,COLUMN()-COLUMN($BC$4),FALSE)</f>
        <v>1</v>
      </c>
      <c r="BW39" s="40">
        <f>VLOOKUP($F39,Assumptions!$E$152:$BC$157,COLUMN()-COLUMN($BC$4),FALSE)</f>
        <v>1</v>
      </c>
      <c r="BX39" s="40">
        <f>VLOOKUP($F39,Assumptions!$E$152:$BC$157,COLUMN()-COLUMN($BC$4),FALSE)</f>
        <v>1</v>
      </c>
      <c r="BY39" s="40">
        <f>VLOOKUP($F39,Assumptions!$E$152:$BC$157,COLUMN()-COLUMN($BC$4),FALSE)</f>
        <v>1</v>
      </c>
      <c r="BZ39" s="40">
        <f>VLOOKUP($F39,Assumptions!$E$152:$BC$157,COLUMN()-COLUMN($BC$4),FALSE)</f>
        <v>1</v>
      </c>
      <c r="CA39" s="40">
        <f>VLOOKUP($F39,Assumptions!$E$152:$BC$157,COLUMN()-COLUMN($BC$4),FALSE)</f>
        <v>1</v>
      </c>
      <c r="CB39" s="40">
        <f>VLOOKUP($F39,Assumptions!$E$152:$BC$157,COLUMN()-COLUMN($BC$4),FALSE)</f>
        <v>1</v>
      </c>
      <c r="CC39" s="40">
        <f>VLOOKUP($F39,Assumptions!$E$152:$BC$157,COLUMN()-COLUMN($BC$4),FALSE)</f>
        <v>1</v>
      </c>
      <c r="CD39" s="40">
        <f>VLOOKUP($F39,Assumptions!$E$152:$BC$157,COLUMN()-COLUMN($BC$4),FALSE)</f>
        <v>1</v>
      </c>
      <c r="CE39" s="40">
        <f>VLOOKUP($F39,Assumptions!$E$152:$BC$157,COLUMN()-COLUMN($BC$4),FALSE)</f>
        <v>1</v>
      </c>
      <c r="CF39" s="40">
        <f>VLOOKUP($F39,Assumptions!$E$152:$BC$157,COLUMN()-COLUMN($BC$4),FALSE)</f>
        <v>1</v>
      </c>
      <c r="CG39" s="40">
        <f>VLOOKUP($F39,Assumptions!$E$152:$BC$157,COLUMN()-COLUMN($BC$4),FALSE)</f>
        <v>1</v>
      </c>
      <c r="CH39" s="40">
        <f>VLOOKUP($F39,Assumptions!$E$152:$BC$157,COLUMN()-COLUMN($BC$4),FALSE)</f>
        <v>1</v>
      </c>
      <c r="CI39" s="40">
        <f>VLOOKUP($F39,Assumptions!$E$152:$BC$157,COLUMN()-COLUMN($BC$4),FALSE)</f>
        <v>1</v>
      </c>
      <c r="CJ39" s="40">
        <f>VLOOKUP($F39,Assumptions!$E$152:$BC$157,COLUMN()-COLUMN($BC$4),FALSE)</f>
        <v>1</v>
      </c>
      <c r="CK39" s="40">
        <f>VLOOKUP($F39,Assumptions!$E$152:$BC$157,COLUMN()-COLUMN($BC$4),FALSE)</f>
        <v>1</v>
      </c>
      <c r="CL39" s="40">
        <f>VLOOKUP($F39,Assumptions!$E$152:$BC$157,COLUMN()-COLUMN($BC$4),FALSE)</f>
        <v>1</v>
      </c>
      <c r="CM39" s="40">
        <f>VLOOKUP($F39,Assumptions!$E$152:$BC$157,COLUMN()-COLUMN($BC$4),FALSE)</f>
        <v>1</v>
      </c>
      <c r="CN39" s="40">
        <f>VLOOKUP($F39,Assumptions!$E$152:$BC$157,COLUMN()-COLUMN($BC$4),FALSE)</f>
        <v>1</v>
      </c>
      <c r="CO39" s="40">
        <f>VLOOKUP($F39,Assumptions!$E$152:$BC$157,COLUMN()-COLUMN($BC$4),FALSE)</f>
        <v>1</v>
      </c>
      <c r="CP39" s="40">
        <f>VLOOKUP($F39,Assumptions!$E$152:$BC$157,COLUMN()-COLUMN($BC$4),FALSE)</f>
        <v>1</v>
      </c>
      <c r="CQ39" s="40">
        <f>VLOOKUP($F39,Assumptions!$E$152:$BC$157,COLUMN()-COLUMN($BC$4),FALSE)</f>
        <v>1</v>
      </c>
      <c r="CR39" s="40">
        <f>VLOOKUP($F39,Assumptions!$E$152:$BC$157,COLUMN()-COLUMN($BC$4),FALSE)</f>
        <v>1</v>
      </c>
      <c r="CS39" s="40">
        <f>VLOOKUP($F39,Assumptions!$E$152:$BC$157,COLUMN()-COLUMN($BC$4),FALSE)</f>
        <v>1</v>
      </c>
      <c r="CT39" s="40">
        <f>VLOOKUP($F39,Assumptions!$E$152:$BC$157,COLUMN()-COLUMN($BC$4),FALSE)</f>
        <v>1</v>
      </c>
      <c r="CU39" s="40">
        <f>VLOOKUP($F39,Assumptions!$E$152:$BC$157,COLUMN()-COLUMN($BC$4),FALSE)</f>
        <v>1</v>
      </c>
      <c r="CV39" s="40">
        <f>VLOOKUP($F39,Assumptions!$E$152:$BC$157,COLUMN()-COLUMN($BC$4),FALSE)</f>
        <v>1</v>
      </c>
      <c r="CW39" s="40">
        <f>VLOOKUP($F39,Assumptions!$E$152:$BC$157,COLUMN()-COLUMN($BC$4),FALSE)</f>
        <v>1</v>
      </c>
      <c r="CX39" s="40">
        <f>VLOOKUP($F39,Assumptions!$E$152:$BC$157,COLUMN()-COLUMN($BC$4),FALSE)</f>
        <v>1</v>
      </c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 t="str">
        <f t="shared" si="48"/>
        <v>\I:</v>
      </c>
      <c r="EX39" s="39" t="str">
        <f t="shared" si="68"/>
        <v/>
      </c>
      <c r="EY39" s="39" t="s">
        <v>133</v>
      </c>
      <c r="EZ39" s="39" t="s">
        <v>85</v>
      </c>
      <c r="FA39" s="39" t="s">
        <v>440</v>
      </c>
    </row>
    <row r="40" spans="3:157">
      <c r="C40" s="39" t="str">
        <f t="shared" si="54"/>
        <v/>
      </c>
      <c r="D40" s="39" t="s">
        <v>52</v>
      </c>
      <c r="E40" s="39"/>
      <c r="F40" s="39" t="s">
        <v>88</v>
      </c>
      <c r="G40" s="40">
        <f>SUMIFS(Assumptions!BD$105:BD$135,Assumptions!$BB$105:$BB$135,'non-road'!$F40,Assumptions!$BC$105:$BC$135,'non-road'!$D40)/SUMIF(Assumptions!$BB$105:$BB$135,'non-road'!$F40,Assumptions!BD$105:BD$135)</f>
        <v>0</v>
      </c>
      <c r="H40" s="40">
        <f>SUMIFS(Assumptions!BE$105:BE$135,Assumptions!$BB$105:$BB$135,'non-road'!$F40,Assumptions!$BC$105:$BC$135,'non-road'!$D40)/SUMIF(Assumptions!$BB$105:$BB$135,'non-road'!$F40,Assumptions!BE$105:BE$135)</f>
        <v>0</v>
      </c>
      <c r="I40" s="40">
        <f>SUMIFS(Assumptions!BF$105:BF$135,Assumptions!$BB$105:$BB$135,'non-road'!$F40,Assumptions!$BC$105:$BC$135,'non-road'!$D40)/SUMIF(Assumptions!$BB$105:$BB$135,'non-road'!$F40,Assumptions!BF$105:BF$135)</f>
        <v>0</v>
      </c>
      <c r="J40" s="40">
        <f>SUMIFS(Assumptions!BG$105:BG$135,Assumptions!$BB$105:$BB$135,'non-road'!$F40,Assumptions!$BC$105:$BC$135,'non-road'!$D40)/SUMIF(Assumptions!$BB$105:$BB$135,'non-road'!$F40,Assumptions!BG$105:BG$135)</f>
        <v>0</v>
      </c>
      <c r="K40" s="40">
        <f>SUMIFS(Assumptions!BH$105:BH$135,Assumptions!$BB$105:$BB$135,'non-road'!$F40,Assumptions!$BC$105:$BC$135,'non-road'!$D40)/SUMIF(Assumptions!$BB$105:$BB$135,'non-road'!$F40,Assumptions!BH$105:BH$135)</f>
        <v>0.0302396093307722</v>
      </c>
      <c r="L40" s="40">
        <f>SUMIFS(Assumptions!BI$105:BI$135,Assumptions!$BB$105:$BB$135,'non-road'!$F40,Assumptions!$BC$105:$BC$135,'non-road'!$D40)/SUMIF(Assumptions!$BB$105:$BB$135,'non-road'!$F40,Assumptions!BI$105:BI$135)</f>
        <v>0.00353817652028465</v>
      </c>
      <c r="M40" s="40">
        <f>SUMIFS(Assumptions!BJ$105:BJ$135,Assumptions!$BB$105:$BB$135,'non-road'!$F40,Assumptions!$BC$105:$BC$135,'non-road'!$D40)/SUMIF(Assumptions!$BB$105:$BB$135,'non-road'!$F40,Assumptions!BJ$105:BJ$135)</f>
        <v>0</v>
      </c>
      <c r="N40" s="40">
        <f>SUMIFS(Assumptions!BK$105:BK$135,Assumptions!$BB$105:$BB$135,'non-road'!$F40,Assumptions!$BC$105:$BC$135,'non-road'!$D40)/SUMIF(Assumptions!$BB$105:$BB$135,'non-road'!$F40,Assumptions!BK$105:BK$135)</f>
        <v>0</v>
      </c>
      <c r="O40" s="40">
        <f>SUMIFS(Assumptions!BL$105:BL$135,Assumptions!$BB$105:$BB$135,'non-road'!$F40,Assumptions!$BC$105:$BC$135,'non-road'!$D40)/SUMIF(Assumptions!$BB$105:$BB$135,'non-road'!$F40,Assumptions!BL$105:BL$135)</f>
        <v>0</v>
      </c>
      <c r="P40" s="40" t="e">
        <f>SUMIFS(Assumptions!BM$105:BM$135,Assumptions!$BB$105:$BB$135,'non-road'!$F40,Assumptions!$BC$105:$BC$135,'non-road'!$D40)/SUMIF(Assumptions!$BB$105:$BB$135,'non-road'!$F40,Assumptions!BM$105:BM$135)</f>
        <v>#DIV/0!</v>
      </c>
      <c r="Q40" s="40">
        <f>SUMIFS(Assumptions!BN$105:BN$135,Assumptions!$BB$105:$BB$135,'non-road'!$F40,Assumptions!$BC$105:$BC$135,'non-road'!$D40)/SUMIF(Assumptions!$BB$105:$BB$135,'non-road'!$F40,Assumptions!BN$105:BN$135)</f>
        <v>0</v>
      </c>
      <c r="R40" s="40">
        <f>SUMIFS(Assumptions!BO$105:BO$135,Assumptions!$BB$105:$BB$135,'non-road'!$F40,Assumptions!$BC$105:$BC$135,'non-road'!$D40)/SUMIF(Assumptions!$BB$105:$BB$135,'non-road'!$F40,Assumptions!BO$105:BO$135)</f>
        <v>0</v>
      </c>
      <c r="S40" s="40">
        <f>SUMIFS(Assumptions!BP$105:BP$135,Assumptions!$BB$105:$BB$135,'non-road'!$F40,Assumptions!$BC$105:$BC$135,'non-road'!$D40)/SUMIF(Assumptions!$BB$105:$BB$135,'non-road'!$F40,Assumptions!BP$105:BP$135)</f>
        <v>0</v>
      </c>
      <c r="T40" s="40">
        <f>SUMIFS(Assumptions!BQ$105:BQ$135,Assumptions!$BB$105:$BB$135,'non-road'!$F40,Assumptions!$BC$105:$BC$135,'non-road'!$D40)/SUMIF(Assumptions!$BB$105:$BB$135,'non-road'!$F40,Assumptions!BQ$105:BQ$135)</f>
        <v>0</v>
      </c>
      <c r="U40" s="40">
        <f>SUMIFS(Assumptions!BR$105:BR$135,Assumptions!$BB$105:$BB$135,'non-road'!$F40,Assumptions!$BC$105:$BC$135,'non-road'!$D40)/SUMIF(Assumptions!$BB$105:$BB$135,'non-road'!$F40,Assumptions!BR$105:BR$135)</f>
        <v>0</v>
      </c>
      <c r="V40" s="40">
        <f>SUMIFS(Assumptions!BS$105:BS$135,Assumptions!$BB$105:$BB$135,'non-road'!$F40,Assumptions!$BC$105:$BC$135,'non-road'!$D40)/SUMIF(Assumptions!$BB$105:$BB$135,'non-road'!$F40,Assumptions!BS$105:BS$135)</f>
        <v>0</v>
      </c>
      <c r="W40" s="40">
        <f>SUMIFS(Assumptions!BT$105:BT$135,Assumptions!$BB$105:$BB$135,'non-road'!$F40,Assumptions!$BC$105:$BC$135,'non-road'!$D40)/SUMIF(Assumptions!$BB$105:$BB$135,'non-road'!$F40,Assumptions!BT$105:BT$135)</f>
        <v>0</v>
      </c>
      <c r="X40" s="40">
        <f>SUMIFS(Assumptions!BU$105:BU$135,Assumptions!$BB$105:$BB$135,'non-road'!$F40,Assumptions!$BC$105:$BC$135,'non-road'!$D40)/SUMIF(Assumptions!$BB$105:$BB$135,'non-road'!$F40,Assumptions!BU$105:BU$135)</f>
        <v>0</v>
      </c>
      <c r="Y40" s="40">
        <f>SUMIFS(Assumptions!BV$105:BV$135,Assumptions!$BB$105:$BB$135,'non-road'!$F40,Assumptions!$BC$105:$BC$135,'non-road'!$D40)/SUMIF(Assumptions!$BB$105:$BB$135,'non-road'!$F40,Assumptions!BV$105:BV$135)</f>
        <v>0</v>
      </c>
      <c r="Z40" s="40">
        <f>SUMIFS(Assumptions!BW$105:BW$135,Assumptions!$BB$105:$BB$135,'non-road'!$F40,Assumptions!$BC$105:$BC$135,'non-road'!$D40)/SUMIF(Assumptions!$BB$105:$BB$135,'non-road'!$F40,Assumptions!BW$105:BW$135)</f>
        <v>0</v>
      </c>
      <c r="AA40" s="40">
        <f>SUMIFS(Assumptions!BX$105:BX$135,Assumptions!$BB$105:$BB$135,'non-road'!$F40,Assumptions!$BC$105:$BC$135,'non-road'!$D40)/SUMIF(Assumptions!$BB$105:$BB$135,'non-road'!$F40,Assumptions!BX$105:BX$135)</f>
        <v>0</v>
      </c>
      <c r="AB40" s="40">
        <f>SUMIFS(Assumptions!BY$105:BY$135,Assumptions!$BB$105:$BB$135,'non-road'!$F40,Assumptions!$BC$105:$BC$135,'non-road'!$D40)/SUMIF(Assumptions!$BB$105:$BB$135,'non-road'!$F40,Assumptions!BY$105:BY$135)</f>
        <v>0</v>
      </c>
      <c r="AC40" s="40">
        <f>SUMIFS(Assumptions!BZ$105:BZ$135,Assumptions!$BB$105:$BB$135,'non-road'!$F40,Assumptions!$BC$105:$BC$135,'non-road'!$D40)/SUMIF(Assumptions!$BB$105:$BB$135,'non-road'!$F40,Assumptions!BZ$105:BZ$135)</f>
        <v>0.159788400949084</v>
      </c>
      <c r="AD40" s="40">
        <f>SUMIFS(Assumptions!CA$105:CA$135,Assumptions!$BB$105:$BB$135,'non-road'!$F40,Assumptions!$BC$105:$BC$135,'non-road'!$D40)/SUMIF(Assumptions!$BB$105:$BB$135,'non-road'!$F40,Assumptions!CA$105:CA$135)</f>
        <v>0</v>
      </c>
      <c r="AE40" s="40">
        <f>SUMIFS(Assumptions!CB$105:CB$135,Assumptions!$BB$105:$BB$135,'non-road'!$F40,Assumptions!$BC$105:$BC$135,'non-road'!$D40)/SUMIF(Assumptions!$BB$105:$BB$135,'non-road'!$F40,Assumptions!CB$105:CB$135)</f>
        <v>0</v>
      </c>
      <c r="AF40" s="40">
        <f>SUMIFS(Assumptions!CC$105:CC$135,Assumptions!$BB$105:$BB$135,'non-road'!$F40,Assumptions!$BC$105:$BC$135,'non-road'!$D40)/SUMIF(Assumptions!$BB$105:$BB$135,'non-road'!$F40,Assumptions!CC$105:CC$135)</f>
        <v>0</v>
      </c>
      <c r="AG40" s="40">
        <f>SUMIFS(Assumptions!CD$105:CD$135,Assumptions!$BB$105:$BB$135,'non-road'!$F40,Assumptions!$BC$105:$BC$135,'non-road'!$D40)/SUMIF(Assumptions!$BB$105:$BB$135,'non-road'!$F40,Assumptions!CD$105:CD$135)</f>
        <v>0</v>
      </c>
      <c r="AH40" s="40">
        <f>SUMIFS(Assumptions!CE$105:CE$135,Assumptions!$BB$105:$BB$135,'non-road'!$F40,Assumptions!$BC$105:$BC$135,'non-road'!$D40)/SUMIF(Assumptions!$BB$105:$BB$135,'non-road'!$F40,Assumptions!CE$105:CE$135)</f>
        <v>0</v>
      </c>
      <c r="AI40" s="40">
        <f>SUMIFS(Assumptions!CF$105:CF$135,Assumptions!$BB$105:$BB$135,'non-road'!$F40,Assumptions!$BC$105:$BC$135,'non-road'!$D40)/SUMIF(Assumptions!$BB$105:$BB$135,'non-road'!$F40,Assumptions!CF$105:CF$135)</f>
        <v>0.00441572002328465</v>
      </c>
      <c r="AJ40" s="40">
        <f>SUMIFS(Assumptions!CG$105:CG$135,Assumptions!$BB$105:$BB$135,'non-road'!$F40,Assumptions!$BC$105:$BC$135,'non-road'!$D40)/SUMIF(Assumptions!$BB$105:$BB$135,'non-road'!$F40,Assumptions!CG$105:CG$135)</f>
        <v>0.00577088204414803</v>
      </c>
      <c r="AK40" s="40">
        <f>SUMIFS(Assumptions!CH$105:CH$135,Assumptions!$BB$105:$BB$135,'non-road'!$F40,Assumptions!$BC$105:$BC$135,'non-road'!$D40)/SUMIF(Assumptions!$BB$105:$BB$135,'non-road'!$F40,Assumptions!CH$105:CH$135)</f>
        <v>0</v>
      </c>
      <c r="AL40" s="40">
        <f>SUMIFS(Assumptions!CI$105:CI$135,Assumptions!$BB$105:$BB$135,'non-road'!$F40,Assumptions!$BC$105:$BC$135,'non-road'!$D40)/SUMIF(Assumptions!$BB$105:$BB$135,'non-road'!$F40,Assumptions!CI$105:CI$135)</f>
        <v>0</v>
      </c>
      <c r="AM40" s="40">
        <f>SUMIFS(Assumptions!CJ$105:CJ$135,Assumptions!$BB$105:$BB$135,'non-road'!$F40,Assumptions!$BC$105:$BC$135,'non-road'!$D40)/SUMIF(Assumptions!$BB$105:$BB$135,'non-road'!$F40,Assumptions!CJ$105:CJ$135)</f>
        <v>0</v>
      </c>
      <c r="AN40" s="40" t="e">
        <f>SUMIFS(Assumptions!CK$105:CK$135,Assumptions!$BB$105:$BB$135,'non-road'!$F40,Assumptions!$BC$105:$BC$135,'non-road'!$D40)/SUMIF(Assumptions!$BB$105:$BB$135,'non-road'!$F40,Assumptions!CK$105:CK$135)</f>
        <v>#DIV/0!</v>
      </c>
      <c r="AO40" s="40">
        <f>SUMIFS(Assumptions!CL$105:CL$135,Assumptions!$BB$105:$BB$135,'non-road'!$F40,Assumptions!$BC$105:$BC$135,'non-road'!$D40)/SUMIF(Assumptions!$BB$105:$BB$135,'non-road'!$F40,Assumptions!CL$105:CL$135)</f>
        <v>0</v>
      </c>
      <c r="AP40" s="40" t="e">
        <f>SUMIFS(Assumptions!CM$105:CM$135,Assumptions!$BB$105:$BB$135,'non-road'!$F40,Assumptions!$BC$105:$BC$135,'non-road'!$D40)/SUMIF(Assumptions!$BB$105:$BB$135,'non-road'!$F40,Assumptions!CM$105:CM$135)</f>
        <v>#DIV/0!</v>
      </c>
      <c r="AQ40" s="40" t="e">
        <f>SUMIFS(Assumptions!CN$105:CN$135,Assumptions!$BB$105:$BB$135,'non-road'!$F40,Assumptions!$BC$105:$BC$135,'non-road'!$D40)/SUMIF(Assumptions!$BB$105:$BB$135,'non-road'!$F40,Assumptions!CN$105:CN$135)</f>
        <v>#DIV/0!</v>
      </c>
      <c r="AR40" s="40" t="e">
        <f>SUMIFS(Assumptions!CO$105:CO$135,Assumptions!$BB$105:$BB$135,'non-road'!$F40,Assumptions!$BC$105:$BC$135,'non-road'!$D40)/SUMIF(Assumptions!$BB$105:$BB$135,'non-road'!$F40,Assumptions!CO$105:CO$135)</f>
        <v>#DIV/0!</v>
      </c>
      <c r="AS40" s="40" t="e">
        <f>SUMIFS(Assumptions!CP$105:CP$135,Assumptions!$BB$105:$BB$135,'non-road'!$F40,Assumptions!$BC$105:$BC$135,'non-road'!$D40)/SUMIF(Assumptions!$BB$105:$BB$135,'non-road'!$F40,Assumptions!CP$105:CP$135)</f>
        <v>#DIV/0!</v>
      </c>
      <c r="AT40" s="40" t="e">
        <f>SUMIFS(Assumptions!CQ$105:CQ$135,Assumptions!$BB$105:$BB$135,'non-road'!$F40,Assumptions!$BC$105:$BC$135,'non-road'!$D40)/SUMIF(Assumptions!$BB$105:$BB$135,'non-road'!$F40,Assumptions!CQ$105:CQ$135)</f>
        <v>#DIV/0!</v>
      </c>
      <c r="AU40" s="40" t="e">
        <f>SUMIFS(Assumptions!CR$105:CR$135,Assumptions!$BB$105:$BB$135,'non-road'!$F40,Assumptions!$BC$105:$BC$135,'non-road'!$D40)/SUMIF(Assumptions!$BB$105:$BB$135,'non-road'!$F40,Assumptions!CR$105:CR$135)</f>
        <v>#DIV/0!</v>
      </c>
      <c r="AV40" s="40" t="e">
        <f>SUMIFS(Assumptions!CS$105:CS$135,Assumptions!$BB$105:$BB$135,'non-road'!$F40,Assumptions!$BC$105:$BC$135,'non-road'!$D40)/SUMIF(Assumptions!$BB$105:$BB$135,'non-road'!$F40,Assumptions!CS$105:CS$135)</f>
        <v>#DIV/0!</v>
      </c>
      <c r="AW40" s="40" t="e">
        <f>SUMIFS(Assumptions!CT$105:CT$135,Assumptions!$BB$105:$BB$135,'non-road'!$F40,Assumptions!$BC$105:$BC$135,'non-road'!$D40)/SUMIF(Assumptions!$BB$105:$BB$135,'non-road'!$F40,Assumptions!CT$105:CT$135)</f>
        <v>#DIV/0!</v>
      </c>
      <c r="AX40" s="40" t="e">
        <f>SUMIFS(Assumptions!CU$105:CU$135,Assumptions!$BB$105:$BB$135,'non-road'!$F40,Assumptions!$BC$105:$BC$135,'non-road'!$D40)/SUMIF(Assumptions!$BB$105:$BB$135,'non-road'!$F40,Assumptions!CU$105:CU$135)</f>
        <v>#DIV/0!</v>
      </c>
      <c r="AY40" s="40" t="e">
        <f>SUMIFS(Assumptions!CV$105:CV$135,Assumptions!$BB$105:$BB$135,'non-road'!$F40,Assumptions!$BC$105:$BC$135,'non-road'!$D40)/SUMIF(Assumptions!$BB$105:$BB$135,'non-road'!$F40,Assumptions!CV$105:CV$135)</f>
        <v>#DIV/0!</v>
      </c>
      <c r="AZ40" s="40" t="e">
        <f>SUMIFS(Assumptions!CW$105:CW$135,Assumptions!$BB$105:$BB$135,'non-road'!$F40,Assumptions!$BC$105:$BC$135,'non-road'!$D40)/SUMIF(Assumptions!$BB$105:$BB$135,'non-road'!$F40,Assumptions!CW$105:CW$135)</f>
        <v>#DIV/0!</v>
      </c>
      <c r="BD40" s="39" t="str">
        <f t="shared" si="55"/>
        <v>\I:</v>
      </c>
      <c r="BE40" s="40">
        <f>VLOOKUP($F40,Assumptions!$E$152:$BC$157,COLUMN()-COLUMN($BC$4),FALSE)</f>
        <v>1</v>
      </c>
      <c r="BF40" s="40">
        <f>VLOOKUP($F40,Assumptions!$E$152:$BC$157,COLUMN()-COLUMN($BC$4),FALSE)</f>
        <v>1</v>
      </c>
      <c r="BG40" s="40">
        <f>VLOOKUP($F40,Assumptions!$E$152:$BC$157,COLUMN()-COLUMN($BC$4),FALSE)</f>
        <v>1</v>
      </c>
      <c r="BH40" s="40">
        <f>VLOOKUP($F40,Assumptions!$E$152:$BC$157,COLUMN()-COLUMN($BC$4),FALSE)</f>
        <v>1</v>
      </c>
      <c r="BI40" s="40">
        <f>VLOOKUP($F40,Assumptions!$E$152:$BC$157,COLUMN()-COLUMN($BC$4),FALSE)</f>
        <v>1</v>
      </c>
      <c r="BJ40" s="40">
        <f>VLOOKUP($F40,Assumptions!$E$152:$BC$157,COLUMN()-COLUMN($BC$4),FALSE)</f>
        <v>1</v>
      </c>
      <c r="BK40" s="40">
        <f>VLOOKUP($F40,Assumptions!$E$152:$BC$157,COLUMN()-COLUMN($BC$4),FALSE)</f>
        <v>1</v>
      </c>
      <c r="BL40" s="40">
        <f>VLOOKUP($F40,Assumptions!$E$152:$BC$157,COLUMN()-COLUMN($BC$4),FALSE)</f>
        <v>1</v>
      </c>
      <c r="BM40" s="40">
        <f>VLOOKUP($F40,Assumptions!$E$152:$BC$157,COLUMN()-COLUMN($BC$4),FALSE)</f>
        <v>1</v>
      </c>
      <c r="BN40" s="40">
        <f>VLOOKUP($F40,Assumptions!$E$152:$BC$157,COLUMN()-COLUMN($BC$4),FALSE)</f>
        <v>1</v>
      </c>
      <c r="BO40" s="40">
        <f>VLOOKUP($F40,Assumptions!$E$152:$BC$157,COLUMN()-COLUMN($BC$4),FALSE)</f>
        <v>1</v>
      </c>
      <c r="BP40" s="40">
        <f>VLOOKUP($F40,Assumptions!$E$152:$BC$157,COLUMN()-COLUMN($BC$4),FALSE)</f>
        <v>1</v>
      </c>
      <c r="BQ40" s="40">
        <f>VLOOKUP($F40,Assumptions!$E$152:$BC$157,COLUMN()-COLUMN($BC$4),FALSE)</f>
        <v>1</v>
      </c>
      <c r="BR40" s="40">
        <f>VLOOKUP($F40,Assumptions!$E$152:$BC$157,COLUMN()-COLUMN($BC$4),FALSE)</f>
        <v>1</v>
      </c>
      <c r="BS40" s="40">
        <f>VLOOKUP($F40,Assumptions!$E$152:$BC$157,COLUMN()-COLUMN($BC$4),FALSE)</f>
        <v>1</v>
      </c>
      <c r="BT40" s="40">
        <f>VLOOKUP($F40,Assumptions!$E$152:$BC$157,COLUMN()-COLUMN($BC$4),FALSE)</f>
        <v>1</v>
      </c>
      <c r="BU40" s="40">
        <f>VLOOKUP($F40,Assumptions!$E$152:$BC$157,COLUMN()-COLUMN($BC$4),FALSE)</f>
        <v>1</v>
      </c>
      <c r="BV40" s="40">
        <f>VLOOKUP($F40,Assumptions!$E$152:$BC$157,COLUMN()-COLUMN($BC$4),FALSE)</f>
        <v>1</v>
      </c>
      <c r="BW40" s="40">
        <f>VLOOKUP($F40,Assumptions!$E$152:$BC$157,COLUMN()-COLUMN($BC$4),FALSE)</f>
        <v>1</v>
      </c>
      <c r="BX40" s="40">
        <f>VLOOKUP($F40,Assumptions!$E$152:$BC$157,COLUMN()-COLUMN($BC$4),FALSE)</f>
        <v>1</v>
      </c>
      <c r="BY40" s="40">
        <f>VLOOKUP($F40,Assumptions!$E$152:$BC$157,COLUMN()-COLUMN($BC$4),FALSE)</f>
        <v>1</v>
      </c>
      <c r="BZ40" s="40">
        <f>VLOOKUP($F40,Assumptions!$E$152:$BC$157,COLUMN()-COLUMN($BC$4),FALSE)</f>
        <v>1</v>
      </c>
      <c r="CA40" s="40">
        <f>VLOOKUP($F40,Assumptions!$E$152:$BC$157,COLUMN()-COLUMN($BC$4),FALSE)</f>
        <v>1</v>
      </c>
      <c r="CB40" s="40">
        <f>VLOOKUP($F40,Assumptions!$E$152:$BC$157,COLUMN()-COLUMN($BC$4),FALSE)</f>
        <v>1</v>
      </c>
      <c r="CC40" s="40">
        <f>VLOOKUP($F40,Assumptions!$E$152:$BC$157,COLUMN()-COLUMN($BC$4),FALSE)</f>
        <v>1</v>
      </c>
      <c r="CD40" s="40">
        <f>VLOOKUP($F40,Assumptions!$E$152:$BC$157,COLUMN()-COLUMN($BC$4),FALSE)</f>
        <v>1</v>
      </c>
      <c r="CE40" s="40">
        <f>VLOOKUP($F40,Assumptions!$E$152:$BC$157,COLUMN()-COLUMN($BC$4),FALSE)</f>
        <v>1</v>
      </c>
      <c r="CF40" s="40">
        <f>VLOOKUP($F40,Assumptions!$E$152:$BC$157,COLUMN()-COLUMN($BC$4),FALSE)</f>
        <v>1</v>
      </c>
      <c r="CG40" s="40">
        <f>VLOOKUP($F40,Assumptions!$E$152:$BC$157,COLUMN()-COLUMN($BC$4),FALSE)</f>
        <v>1</v>
      </c>
      <c r="CH40" s="40">
        <f>VLOOKUP($F40,Assumptions!$E$152:$BC$157,COLUMN()-COLUMN($BC$4),FALSE)</f>
        <v>1</v>
      </c>
      <c r="CI40" s="40">
        <f>VLOOKUP($F40,Assumptions!$E$152:$BC$157,COLUMN()-COLUMN($BC$4),FALSE)</f>
        <v>1</v>
      </c>
      <c r="CJ40" s="40">
        <f>VLOOKUP($F40,Assumptions!$E$152:$BC$157,COLUMN()-COLUMN($BC$4),FALSE)</f>
        <v>1</v>
      </c>
      <c r="CK40" s="40">
        <f>VLOOKUP($F40,Assumptions!$E$152:$BC$157,COLUMN()-COLUMN($BC$4),FALSE)</f>
        <v>1</v>
      </c>
      <c r="CL40" s="40">
        <f>VLOOKUP($F40,Assumptions!$E$152:$BC$157,COLUMN()-COLUMN($BC$4),FALSE)</f>
        <v>1</v>
      </c>
      <c r="CM40" s="40">
        <f>VLOOKUP($F40,Assumptions!$E$152:$BC$157,COLUMN()-COLUMN($BC$4),FALSE)</f>
        <v>1</v>
      </c>
      <c r="CN40" s="40">
        <f>VLOOKUP($F40,Assumptions!$E$152:$BC$157,COLUMN()-COLUMN($BC$4),FALSE)</f>
        <v>1</v>
      </c>
      <c r="CO40" s="40">
        <f>VLOOKUP($F40,Assumptions!$E$152:$BC$157,COLUMN()-COLUMN($BC$4),FALSE)</f>
        <v>1</v>
      </c>
      <c r="CP40" s="40">
        <f>VLOOKUP($F40,Assumptions!$E$152:$BC$157,COLUMN()-COLUMN($BC$4),FALSE)</f>
        <v>1</v>
      </c>
      <c r="CQ40" s="40">
        <f>VLOOKUP($F40,Assumptions!$E$152:$BC$157,COLUMN()-COLUMN($BC$4),FALSE)</f>
        <v>1</v>
      </c>
      <c r="CR40" s="40">
        <f>VLOOKUP($F40,Assumptions!$E$152:$BC$157,COLUMN()-COLUMN($BC$4),FALSE)</f>
        <v>1</v>
      </c>
      <c r="CS40" s="40">
        <f>VLOOKUP($F40,Assumptions!$E$152:$BC$157,COLUMN()-COLUMN($BC$4),FALSE)</f>
        <v>1</v>
      </c>
      <c r="CT40" s="40">
        <f>VLOOKUP($F40,Assumptions!$E$152:$BC$157,COLUMN()-COLUMN($BC$4),FALSE)</f>
        <v>1</v>
      </c>
      <c r="CU40" s="40">
        <f>VLOOKUP($F40,Assumptions!$E$152:$BC$157,COLUMN()-COLUMN($BC$4),FALSE)</f>
        <v>1</v>
      </c>
      <c r="CV40" s="40">
        <f>VLOOKUP($F40,Assumptions!$E$152:$BC$157,COLUMN()-COLUMN($BC$4),FALSE)</f>
        <v>1</v>
      </c>
      <c r="CW40" s="40">
        <f>VLOOKUP($F40,Assumptions!$E$152:$BC$157,COLUMN()-COLUMN($BC$4),FALSE)</f>
        <v>1</v>
      </c>
      <c r="CX40" s="40">
        <f>VLOOKUP($F40,Assumptions!$E$152:$BC$157,COLUMN()-COLUMN($BC$4),FALSE)</f>
        <v>1</v>
      </c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 t="str">
        <f t="shared" si="48"/>
        <v>DMD</v>
      </c>
      <c r="EX40" s="39" t="str">
        <f t="shared" si="68"/>
        <v>NEU_Generic</v>
      </c>
      <c r="EY40" s="39" t="s">
        <v>452</v>
      </c>
      <c r="EZ40" s="39" t="s">
        <v>85</v>
      </c>
      <c r="FA40" s="39" t="s">
        <v>440</v>
      </c>
    </row>
    <row r="41" spans="3:157">
      <c r="C41" s="39" t="str">
        <f t="shared" si="54"/>
        <v>NEU_Generic</v>
      </c>
      <c r="D41" s="39" t="s">
        <v>42</v>
      </c>
      <c r="E41" s="39"/>
      <c r="F41" s="39" t="s">
        <v>41</v>
      </c>
      <c r="G41" s="40">
        <f>IFERROR(SUMIFS(Assumptions!BD$105:BD$135,Assumptions!$BB$105:$BB$135,'non-road'!$F41,Assumptions!$BC$105:$BC$135,'non-road'!$D41)/SUMIF(Assumptions!$BB$105:$BB$135,'non-road'!$F41,Assumptions!BD$105:BD$135),"")</f>
        <v>0</v>
      </c>
      <c r="H41" s="40">
        <f>IFERROR(SUMIFS(Assumptions!BE$105:BE$135,Assumptions!$BB$105:$BB$135,'non-road'!$F41,Assumptions!$BC$105:$BC$135,'non-road'!$D41)/SUMIF(Assumptions!$BB$105:$BB$135,'non-road'!$F41,Assumptions!BE$105:BE$135),"")</f>
        <v>0</v>
      </c>
      <c r="I41" s="40" t="str">
        <f>IFERROR(SUMIFS(Assumptions!BF$105:BF$135,Assumptions!$BB$105:$BB$135,'non-road'!$F41,Assumptions!$BC$105:$BC$135,'non-road'!$D41)/SUMIF(Assumptions!$BB$105:$BB$135,'non-road'!$F41,Assumptions!BF$105:BF$135),"")</f>
        <v/>
      </c>
      <c r="J41" s="40">
        <f>IFERROR(SUMIFS(Assumptions!BG$105:BG$135,Assumptions!$BB$105:$BB$135,'non-road'!$F41,Assumptions!$BC$105:$BC$135,'non-road'!$D41)/SUMIF(Assumptions!$BB$105:$BB$135,'non-road'!$F41,Assumptions!BG$105:BG$135),"")</f>
        <v>0</v>
      </c>
      <c r="K41" s="40">
        <f>IFERROR(SUMIFS(Assumptions!BH$105:BH$135,Assumptions!$BB$105:$BB$135,'non-road'!$F41,Assumptions!$BC$105:$BC$135,'non-road'!$D41)/SUMIF(Assumptions!$BB$105:$BB$135,'non-road'!$F41,Assumptions!BH$105:BH$135),"")</f>
        <v>0</v>
      </c>
      <c r="L41" s="40">
        <f>IFERROR(SUMIFS(Assumptions!BI$105:BI$135,Assumptions!$BB$105:$BB$135,'non-road'!$F41,Assumptions!$BC$105:$BC$135,'non-road'!$D41)/SUMIF(Assumptions!$BB$105:$BB$135,'non-road'!$F41,Assumptions!BI$105:BI$135),"")</f>
        <v>0</v>
      </c>
      <c r="M41" s="40">
        <f>IFERROR(SUMIFS(Assumptions!BJ$105:BJ$135,Assumptions!$BB$105:$BB$135,'non-road'!$F41,Assumptions!$BC$105:$BC$135,'non-road'!$D41)/SUMIF(Assumptions!$BB$105:$BB$135,'non-road'!$F41,Assumptions!BJ$105:BJ$135),"")</f>
        <v>1</v>
      </c>
      <c r="N41" s="40">
        <f>IFERROR(SUMIFS(Assumptions!BK$105:BK$135,Assumptions!$BB$105:$BB$135,'non-road'!$F41,Assumptions!$BC$105:$BC$135,'non-road'!$D41)/SUMIF(Assumptions!$BB$105:$BB$135,'non-road'!$F41,Assumptions!BK$105:BK$135),"")</f>
        <v>0</v>
      </c>
      <c r="O41" s="40">
        <f>IFERROR(SUMIFS(Assumptions!BL$105:BL$135,Assumptions!$BB$105:$BB$135,'non-road'!$F41,Assumptions!$BC$105:$BC$135,'non-road'!$D41)/SUMIF(Assumptions!$BB$105:$BB$135,'non-road'!$F41,Assumptions!BL$105:BL$135),"")</f>
        <v>0</v>
      </c>
      <c r="P41" s="40">
        <f>IFERROR(SUMIFS(Assumptions!BM$105:BM$135,Assumptions!$BB$105:$BB$135,'non-road'!$F41,Assumptions!$BC$105:$BC$135,'non-road'!$D41)/SUMIF(Assumptions!$BB$105:$BB$135,'non-road'!$F41,Assumptions!BM$105:BM$135),"")</f>
        <v>0</v>
      </c>
      <c r="Q41" s="40">
        <f>IFERROR(SUMIFS(Assumptions!BN$105:BN$135,Assumptions!$BB$105:$BB$135,'non-road'!$F41,Assumptions!$BC$105:$BC$135,'non-road'!$D41)/SUMIF(Assumptions!$BB$105:$BB$135,'non-road'!$F41,Assumptions!BN$105:BN$135),"")</f>
        <v>0</v>
      </c>
      <c r="R41" s="40">
        <f>IFERROR(SUMIFS(Assumptions!BO$105:BO$135,Assumptions!$BB$105:$BB$135,'non-road'!$F41,Assumptions!$BC$105:$BC$135,'non-road'!$D41)/SUMIF(Assumptions!$BB$105:$BB$135,'non-road'!$F41,Assumptions!BO$105:BO$135),"")</f>
        <v>0</v>
      </c>
      <c r="S41" s="40">
        <f>IFERROR(SUMIFS(Assumptions!BP$105:BP$135,Assumptions!$BB$105:$BB$135,'non-road'!$F41,Assumptions!$BC$105:$BC$135,'non-road'!$D41)/SUMIF(Assumptions!$BB$105:$BB$135,'non-road'!$F41,Assumptions!BP$105:BP$135),"")</f>
        <v>0</v>
      </c>
      <c r="T41" s="40">
        <f>IFERROR(SUMIFS(Assumptions!BQ$105:BQ$135,Assumptions!$BB$105:$BB$135,'non-road'!$F41,Assumptions!$BC$105:$BC$135,'non-road'!$D41)/SUMIF(Assumptions!$BB$105:$BB$135,'non-road'!$F41,Assumptions!BQ$105:BQ$135),"")</f>
        <v>0</v>
      </c>
      <c r="U41" s="40">
        <f>IFERROR(SUMIFS(Assumptions!BR$105:BR$135,Assumptions!$BB$105:$BB$135,'non-road'!$F41,Assumptions!$BC$105:$BC$135,'non-road'!$D41)/SUMIF(Assumptions!$BB$105:$BB$135,'non-road'!$F41,Assumptions!BR$105:BR$135),"")</f>
        <v>0</v>
      </c>
      <c r="V41" s="40" t="str">
        <f>IFERROR(SUMIFS(Assumptions!BS$105:BS$135,Assumptions!$BB$105:$BB$135,'non-road'!$F41,Assumptions!$BC$105:$BC$135,'non-road'!$D41)/SUMIF(Assumptions!$BB$105:$BB$135,'non-road'!$F41,Assumptions!BS$105:BS$135),"")</f>
        <v/>
      </c>
      <c r="W41" s="40">
        <f>IFERROR(SUMIFS(Assumptions!BT$105:BT$135,Assumptions!$BB$105:$BB$135,'non-road'!$F41,Assumptions!$BC$105:$BC$135,'non-road'!$D41)/SUMIF(Assumptions!$BB$105:$BB$135,'non-road'!$F41,Assumptions!BT$105:BT$135),"")</f>
        <v>0</v>
      </c>
      <c r="X41" s="40">
        <f>IFERROR(SUMIFS(Assumptions!BU$105:BU$135,Assumptions!$BB$105:$BB$135,'non-road'!$F41,Assumptions!$BC$105:$BC$135,'non-road'!$D41)/SUMIF(Assumptions!$BB$105:$BB$135,'non-road'!$F41,Assumptions!BU$105:BU$135),"")</f>
        <v>0</v>
      </c>
      <c r="Y41" s="40">
        <f>IFERROR(SUMIFS(Assumptions!BV$105:BV$135,Assumptions!$BB$105:$BB$135,'non-road'!$F41,Assumptions!$BC$105:$BC$135,'non-road'!$D41)/SUMIF(Assumptions!$BB$105:$BB$135,'non-road'!$F41,Assumptions!BV$105:BV$135),"")</f>
        <v>0</v>
      </c>
      <c r="Z41" s="40">
        <f>IFERROR(SUMIFS(Assumptions!BW$105:BW$135,Assumptions!$BB$105:$BB$135,'non-road'!$F41,Assumptions!$BC$105:$BC$135,'non-road'!$D41)/SUMIF(Assumptions!$BB$105:$BB$135,'non-road'!$F41,Assumptions!BW$105:BW$135),"")</f>
        <v>0</v>
      </c>
      <c r="AA41" s="40">
        <f>IFERROR(SUMIFS(Assumptions!BX$105:BX$135,Assumptions!$BB$105:$BB$135,'non-road'!$F41,Assumptions!$BC$105:$BC$135,'non-road'!$D41)/SUMIF(Assumptions!$BB$105:$BB$135,'non-road'!$F41,Assumptions!BX$105:BX$135),"")</f>
        <v>0</v>
      </c>
      <c r="AB41" s="40">
        <f>IFERROR(SUMIFS(Assumptions!BY$105:BY$135,Assumptions!$BB$105:$BB$135,'non-road'!$F41,Assumptions!$BC$105:$BC$135,'non-road'!$D41)/SUMIF(Assumptions!$BB$105:$BB$135,'non-road'!$F41,Assumptions!BY$105:BY$135),"")</f>
        <v>0.00624857728042506</v>
      </c>
      <c r="AC41" s="40">
        <f>IFERROR(SUMIFS(Assumptions!BZ$105:BZ$135,Assumptions!$BB$105:$BB$135,'non-road'!$F41,Assumptions!$BC$105:$BC$135,'non-road'!$D41)/SUMIF(Assumptions!$BB$105:$BB$135,'non-road'!$F41,Assumptions!BZ$105:BZ$135),"")</f>
        <v>0</v>
      </c>
      <c r="AD41" s="40">
        <f>IFERROR(SUMIFS(Assumptions!CA$105:CA$135,Assumptions!$BB$105:$BB$135,'non-road'!$F41,Assumptions!$BC$105:$BC$135,'non-road'!$D41)/SUMIF(Assumptions!$BB$105:$BB$135,'non-road'!$F41,Assumptions!CA$105:CA$135),"")</f>
        <v>0.00142317924334055</v>
      </c>
      <c r="AE41" s="40">
        <f>IFERROR(SUMIFS(Assumptions!CB$105:CB$135,Assumptions!$BB$105:$BB$135,'non-road'!$F41,Assumptions!$BC$105:$BC$135,'non-road'!$D41)/SUMIF(Assumptions!$BB$105:$BB$135,'non-road'!$F41,Assumptions!CB$105:CB$135),"")</f>
        <v>0</v>
      </c>
      <c r="AF41" s="40" t="str">
        <f>IFERROR(SUMIFS(Assumptions!CC$105:CC$135,Assumptions!$BB$105:$BB$135,'non-road'!$F41,Assumptions!$BC$105:$BC$135,'non-road'!$D41)/SUMIF(Assumptions!$BB$105:$BB$135,'non-road'!$F41,Assumptions!CC$105:CC$135),"")</f>
        <v/>
      </c>
      <c r="AG41" s="40" t="str">
        <f>IFERROR(SUMIFS(Assumptions!CD$105:CD$135,Assumptions!$BB$105:$BB$135,'non-road'!$F41,Assumptions!$BC$105:$BC$135,'non-road'!$D41)/SUMIF(Assumptions!$BB$105:$BB$135,'non-road'!$F41,Assumptions!CD$105:CD$135),"")</f>
        <v/>
      </c>
      <c r="AH41" s="40">
        <f>IFERROR(SUMIFS(Assumptions!CE$105:CE$135,Assumptions!$BB$105:$BB$135,'non-road'!$F41,Assumptions!$BC$105:$BC$135,'non-road'!$D41)/SUMIF(Assumptions!$BB$105:$BB$135,'non-road'!$F41,Assumptions!CE$105:CE$135),"")</f>
        <v>0</v>
      </c>
      <c r="AI41" s="40">
        <f>IFERROR(SUMIFS(Assumptions!CF$105:CF$135,Assumptions!$BB$105:$BB$135,'non-road'!$F41,Assumptions!$BC$105:$BC$135,'non-road'!$D41)/SUMIF(Assumptions!$BB$105:$BB$135,'non-road'!$F41,Assumptions!CF$105:CF$135),"")</f>
        <v>0</v>
      </c>
      <c r="AJ41" s="40">
        <f>IFERROR(SUMIFS(Assumptions!CG$105:CG$135,Assumptions!$BB$105:$BB$135,'non-road'!$F41,Assumptions!$BC$105:$BC$135,'non-road'!$D41)/SUMIF(Assumptions!$BB$105:$BB$135,'non-road'!$F41,Assumptions!CG$105:CG$135),"")</f>
        <v>0</v>
      </c>
      <c r="AK41" s="40">
        <f>IFERROR(SUMIFS(Assumptions!CH$105:CH$135,Assumptions!$BB$105:$BB$135,'non-road'!$F41,Assumptions!$BC$105:$BC$135,'non-road'!$D41)/SUMIF(Assumptions!$BB$105:$BB$135,'non-road'!$F41,Assumptions!CH$105:CH$135),"")</f>
        <v>0</v>
      </c>
      <c r="AL41" s="40">
        <f>IFERROR(SUMIFS(Assumptions!CI$105:CI$135,Assumptions!$BB$105:$BB$135,'non-road'!$F41,Assumptions!$BC$105:$BC$135,'non-road'!$D41)/SUMIF(Assumptions!$BB$105:$BB$135,'non-road'!$F41,Assumptions!CI$105:CI$135),"")</f>
        <v>0</v>
      </c>
      <c r="AM41" s="40">
        <f>IFERROR(SUMIFS(Assumptions!CJ$105:CJ$135,Assumptions!$BB$105:$BB$135,'non-road'!$F41,Assumptions!$BC$105:$BC$135,'non-road'!$D41)/SUMIF(Assumptions!$BB$105:$BB$135,'non-road'!$F41,Assumptions!CJ$105:CJ$135),"")</f>
        <v>0</v>
      </c>
      <c r="AN41" s="40">
        <f>IFERROR(SUMIFS(Assumptions!CK$105:CK$135,Assumptions!$BB$105:$BB$135,'non-road'!$F41,Assumptions!$BC$105:$BC$135,'non-road'!$D41)/SUMIF(Assumptions!$BB$105:$BB$135,'non-road'!$F41,Assumptions!CK$105:CK$135),"")</f>
        <v>0</v>
      </c>
      <c r="AO41" s="40">
        <f>IFERROR(SUMIFS(Assumptions!CL$105:CL$135,Assumptions!$BB$105:$BB$135,'non-road'!$F41,Assumptions!$BC$105:$BC$135,'non-road'!$D41)/SUMIF(Assumptions!$BB$105:$BB$135,'non-road'!$F41,Assumptions!CL$105:CL$135),"")</f>
        <v>0</v>
      </c>
      <c r="AP41" s="40" t="str">
        <f>IFERROR(SUMIFS(Assumptions!CM$105:CM$135,Assumptions!$BB$105:$BB$135,'non-road'!$F41,Assumptions!$BC$105:$BC$135,'non-road'!$D41)/SUMIF(Assumptions!$BB$105:$BB$135,'non-road'!$F41,Assumptions!CM$105:CM$135),"")</f>
        <v/>
      </c>
      <c r="AQ41" s="40" t="str">
        <f>IFERROR(SUMIFS(Assumptions!CN$105:CN$135,Assumptions!$BB$105:$BB$135,'non-road'!$F41,Assumptions!$BC$105:$BC$135,'non-road'!$D41)/SUMIF(Assumptions!$BB$105:$BB$135,'non-road'!$F41,Assumptions!CN$105:CN$135),"")</f>
        <v/>
      </c>
      <c r="AR41" s="40" t="str">
        <f>IFERROR(SUMIFS(Assumptions!CO$105:CO$135,Assumptions!$BB$105:$BB$135,'non-road'!$F41,Assumptions!$BC$105:$BC$135,'non-road'!$D41)/SUMIF(Assumptions!$BB$105:$BB$135,'non-road'!$F41,Assumptions!CO$105:CO$135),"")</f>
        <v/>
      </c>
      <c r="AS41" s="40" t="str">
        <f>IFERROR(SUMIFS(Assumptions!CP$105:CP$135,Assumptions!$BB$105:$BB$135,'non-road'!$F41,Assumptions!$BC$105:$BC$135,'non-road'!$D41)/SUMIF(Assumptions!$BB$105:$BB$135,'non-road'!$F41,Assumptions!CP$105:CP$135),"")</f>
        <v/>
      </c>
      <c r="AT41" s="40" t="str">
        <f>IFERROR(SUMIFS(Assumptions!CQ$105:CQ$135,Assumptions!$BB$105:$BB$135,'non-road'!$F41,Assumptions!$BC$105:$BC$135,'non-road'!$D41)/SUMIF(Assumptions!$BB$105:$BB$135,'non-road'!$F41,Assumptions!CQ$105:CQ$135),"")</f>
        <v/>
      </c>
      <c r="AU41" s="40" t="str">
        <f>IFERROR(SUMIFS(Assumptions!CR$105:CR$135,Assumptions!$BB$105:$BB$135,'non-road'!$F41,Assumptions!$BC$105:$BC$135,'non-road'!$D41)/SUMIF(Assumptions!$BB$105:$BB$135,'non-road'!$F41,Assumptions!CR$105:CR$135),"")</f>
        <v/>
      </c>
      <c r="AV41" s="40" t="str">
        <f>IFERROR(SUMIFS(Assumptions!CS$105:CS$135,Assumptions!$BB$105:$BB$135,'non-road'!$F41,Assumptions!$BC$105:$BC$135,'non-road'!$D41)/SUMIF(Assumptions!$BB$105:$BB$135,'non-road'!$F41,Assumptions!CS$105:CS$135),"")</f>
        <v/>
      </c>
      <c r="AW41" s="40" t="str">
        <f>IFERROR(SUMIFS(Assumptions!CT$105:CT$135,Assumptions!$BB$105:$BB$135,'non-road'!$F41,Assumptions!$BC$105:$BC$135,'non-road'!$D41)/SUMIF(Assumptions!$BB$105:$BB$135,'non-road'!$F41,Assumptions!CT$105:CT$135),"")</f>
        <v/>
      </c>
      <c r="AX41" s="40" t="str">
        <f>IFERROR(SUMIFS(Assumptions!CU$105:CU$135,Assumptions!$BB$105:$BB$135,'non-road'!$F41,Assumptions!$BC$105:$BC$135,'non-road'!$D41)/SUMIF(Assumptions!$BB$105:$BB$135,'non-road'!$F41,Assumptions!CU$105:CU$135),"")</f>
        <v/>
      </c>
      <c r="AY41" s="40" t="str">
        <f>IFERROR(SUMIFS(Assumptions!CV$105:CV$135,Assumptions!$BB$105:$BB$135,'non-road'!$F41,Assumptions!$BC$105:$BC$135,'non-road'!$D41)/SUMIF(Assumptions!$BB$105:$BB$135,'non-road'!$F41,Assumptions!CV$105:CV$135),"")</f>
        <v/>
      </c>
      <c r="AZ41" s="40" t="str">
        <f>IFERROR(SUMIFS(Assumptions!CW$105:CW$135,Assumptions!$BB$105:$BB$135,'non-road'!$F41,Assumptions!$BC$105:$BC$135,'non-road'!$D41)/SUMIF(Assumptions!$BB$105:$BB$135,'non-road'!$F41,Assumptions!CW$105:CW$135),"")</f>
        <v/>
      </c>
      <c r="BD41" s="39" t="str">
        <f t="shared" si="55"/>
        <v>NEU_Generic</v>
      </c>
      <c r="BE41" s="40">
        <v>1</v>
      </c>
      <c r="BF41" s="40">
        <v>1</v>
      </c>
      <c r="BG41" s="40">
        <v>1</v>
      </c>
      <c r="BH41" s="40">
        <v>1</v>
      </c>
      <c r="BI41" s="40">
        <v>1</v>
      </c>
      <c r="BJ41" s="40">
        <v>1</v>
      </c>
      <c r="BK41" s="40">
        <v>1</v>
      </c>
      <c r="BL41" s="40">
        <v>1</v>
      </c>
      <c r="BM41" s="40">
        <v>1</v>
      </c>
      <c r="BN41" s="40">
        <v>1</v>
      </c>
      <c r="BO41" s="40">
        <v>1</v>
      </c>
      <c r="BP41" s="40">
        <v>1</v>
      </c>
      <c r="BQ41" s="40">
        <v>1</v>
      </c>
      <c r="BR41" s="40">
        <v>1</v>
      </c>
      <c r="BS41" s="40">
        <v>1</v>
      </c>
      <c r="BT41" s="40">
        <v>1</v>
      </c>
      <c r="BU41" s="40">
        <v>1</v>
      </c>
      <c r="BV41" s="40">
        <v>1</v>
      </c>
      <c r="BW41" s="40">
        <v>1</v>
      </c>
      <c r="BX41" s="40">
        <v>1</v>
      </c>
      <c r="BY41" s="40">
        <v>1</v>
      </c>
      <c r="BZ41" s="40">
        <v>1</v>
      </c>
      <c r="CA41" s="40">
        <v>1</v>
      </c>
      <c r="CB41" s="40">
        <v>1</v>
      </c>
      <c r="CC41" s="40">
        <v>1</v>
      </c>
      <c r="CD41" s="40">
        <v>1</v>
      </c>
      <c r="CE41" s="40">
        <v>1</v>
      </c>
      <c r="CF41" s="40">
        <v>1</v>
      </c>
      <c r="CG41" s="40">
        <v>1</v>
      </c>
      <c r="CH41" s="40">
        <v>1</v>
      </c>
      <c r="CI41" s="40">
        <v>1</v>
      </c>
      <c r="CJ41" s="40">
        <v>1</v>
      </c>
      <c r="CK41" s="40">
        <v>1</v>
      </c>
      <c r="CL41" s="40">
        <v>1</v>
      </c>
      <c r="CM41" s="40">
        <v>1</v>
      </c>
      <c r="CN41" s="40">
        <v>1</v>
      </c>
      <c r="CO41" s="40">
        <v>1</v>
      </c>
      <c r="CP41" s="40">
        <v>1</v>
      </c>
      <c r="CQ41" s="40">
        <v>1</v>
      </c>
      <c r="CR41" s="40">
        <v>1</v>
      </c>
      <c r="CS41" s="40">
        <v>1</v>
      </c>
      <c r="CT41" s="40">
        <v>1</v>
      </c>
      <c r="CU41" s="40">
        <v>1</v>
      </c>
      <c r="CV41" s="40">
        <v>1</v>
      </c>
      <c r="CW41" s="40">
        <v>1</v>
      </c>
      <c r="CX41" s="40">
        <v>1</v>
      </c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</row>
    <row r="42" spans="3:157">
      <c r="D42" t="s">
        <v>260</v>
      </c>
      <c r="F42" s="39" t="s">
        <v>41</v>
      </c>
      <c r="G42" s="40">
        <f>IFERROR(SUMIFS(Assumptions!BD$105:BD$135,Assumptions!$BB$105:$BB$135,'non-road'!$F42,Assumptions!$BC$105:$BC$135,'non-road'!$D42)/SUMIF(Assumptions!$BB$105:$BB$135,'non-road'!$F42,Assumptions!BD$105:BD$135),"")</f>
        <v>0</v>
      </c>
      <c r="H42" s="40">
        <f>IFERROR(SUMIFS(Assumptions!BE$105:BE$135,Assumptions!$BB$105:$BB$135,'non-road'!$F42,Assumptions!$BC$105:$BC$135,'non-road'!$D42)/SUMIF(Assumptions!$BB$105:$BB$135,'non-road'!$F42,Assumptions!BE$105:BE$135),"")</f>
        <v>0</v>
      </c>
      <c r="I42" s="40" t="str">
        <f>IFERROR(SUMIFS(Assumptions!BF$105:BF$135,Assumptions!$BB$105:$BB$135,'non-road'!$F42,Assumptions!$BC$105:$BC$135,'non-road'!$D42)/SUMIF(Assumptions!$BB$105:$BB$135,'non-road'!$F42,Assumptions!BF$105:BF$135),"")</f>
        <v/>
      </c>
      <c r="J42" s="40">
        <f>IFERROR(SUMIFS(Assumptions!BG$105:BG$135,Assumptions!$BB$105:$BB$135,'non-road'!$F42,Assumptions!$BC$105:$BC$135,'non-road'!$D42)/SUMIF(Assumptions!$BB$105:$BB$135,'non-road'!$F42,Assumptions!BG$105:BG$135),"")</f>
        <v>0</v>
      </c>
      <c r="K42" s="40">
        <f>IFERROR(SUMIFS(Assumptions!BH$105:BH$135,Assumptions!$BB$105:$BB$135,'non-road'!$F42,Assumptions!$BC$105:$BC$135,'non-road'!$D42)/SUMIF(Assumptions!$BB$105:$BB$135,'non-road'!$F42,Assumptions!BH$105:BH$135),"")</f>
        <v>0</v>
      </c>
      <c r="L42" s="40">
        <f>IFERROR(SUMIFS(Assumptions!BI$105:BI$135,Assumptions!$BB$105:$BB$135,'non-road'!$F42,Assumptions!$BC$105:$BC$135,'non-road'!$D42)/SUMIF(Assumptions!$BB$105:$BB$135,'non-road'!$F42,Assumptions!BI$105:BI$135),"")</f>
        <v>0</v>
      </c>
      <c r="M42" s="40">
        <f>IFERROR(SUMIFS(Assumptions!BJ$105:BJ$135,Assumptions!$BB$105:$BB$135,'non-road'!$F42,Assumptions!$BC$105:$BC$135,'non-road'!$D42)/SUMIF(Assumptions!$BB$105:$BB$135,'non-road'!$F42,Assumptions!BJ$105:BJ$135),"")</f>
        <v>0</v>
      </c>
      <c r="N42" s="40">
        <f>IFERROR(SUMIFS(Assumptions!BK$105:BK$135,Assumptions!$BB$105:$BB$135,'non-road'!$F42,Assumptions!$BC$105:$BC$135,'non-road'!$D42)/SUMIF(Assumptions!$BB$105:$BB$135,'non-road'!$F42,Assumptions!BK$105:BK$135),"")</f>
        <v>0</v>
      </c>
      <c r="O42" s="40">
        <f>IFERROR(SUMIFS(Assumptions!BL$105:BL$135,Assumptions!$BB$105:$BB$135,'non-road'!$F42,Assumptions!$BC$105:$BC$135,'non-road'!$D42)/SUMIF(Assumptions!$BB$105:$BB$135,'non-road'!$F42,Assumptions!BL$105:BL$135),"")</f>
        <v>0</v>
      </c>
      <c r="P42" s="40">
        <f>IFERROR(SUMIFS(Assumptions!BM$105:BM$135,Assumptions!$BB$105:$BB$135,'non-road'!$F42,Assumptions!$BC$105:$BC$135,'non-road'!$D42)/SUMIF(Assumptions!$BB$105:$BB$135,'non-road'!$F42,Assumptions!BM$105:BM$135),"")</f>
        <v>0</v>
      </c>
      <c r="Q42" s="40">
        <f>IFERROR(SUMIFS(Assumptions!BN$105:BN$135,Assumptions!$BB$105:$BB$135,'non-road'!$F42,Assumptions!$BC$105:$BC$135,'non-road'!$D42)/SUMIF(Assumptions!$BB$105:$BB$135,'non-road'!$F42,Assumptions!BN$105:BN$135),"")</f>
        <v>0</v>
      </c>
      <c r="R42" s="40">
        <f>IFERROR(SUMIFS(Assumptions!BO$105:BO$135,Assumptions!$BB$105:$BB$135,'non-road'!$F42,Assumptions!$BC$105:$BC$135,'non-road'!$D42)/SUMIF(Assumptions!$BB$105:$BB$135,'non-road'!$F42,Assumptions!BO$105:BO$135),"")</f>
        <v>0</v>
      </c>
      <c r="S42" s="40">
        <f>IFERROR(SUMIFS(Assumptions!BP$105:BP$135,Assumptions!$BB$105:$BB$135,'non-road'!$F42,Assumptions!$BC$105:$BC$135,'non-road'!$D42)/SUMIF(Assumptions!$BB$105:$BB$135,'non-road'!$F42,Assumptions!BP$105:BP$135),"")</f>
        <v>0</v>
      </c>
      <c r="T42" s="40">
        <f>IFERROR(SUMIFS(Assumptions!BQ$105:BQ$135,Assumptions!$BB$105:$BB$135,'non-road'!$F42,Assumptions!$BC$105:$BC$135,'non-road'!$D42)/SUMIF(Assumptions!$BB$105:$BB$135,'non-road'!$F42,Assumptions!BQ$105:BQ$135),"")</f>
        <v>0</v>
      </c>
      <c r="U42" s="40">
        <f>IFERROR(SUMIFS(Assumptions!BR$105:BR$135,Assumptions!$BB$105:$BB$135,'non-road'!$F42,Assumptions!$BC$105:$BC$135,'non-road'!$D42)/SUMIF(Assumptions!$BB$105:$BB$135,'non-road'!$F42,Assumptions!BR$105:BR$135),"")</f>
        <v>0</v>
      </c>
      <c r="V42" s="40" t="str">
        <f>IFERROR(SUMIFS(Assumptions!BS$105:BS$135,Assumptions!$BB$105:$BB$135,'non-road'!$F42,Assumptions!$BC$105:$BC$135,'non-road'!$D42)/SUMIF(Assumptions!$BB$105:$BB$135,'non-road'!$F42,Assumptions!BS$105:BS$135),"")</f>
        <v/>
      </c>
      <c r="W42" s="40">
        <f>IFERROR(SUMIFS(Assumptions!BT$105:BT$135,Assumptions!$BB$105:$BB$135,'non-road'!$F42,Assumptions!$BC$105:$BC$135,'non-road'!$D42)/SUMIF(Assumptions!$BB$105:$BB$135,'non-road'!$F42,Assumptions!BT$105:BT$135),"")</f>
        <v>0</v>
      </c>
      <c r="X42" s="40">
        <f>IFERROR(SUMIFS(Assumptions!BU$105:BU$135,Assumptions!$BB$105:$BB$135,'non-road'!$F42,Assumptions!$BC$105:$BC$135,'non-road'!$D42)/SUMIF(Assumptions!$BB$105:$BB$135,'non-road'!$F42,Assumptions!BU$105:BU$135),"")</f>
        <v>0</v>
      </c>
      <c r="Y42" s="40">
        <f>IFERROR(SUMIFS(Assumptions!BV$105:BV$135,Assumptions!$BB$105:$BB$135,'non-road'!$F42,Assumptions!$BC$105:$BC$135,'non-road'!$D42)/SUMIF(Assumptions!$BB$105:$BB$135,'non-road'!$F42,Assumptions!BV$105:BV$135),"")</f>
        <v>0</v>
      </c>
      <c r="Z42" s="40">
        <f>IFERROR(SUMIFS(Assumptions!BW$105:BW$135,Assumptions!$BB$105:$BB$135,'non-road'!$F42,Assumptions!$BC$105:$BC$135,'non-road'!$D42)/SUMIF(Assumptions!$BB$105:$BB$135,'non-road'!$F42,Assumptions!BW$105:BW$135),"")</f>
        <v>0</v>
      </c>
      <c r="AA42" s="40">
        <f>IFERROR(SUMIFS(Assumptions!BX$105:BX$135,Assumptions!$BB$105:$BB$135,'non-road'!$F42,Assumptions!$BC$105:$BC$135,'non-road'!$D42)/SUMIF(Assumptions!$BB$105:$BB$135,'non-road'!$F42,Assumptions!BX$105:BX$135),"")</f>
        <v>0</v>
      </c>
      <c r="AB42" s="40">
        <f>IFERROR(SUMIFS(Assumptions!BY$105:BY$135,Assumptions!$BB$105:$BB$135,'non-road'!$F42,Assumptions!$BC$105:$BC$135,'non-road'!$D42)/SUMIF(Assumptions!$BB$105:$BB$135,'non-road'!$F42,Assumptions!BY$105:BY$135),"")</f>
        <v>0</v>
      </c>
      <c r="AC42" s="40">
        <f>IFERROR(SUMIFS(Assumptions!BZ$105:BZ$135,Assumptions!$BB$105:$BB$135,'non-road'!$F42,Assumptions!$BC$105:$BC$135,'non-road'!$D42)/SUMIF(Assumptions!$BB$105:$BB$135,'non-road'!$F42,Assumptions!BZ$105:BZ$135),"")</f>
        <v>0</v>
      </c>
      <c r="AD42" s="40">
        <f>IFERROR(SUMIFS(Assumptions!CA$105:CA$135,Assumptions!$BB$105:$BB$135,'non-road'!$F42,Assumptions!$BC$105:$BC$135,'non-road'!$D42)/SUMIF(Assumptions!$BB$105:$BB$135,'non-road'!$F42,Assumptions!CA$105:CA$135),"")</f>
        <v>0</v>
      </c>
      <c r="AE42" s="40">
        <f>IFERROR(SUMIFS(Assumptions!CB$105:CB$135,Assumptions!$BB$105:$BB$135,'non-road'!$F42,Assumptions!$BC$105:$BC$135,'non-road'!$D42)/SUMIF(Assumptions!$BB$105:$BB$135,'non-road'!$F42,Assumptions!CB$105:CB$135),"")</f>
        <v>0</v>
      </c>
      <c r="AF42" s="40" t="str">
        <f>IFERROR(SUMIFS(Assumptions!CC$105:CC$135,Assumptions!$BB$105:$BB$135,'non-road'!$F42,Assumptions!$BC$105:$BC$135,'non-road'!$D42)/SUMIF(Assumptions!$BB$105:$BB$135,'non-road'!$F42,Assumptions!CC$105:CC$135),"")</f>
        <v/>
      </c>
      <c r="AG42" s="40" t="str">
        <f>IFERROR(SUMIFS(Assumptions!CD$105:CD$135,Assumptions!$BB$105:$BB$135,'non-road'!$F42,Assumptions!$BC$105:$BC$135,'non-road'!$D42)/SUMIF(Assumptions!$BB$105:$BB$135,'non-road'!$F42,Assumptions!CD$105:CD$135),"")</f>
        <v/>
      </c>
      <c r="AH42" s="40">
        <f>IFERROR(SUMIFS(Assumptions!CE$105:CE$135,Assumptions!$BB$105:$BB$135,'non-road'!$F42,Assumptions!$BC$105:$BC$135,'non-road'!$D42)/SUMIF(Assumptions!$BB$105:$BB$135,'non-road'!$F42,Assumptions!CE$105:CE$135),"")</f>
        <v>0</v>
      </c>
      <c r="AI42" s="40">
        <f>IFERROR(SUMIFS(Assumptions!CF$105:CF$135,Assumptions!$BB$105:$BB$135,'non-road'!$F42,Assumptions!$BC$105:$BC$135,'non-road'!$D42)/SUMIF(Assumptions!$BB$105:$BB$135,'non-road'!$F42,Assumptions!CF$105:CF$135),"")</f>
        <v>0</v>
      </c>
      <c r="AJ42" s="40">
        <f>IFERROR(SUMIFS(Assumptions!CG$105:CG$135,Assumptions!$BB$105:$BB$135,'non-road'!$F42,Assumptions!$BC$105:$BC$135,'non-road'!$D42)/SUMIF(Assumptions!$BB$105:$BB$135,'non-road'!$F42,Assumptions!CG$105:CG$135),"")</f>
        <v>0</v>
      </c>
      <c r="AK42" s="40">
        <f>IFERROR(SUMIFS(Assumptions!CH$105:CH$135,Assumptions!$BB$105:$BB$135,'non-road'!$F42,Assumptions!$BC$105:$BC$135,'non-road'!$D42)/SUMIF(Assumptions!$BB$105:$BB$135,'non-road'!$F42,Assumptions!CH$105:CH$135),"")</f>
        <v>0</v>
      </c>
      <c r="AL42" s="40">
        <f>IFERROR(SUMIFS(Assumptions!CI$105:CI$135,Assumptions!$BB$105:$BB$135,'non-road'!$F42,Assumptions!$BC$105:$BC$135,'non-road'!$D42)/SUMIF(Assumptions!$BB$105:$BB$135,'non-road'!$F42,Assumptions!CI$105:CI$135),"")</f>
        <v>0</v>
      </c>
      <c r="AM42" s="40">
        <f>IFERROR(SUMIFS(Assumptions!CJ$105:CJ$135,Assumptions!$BB$105:$BB$135,'non-road'!$F42,Assumptions!$BC$105:$BC$135,'non-road'!$D42)/SUMIF(Assumptions!$BB$105:$BB$135,'non-road'!$F42,Assumptions!CJ$105:CJ$135),"")</f>
        <v>0</v>
      </c>
      <c r="AN42" s="40">
        <f>IFERROR(SUMIFS(Assumptions!CK$105:CK$135,Assumptions!$BB$105:$BB$135,'non-road'!$F42,Assumptions!$BC$105:$BC$135,'non-road'!$D42)/SUMIF(Assumptions!$BB$105:$BB$135,'non-road'!$F42,Assumptions!CK$105:CK$135),"")</f>
        <v>0</v>
      </c>
      <c r="AO42" s="40">
        <f>IFERROR(SUMIFS(Assumptions!CL$105:CL$135,Assumptions!$BB$105:$BB$135,'non-road'!$F42,Assumptions!$BC$105:$BC$135,'non-road'!$D42)/SUMIF(Assumptions!$BB$105:$BB$135,'non-road'!$F42,Assumptions!CL$105:CL$135),"")</f>
        <v>0</v>
      </c>
      <c r="AP42" s="40" t="str">
        <f>IFERROR(SUMIFS(Assumptions!CM$105:CM$135,Assumptions!$BB$105:$BB$135,'non-road'!$F42,Assumptions!$BC$105:$BC$135,'non-road'!$D42)/SUMIF(Assumptions!$BB$105:$BB$135,'non-road'!$F42,Assumptions!CM$105:CM$135),"")</f>
        <v/>
      </c>
      <c r="AQ42" s="40" t="str">
        <f>IFERROR(SUMIFS(Assumptions!CN$105:CN$135,Assumptions!$BB$105:$BB$135,'non-road'!$F42,Assumptions!$BC$105:$BC$135,'non-road'!$D42)/SUMIF(Assumptions!$BB$105:$BB$135,'non-road'!$F42,Assumptions!CN$105:CN$135),"")</f>
        <v/>
      </c>
      <c r="AR42" s="40" t="str">
        <f>IFERROR(SUMIFS(Assumptions!CO$105:CO$135,Assumptions!$BB$105:$BB$135,'non-road'!$F42,Assumptions!$BC$105:$BC$135,'non-road'!$D42)/SUMIF(Assumptions!$BB$105:$BB$135,'non-road'!$F42,Assumptions!CO$105:CO$135),"")</f>
        <v/>
      </c>
      <c r="AS42" s="40" t="str">
        <f>IFERROR(SUMIFS(Assumptions!CP$105:CP$135,Assumptions!$BB$105:$BB$135,'non-road'!$F42,Assumptions!$BC$105:$BC$135,'non-road'!$D42)/SUMIF(Assumptions!$BB$105:$BB$135,'non-road'!$F42,Assumptions!CP$105:CP$135),"")</f>
        <v/>
      </c>
      <c r="AT42" s="40" t="str">
        <f>IFERROR(SUMIFS(Assumptions!CQ$105:CQ$135,Assumptions!$BB$105:$BB$135,'non-road'!$F42,Assumptions!$BC$105:$BC$135,'non-road'!$D42)/SUMIF(Assumptions!$BB$105:$BB$135,'non-road'!$F42,Assumptions!CQ$105:CQ$135),"")</f>
        <v/>
      </c>
      <c r="AU42" s="40" t="str">
        <f>IFERROR(SUMIFS(Assumptions!CR$105:CR$135,Assumptions!$BB$105:$BB$135,'non-road'!$F42,Assumptions!$BC$105:$BC$135,'non-road'!$D42)/SUMIF(Assumptions!$BB$105:$BB$135,'non-road'!$F42,Assumptions!CR$105:CR$135),"")</f>
        <v/>
      </c>
      <c r="AV42" s="40" t="str">
        <f>IFERROR(SUMIFS(Assumptions!CS$105:CS$135,Assumptions!$BB$105:$BB$135,'non-road'!$F42,Assumptions!$BC$105:$BC$135,'non-road'!$D42)/SUMIF(Assumptions!$BB$105:$BB$135,'non-road'!$F42,Assumptions!CS$105:CS$135),"")</f>
        <v/>
      </c>
      <c r="AW42" s="40" t="str">
        <f>IFERROR(SUMIFS(Assumptions!CT$105:CT$135,Assumptions!$BB$105:$BB$135,'non-road'!$F42,Assumptions!$BC$105:$BC$135,'non-road'!$D42)/SUMIF(Assumptions!$BB$105:$BB$135,'non-road'!$F42,Assumptions!CT$105:CT$135),"")</f>
        <v/>
      </c>
      <c r="AX42" s="40" t="str">
        <f>IFERROR(SUMIFS(Assumptions!CU$105:CU$135,Assumptions!$BB$105:$BB$135,'non-road'!$F42,Assumptions!$BC$105:$BC$135,'non-road'!$D42)/SUMIF(Assumptions!$BB$105:$BB$135,'non-road'!$F42,Assumptions!CU$105:CU$135),"")</f>
        <v/>
      </c>
      <c r="AY42" s="40" t="str">
        <f>IFERROR(SUMIFS(Assumptions!CV$105:CV$135,Assumptions!$BB$105:$BB$135,'non-road'!$F42,Assumptions!$BC$105:$BC$135,'non-road'!$D42)/SUMIF(Assumptions!$BB$105:$BB$135,'non-road'!$F42,Assumptions!CV$105:CV$135),"")</f>
        <v/>
      </c>
      <c r="AZ42" s="40" t="str">
        <f>IFERROR(SUMIFS(Assumptions!CW$105:CW$135,Assumptions!$BB$105:$BB$135,'non-road'!$F42,Assumptions!$BC$105:$BC$135,'non-road'!$D42)/SUMIF(Assumptions!$BB$105:$BB$135,'non-road'!$F42,Assumptions!CW$105:CW$135),"")</f>
        <v/>
      </c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</row>
    <row r="43" spans="3:157">
      <c r="D43" t="s">
        <v>46</v>
      </c>
      <c r="F43" s="39" t="s">
        <v>41</v>
      </c>
      <c r="G43" s="40">
        <f>IFERROR(SUMIFS(Assumptions!BD$105:BD$135,Assumptions!$BB$105:$BB$135,'non-road'!$F43,Assumptions!$BC$105:$BC$135,'non-road'!$D43)/SUMIF(Assumptions!$BB$105:$BB$135,'non-road'!$F43,Assumptions!BD$105:BD$135),"")</f>
        <v>0</v>
      </c>
      <c r="H43" s="40">
        <f>IFERROR(SUMIFS(Assumptions!BE$105:BE$135,Assumptions!$BB$105:$BB$135,'non-road'!$F43,Assumptions!$BC$105:$BC$135,'non-road'!$D43)/SUMIF(Assumptions!$BB$105:$BB$135,'non-road'!$F43,Assumptions!BE$105:BE$135),"")</f>
        <v>0.511708249195075</v>
      </c>
      <c r="I43" s="40" t="str">
        <f>IFERROR(SUMIFS(Assumptions!BF$105:BF$135,Assumptions!$BB$105:$BB$135,'non-road'!$F43,Assumptions!$BC$105:$BC$135,'non-road'!$D43)/SUMIF(Assumptions!$BB$105:$BB$135,'non-road'!$F43,Assumptions!BF$105:BF$135),"")</f>
        <v/>
      </c>
      <c r="J43" s="40">
        <f>IFERROR(SUMIFS(Assumptions!BG$105:BG$135,Assumptions!$BB$105:$BB$135,'non-road'!$F43,Assumptions!$BC$105:$BC$135,'non-road'!$D43)/SUMIF(Assumptions!$BB$105:$BB$135,'non-road'!$F43,Assumptions!BG$105:BG$135),"")</f>
        <v>0</v>
      </c>
      <c r="K43" s="40">
        <f>IFERROR(SUMIFS(Assumptions!BH$105:BH$135,Assumptions!$BB$105:$BB$135,'non-road'!$F43,Assumptions!$BC$105:$BC$135,'non-road'!$D43)/SUMIF(Assumptions!$BB$105:$BB$135,'non-road'!$F43,Assumptions!BH$105:BH$135),"")</f>
        <v>0</v>
      </c>
      <c r="L43" s="40">
        <f>IFERROR(SUMIFS(Assumptions!BI$105:BI$135,Assumptions!$BB$105:$BB$135,'non-road'!$F43,Assumptions!$BC$105:$BC$135,'non-road'!$D43)/SUMIF(Assumptions!$BB$105:$BB$135,'non-road'!$F43,Assumptions!BI$105:BI$135),"")</f>
        <v>0</v>
      </c>
      <c r="M43" s="40">
        <f>IFERROR(SUMIFS(Assumptions!BJ$105:BJ$135,Assumptions!$BB$105:$BB$135,'non-road'!$F43,Assumptions!$BC$105:$BC$135,'non-road'!$D43)/SUMIF(Assumptions!$BB$105:$BB$135,'non-road'!$F43,Assumptions!BJ$105:BJ$135),"")</f>
        <v>0</v>
      </c>
      <c r="N43" s="40">
        <f>IFERROR(SUMIFS(Assumptions!BK$105:BK$135,Assumptions!$BB$105:$BB$135,'non-road'!$F43,Assumptions!$BC$105:$BC$135,'non-road'!$D43)/SUMIF(Assumptions!$BB$105:$BB$135,'non-road'!$F43,Assumptions!BK$105:BK$135),"")</f>
        <v>0.929912335135661</v>
      </c>
      <c r="O43" s="40">
        <f>IFERROR(SUMIFS(Assumptions!BL$105:BL$135,Assumptions!$BB$105:$BB$135,'non-road'!$F43,Assumptions!$BC$105:$BC$135,'non-road'!$D43)/SUMIF(Assumptions!$BB$105:$BB$135,'non-road'!$F43,Assumptions!BL$105:BL$135),"")</f>
        <v>0</v>
      </c>
      <c r="P43" s="40">
        <f>IFERROR(SUMIFS(Assumptions!BM$105:BM$135,Assumptions!$BB$105:$BB$135,'non-road'!$F43,Assumptions!$BC$105:$BC$135,'non-road'!$D43)/SUMIF(Assumptions!$BB$105:$BB$135,'non-road'!$F43,Assumptions!BM$105:BM$135),"")</f>
        <v>0</v>
      </c>
      <c r="Q43" s="40">
        <f>IFERROR(SUMIFS(Assumptions!BN$105:BN$135,Assumptions!$BB$105:$BB$135,'non-road'!$F43,Assumptions!$BC$105:$BC$135,'non-road'!$D43)/SUMIF(Assumptions!$BB$105:$BB$135,'non-road'!$F43,Assumptions!BN$105:BN$135),"")</f>
        <v>0</v>
      </c>
      <c r="R43" s="40">
        <f>IFERROR(SUMIFS(Assumptions!BO$105:BO$135,Assumptions!$BB$105:$BB$135,'non-road'!$F43,Assumptions!$BC$105:$BC$135,'non-road'!$D43)/SUMIF(Assumptions!$BB$105:$BB$135,'non-road'!$F43,Assumptions!BO$105:BO$135),"")</f>
        <v>0</v>
      </c>
      <c r="S43" s="40">
        <f>IFERROR(SUMIFS(Assumptions!BP$105:BP$135,Assumptions!$BB$105:$BB$135,'non-road'!$F43,Assumptions!$BC$105:$BC$135,'non-road'!$D43)/SUMIF(Assumptions!$BB$105:$BB$135,'non-road'!$F43,Assumptions!BP$105:BP$135),"")</f>
        <v>0.0132939077735148</v>
      </c>
      <c r="T43" s="40">
        <f>IFERROR(SUMIFS(Assumptions!BQ$105:BQ$135,Assumptions!$BB$105:$BB$135,'non-road'!$F43,Assumptions!$BC$105:$BC$135,'non-road'!$D43)/SUMIF(Assumptions!$BB$105:$BB$135,'non-road'!$F43,Assumptions!BQ$105:BQ$135),"")</f>
        <v>0.00781610856007318</v>
      </c>
      <c r="U43" s="40">
        <f>IFERROR(SUMIFS(Assumptions!BR$105:BR$135,Assumptions!$BB$105:$BB$135,'non-road'!$F43,Assumptions!$BC$105:$BC$135,'non-road'!$D43)/SUMIF(Assumptions!$BB$105:$BB$135,'non-road'!$F43,Assumptions!BR$105:BR$135),"")</f>
        <v>0</v>
      </c>
      <c r="V43" s="40" t="str">
        <f>IFERROR(SUMIFS(Assumptions!BS$105:BS$135,Assumptions!$BB$105:$BB$135,'non-road'!$F43,Assumptions!$BC$105:$BC$135,'non-road'!$D43)/SUMIF(Assumptions!$BB$105:$BB$135,'non-road'!$F43,Assumptions!BS$105:BS$135),"")</f>
        <v/>
      </c>
      <c r="W43" s="40">
        <f>IFERROR(SUMIFS(Assumptions!BT$105:BT$135,Assumptions!$BB$105:$BB$135,'non-road'!$F43,Assumptions!$BC$105:$BC$135,'non-road'!$D43)/SUMIF(Assumptions!$BB$105:$BB$135,'non-road'!$F43,Assumptions!BT$105:BT$135),"")</f>
        <v>0</v>
      </c>
      <c r="X43" s="40">
        <f>IFERROR(SUMIFS(Assumptions!BU$105:BU$135,Assumptions!$BB$105:$BB$135,'non-road'!$F43,Assumptions!$BC$105:$BC$135,'non-road'!$D43)/SUMIF(Assumptions!$BB$105:$BB$135,'non-road'!$F43,Assumptions!BU$105:BU$135),"")</f>
        <v>0</v>
      </c>
      <c r="Y43" s="40">
        <f>IFERROR(SUMIFS(Assumptions!BV$105:BV$135,Assumptions!$BB$105:$BB$135,'non-road'!$F43,Assumptions!$BC$105:$BC$135,'non-road'!$D43)/SUMIF(Assumptions!$BB$105:$BB$135,'non-road'!$F43,Assumptions!BV$105:BV$135),"")</f>
        <v>0</v>
      </c>
      <c r="Z43" s="40">
        <f>IFERROR(SUMIFS(Assumptions!BW$105:BW$135,Assumptions!$BB$105:$BB$135,'non-road'!$F43,Assumptions!$BC$105:$BC$135,'non-road'!$D43)/SUMIF(Assumptions!$BB$105:$BB$135,'non-road'!$F43,Assumptions!BW$105:BW$135),"")</f>
        <v>0.128936265353076</v>
      </c>
      <c r="AA43" s="40">
        <f>IFERROR(SUMIFS(Assumptions!BX$105:BX$135,Assumptions!$BB$105:$BB$135,'non-road'!$F43,Assumptions!$BC$105:$BC$135,'non-road'!$D43)/SUMIF(Assumptions!$BB$105:$BB$135,'non-road'!$F43,Assumptions!BX$105:BX$135),"")</f>
        <v>0.173954774433671</v>
      </c>
      <c r="AB43" s="40">
        <f>IFERROR(SUMIFS(Assumptions!BY$105:BY$135,Assumptions!$BB$105:$BB$135,'non-road'!$F43,Assumptions!$BC$105:$BC$135,'non-road'!$D43)/SUMIF(Assumptions!$BB$105:$BB$135,'non-road'!$F43,Assumptions!BY$105:BY$135),"")</f>
        <v>0.0544036009190761</v>
      </c>
      <c r="AC43" s="40">
        <f>IFERROR(SUMIFS(Assumptions!BZ$105:BZ$135,Assumptions!$BB$105:$BB$135,'non-road'!$F43,Assumptions!$BC$105:$BC$135,'non-road'!$D43)/SUMIF(Assumptions!$BB$105:$BB$135,'non-road'!$F43,Assumptions!BZ$105:BZ$135),"")</f>
        <v>0.0402540754758611</v>
      </c>
      <c r="AD43" s="40">
        <f>IFERROR(SUMIFS(Assumptions!CA$105:CA$135,Assumptions!$BB$105:$BB$135,'non-road'!$F43,Assumptions!$BC$105:$BC$135,'non-road'!$D43)/SUMIF(Assumptions!$BB$105:$BB$135,'non-road'!$F43,Assumptions!CA$105:CA$135),"")</f>
        <v>0.000654712126604833</v>
      </c>
      <c r="AE43" s="40">
        <f>IFERROR(SUMIFS(Assumptions!CB$105:CB$135,Assumptions!$BB$105:$BB$135,'non-road'!$F43,Assumptions!$BC$105:$BC$135,'non-road'!$D43)/SUMIF(Assumptions!$BB$105:$BB$135,'non-road'!$F43,Assumptions!CB$105:CB$135),"")</f>
        <v>0.0108761501363419</v>
      </c>
      <c r="AF43" s="40" t="str">
        <f>IFERROR(SUMIFS(Assumptions!CC$105:CC$135,Assumptions!$BB$105:$BB$135,'non-road'!$F43,Assumptions!$BC$105:$BC$135,'non-road'!$D43)/SUMIF(Assumptions!$BB$105:$BB$135,'non-road'!$F43,Assumptions!CC$105:CC$135),"")</f>
        <v/>
      </c>
      <c r="AG43" s="40" t="str">
        <f>IFERROR(SUMIFS(Assumptions!CD$105:CD$135,Assumptions!$BB$105:$BB$135,'non-road'!$F43,Assumptions!$BC$105:$BC$135,'non-road'!$D43)/SUMIF(Assumptions!$BB$105:$BB$135,'non-road'!$F43,Assumptions!CD$105:CD$135),"")</f>
        <v/>
      </c>
      <c r="AH43" s="40">
        <f>IFERROR(SUMIFS(Assumptions!CE$105:CE$135,Assumptions!$BB$105:$BB$135,'non-road'!$F43,Assumptions!$BC$105:$BC$135,'non-road'!$D43)/SUMIF(Assumptions!$BB$105:$BB$135,'non-road'!$F43,Assumptions!CE$105:CE$135),"")</f>
        <v>0.371790500317422</v>
      </c>
      <c r="AI43" s="40">
        <f>IFERROR(SUMIFS(Assumptions!CF$105:CF$135,Assumptions!$BB$105:$BB$135,'non-road'!$F43,Assumptions!$BC$105:$BC$135,'non-road'!$D43)/SUMIF(Assumptions!$BB$105:$BB$135,'non-road'!$F43,Assumptions!CF$105:CF$135),"")</f>
        <v>0</v>
      </c>
      <c r="AJ43" s="40">
        <f>IFERROR(SUMIFS(Assumptions!CG$105:CG$135,Assumptions!$BB$105:$BB$135,'non-road'!$F43,Assumptions!$BC$105:$BC$135,'non-road'!$D43)/SUMIF(Assumptions!$BB$105:$BB$135,'non-road'!$F43,Assumptions!CG$105:CG$135),"")</f>
        <v>0</v>
      </c>
      <c r="AK43" s="40">
        <f>IFERROR(SUMIFS(Assumptions!CH$105:CH$135,Assumptions!$BB$105:$BB$135,'non-road'!$F43,Assumptions!$BC$105:$BC$135,'non-road'!$D43)/SUMIF(Assumptions!$BB$105:$BB$135,'non-road'!$F43,Assumptions!CH$105:CH$135),"")</f>
        <v>0</v>
      </c>
      <c r="AL43" s="40">
        <f>IFERROR(SUMIFS(Assumptions!CI$105:CI$135,Assumptions!$BB$105:$BB$135,'non-road'!$F43,Assumptions!$BC$105:$BC$135,'non-road'!$D43)/SUMIF(Assumptions!$BB$105:$BB$135,'non-road'!$F43,Assumptions!CI$105:CI$135),"")</f>
        <v>0</v>
      </c>
      <c r="AM43" s="40">
        <f>IFERROR(SUMIFS(Assumptions!CJ$105:CJ$135,Assumptions!$BB$105:$BB$135,'non-road'!$F43,Assumptions!$BC$105:$BC$135,'non-road'!$D43)/SUMIF(Assumptions!$BB$105:$BB$135,'non-road'!$F43,Assumptions!CJ$105:CJ$135),"")</f>
        <v>0</v>
      </c>
      <c r="AN43" s="40">
        <f>IFERROR(SUMIFS(Assumptions!CK$105:CK$135,Assumptions!$BB$105:$BB$135,'non-road'!$F43,Assumptions!$BC$105:$BC$135,'non-road'!$D43)/SUMIF(Assumptions!$BB$105:$BB$135,'non-road'!$F43,Assumptions!CK$105:CK$135),"")</f>
        <v>0.880869140817148</v>
      </c>
      <c r="AO43" s="40">
        <f>IFERROR(SUMIFS(Assumptions!CL$105:CL$135,Assumptions!$BB$105:$BB$135,'non-road'!$F43,Assumptions!$BC$105:$BC$135,'non-road'!$D43)/SUMIF(Assumptions!$BB$105:$BB$135,'non-road'!$F43,Assumptions!CL$105:CL$135),"")</f>
        <v>0</v>
      </c>
      <c r="AP43" s="40" t="str">
        <f>IFERROR(SUMIFS(Assumptions!CM$105:CM$135,Assumptions!$BB$105:$BB$135,'non-road'!$F43,Assumptions!$BC$105:$BC$135,'non-road'!$D43)/SUMIF(Assumptions!$BB$105:$BB$135,'non-road'!$F43,Assumptions!CM$105:CM$135),"")</f>
        <v/>
      </c>
      <c r="AQ43" s="40" t="str">
        <f>IFERROR(SUMIFS(Assumptions!CN$105:CN$135,Assumptions!$BB$105:$BB$135,'non-road'!$F43,Assumptions!$BC$105:$BC$135,'non-road'!$D43)/SUMIF(Assumptions!$BB$105:$BB$135,'non-road'!$F43,Assumptions!CN$105:CN$135),"")</f>
        <v/>
      </c>
      <c r="AR43" s="40" t="str">
        <f>IFERROR(SUMIFS(Assumptions!CO$105:CO$135,Assumptions!$BB$105:$BB$135,'non-road'!$F43,Assumptions!$BC$105:$BC$135,'non-road'!$D43)/SUMIF(Assumptions!$BB$105:$BB$135,'non-road'!$F43,Assumptions!CO$105:CO$135),"")</f>
        <v/>
      </c>
      <c r="AS43" s="40" t="str">
        <f>IFERROR(SUMIFS(Assumptions!CP$105:CP$135,Assumptions!$BB$105:$BB$135,'non-road'!$F43,Assumptions!$BC$105:$BC$135,'non-road'!$D43)/SUMIF(Assumptions!$BB$105:$BB$135,'non-road'!$F43,Assumptions!CP$105:CP$135),"")</f>
        <v/>
      </c>
      <c r="AT43" s="40" t="str">
        <f>IFERROR(SUMIFS(Assumptions!CQ$105:CQ$135,Assumptions!$BB$105:$BB$135,'non-road'!$F43,Assumptions!$BC$105:$BC$135,'non-road'!$D43)/SUMIF(Assumptions!$BB$105:$BB$135,'non-road'!$F43,Assumptions!CQ$105:CQ$135),"")</f>
        <v/>
      </c>
      <c r="AU43" s="40" t="str">
        <f>IFERROR(SUMIFS(Assumptions!CR$105:CR$135,Assumptions!$BB$105:$BB$135,'non-road'!$F43,Assumptions!$BC$105:$BC$135,'non-road'!$D43)/SUMIF(Assumptions!$BB$105:$BB$135,'non-road'!$F43,Assumptions!CR$105:CR$135),"")</f>
        <v/>
      </c>
      <c r="AV43" s="40" t="str">
        <f>IFERROR(SUMIFS(Assumptions!CS$105:CS$135,Assumptions!$BB$105:$BB$135,'non-road'!$F43,Assumptions!$BC$105:$BC$135,'non-road'!$D43)/SUMIF(Assumptions!$BB$105:$BB$135,'non-road'!$F43,Assumptions!CS$105:CS$135),"")</f>
        <v/>
      </c>
      <c r="AW43" s="40" t="str">
        <f>IFERROR(SUMIFS(Assumptions!CT$105:CT$135,Assumptions!$BB$105:$BB$135,'non-road'!$F43,Assumptions!$BC$105:$BC$135,'non-road'!$D43)/SUMIF(Assumptions!$BB$105:$BB$135,'non-road'!$F43,Assumptions!CT$105:CT$135),"")</f>
        <v/>
      </c>
      <c r="AX43" s="40" t="str">
        <f>IFERROR(SUMIFS(Assumptions!CU$105:CU$135,Assumptions!$BB$105:$BB$135,'non-road'!$F43,Assumptions!$BC$105:$BC$135,'non-road'!$D43)/SUMIF(Assumptions!$BB$105:$BB$135,'non-road'!$F43,Assumptions!CU$105:CU$135),"")</f>
        <v/>
      </c>
      <c r="AY43" s="40" t="str">
        <f>IFERROR(SUMIFS(Assumptions!CV$105:CV$135,Assumptions!$BB$105:$BB$135,'non-road'!$F43,Assumptions!$BC$105:$BC$135,'non-road'!$D43)/SUMIF(Assumptions!$BB$105:$BB$135,'non-road'!$F43,Assumptions!CV$105:CV$135),"")</f>
        <v/>
      </c>
      <c r="AZ43" s="40" t="str">
        <f>IFERROR(SUMIFS(Assumptions!CW$105:CW$135,Assumptions!$BB$105:$BB$135,'non-road'!$F43,Assumptions!$BC$105:$BC$135,'non-road'!$D43)/SUMIF(Assumptions!$BB$105:$BB$135,'non-road'!$F43,Assumptions!CW$105:CW$135),"")</f>
        <v/>
      </c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</row>
    <row r="44" spans="3:157">
      <c r="D44" t="s">
        <v>263</v>
      </c>
      <c r="F44" s="39" t="s">
        <v>41</v>
      </c>
      <c r="G44" s="40">
        <f>IFERROR(SUMIFS(Assumptions!BD$105:BD$135,Assumptions!$BB$105:$BB$135,'non-road'!$F44,Assumptions!$BC$105:$BC$135,'non-road'!$D44)/SUMIF(Assumptions!$BB$105:$BB$135,'non-road'!$F44,Assumptions!BD$105:BD$135),"")</f>
        <v>0</v>
      </c>
      <c r="H44" s="40">
        <f>IFERROR(SUMIFS(Assumptions!BE$105:BE$135,Assumptions!$BB$105:$BB$135,'non-road'!$F44,Assumptions!$BC$105:$BC$135,'non-road'!$D44)/SUMIF(Assumptions!$BB$105:$BB$135,'non-road'!$F44,Assumptions!BE$105:BE$135),"")</f>
        <v>0</v>
      </c>
      <c r="I44" s="40" t="str">
        <f>IFERROR(SUMIFS(Assumptions!BF$105:BF$135,Assumptions!$BB$105:$BB$135,'non-road'!$F44,Assumptions!$BC$105:$BC$135,'non-road'!$D44)/SUMIF(Assumptions!$BB$105:$BB$135,'non-road'!$F44,Assumptions!BF$105:BF$135),"")</f>
        <v/>
      </c>
      <c r="J44" s="40">
        <f>IFERROR(SUMIFS(Assumptions!BG$105:BG$135,Assumptions!$BB$105:$BB$135,'non-road'!$F44,Assumptions!$BC$105:$BC$135,'non-road'!$D44)/SUMIF(Assumptions!$BB$105:$BB$135,'non-road'!$F44,Assumptions!BG$105:BG$135),"")</f>
        <v>0</v>
      </c>
      <c r="K44" s="40">
        <f>IFERROR(SUMIFS(Assumptions!BH$105:BH$135,Assumptions!$BB$105:$BB$135,'non-road'!$F44,Assumptions!$BC$105:$BC$135,'non-road'!$D44)/SUMIF(Assumptions!$BB$105:$BB$135,'non-road'!$F44,Assumptions!BH$105:BH$135),"")</f>
        <v>0</v>
      </c>
      <c r="L44" s="40">
        <f>IFERROR(SUMIFS(Assumptions!BI$105:BI$135,Assumptions!$BB$105:$BB$135,'non-road'!$F44,Assumptions!$BC$105:$BC$135,'non-road'!$D44)/SUMIF(Assumptions!$BB$105:$BB$135,'non-road'!$F44,Assumptions!BI$105:BI$135),"")</f>
        <v>0</v>
      </c>
      <c r="M44" s="40">
        <f>IFERROR(SUMIFS(Assumptions!BJ$105:BJ$135,Assumptions!$BB$105:$BB$135,'non-road'!$F44,Assumptions!$BC$105:$BC$135,'non-road'!$D44)/SUMIF(Assumptions!$BB$105:$BB$135,'non-road'!$F44,Assumptions!BJ$105:BJ$135),"")</f>
        <v>0</v>
      </c>
      <c r="N44" s="40">
        <f>IFERROR(SUMIFS(Assumptions!BK$105:BK$135,Assumptions!$BB$105:$BB$135,'non-road'!$F44,Assumptions!$BC$105:$BC$135,'non-road'!$D44)/SUMIF(Assumptions!$BB$105:$BB$135,'non-road'!$F44,Assumptions!BK$105:BK$135),"")</f>
        <v>0</v>
      </c>
      <c r="O44" s="40">
        <f>IFERROR(SUMIFS(Assumptions!BL$105:BL$135,Assumptions!$BB$105:$BB$135,'non-road'!$F44,Assumptions!$BC$105:$BC$135,'non-road'!$D44)/SUMIF(Assumptions!$BB$105:$BB$135,'non-road'!$F44,Assumptions!BL$105:BL$135),"")</f>
        <v>0</v>
      </c>
      <c r="P44" s="40">
        <f>IFERROR(SUMIFS(Assumptions!BM$105:BM$135,Assumptions!$BB$105:$BB$135,'non-road'!$F44,Assumptions!$BC$105:$BC$135,'non-road'!$D44)/SUMIF(Assumptions!$BB$105:$BB$135,'non-road'!$F44,Assumptions!BM$105:BM$135),"")</f>
        <v>0</v>
      </c>
      <c r="Q44" s="40">
        <f>IFERROR(SUMIFS(Assumptions!BN$105:BN$135,Assumptions!$BB$105:$BB$135,'non-road'!$F44,Assumptions!$BC$105:$BC$135,'non-road'!$D44)/SUMIF(Assumptions!$BB$105:$BB$135,'non-road'!$F44,Assumptions!BN$105:BN$135),"")</f>
        <v>0</v>
      </c>
      <c r="R44" s="40">
        <f>IFERROR(SUMIFS(Assumptions!BO$105:BO$135,Assumptions!$BB$105:$BB$135,'non-road'!$F44,Assumptions!$BC$105:$BC$135,'non-road'!$D44)/SUMIF(Assumptions!$BB$105:$BB$135,'non-road'!$F44,Assumptions!BO$105:BO$135),"")</f>
        <v>0</v>
      </c>
      <c r="S44" s="40">
        <f>IFERROR(SUMIFS(Assumptions!BP$105:BP$135,Assumptions!$BB$105:$BB$135,'non-road'!$F44,Assumptions!$BC$105:$BC$135,'non-road'!$D44)/SUMIF(Assumptions!$BB$105:$BB$135,'non-road'!$F44,Assumptions!BP$105:BP$135),"")</f>
        <v>0</v>
      </c>
      <c r="T44" s="40">
        <f>IFERROR(SUMIFS(Assumptions!BQ$105:BQ$135,Assumptions!$BB$105:$BB$135,'non-road'!$F44,Assumptions!$BC$105:$BC$135,'non-road'!$D44)/SUMIF(Assumptions!$BB$105:$BB$135,'non-road'!$F44,Assumptions!BQ$105:BQ$135),"")</f>
        <v>0</v>
      </c>
      <c r="U44" s="40">
        <f>IFERROR(SUMIFS(Assumptions!BR$105:BR$135,Assumptions!$BB$105:$BB$135,'non-road'!$F44,Assumptions!$BC$105:$BC$135,'non-road'!$D44)/SUMIF(Assumptions!$BB$105:$BB$135,'non-road'!$F44,Assumptions!BR$105:BR$135),"")</f>
        <v>0</v>
      </c>
      <c r="V44" s="40" t="str">
        <f>IFERROR(SUMIFS(Assumptions!BS$105:BS$135,Assumptions!$BB$105:$BB$135,'non-road'!$F44,Assumptions!$BC$105:$BC$135,'non-road'!$D44)/SUMIF(Assumptions!$BB$105:$BB$135,'non-road'!$F44,Assumptions!BS$105:BS$135),"")</f>
        <v/>
      </c>
      <c r="W44" s="40">
        <f>IFERROR(SUMIFS(Assumptions!BT$105:BT$135,Assumptions!$BB$105:$BB$135,'non-road'!$F44,Assumptions!$BC$105:$BC$135,'non-road'!$D44)/SUMIF(Assumptions!$BB$105:$BB$135,'non-road'!$F44,Assumptions!BT$105:BT$135),"")</f>
        <v>0</v>
      </c>
      <c r="X44" s="40">
        <f>IFERROR(SUMIFS(Assumptions!BU$105:BU$135,Assumptions!$BB$105:$BB$135,'non-road'!$F44,Assumptions!$BC$105:$BC$135,'non-road'!$D44)/SUMIF(Assumptions!$BB$105:$BB$135,'non-road'!$F44,Assumptions!BU$105:BU$135),"")</f>
        <v>0</v>
      </c>
      <c r="Y44" s="40">
        <f>IFERROR(SUMIFS(Assumptions!BV$105:BV$135,Assumptions!$BB$105:$BB$135,'non-road'!$F44,Assumptions!$BC$105:$BC$135,'non-road'!$D44)/SUMIF(Assumptions!$BB$105:$BB$135,'non-road'!$F44,Assumptions!BV$105:BV$135),"")</f>
        <v>0</v>
      </c>
      <c r="Z44" s="40">
        <f>IFERROR(SUMIFS(Assumptions!BW$105:BW$135,Assumptions!$BB$105:$BB$135,'non-road'!$F44,Assumptions!$BC$105:$BC$135,'non-road'!$D44)/SUMIF(Assumptions!$BB$105:$BB$135,'non-road'!$F44,Assumptions!BW$105:BW$135),"")</f>
        <v>0</v>
      </c>
      <c r="AA44" s="40">
        <f>IFERROR(SUMIFS(Assumptions!BX$105:BX$135,Assumptions!$BB$105:$BB$135,'non-road'!$F44,Assumptions!$BC$105:$BC$135,'non-road'!$D44)/SUMIF(Assumptions!$BB$105:$BB$135,'non-road'!$F44,Assumptions!BX$105:BX$135),"")</f>
        <v>0</v>
      </c>
      <c r="AB44" s="40">
        <f>IFERROR(SUMIFS(Assumptions!BY$105:BY$135,Assumptions!$BB$105:$BB$135,'non-road'!$F44,Assumptions!$BC$105:$BC$135,'non-road'!$D44)/SUMIF(Assumptions!$BB$105:$BB$135,'non-road'!$F44,Assumptions!BY$105:BY$135),"")</f>
        <v>0</v>
      </c>
      <c r="AC44" s="40">
        <f>IFERROR(SUMIFS(Assumptions!BZ$105:BZ$135,Assumptions!$BB$105:$BB$135,'non-road'!$F44,Assumptions!$BC$105:$BC$135,'non-road'!$D44)/SUMIF(Assumptions!$BB$105:$BB$135,'non-road'!$F44,Assumptions!BZ$105:BZ$135),"")</f>
        <v>0</v>
      </c>
      <c r="AD44" s="40">
        <f>IFERROR(SUMIFS(Assumptions!CA$105:CA$135,Assumptions!$BB$105:$BB$135,'non-road'!$F44,Assumptions!$BC$105:$BC$135,'non-road'!$D44)/SUMIF(Assumptions!$BB$105:$BB$135,'non-road'!$F44,Assumptions!CA$105:CA$135),"")</f>
        <v>0</v>
      </c>
      <c r="AE44" s="40">
        <f>IFERROR(SUMIFS(Assumptions!CB$105:CB$135,Assumptions!$BB$105:$BB$135,'non-road'!$F44,Assumptions!$BC$105:$BC$135,'non-road'!$D44)/SUMIF(Assumptions!$BB$105:$BB$135,'non-road'!$F44,Assumptions!CB$105:CB$135),"")</f>
        <v>0</v>
      </c>
      <c r="AF44" s="40" t="str">
        <f>IFERROR(SUMIFS(Assumptions!CC$105:CC$135,Assumptions!$BB$105:$BB$135,'non-road'!$F44,Assumptions!$BC$105:$BC$135,'non-road'!$D44)/SUMIF(Assumptions!$BB$105:$BB$135,'non-road'!$F44,Assumptions!CC$105:CC$135),"")</f>
        <v/>
      </c>
      <c r="AG44" s="40" t="str">
        <f>IFERROR(SUMIFS(Assumptions!CD$105:CD$135,Assumptions!$BB$105:$BB$135,'non-road'!$F44,Assumptions!$BC$105:$BC$135,'non-road'!$D44)/SUMIF(Assumptions!$BB$105:$BB$135,'non-road'!$F44,Assumptions!CD$105:CD$135),"")</f>
        <v/>
      </c>
      <c r="AH44" s="40">
        <f>IFERROR(SUMIFS(Assumptions!CE$105:CE$135,Assumptions!$BB$105:$BB$135,'non-road'!$F44,Assumptions!$BC$105:$BC$135,'non-road'!$D44)/SUMIF(Assumptions!$BB$105:$BB$135,'non-road'!$F44,Assumptions!CE$105:CE$135),"")</f>
        <v>0</v>
      </c>
      <c r="AI44" s="40">
        <f>IFERROR(SUMIFS(Assumptions!CF$105:CF$135,Assumptions!$BB$105:$BB$135,'non-road'!$F44,Assumptions!$BC$105:$BC$135,'non-road'!$D44)/SUMIF(Assumptions!$BB$105:$BB$135,'non-road'!$F44,Assumptions!CF$105:CF$135),"")</f>
        <v>0</v>
      </c>
      <c r="AJ44" s="40">
        <f>IFERROR(SUMIFS(Assumptions!CG$105:CG$135,Assumptions!$BB$105:$BB$135,'non-road'!$F44,Assumptions!$BC$105:$BC$135,'non-road'!$D44)/SUMIF(Assumptions!$BB$105:$BB$135,'non-road'!$F44,Assumptions!CG$105:CG$135),"")</f>
        <v>0</v>
      </c>
      <c r="AK44" s="40">
        <f>IFERROR(SUMIFS(Assumptions!CH$105:CH$135,Assumptions!$BB$105:$BB$135,'non-road'!$F44,Assumptions!$BC$105:$BC$135,'non-road'!$D44)/SUMIF(Assumptions!$BB$105:$BB$135,'non-road'!$F44,Assumptions!CH$105:CH$135),"")</f>
        <v>0</v>
      </c>
      <c r="AL44" s="40">
        <f>IFERROR(SUMIFS(Assumptions!CI$105:CI$135,Assumptions!$BB$105:$BB$135,'non-road'!$F44,Assumptions!$BC$105:$BC$135,'non-road'!$D44)/SUMIF(Assumptions!$BB$105:$BB$135,'non-road'!$F44,Assumptions!CI$105:CI$135),"")</f>
        <v>0</v>
      </c>
      <c r="AM44" s="40">
        <f>IFERROR(SUMIFS(Assumptions!CJ$105:CJ$135,Assumptions!$BB$105:$BB$135,'non-road'!$F44,Assumptions!$BC$105:$BC$135,'non-road'!$D44)/SUMIF(Assumptions!$BB$105:$BB$135,'non-road'!$F44,Assumptions!CJ$105:CJ$135),"")</f>
        <v>0</v>
      </c>
      <c r="AN44" s="40">
        <f>IFERROR(SUMIFS(Assumptions!CK$105:CK$135,Assumptions!$BB$105:$BB$135,'non-road'!$F44,Assumptions!$BC$105:$BC$135,'non-road'!$D44)/SUMIF(Assumptions!$BB$105:$BB$135,'non-road'!$F44,Assumptions!CK$105:CK$135),"")</f>
        <v>0</v>
      </c>
      <c r="AO44" s="40">
        <f>IFERROR(SUMIFS(Assumptions!CL$105:CL$135,Assumptions!$BB$105:$BB$135,'non-road'!$F44,Assumptions!$BC$105:$BC$135,'non-road'!$D44)/SUMIF(Assumptions!$BB$105:$BB$135,'non-road'!$F44,Assumptions!CL$105:CL$135),"")</f>
        <v>0</v>
      </c>
      <c r="AP44" s="40" t="str">
        <f>IFERROR(SUMIFS(Assumptions!CM$105:CM$135,Assumptions!$BB$105:$BB$135,'non-road'!$F44,Assumptions!$BC$105:$BC$135,'non-road'!$D44)/SUMIF(Assumptions!$BB$105:$BB$135,'non-road'!$F44,Assumptions!CM$105:CM$135),"")</f>
        <v/>
      </c>
      <c r="AQ44" s="40" t="str">
        <f>IFERROR(SUMIFS(Assumptions!CN$105:CN$135,Assumptions!$BB$105:$BB$135,'non-road'!$F44,Assumptions!$BC$105:$BC$135,'non-road'!$D44)/SUMIF(Assumptions!$BB$105:$BB$135,'non-road'!$F44,Assumptions!CN$105:CN$135),"")</f>
        <v/>
      </c>
      <c r="AR44" s="40" t="str">
        <f>IFERROR(SUMIFS(Assumptions!CO$105:CO$135,Assumptions!$BB$105:$BB$135,'non-road'!$F44,Assumptions!$BC$105:$BC$135,'non-road'!$D44)/SUMIF(Assumptions!$BB$105:$BB$135,'non-road'!$F44,Assumptions!CO$105:CO$135),"")</f>
        <v/>
      </c>
      <c r="AS44" s="40" t="str">
        <f>IFERROR(SUMIFS(Assumptions!CP$105:CP$135,Assumptions!$BB$105:$BB$135,'non-road'!$F44,Assumptions!$BC$105:$BC$135,'non-road'!$D44)/SUMIF(Assumptions!$BB$105:$BB$135,'non-road'!$F44,Assumptions!CP$105:CP$135),"")</f>
        <v/>
      </c>
      <c r="AT44" s="40" t="str">
        <f>IFERROR(SUMIFS(Assumptions!CQ$105:CQ$135,Assumptions!$BB$105:$BB$135,'non-road'!$F44,Assumptions!$BC$105:$BC$135,'non-road'!$D44)/SUMIF(Assumptions!$BB$105:$BB$135,'non-road'!$F44,Assumptions!CQ$105:CQ$135),"")</f>
        <v/>
      </c>
      <c r="AU44" s="40" t="str">
        <f>IFERROR(SUMIFS(Assumptions!CR$105:CR$135,Assumptions!$BB$105:$BB$135,'non-road'!$F44,Assumptions!$BC$105:$BC$135,'non-road'!$D44)/SUMIF(Assumptions!$BB$105:$BB$135,'non-road'!$F44,Assumptions!CR$105:CR$135),"")</f>
        <v/>
      </c>
      <c r="AV44" s="40" t="str">
        <f>IFERROR(SUMIFS(Assumptions!CS$105:CS$135,Assumptions!$BB$105:$BB$135,'non-road'!$F44,Assumptions!$BC$105:$BC$135,'non-road'!$D44)/SUMIF(Assumptions!$BB$105:$BB$135,'non-road'!$F44,Assumptions!CS$105:CS$135),"")</f>
        <v/>
      </c>
      <c r="AW44" s="40" t="str">
        <f>IFERROR(SUMIFS(Assumptions!CT$105:CT$135,Assumptions!$BB$105:$BB$135,'non-road'!$F44,Assumptions!$BC$105:$BC$135,'non-road'!$D44)/SUMIF(Assumptions!$BB$105:$BB$135,'non-road'!$F44,Assumptions!CT$105:CT$135),"")</f>
        <v/>
      </c>
      <c r="AX44" s="40" t="str">
        <f>IFERROR(SUMIFS(Assumptions!CU$105:CU$135,Assumptions!$BB$105:$BB$135,'non-road'!$F44,Assumptions!$BC$105:$BC$135,'non-road'!$D44)/SUMIF(Assumptions!$BB$105:$BB$135,'non-road'!$F44,Assumptions!CU$105:CU$135),"")</f>
        <v/>
      </c>
      <c r="AY44" s="40" t="str">
        <f>IFERROR(SUMIFS(Assumptions!CV$105:CV$135,Assumptions!$BB$105:$BB$135,'non-road'!$F44,Assumptions!$BC$105:$BC$135,'non-road'!$D44)/SUMIF(Assumptions!$BB$105:$BB$135,'non-road'!$F44,Assumptions!CV$105:CV$135),"")</f>
        <v/>
      </c>
      <c r="AZ44" s="40" t="str">
        <f>IFERROR(SUMIFS(Assumptions!CW$105:CW$135,Assumptions!$BB$105:$BB$135,'non-road'!$F44,Assumptions!$BC$105:$BC$135,'non-road'!$D44)/SUMIF(Assumptions!$BB$105:$BB$135,'non-road'!$F44,Assumptions!CW$105:CW$135),"")</f>
        <v/>
      </c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</row>
    <row r="45" spans="3:157">
      <c r="D45" t="s">
        <v>50</v>
      </c>
      <c r="F45" s="39" t="s">
        <v>41</v>
      </c>
      <c r="G45" s="40">
        <f>IFERROR(SUMIFS(Assumptions!BD$105:BD$135,Assumptions!$BB$105:$BB$135,'non-road'!$F45,Assumptions!$BC$105:$BC$135,'non-road'!$D45)/SUMIF(Assumptions!$BB$105:$BB$135,'non-road'!$F45,Assumptions!BD$105:BD$135),"")</f>
        <v>0.0974402670104367</v>
      </c>
      <c r="H45" s="40">
        <f>IFERROR(SUMIFS(Assumptions!BE$105:BE$135,Assumptions!$BB$105:$BB$135,'non-road'!$F45,Assumptions!$BC$105:$BC$135,'non-road'!$D45)/SUMIF(Assumptions!$BB$105:$BB$135,'non-road'!$F45,Assumptions!BE$105:BE$135),"")</f>
        <v>0</v>
      </c>
      <c r="I45" s="40" t="str">
        <f>IFERROR(SUMIFS(Assumptions!BF$105:BF$135,Assumptions!$BB$105:$BB$135,'non-road'!$F45,Assumptions!$BC$105:$BC$135,'non-road'!$D45)/SUMIF(Assumptions!$BB$105:$BB$135,'non-road'!$F45,Assumptions!BF$105:BF$135),"")</f>
        <v/>
      </c>
      <c r="J45" s="40">
        <f>IFERROR(SUMIFS(Assumptions!BG$105:BG$135,Assumptions!$BB$105:$BB$135,'non-road'!$F45,Assumptions!$BC$105:$BC$135,'non-road'!$D45)/SUMIF(Assumptions!$BB$105:$BB$135,'non-road'!$F45,Assumptions!BG$105:BG$135),"")</f>
        <v>0</v>
      </c>
      <c r="K45" s="40">
        <f>IFERROR(SUMIFS(Assumptions!BH$105:BH$135,Assumptions!$BB$105:$BB$135,'non-road'!$F45,Assumptions!$BC$105:$BC$135,'non-road'!$D45)/SUMIF(Assumptions!$BB$105:$BB$135,'non-road'!$F45,Assumptions!BH$105:BH$135),"")</f>
        <v>0</v>
      </c>
      <c r="L45" s="40">
        <f>IFERROR(SUMIFS(Assumptions!BI$105:BI$135,Assumptions!$BB$105:$BB$135,'non-road'!$F45,Assumptions!$BC$105:$BC$135,'non-road'!$D45)/SUMIF(Assumptions!$BB$105:$BB$135,'non-road'!$F45,Assumptions!BI$105:BI$135),"")</f>
        <v>0.0129525552591518</v>
      </c>
      <c r="M45" s="40">
        <f>IFERROR(SUMIFS(Assumptions!BJ$105:BJ$135,Assumptions!$BB$105:$BB$135,'non-road'!$F45,Assumptions!$BC$105:$BC$135,'non-road'!$D45)/SUMIF(Assumptions!$BB$105:$BB$135,'non-road'!$F45,Assumptions!BJ$105:BJ$135),"")</f>
        <v>0</v>
      </c>
      <c r="N45" s="40">
        <f>IFERROR(SUMIFS(Assumptions!BK$105:BK$135,Assumptions!$BB$105:$BB$135,'non-road'!$F45,Assumptions!$BC$105:$BC$135,'non-road'!$D45)/SUMIF(Assumptions!$BB$105:$BB$135,'non-road'!$F45,Assumptions!BK$105:BK$135),"")</f>
        <v>0</v>
      </c>
      <c r="O45" s="40">
        <f>IFERROR(SUMIFS(Assumptions!BL$105:BL$135,Assumptions!$BB$105:$BB$135,'non-road'!$F45,Assumptions!$BC$105:$BC$135,'non-road'!$D45)/SUMIF(Assumptions!$BB$105:$BB$135,'non-road'!$F45,Assumptions!BL$105:BL$135),"")</f>
        <v>0</v>
      </c>
      <c r="P45" s="40">
        <f>IFERROR(SUMIFS(Assumptions!BM$105:BM$135,Assumptions!$BB$105:$BB$135,'non-road'!$F45,Assumptions!$BC$105:$BC$135,'non-road'!$D45)/SUMIF(Assumptions!$BB$105:$BB$135,'non-road'!$F45,Assumptions!BM$105:BM$135),"")</f>
        <v>0</v>
      </c>
      <c r="Q45" s="40">
        <f>IFERROR(SUMIFS(Assumptions!BN$105:BN$135,Assumptions!$BB$105:$BB$135,'non-road'!$F45,Assumptions!$BC$105:$BC$135,'non-road'!$D45)/SUMIF(Assumptions!$BB$105:$BB$135,'non-road'!$F45,Assumptions!BN$105:BN$135),"")</f>
        <v>0</v>
      </c>
      <c r="R45" s="40">
        <f>IFERROR(SUMIFS(Assumptions!BO$105:BO$135,Assumptions!$BB$105:$BB$135,'non-road'!$F45,Assumptions!$BC$105:$BC$135,'non-road'!$D45)/SUMIF(Assumptions!$BB$105:$BB$135,'non-road'!$F45,Assumptions!BO$105:BO$135),"")</f>
        <v>0</v>
      </c>
      <c r="S45" s="40">
        <f>IFERROR(SUMIFS(Assumptions!BP$105:BP$135,Assumptions!$BB$105:$BB$135,'non-road'!$F45,Assumptions!$BC$105:$BC$135,'non-road'!$D45)/SUMIF(Assumptions!$BB$105:$BB$135,'non-road'!$F45,Assumptions!BP$105:BP$135),"")</f>
        <v>0</v>
      </c>
      <c r="T45" s="40">
        <f>IFERROR(SUMIFS(Assumptions!BQ$105:BQ$135,Assumptions!$BB$105:$BB$135,'non-road'!$F45,Assumptions!$BC$105:$BC$135,'non-road'!$D45)/SUMIF(Assumptions!$BB$105:$BB$135,'non-road'!$F45,Assumptions!BQ$105:BQ$135),"")</f>
        <v>0.000550107347336529</v>
      </c>
      <c r="U45" s="40">
        <f>IFERROR(SUMIFS(Assumptions!BR$105:BR$135,Assumptions!$BB$105:$BB$135,'non-road'!$F45,Assumptions!$BC$105:$BC$135,'non-road'!$D45)/SUMIF(Assumptions!$BB$105:$BB$135,'non-road'!$F45,Assumptions!BR$105:BR$135),"")</f>
        <v>0</v>
      </c>
      <c r="V45" s="40" t="str">
        <f>IFERROR(SUMIFS(Assumptions!BS$105:BS$135,Assumptions!$BB$105:$BB$135,'non-road'!$F45,Assumptions!$BC$105:$BC$135,'non-road'!$D45)/SUMIF(Assumptions!$BB$105:$BB$135,'non-road'!$F45,Assumptions!BS$105:BS$135),"")</f>
        <v/>
      </c>
      <c r="W45" s="40">
        <f>IFERROR(SUMIFS(Assumptions!BT$105:BT$135,Assumptions!$BB$105:$BB$135,'non-road'!$F45,Assumptions!$BC$105:$BC$135,'non-road'!$D45)/SUMIF(Assumptions!$BB$105:$BB$135,'non-road'!$F45,Assumptions!BT$105:BT$135),"")</f>
        <v>0</v>
      </c>
      <c r="X45" s="40">
        <f>IFERROR(SUMIFS(Assumptions!BU$105:BU$135,Assumptions!$BB$105:$BB$135,'non-road'!$F45,Assumptions!$BC$105:$BC$135,'non-road'!$D45)/SUMIF(Assumptions!$BB$105:$BB$135,'non-road'!$F45,Assumptions!BU$105:BU$135),"")</f>
        <v>0</v>
      </c>
      <c r="Y45" s="40">
        <f>IFERROR(SUMIFS(Assumptions!BV$105:BV$135,Assumptions!$BB$105:$BB$135,'non-road'!$F45,Assumptions!$BC$105:$BC$135,'non-road'!$D45)/SUMIF(Assumptions!$BB$105:$BB$135,'non-road'!$F45,Assumptions!BV$105:BV$135),"")</f>
        <v>0</v>
      </c>
      <c r="Z45" s="40">
        <f>IFERROR(SUMIFS(Assumptions!BW$105:BW$135,Assumptions!$BB$105:$BB$135,'non-road'!$F45,Assumptions!$BC$105:$BC$135,'non-road'!$D45)/SUMIF(Assumptions!$BB$105:$BB$135,'non-road'!$F45,Assumptions!BW$105:BW$135),"")</f>
        <v>0.0826682437451768</v>
      </c>
      <c r="AA45" s="40">
        <f>IFERROR(SUMIFS(Assumptions!BX$105:BX$135,Assumptions!$BB$105:$BB$135,'non-road'!$F45,Assumptions!$BC$105:$BC$135,'non-road'!$D45)/SUMIF(Assumptions!$BB$105:$BB$135,'non-road'!$F45,Assumptions!BX$105:BX$135),"")</f>
        <v>0</v>
      </c>
      <c r="AB45" s="40">
        <f>IFERROR(SUMIFS(Assumptions!BY$105:BY$135,Assumptions!$BB$105:$BB$135,'non-road'!$F45,Assumptions!$BC$105:$BC$135,'non-road'!$D45)/SUMIF(Assumptions!$BB$105:$BB$135,'non-road'!$F45,Assumptions!BY$105:BY$135),"")</f>
        <v>0</v>
      </c>
      <c r="AC45" s="40">
        <f>IFERROR(SUMIFS(Assumptions!BZ$105:BZ$135,Assumptions!$BB$105:$BB$135,'non-road'!$F45,Assumptions!$BC$105:$BC$135,'non-road'!$D45)/SUMIF(Assumptions!$BB$105:$BB$135,'non-road'!$F45,Assumptions!BZ$105:BZ$135),"")</f>
        <v>0</v>
      </c>
      <c r="AD45" s="40">
        <f>IFERROR(SUMIFS(Assumptions!CA$105:CA$135,Assumptions!$BB$105:$BB$135,'non-road'!$F45,Assumptions!$BC$105:$BC$135,'non-road'!$D45)/SUMIF(Assumptions!$BB$105:$BB$135,'non-road'!$F45,Assumptions!CA$105:CA$135),"")</f>
        <v>0</v>
      </c>
      <c r="AE45" s="40">
        <f>IFERROR(SUMIFS(Assumptions!CB$105:CB$135,Assumptions!$BB$105:$BB$135,'non-road'!$F45,Assumptions!$BC$105:$BC$135,'non-road'!$D45)/SUMIF(Assumptions!$BB$105:$BB$135,'non-road'!$F45,Assumptions!CB$105:CB$135),"")</f>
        <v>0.0150193111277275</v>
      </c>
      <c r="AF45" s="40" t="str">
        <f>IFERROR(SUMIFS(Assumptions!CC$105:CC$135,Assumptions!$BB$105:$BB$135,'non-road'!$F45,Assumptions!$BC$105:$BC$135,'non-road'!$D45)/SUMIF(Assumptions!$BB$105:$BB$135,'non-road'!$F45,Assumptions!CC$105:CC$135),"")</f>
        <v/>
      </c>
      <c r="AG45" s="40" t="str">
        <f>IFERROR(SUMIFS(Assumptions!CD$105:CD$135,Assumptions!$BB$105:$BB$135,'non-road'!$F45,Assumptions!$BC$105:$BC$135,'non-road'!$D45)/SUMIF(Assumptions!$BB$105:$BB$135,'non-road'!$F45,Assumptions!CD$105:CD$135),"")</f>
        <v/>
      </c>
      <c r="AH45" s="40">
        <f>IFERROR(SUMIFS(Assumptions!CE$105:CE$135,Assumptions!$BB$105:$BB$135,'non-road'!$F45,Assumptions!$BC$105:$BC$135,'non-road'!$D45)/SUMIF(Assumptions!$BB$105:$BB$135,'non-road'!$F45,Assumptions!CE$105:CE$135),"")</f>
        <v>0</v>
      </c>
      <c r="AI45" s="40">
        <f>IFERROR(SUMIFS(Assumptions!CF$105:CF$135,Assumptions!$BB$105:$BB$135,'non-road'!$F45,Assumptions!$BC$105:$BC$135,'non-road'!$D45)/SUMIF(Assumptions!$BB$105:$BB$135,'non-road'!$F45,Assumptions!CF$105:CF$135),"")</f>
        <v>0</v>
      </c>
      <c r="AJ45" s="40">
        <f>IFERROR(SUMIFS(Assumptions!CG$105:CG$135,Assumptions!$BB$105:$BB$135,'non-road'!$F45,Assumptions!$BC$105:$BC$135,'non-road'!$D45)/SUMIF(Assumptions!$BB$105:$BB$135,'non-road'!$F45,Assumptions!CG$105:CG$135),"")</f>
        <v>0</v>
      </c>
      <c r="AK45" s="40">
        <f>IFERROR(SUMIFS(Assumptions!CH$105:CH$135,Assumptions!$BB$105:$BB$135,'non-road'!$F45,Assumptions!$BC$105:$BC$135,'non-road'!$D45)/SUMIF(Assumptions!$BB$105:$BB$135,'non-road'!$F45,Assumptions!CH$105:CH$135),"")</f>
        <v>0</v>
      </c>
      <c r="AL45" s="40">
        <f>IFERROR(SUMIFS(Assumptions!CI$105:CI$135,Assumptions!$BB$105:$BB$135,'non-road'!$F45,Assumptions!$BC$105:$BC$135,'non-road'!$D45)/SUMIF(Assumptions!$BB$105:$BB$135,'non-road'!$F45,Assumptions!CI$105:CI$135),"")</f>
        <v>0</v>
      </c>
      <c r="AM45" s="40">
        <f>IFERROR(SUMIFS(Assumptions!CJ$105:CJ$135,Assumptions!$BB$105:$BB$135,'non-road'!$F45,Assumptions!$BC$105:$BC$135,'non-road'!$D45)/SUMIF(Assumptions!$BB$105:$BB$135,'non-road'!$F45,Assumptions!CJ$105:CJ$135),"")</f>
        <v>0</v>
      </c>
      <c r="AN45" s="40">
        <f>IFERROR(SUMIFS(Assumptions!CK$105:CK$135,Assumptions!$BB$105:$BB$135,'non-road'!$F45,Assumptions!$BC$105:$BC$135,'non-road'!$D45)/SUMIF(Assumptions!$BB$105:$BB$135,'non-road'!$F45,Assumptions!CK$105:CK$135),"")</f>
        <v>0</v>
      </c>
      <c r="AO45" s="40">
        <f>IFERROR(SUMIFS(Assumptions!CL$105:CL$135,Assumptions!$BB$105:$BB$135,'non-road'!$F45,Assumptions!$BC$105:$BC$135,'non-road'!$D45)/SUMIF(Assumptions!$BB$105:$BB$135,'non-road'!$F45,Assumptions!CL$105:CL$135),"")</f>
        <v>0</v>
      </c>
      <c r="AP45" s="40" t="str">
        <f>IFERROR(SUMIFS(Assumptions!CM$105:CM$135,Assumptions!$BB$105:$BB$135,'non-road'!$F45,Assumptions!$BC$105:$BC$135,'non-road'!$D45)/SUMIF(Assumptions!$BB$105:$BB$135,'non-road'!$F45,Assumptions!CM$105:CM$135),"")</f>
        <v/>
      </c>
      <c r="AQ45" s="40" t="str">
        <f>IFERROR(SUMIFS(Assumptions!CN$105:CN$135,Assumptions!$BB$105:$BB$135,'non-road'!$F45,Assumptions!$BC$105:$BC$135,'non-road'!$D45)/SUMIF(Assumptions!$BB$105:$BB$135,'non-road'!$F45,Assumptions!CN$105:CN$135),"")</f>
        <v/>
      </c>
      <c r="AR45" s="40" t="str">
        <f>IFERROR(SUMIFS(Assumptions!CO$105:CO$135,Assumptions!$BB$105:$BB$135,'non-road'!$F45,Assumptions!$BC$105:$BC$135,'non-road'!$D45)/SUMIF(Assumptions!$BB$105:$BB$135,'non-road'!$F45,Assumptions!CO$105:CO$135),"")</f>
        <v/>
      </c>
      <c r="AS45" s="40" t="str">
        <f>IFERROR(SUMIFS(Assumptions!CP$105:CP$135,Assumptions!$BB$105:$BB$135,'non-road'!$F45,Assumptions!$BC$105:$BC$135,'non-road'!$D45)/SUMIF(Assumptions!$BB$105:$BB$135,'non-road'!$F45,Assumptions!CP$105:CP$135),"")</f>
        <v/>
      </c>
      <c r="AT45" s="40" t="str">
        <f>IFERROR(SUMIFS(Assumptions!CQ$105:CQ$135,Assumptions!$BB$105:$BB$135,'non-road'!$F45,Assumptions!$BC$105:$BC$135,'non-road'!$D45)/SUMIF(Assumptions!$BB$105:$BB$135,'non-road'!$F45,Assumptions!CQ$105:CQ$135),"")</f>
        <v/>
      </c>
      <c r="AU45" s="40" t="str">
        <f>IFERROR(SUMIFS(Assumptions!CR$105:CR$135,Assumptions!$BB$105:$BB$135,'non-road'!$F45,Assumptions!$BC$105:$BC$135,'non-road'!$D45)/SUMIF(Assumptions!$BB$105:$BB$135,'non-road'!$F45,Assumptions!CR$105:CR$135),"")</f>
        <v/>
      </c>
      <c r="AV45" s="40" t="str">
        <f>IFERROR(SUMIFS(Assumptions!CS$105:CS$135,Assumptions!$BB$105:$BB$135,'non-road'!$F45,Assumptions!$BC$105:$BC$135,'non-road'!$D45)/SUMIF(Assumptions!$BB$105:$BB$135,'non-road'!$F45,Assumptions!CS$105:CS$135),"")</f>
        <v/>
      </c>
      <c r="AW45" s="40" t="str">
        <f>IFERROR(SUMIFS(Assumptions!CT$105:CT$135,Assumptions!$BB$105:$BB$135,'non-road'!$F45,Assumptions!$BC$105:$BC$135,'non-road'!$D45)/SUMIF(Assumptions!$BB$105:$BB$135,'non-road'!$F45,Assumptions!CT$105:CT$135),"")</f>
        <v/>
      </c>
      <c r="AX45" s="40" t="str">
        <f>IFERROR(SUMIFS(Assumptions!CU$105:CU$135,Assumptions!$BB$105:$BB$135,'non-road'!$F45,Assumptions!$BC$105:$BC$135,'non-road'!$D45)/SUMIF(Assumptions!$BB$105:$BB$135,'non-road'!$F45,Assumptions!CU$105:CU$135),"")</f>
        <v/>
      </c>
      <c r="AY45" s="40" t="str">
        <f>IFERROR(SUMIFS(Assumptions!CV$105:CV$135,Assumptions!$BB$105:$BB$135,'non-road'!$F45,Assumptions!$BC$105:$BC$135,'non-road'!$D45)/SUMIF(Assumptions!$BB$105:$BB$135,'non-road'!$F45,Assumptions!CV$105:CV$135),"")</f>
        <v/>
      </c>
      <c r="AZ45" s="40" t="str">
        <f>IFERROR(SUMIFS(Assumptions!CW$105:CW$135,Assumptions!$BB$105:$BB$135,'non-road'!$F45,Assumptions!$BC$105:$BC$135,'non-road'!$D45)/SUMIF(Assumptions!$BB$105:$BB$135,'non-road'!$F45,Assumptions!CW$105:CW$135),"")</f>
        <v/>
      </c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</row>
    <row r="46" spans="3:157">
      <c r="D46" t="s">
        <v>54</v>
      </c>
      <c r="F46" s="39" t="s">
        <v>41</v>
      </c>
      <c r="G46" s="40">
        <f>IFERROR(SUMIFS(Assumptions!BD$105:BD$135,Assumptions!$BB$105:$BB$135,'non-road'!$F46,Assumptions!$BC$105:$BC$135,'non-road'!$D46)/SUMIF(Assumptions!$BB$105:$BB$135,'non-road'!$F46,Assumptions!BD$105:BD$135),"")</f>
        <v>0.902559732989563</v>
      </c>
      <c r="H46" s="40">
        <f>IFERROR(SUMIFS(Assumptions!BE$105:BE$135,Assumptions!$BB$105:$BB$135,'non-road'!$F46,Assumptions!$BC$105:$BC$135,'non-road'!$D46)/SUMIF(Assumptions!$BB$105:$BB$135,'non-road'!$F46,Assumptions!BE$105:BE$135),"")</f>
        <v>0.457365630372571</v>
      </c>
      <c r="I46" s="40" t="str">
        <f>IFERROR(SUMIFS(Assumptions!BF$105:BF$135,Assumptions!$BB$105:$BB$135,'non-road'!$F46,Assumptions!$BC$105:$BC$135,'non-road'!$D46)/SUMIF(Assumptions!$BB$105:$BB$135,'non-road'!$F46,Assumptions!BF$105:BF$135),"")</f>
        <v/>
      </c>
      <c r="J46" s="40">
        <f>IFERROR(SUMIFS(Assumptions!BG$105:BG$135,Assumptions!$BB$105:$BB$135,'non-road'!$F46,Assumptions!$BC$105:$BC$135,'non-road'!$D46)/SUMIF(Assumptions!$BB$105:$BB$135,'non-road'!$F46,Assumptions!BG$105:BG$135),"")</f>
        <v>1</v>
      </c>
      <c r="K46" s="40">
        <f>IFERROR(SUMIFS(Assumptions!BH$105:BH$135,Assumptions!$BB$105:$BB$135,'non-road'!$F46,Assumptions!$BC$105:$BC$135,'non-road'!$D46)/SUMIF(Assumptions!$BB$105:$BB$135,'non-road'!$F46,Assumptions!BH$105:BH$135),"")</f>
        <v>1</v>
      </c>
      <c r="L46" s="40">
        <f>IFERROR(SUMIFS(Assumptions!BI$105:BI$135,Assumptions!$BB$105:$BB$135,'non-road'!$F46,Assumptions!$BC$105:$BC$135,'non-road'!$D46)/SUMIF(Assumptions!$BB$105:$BB$135,'non-road'!$F46,Assumptions!BI$105:BI$135),"")</f>
        <v>0.987047444740848</v>
      </c>
      <c r="M46" s="40">
        <f>IFERROR(SUMIFS(Assumptions!BJ$105:BJ$135,Assumptions!$BB$105:$BB$135,'non-road'!$F46,Assumptions!$BC$105:$BC$135,'non-road'!$D46)/SUMIF(Assumptions!$BB$105:$BB$135,'non-road'!$F46,Assumptions!BJ$105:BJ$135),"")</f>
        <v>0</v>
      </c>
      <c r="N46" s="40">
        <f>IFERROR(SUMIFS(Assumptions!BK$105:BK$135,Assumptions!$BB$105:$BB$135,'non-road'!$F46,Assumptions!$BC$105:$BC$135,'non-road'!$D46)/SUMIF(Assumptions!$BB$105:$BB$135,'non-road'!$F46,Assumptions!BK$105:BK$135),"")</f>
        <v>0.0700876648643394</v>
      </c>
      <c r="O46" s="40">
        <f>IFERROR(SUMIFS(Assumptions!BL$105:BL$135,Assumptions!$BB$105:$BB$135,'non-road'!$F46,Assumptions!$BC$105:$BC$135,'non-road'!$D46)/SUMIF(Assumptions!$BB$105:$BB$135,'non-road'!$F46,Assumptions!BL$105:BL$135),"")</f>
        <v>1</v>
      </c>
      <c r="P46" s="40">
        <f>IFERROR(SUMIFS(Assumptions!BM$105:BM$135,Assumptions!$BB$105:$BB$135,'non-road'!$F46,Assumptions!$BC$105:$BC$135,'non-road'!$D46)/SUMIF(Assumptions!$BB$105:$BB$135,'non-road'!$F46,Assumptions!BM$105:BM$135),"")</f>
        <v>1</v>
      </c>
      <c r="Q46" s="40">
        <f>IFERROR(SUMIFS(Assumptions!BN$105:BN$135,Assumptions!$BB$105:$BB$135,'non-road'!$F46,Assumptions!$BC$105:$BC$135,'non-road'!$D46)/SUMIF(Assumptions!$BB$105:$BB$135,'non-road'!$F46,Assumptions!BN$105:BN$135),"")</f>
        <v>1</v>
      </c>
      <c r="R46" s="40">
        <f>IFERROR(SUMIFS(Assumptions!BO$105:BO$135,Assumptions!$BB$105:$BB$135,'non-road'!$F46,Assumptions!$BC$105:$BC$135,'non-road'!$D46)/SUMIF(Assumptions!$BB$105:$BB$135,'non-road'!$F46,Assumptions!BO$105:BO$135),"")</f>
        <v>1</v>
      </c>
      <c r="S46" s="40">
        <f>IFERROR(SUMIFS(Assumptions!BP$105:BP$135,Assumptions!$BB$105:$BB$135,'non-road'!$F46,Assumptions!$BC$105:$BC$135,'non-road'!$D46)/SUMIF(Assumptions!$BB$105:$BB$135,'non-road'!$F46,Assumptions!BP$105:BP$135),"")</f>
        <v>0.986706092226485</v>
      </c>
      <c r="T46" s="40">
        <f>IFERROR(SUMIFS(Assumptions!BQ$105:BQ$135,Assumptions!$BB$105:$BB$135,'non-road'!$F46,Assumptions!$BC$105:$BC$135,'non-road'!$D46)/SUMIF(Assumptions!$BB$105:$BB$135,'non-road'!$F46,Assumptions!BQ$105:BQ$135),"")</f>
        <v>0.99163378409259</v>
      </c>
      <c r="U46" s="40">
        <f>IFERROR(SUMIFS(Assumptions!BR$105:BR$135,Assumptions!$BB$105:$BB$135,'non-road'!$F46,Assumptions!$BC$105:$BC$135,'non-road'!$D46)/SUMIF(Assumptions!$BB$105:$BB$135,'non-road'!$F46,Assumptions!BR$105:BR$135),"")</f>
        <v>1</v>
      </c>
      <c r="V46" s="40" t="str">
        <f>IFERROR(SUMIFS(Assumptions!BS$105:BS$135,Assumptions!$BB$105:$BB$135,'non-road'!$F46,Assumptions!$BC$105:$BC$135,'non-road'!$D46)/SUMIF(Assumptions!$BB$105:$BB$135,'non-road'!$F46,Assumptions!BS$105:BS$135),"")</f>
        <v/>
      </c>
      <c r="W46" s="40">
        <f>IFERROR(SUMIFS(Assumptions!BT$105:BT$135,Assumptions!$BB$105:$BB$135,'non-road'!$F46,Assumptions!$BC$105:$BC$135,'non-road'!$D46)/SUMIF(Assumptions!$BB$105:$BB$135,'non-road'!$F46,Assumptions!BT$105:BT$135),"")</f>
        <v>1</v>
      </c>
      <c r="X46" s="40">
        <f>IFERROR(SUMIFS(Assumptions!BU$105:BU$135,Assumptions!$BB$105:$BB$135,'non-road'!$F46,Assumptions!$BC$105:$BC$135,'non-road'!$D46)/SUMIF(Assumptions!$BB$105:$BB$135,'non-road'!$F46,Assumptions!BU$105:BU$135),"")</f>
        <v>1</v>
      </c>
      <c r="Y46" s="40">
        <f>IFERROR(SUMIFS(Assumptions!BV$105:BV$135,Assumptions!$BB$105:$BB$135,'non-road'!$F46,Assumptions!$BC$105:$BC$135,'non-road'!$D46)/SUMIF(Assumptions!$BB$105:$BB$135,'non-road'!$F46,Assumptions!BV$105:BV$135),"")</f>
        <v>1</v>
      </c>
      <c r="Z46" s="40">
        <f>IFERROR(SUMIFS(Assumptions!BW$105:BW$135,Assumptions!$BB$105:$BB$135,'non-road'!$F46,Assumptions!$BC$105:$BC$135,'non-road'!$D46)/SUMIF(Assumptions!$BB$105:$BB$135,'non-road'!$F46,Assumptions!BW$105:BW$135),"")</f>
        <v>0.788395490901748</v>
      </c>
      <c r="AA46" s="40">
        <f>IFERROR(SUMIFS(Assumptions!BX$105:BX$135,Assumptions!$BB$105:$BB$135,'non-road'!$F46,Assumptions!$BC$105:$BC$135,'non-road'!$D46)/SUMIF(Assumptions!$BB$105:$BB$135,'non-road'!$F46,Assumptions!BX$105:BX$135),"")</f>
        <v>0.826045225566329</v>
      </c>
      <c r="AB46" s="40">
        <f>IFERROR(SUMIFS(Assumptions!BY$105:BY$135,Assumptions!$BB$105:$BB$135,'non-road'!$F46,Assumptions!$BC$105:$BC$135,'non-road'!$D46)/SUMIF(Assumptions!$BB$105:$BB$135,'non-road'!$F46,Assumptions!BY$105:BY$135),"")</f>
        <v>0.30663977209494</v>
      </c>
      <c r="AC46" s="40">
        <f>IFERROR(SUMIFS(Assumptions!BZ$105:BZ$135,Assumptions!$BB$105:$BB$135,'non-road'!$F46,Assumptions!$BC$105:$BC$135,'non-road'!$D46)/SUMIF(Assumptions!$BB$105:$BB$135,'non-road'!$F46,Assumptions!BZ$105:BZ$135),"")</f>
        <v>0.959745924524139</v>
      </c>
      <c r="AD46" s="40">
        <f>IFERROR(SUMIFS(Assumptions!CA$105:CA$135,Assumptions!$BB$105:$BB$135,'non-road'!$F46,Assumptions!$BC$105:$BC$135,'non-road'!$D46)/SUMIF(Assumptions!$BB$105:$BB$135,'non-road'!$F46,Assumptions!CA$105:CA$135),"")</f>
        <v>0.997922108630054</v>
      </c>
      <c r="AE46" s="40">
        <f>IFERROR(SUMIFS(Assumptions!CB$105:CB$135,Assumptions!$BB$105:$BB$135,'non-road'!$F46,Assumptions!$BC$105:$BC$135,'non-road'!$D46)/SUMIF(Assumptions!$BB$105:$BB$135,'non-road'!$F46,Assumptions!CB$105:CB$135),"")</f>
        <v>0.908675692324376</v>
      </c>
      <c r="AF46" s="40" t="str">
        <f>IFERROR(SUMIFS(Assumptions!CC$105:CC$135,Assumptions!$BB$105:$BB$135,'non-road'!$F46,Assumptions!$BC$105:$BC$135,'non-road'!$D46)/SUMIF(Assumptions!$BB$105:$BB$135,'non-road'!$F46,Assumptions!CC$105:CC$135),"")</f>
        <v/>
      </c>
      <c r="AG46" s="40" t="str">
        <f>IFERROR(SUMIFS(Assumptions!CD$105:CD$135,Assumptions!$BB$105:$BB$135,'non-road'!$F46,Assumptions!$BC$105:$BC$135,'non-road'!$D46)/SUMIF(Assumptions!$BB$105:$BB$135,'non-road'!$F46,Assumptions!CD$105:CD$135),"")</f>
        <v/>
      </c>
      <c r="AH46" s="40">
        <f>IFERROR(SUMIFS(Assumptions!CE$105:CE$135,Assumptions!$BB$105:$BB$135,'non-road'!$F46,Assumptions!$BC$105:$BC$135,'non-road'!$D46)/SUMIF(Assumptions!$BB$105:$BB$135,'non-road'!$F46,Assumptions!CE$105:CE$135),"")</f>
        <v>0.628209499682577</v>
      </c>
      <c r="AI46" s="40">
        <f>IFERROR(SUMIFS(Assumptions!CF$105:CF$135,Assumptions!$BB$105:$BB$135,'non-road'!$F46,Assumptions!$BC$105:$BC$135,'non-road'!$D46)/SUMIF(Assumptions!$BB$105:$BB$135,'non-road'!$F46,Assumptions!CF$105:CF$135),"")</f>
        <v>1</v>
      </c>
      <c r="AJ46" s="40">
        <f>IFERROR(SUMIFS(Assumptions!CG$105:CG$135,Assumptions!$BB$105:$BB$135,'non-road'!$F46,Assumptions!$BC$105:$BC$135,'non-road'!$D46)/SUMIF(Assumptions!$BB$105:$BB$135,'non-road'!$F46,Assumptions!CG$105:CG$135),"")</f>
        <v>1</v>
      </c>
      <c r="AK46" s="40">
        <f>IFERROR(SUMIFS(Assumptions!CH$105:CH$135,Assumptions!$BB$105:$BB$135,'non-road'!$F46,Assumptions!$BC$105:$BC$135,'non-road'!$D46)/SUMIF(Assumptions!$BB$105:$BB$135,'non-road'!$F46,Assumptions!CH$105:CH$135),"")</f>
        <v>1</v>
      </c>
      <c r="AL46" s="40">
        <f>IFERROR(SUMIFS(Assumptions!CI$105:CI$135,Assumptions!$BB$105:$BB$135,'non-road'!$F46,Assumptions!$BC$105:$BC$135,'non-road'!$D46)/SUMIF(Assumptions!$BB$105:$BB$135,'non-road'!$F46,Assumptions!CI$105:CI$135),"")</f>
        <v>1</v>
      </c>
      <c r="AM46" s="40">
        <f>IFERROR(SUMIFS(Assumptions!CJ$105:CJ$135,Assumptions!$BB$105:$BB$135,'non-road'!$F46,Assumptions!$BC$105:$BC$135,'non-road'!$D46)/SUMIF(Assumptions!$BB$105:$BB$135,'non-road'!$F46,Assumptions!CJ$105:CJ$135),"")</f>
        <v>1</v>
      </c>
      <c r="AN46" s="40">
        <f>IFERROR(SUMIFS(Assumptions!CK$105:CK$135,Assumptions!$BB$105:$BB$135,'non-road'!$F46,Assumptions!$BC$105:$BC$135,'non-road'!$D46)/SUMIF(Assumptions!$BB$105:$BB$135,'non-road'!$F46,Assumptions!CK$105:CK$135),"")</f>
        <v>0.117067760715131</v>
      </c>
      <c r="AO46" s="40">
        <f>IFERROR(SUMIFS(Assumptions!CL$105:CL$135,Assumptions!$BB$105:$BB$135,'non-road'!$F46,Assumptions!$BC$105:$BC$135,'non-road'!$D46)/SUMIF(Assumptions!$BB$105:$BB$135,'non-road'!$F46,Assumptions!CL$105:CL$135),"")</f>
        <v>1</v>
      </c>
      <c r="AP46" s="40" t="str">
        <f>IFERROR(SUMIFS(Assumptions!CM$105:CM$135,Assumptions!$BB$105:$BB$135,'non-road'!$F46,Assumptions!$BC$105:$BC$135,'non-road'!$D46)/SUMIF(Assumptions!$BB$105:$BB$135,'non-road'!$F46,Assumptions!CM$105:CM$135),"")</f>
        <v/>
      </c>
      <c r="AQ46" s="40" t="str">
        <f>IFERROR(SUMIFS(Assumptions!CN$105:CN$135,Assumptions!$BB$105:$BB$135,'non-road'!$F46,Assumptions!$BC$105:$BC$135,'non-road'!$D46)/SUMIF(Assumptions!$BB$105:$BB$135,'non-road'!$F46,Assumptions!CN$105:CN$135),"")</f>
        <v/>
      </c>
      <c r="AR46" s="40" t="str">
        <f>IFERROR(SUMIFS(Assumptions!CO$105:CO$135,Assumptions!$BB$105:$BB$135,'non-road'!$F46,Assumptions!$BC$105:$BC$135,'non-road'!$D46)/SUMIF(Assumptions!$BB$105:$BB$135,'non-road'!$F46,Assumptions!CO$105:CO$135),"")</f>
        <v/>
      </c>
      <c r="AS46" s="40" t="str">
        <f>IFERROR(SUMIFS(Assumptions!CP$105:CP$135,Assumptions!$BB$105:$BB$135,'non-road'!$F46,Assumptions!$BC$105:$BC$135,'non-road'!$D46)/SUMIF(Assumptions!$BB$105:$BB$135,'non-road'!$F46,Assumptions!CP$105:CP$135),"")</f>
        <v/>
      </c>
      <c r="AT46" s="40" t="str">
        <f>IFERROR(SUMIFS(Assumptions!CQ$105:CQ$135,Assumptions!$BB$105:$BB$135,'non-road'!$F46,Assumptions!$BC$105:$BC$135,'non-road'!$D46)/SUMIF(Assumptions!$BB$105:$BB$135,'non-road'!$F46,Assumptions!CQ$105:CQ$135),"")</f>
        <v/>
      </c>
      <c r="AU46" s="40" t="str">
        <f>IFERROR(SUMIFS(Assumptions!CR$105:CR$135,Assumptions!$BB$105:$BB$135,'non-road'!$F46,Assumptions!$BC$105:$BC$135,'non-road'!$D46)/SUMIF(Assumptions!$BB$105:$BB$135,'non-road'!$F46,Assumptions!CR$105:CR$135),"")</f>
        <v/>
      </c>
      <c r="AV46" s="40" t="str">
        <f>IFERROR(SUMIFS(Assumptions!CS$105:CS$135,Assumptions!$BB$105:$BB$135,'non-road'!$F46,Assumptions!$BC$105:$BC$135,'non-road'!$D46)/SUMIF(Assumptions!$BB$105:$BB$135,'non-road'!$F46,Assumptions!CS$105:CS$135),"")</f>
        <v/>
      </c>
      <c r="AW46" s="40" t="str">
        <f>IFERROR(SUMIFS(Assumptions!CT$105:CT$135,Assumptions!$BB$105:$BB$135,'non-road'!$F46,Assumptions!$BC$105:$BC$135,'non-road'!$D46)/SUMIF(Assumptions!$BB$105:$BB$135,'non-road'!$F46,Assumptions!CT$105:CT$135),"")</f>
        <v/>
      </c>
      <c r="AX46" s="40" t="str">
        <f>IFERROR(SUMIFS(Assumptions!CU$105:CU$135,Assumptions!$BB$105:$BB$135,'non-road'!$F46,Assumptions!$BC$105:$BC$135,'non-road'!$D46)/SUMIF(Assumptions!$BB$105:$BB$135,'non-road'!$F46,Assumptions!CU$105:CU$135),"")</f>
        <v/>
      </c>
      <c r="AY46" s="40" t="str">
        <f>IFERROR(SUMIFS(Assumptions!CV$105:CV$135,Assumptions!$BB$105:$BB$135,'non-road'!$F46,Assumptions!$BC$105:$BC$135,'non-road'!$D46)/SUMIF(Assumptions!$BB$105:$BB$135,'non-road'!$F46,Assumptions!CV$105:CV$135),"")</f>
        <v/>
      </c>
      <c r="AZ46" s="40" t="str">
        <f>IFERROR(SUMIFS(Assumptions!CW$105:CW$135,Assumptions!$BB$105:$BB$135,'non-road'!$F46,Assumptions!$BC$105:$BC$135,'non-road'!$D46)/SUMIF(Assumptions!$BB$105:$BB$135,'non-road'!$F46,Assumptions!CW$105:CW$135),"")</f>
        <v/>
      </c>
      <c r="CY46" s="39"/>
      <c r="CZ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</row>
    <row r="47" spans="3:157">
      <c r="D47" t="s">
        <v>58</v>
      </c>
      <c r="F47" s="39" t="s">
        <v>41</v>
      </c>
      <c r="G47" s="40">
        <f>IFERROR(SUMIFS(Assumptions!BD$105:BD$135,Assumptions!$BB$105:$BB$135,'non-road'!$F47,Assumptions!$BC$105:$BC$135,'non-road'!$D47)/SUMIF(Assumptions!$BB$105:$BB$135,'non-road'!$F47,Assumptions!BD$105:BD$135),"")</f>
        <v>0</v>
      </c>
      <c r="H47" s="40">
        <f>IFERROR(SUMIFS(Assumptions!BE$105:BE$135,Assumptions!$BB$105:$BB$135,'non-road'!$F47,Assumptions!$BC$105:$BC$135,'non-road'!$D47)/SUMIF(Assumptions!$BB$105:$BB$135,'non-road'!$F47,Assumptions!BE$105:BE$135),"")</f>
        <v>0.0309261204323547</v>
      </c>
      <c r="I47" s="40" t="str">
        <f>IFERROR(SUMIFS(Assumptions!BF$105:BF$135,Assumptions!$BB$105:$BB$135,'non-road'!$F47,Assumptions!$BC$105:$BC$135,'non-road'!$D47)/SUMIF(Assumptions!$BB$105:$BB$135,'non-road'!$F47,Assumptions!BF$105:BF$135),"")</f>
        <v/>
      </c>
      <c r="J47" s="40">
        <f>IFERROR(SUMIFS(Assumptions!BG$105:BG$135,Assumptions!$BB$105:$BB$135,'non-road'!$F47,Assumptions!$BC$105:$BC$135,'non-road'!$D47)/SUMIF(Assumptions!$BB$105:$BB$135,'non-road'!$F47,Assumptions!BG$105:BG$135),"")</f>
        <v>0</v>
      </c>
      <c r="K47" s="40">
        <f>IFERROR(SUMIFS(Assumptions!BH$105:BH$135,Assumptions!$BB$105:$BB$135,'non-road'!$F47,Assumptions!$BC$105:$BC$135,'non-road'!$D47)/SUMIF(Assumptions!$BB$105:$BB$135,'non-road'!$F47,Assumptions!BH$105:BH$135),"")</f>
        <v>0</v>
      </c>
      <c r="L47" s="40">
        <f>IFERROR(SUMIFS(Assumptions!BI$105:BI$135,Assumptions!$BB$105:$BB$135,'non-road'!$F47,Assumptions!$BC$105:$BC$135,'non-road'!$D47)/SUMIF(Assumptions!$BB$105:$BB$135,'non-road'!$F47,Assumptions!BI$105:BI$135),"")</f>
        <v>0</v>
      </c>
      <c r="M47" s="40">
        <f>IFERROR(SUMIFS(Assumptions!BJ$105:BJ$135,Assumptions!$BB$105:$BB$135,'non-road'!$F47,Assumptions!$BC$105:$BC$135,'non-road'!$D47)/SUMIF(Assumptions!$BB$105:$BB$135,'non-road'!$F47,Assumptions!BJ$105:BJ$135),"")</f>
        <v>0</v>
      </c>
      <c r="N47" s="40">
        <f>IFERROR(SUMIFS(Assumptions!BK$105:BK$135,Assumptions!$BB$105:$BB$135,'non-road'!$F47,Assumptions!$BC$105:$BC$135,'non-road'!$D47)/SUMIF(Assumptions!$BB$105:$BB$135,'non-road'!$F47,Assumptions!BK$105:BK$135),"")</f>
        <v>0</v>
      </c>
      <c r="O47" s="40">
        <f>IFERROR(SUMIFS(Assumptions!BL$105:BL$135,Assumptions!$BB$105:$BB$135,'non-road'!$F47,Assumptions!$BC$105:$BC$135,'non-road'!$D47)/SUMIF(Assumptions!$BB$105:$BB$135,'non-road'!$F47,Assumptions!BL$105:BL$135),"")</f>
        <v>0</v>
      </c>
      <c r="P47" s="40">
        <f>IFERROR(SUMIFS(Assumptions!BM$105:BM$135,Assumptions!$BB$105:$BB$135,'non-road'!$F47,Assumptions!$BC$105:$BC$135,'non-road'!$D47)/SUMIF(Assumptions!$BB$105:$BB$135,'non-road'!$F47,Assumptions!BM$105:BM$135),"")</f>
        <v>0</v>
      </c>
      <c r="Q47" s="40">
        <f>IFERROR(SUMIFS(Assumptions!BN$105:BN$135,Assumptions!$BB$105:$BB$135,'non-road'!$F47,Assumptions!$BC$105:$BC$135,'non-road'!$D47)/SUMIF(Assumptions!$BB$105:$BB$135,'non-road'!$F47,Assumptions!BN$105:BN$135),"")</f>
        <v>0</v>
      </c>
      <c r="R47" s="40">
        <f>IFERROR(SUMIFS(Assumptions!BO$105:BO$135,Assumptions!$BB$105:$BB$135,'non-road'!$F47,Assumptions!$BC$105:$BC$135,'non-road'!$D47)/SUMIF(Assumptions!$BB$105:$BB$135,'non-road'!$F47,Assumptions!BO$105:BO$135),"")</f>
        <v>0</v>
      </c>
      <c r="S47" s="40">
        <f>IFERROR(SUMIFS(Assumptions!BP$105:BP$135,Assumptions!$BB$105:$BB$135,'non-road'!$F47,Assumptions!$BC$105:$BC$135,'non-road'!$D47)/SUMIF(Assumptions!$BB$105:$BB$135,'non-road'!$F47,Assumptions!BP$105:BP$135),"")</f>
        <v>0</v>
      </c>
      <c r="T47" s="40">
        <f>IFERROR(SUMIFS(Assumptions!BQ$105:BQ$135,Assumptions!$BB$105:$BB$135,'non-road'!$F47,Assumptions!$BC$105:$BC$135,'non-road'!$D47)/SUMIF(Assumptions!$BB$105:$BB$135,'non-road'!$F47,Assumptions!BQ$105:BQ$135),"")</f>
        <v>0</v>
      </c>
      <c r="U47" s="40">
        <f>IFERROR(SUMIFS(Assumptions!BR$105:BR$135,Assumptions!$BB$105:$BB$135,'non-road'!$F47,Assumptions!$BC$105:$BC$135,'non-road'!$D47)/SUMIF(Assumptions!$BB$105:$BB$135,'non-road'!$F47,Assumptions!BR$105:BR$135),"")</f>
        <v>0</v>
      </c>
      <c r="V47" s="40" t="str">
        <f>IFERROR(SUMIFS(Assumptions!BS$105:BS$135,Assumptions!$BB$105:$BB$135,'non-road'!$F47,Assumptions!$BC$105:$BC$135,'non-road'!$D47)/SUMIF(Assumptions!$BB$105:$BB$135,'non-road'!$F47,Assumptions!BS$105:BS$135),"")</f>
        <v/>
      </c>
      <c r="W47" s="40">
        <f>IFERROR(SUMIFS(Assumptions!BT$105:BT$135,Assumptions!$BB$105:$BB$135,'non-road'!$F47,Assumptions!$BC$105:$BC$135,'non-road'!$D47)/SUMIF(Assumptions!$BB$105:$BB$135,'non-road'!$F47,Assumptions!BT$105:BT$135),"")</f>
        <v>0</v>
      </c>
      <c r="X47" s="40">
        <f>IFERROR(SUMIFS(Assumptions!BU$105:BU$135,Assumptions!$BB$105:$BB$135,'non-road'!$F47,Assumptions!$BC$105:$BC$135,'non-road'!$D47)/SUMIF(Assumptions!$BB$105:$BB$135,'non-road'!$F47,Assumptions!BU$105:BU$135),"")</f>
        <v>0</v>
      </c>
      <c r="Y47" s="40">
        <f>IFERROR(SUMIFS(Assumptions!BV$105:BV$135,Assumptions!$BB$105:$BB$135,'non-road'!$F47,Assumptions!$BC$105:$BC$135,'non-road'!$D47)/SUMIF(Assumptions!$BB$105:$BB$135,'non-road'!$F47,Assumptions!BV$105:BV$135),"")</f>
        <v>0</v>
      </c>
      <c r="Z47" s="40">
        <f>IFERROR(SUMIFS(Assumptions!BW$105:BW$135,Assumptions!$BB$105:$BB$135,'non-road'!$F47,Assumptions!$BC$105:$BC$135,'non-road'!$D47)/SUMIF(Assumptions!$BB$105:$BB$135,'non-road'!$F47,Assumptions!BW$105:BW$135),"")</f>
        <v>0</v>
      </c>
      <c r="AA47" s="40">
        <f>IFERROR(SUMIFS(Assumptions!BX$105:BX$135,Assumptions!$BB$105:$BB$135,'non-road'!$F47,Assumptions!$BC$105:$BC$135,'non-road'!$D47)/SUMIF(Assumptions!$BB$105:$BB$135,'non-road'!$F47,Assumptions!BX$105:BX$135),"")</f>
        <v>0</v>
      </c>
      <c r="AB47" s="40">
        <f>IFERROR(SUMIFS(Assumptions!BY$105:BY$135,Assumptions!$BB$105:$BB$135,'non-road'!$F47,Assumptions!$BC$105:$BC$135,'non-road'!$D47)/SUMIF(Assumptions!$BB$105:$BB$135,'non-road'!$F47,Assumptions!BY$105:BY$135),"")</f>
        <v>0.632708049705559</v>
      </c>
      <c r="AC47" s="40">
        <f>IFERROR(SUMIFS(Assumptions!BZ$105:BZ$135,Assumptions!$BB$105:$BB$135,'non-road'!$F47,Assumptions!$BC$105:$BC$135,'non-road'!$D47)/SUMIF(Assumptions!$BB$105:$BB$135,'non-road'!$F47,Assumptions!BZ$105:BZ$135),"")</f>
        <v>0</v>
      </c>
      <c r="AD47" s="40">
        <f>IFERROR(SUMIFS(Assumptions!CA$105:CA$135,Assumptions!$BB$105:$BB$135,'non-road'!$F47,Assumptions!$BC$105:$BC$135,'non-road'!$D47)/SUMIF(Assumptions!$BB$105:$BB$135,'non-road'!$F47,Assumptions!CA$105:CA$135),"")</f>
        <v>0</v>
      </c>
      <c r="AE47" s="40">
        <f>IFERROR(SUMIFS(Assumptions!CB$105:CB$135,Assumptions!$BB$105:$BB$135,'non-road'!$F47,Assumptions!$BC$105:$BC$135,'non-road'!$D47)/SUMIF(Assumptions!$BB$105:$BB$135,'non-road'!$F47,Assumptions!CB$105:CB$135),"")</f>
        <v>0.0654288464115546</v>
      </c>
      <c r="AF47" s="40" t="str">
        <f>IFERROR(SUMIFS(Assumptions!CC$105:CC$135,Assumptions!$BB$105:$BB$135,'non-road'!$F47,Assumptions!$BC$105:$BC$135,'non-road'!$D47)/SUMIF(Assumptions!$BB$105:$BB$135,'non-road'!$F47,Assumptions!CC$105:CC$135),"")</f>
        <v/>
      </c>
      <c r="AG47" s="40" t="str">
        <f>IFERROR(SUMIFS(Assumptions!CD$105:CD$135,Assumptions!$BB$105:$BB$135,'non-road'!$F47,Assumptions!$BC$105:$BC$135,'non-road'!$D47)/SUMIF(Assumptions!$BB$105:$BB$135,'non-road'!$F47,Assumptions!CD$105:CD$135),"")</f>
        <v/>
      </c>
      <c r="AH47" s="40">
        <f>IFERROR(SUMIFS(Assumptions!CE$105:CE$135,Assumptions!$BB$105:$BB$135,'non-road'!$F47,Assumptions!$BC$105:$BC$135,'non-road'!$D47)/SUMIF(Assumptions!$BB$105:$BB$135,'non-road'!$F47,Assumptions!CE$105:CE$135),"")</f>
        <v>0</v>
      </c>
      <c r="AI47" s="40">
        <f>IFERROR(SUMIFS(Assumptions!CF$105:CF$135,Assumptions!$BB$105:$BB$135,'non-road'!$F47,Assumptions!$BC$105:$BC$135,'non-road'!$D47)/SUMIF(Assumptions!$BB$105:$BB$135,'non-road'!$F47,Assumptions!CF$105:CF$135),"")</f>
        <v>0</v>
      </c>
      <c r="AJ47" s="40">
        <f>IFERROR(SUMIFS(Assumptions!CG$105:CG$135,Assumptions!$BB$105:$BB$135,'non-road'!$F47,Assumptions!$BC$105:$BC$135,'non-road'!$D47)/SUMIF(Assumptions!$BB$105:$BB$135,'non-road'!$F47,Assumptions!CG$105:CG$135),"")</f>
        <v>0</v>
      </c>
      <c r="AK47" s="40">
        <f>IFERROR(SUMIFS(Assumptions!CH$105:CH$135,Assumptions!$BB$105:$BB$135,'non-road'!$F47,Assumptions!$BC$105:$BC$135,'non-road'!$D47)/SUMIF(Assumptions!$BB$105:$BB$135,'non-road'!$F47,Assumptions!CH$105:CH$135),"")</f>
        <v>0</v>
      </c>
      <c r="AL47" s="40">
        <f>IFERROR(SUMIFS(Assumptions!CI$105:CI$135,Assumptions!$BB$105:$BB$135,'non-road'!$F47,Assumptions!$BC$105:$BC$135,'non-road'!$D47)/SUMIF(Assumptions!$BB$105:$BB$135,'non-road'!$F47,Assumptions!CI$105:CI$135),"")</f>
        <v>0</v>
      </c>
      <c r="AM47" s="40">
        <f>IFERROR(SUMIFS(Assumptions!CJ$105:CJ$135,Assumptions!$BB$105:$BB$135,'non-road'!$F47,Assumptions!$BC$105:$BC$135,'non-road'!$D47)/SUMIF(Assumptions!$BB$105:$BB$135,'non-road'!$F47,Assumptions!CJ$105:CJ$135),"")</f>
        <v>0</v>
      </c>
      <c r="AN47" s="40">
        <f>IFERROR(SUMIFS(Assumptions!CK$105:CK$135,Assumptions!$BB$105:$BB$135,'non-road'!$F47,Assumptions!$BC$105:$BC$135,'non-road'!$D47)/SUMIF(Assumptions!$BB$105:$BB$135,'non-road'!$F47,Assumptions!CK$105:CK$135),"")</f>
        <v>0.00206309846772107</v>
      </c>
      <c r="AO47" s="40">
        <f>IFERROR(SUMIFS(Assumptions!CL$105:CL$135,Assumptions!$BB$105:$BB$135,'non-road'!$F47,Assumptions!$BC$105:$BC$135,'non-road'!$D47)/SUMIF(Assumptions!$BB$105:$BB$135,'non-road'!$F47,Assumptions!CL$105:CL$135),"")</f>
        <v>0</v>
      </c>
      <c r="AP47" s="40" t="str">
        <f>IFERROR(SUMIFS(Assumptions!CM$105:CM$135,Assumptions!$BB$105:$BB$135,'non-road'!$F47,Assumptions!$BC$105:$BC$135,'non-road'!$D47)/SUMIF(Assumptions!$BB$105:$BB$135,'non-road'!$F47,Assumptions!CM$105:CM$135),"")</f>
        <v/>
      </c>
      <c r="AQ47" s="40" t="str">
        <f>IFERROR(SUMIFS(Assumptions!CN$105:CN$135,Assumptions!$BB$105:$BB$135,'non-road'!$F47,Assumptions!$BC$105:$BC$135,'non-road'!$D47)/SUMIF(Assumptions!$BB$105:$BB$135,'non-road'!$F47,Assumptions!CN$105:CN$135),"")</f>
        <v/>
      </c>
      <c r="AR47" s="40" t="str">
        <f>IFERROR(SUMIFS(Assumptions!CO$105:CO$135,Assumptions!$BB$105:$BB$135,'non-road'!$F47,Assumptions!$BC$105:$BC$135,'non-road'!$D47)/SUMIF(Assumptions!$BB$105:$BB$135,'non-road'!$F47,Assumptions!CO$105:CO$135),"")</f>
        <v/>
      </c>
      <c r="AS47" s="40" t="str">
        <f>IFERROR(SUMIFS(Assumptions!CP$105:CP$135,Assumptions!$BB$105:$BB$135,'non-road'!$F47,Assumptions!$BC$105:$BC$135,'non-road'!$D47)/SUMIF(Assumptions!$BB$105:$BB$135,'non-road'!$F47,Assumptions!CP$105:CP$135),"")</f>
        <v/>
      </c>
      <c r="AT47" s="40" t="str">
        <f>IFERROR(SUMIFS(Assumptions!CQ$105:CQ$135,Assumptions!$BB$105:$BB$135,'non-road'!$F47,Assumptions!$BC$105:$BC$135,'non-road'!$D47)/SUMIF(Assumptions!$BB$105:$BB$135,'non-road'!$F47,Assumptions!CQ$105:CQ$135),"")</f>
        <v/>
      </c>
      <c r="AU47" s="40" t="str">
        <f>IFERROR(SUMIFS(Assumptions!CR$105:CR$135,Assumptions!$BB$105:$BB$135,'non-road'!$F47,Assumptions!$BC$105:$BC$135,'non-road'!$D47)/SUMIF(Assumptions!$BB$105:$BB$135,'non-road'!$F47,Assumptions!CR$105:CR$135),"")</f>
        <v/>
      </c>
      <c r="AV47" s="40" t="str">
        <f>IFERROR(SUMIFS(Assumptions!CS$105:CS$135,Assumptions!$BB$105:$BB$135,'non-road'!$F47,Assumptions!$BC$105:$BC$135,'non-road'!$D47)/SUMIF(Assumptions!$BB$105:$BB$135,'non-road'!$F47,Assumptions!CS$105:CS$135),"")</f>
        <v/>
      </c>
      <c r="AW47" s="40" t="str">
        <f>IFERROR(SUMIFS(Assumptions!CT$105:CT$135,Assumptions!$BB$105:$BB$135,'non-road'!$F47,Assumptions!$BC$105:$BC$135,'non-road'!$D47)/SUMIF(Assumptions!$BB$105:$BB$135,'non-road'!$F47,Assumptions!CT$105:CT$135),"")</f>
        <v/>
      </c>
      <c r="AX47" s="40" t="str">
        <f>IFERROR(SUMIFS(Assumptions!CU$105:CU$135,Assumptions!$BB$105:$BB$135,'non-road'!$F47,Assumptions!$BC$105:$BC$135,'non-road'!$D47)/SUMIF(Assumptions!$BB$105:$BB$135,'non-road'!$F47,Assumptions!CU$105:CU$135),"")</f>
        <v/>
      </c>
      <c r="AY47" s="40" t="str">
        <f>IFERROR(SUMIFS(Assumptions!CV$105:CV$135,Assumptions!$BB$105:$BB$135,'non-road'!$F47,Assumptions!$BC$105:$BC$135,'non-road'!$D47)/SUMIF(Assumptions!$BB$105:$BB$135,'non-road'!$F47,Assumptions!CV$105:CV$135),"")</f>
        <v/>
      </c>
      <c r="AZ47" s="40" t="str">
        <f>IFERROR(SUMIFS(Assumptions!CW$105:CW$135,Assumptions!$BB$105:$BB$135,'non-road'!$F47,Assumptions!$BC$105:$BC$135,'non-road'!$D47)/SUMIF(Assumptions!$BB$105:$BB$135,'non-road'!$F47,Assumptions!CW$105:CW$135),"")</f>
        <v/>
      </c>
      <c r="CY47" s="39"/>
      <c r="CZ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</row>
    <row r="48" spans="3:157">
      <c r="D48" t="s">
        <v>268</v>
      </c>
      <c r="F48" s="39" t="s">
        <v>41</v>
      </c>
      <c r="G48" s="40">
        <f>IFERROR(SUMIFS(Assumptions!BD$105:BD$135,Assumptions!$BB$105:$BB$135,'non-road'!$F48,Assumptions!$BC$105:$BC$135,'non-road'!$D48)/SUMIF(Assumptions!$BB$105:$BB$135,'non-road'!$F48,Assumptions!BD$105:BD$135),"")</f>
        <v>0</v>
      </c>
      <c r="H48" s="40">
        <f>IFERROR(SUMIFS(Assumptions!BE$105:BE$135,Assumptions!$BB$105:$BB$135,'non-road'!$F48,Assumptions!$BC$105:$BC$135,'non-road'!$D48)/SUMIF(Assumptions!$BB$105:$BB$135,'non-road'!$F48,Assumptions!BE$105:BE$135),"")</f>
        <v>0</v>
      </c>
      <c r="I48" s="40" t="str">
        <f>IFERROR(SUMIFS(Assumptions!BF$105:BF$135,Assumptions!$BB$105:$BB$135,'non-road'!$F48,Assumptions!$BC$105:$BC$135,'non-road'!$D48)/SUMIF(Assumptions!$BB$105:$BB$135,'non-road'!$F48,Assumptions!BF$105:BF$135),"")</f>
        <v/>
      </c>
      <c r="J48" s="40">
        <f>IFERROR(SUMIFS(Assumptions!BG$105:BG$135,Assumptions!$BB$105:$BB$135,'non-road'!$F48,Assumptions!$BC$105:$BC$135,'non-road'!$D48)/SUMIF(Assumptions!$BB$105:$BB$135,'non-road'!$F48,Assumptions!BG$105:BG$135),"")</f>
        <v>0</v>
      </c>
      <c r="K48" s="40">
        <f>IFERROR(SUMIFS(Assumptions!BH$105:BH$135,Assumptions!$BB$105:$BB$135,'non-road'!$F48,Assumptions!$BC$105:$BC$135,'non-road'!$D48)/SUMIF(Assumptions!$BB$105:$BB$135,'non-road'!$F48,Assumptions!BH$105:BH$135),"")</f>
        <v>0</v>
      </c>
      <c r="L48" s="40">
        <f>IFERROR(SUMIFS(Assumptions!BI$105:BI$135,Assumptions!$BB$105:$BB$135,'non-road'!$F48,Assumptions!$BC$105:$BC$135,'non-road'!$D48)/SUMIF(Assumptions!$BB$105:$BB$135,'non-road'!$F48,Assumptions!BI$105:BI$135),"")</f>
        <v>0</v>
      </c>
      <c r="M48" s="40">
        <f>IFERROR(SUMIFS(Assumptions!BJ$105:BJ$135,Assumptions!$BB$105:$BB$135,'non-road'!$F48,Assumptions!$BC$105:$BC$135,'non-road'!$D48)/SUMIF(Assumptions!$BB$105:$BB$135,'non-road'!$F48,Assumptions!BJ$105:BJ$135),"")</f>
        <v>0</v>
      </c>
      <c r="N48" s="40">
        <f>IFERROR(SUMIFS(Assumptions!BK$105:BK$135,Assumptions!$BB$105:$BB$135,'non-road'!$F48,Assumptions!$BC$105:$BC$135,'non-road'!$D48)/SUMIF(Assumptions!$BB$105:$BB$135,'non-road'!$F48,Assumptions!BK$105:BK$135),"")</f>
        <v>0</v>
      </c>
      <c r="O48" s="40">
        <f>IFERROR(SUMIFS(Assumptions!BL$105:BL$135,Assumptions!$BB$105:$BB$135,'non-road'!$F48,Assumptions!$BC$105:$BC$135,'non-road'!$D48)/SUMIF(Assumptions!$BB$105:$BB$135,'non-road'!$F48,Assumptions!BL$105:BL$135),"")</f>
        <v>0</v>
      </c>
      <c r="P48" s="40">
        <f>IFERROR(SUMIFS(Assumptions!BM$105:BM$135,Assumptions!$BB$105:$BB$135,'non-road'!$F48,Assumptions!$BC$105:$BC$135,'non-road'!$D48)/SUMIF(Assumptions!$BB$105:$BB$135,'non-road'!$F48,Assumptions!BM$105:BM$135),"")</f>
        <v>0</v>
      </c>
      <c r="Q48" s="40">
        <f>IFERROR(SUMIFS(Assumptions!BN$105:BN$135,Assumptions!$BB$105:$BB$135,'non-road'!$F48,Assumptions!$BC$105:$BC$135,'non-road'!$D48)/SUMIF(Assumptions!$BB$105:$BB$135,'non-road'!$F48,Assumptions!BN$105:BN$135),"")</f>
        <v>0</v>
      </c>
      <c r="R48" s="40">
        <f>IFERROR(SUMIFS(Assumptions!BO$105:BO$135,Assumptions!$BB$105:$BB$135,'non-road'!$F48,Assumptions!$BC$105:$BC$135,'non-road'!$D48)/SUMIF(Assumptions!$BB$105:$BB$135,'non-road'!$F48,Assumptions!BO$105:BO$135),"")</f>
        <v>0</v>
      </c>
      <c r="S48" s="40">
        <f>IFERROR(SUMIFS(Assumptions!BP$105:BP$135,Assumptions!$BB$105:$BB$135,'non-road'!$F48,Assumptions!$BC$105:$BC$135,'non-road'!$D48)/SUMIF(Assumptions!$BB$105:$BB$135,'non-road'!$F48,Assumptions!BP$105:BP$135),"")</f>
        <v>0</v>
      </c>
      <c r="T48" s="40">
        <f>IFERROR(SUMIFS(Assumptions!BQ$105:BQ$135,Assumptions!$BB$105:$BB$135,'non-road'!$F48,Assumptions!$BC$105:$BC$135,'non-road'!$D48)/SUMIF(Assumptions!$BB$105:$BB$135,'non-road'!$F48,Assumptions!BQ$105:BQ$135),"")</f>
        <v>0</v>
      </c>
      <c r="U48" s="40">
        <f>IFERROR(SUMIFS(Assumptions!BR$105:BR$135,Assumptions!$BB$105:$BB$135,'non-road'!$F48,Assumptions!$BC$105:$BC$135,'non-road'!$D48)/SUMIF(Assumptions!$BB$105:$BB$135,'non-road'!$F48,Assumptions!BR$105:BR$135),"")</f>
        <v>0</v>
      </c>
      <c r="V48" s="40" t="str">
        <f>IFERROR(SUMIFS(Assumptions!BS$105:BS$135,Assumptions!$BB$105:$BB$135,'non-road'!$F48,Assumptions!$BC$105:$BC$135,'non-road'!$D48)/SUMIF(Assumptions!$BB$105:$BB$135,'non-road'!$F48,Assumptions!BS$105:BS$135),"")</f>
        <v/>
      </c>
      <c r="W48" s="40">
        <f>IFERROR(SUMIFS(Assumptions!BT$105:BT$135,Assumptions!$BB$105:$BB$135,'non-road'!$F48,Assumptions!$BC$105:$BC$135,'non-road'!$D48)/SUMIF(Assumptions!$BB$105:$BB$135,'non-road'!$F48,Assumptions!BT$105:BT$135),"")</f>
        <v>0</v>
      </c>
      <c r="X48" s="40">
        <f>IFERROR(SUMIFS(Assumptions!BU$105:BU$135,Assumptions!$BB$105:$BB$135,'non-road'!$F48,Assumptions!$BC$105:$BC$135,'non-road'!$D48)/SUMIF(Assumptions!$BB$105:$BB$135,'non-road'!$F48,Assumptions!BU$105:BU$135),"")</f>
        <v>0</v>
      </c>
      <c r="Y48" s="40">
        <f>IFERROR(SUMIFS(Assumptions!BV$105:BV$135,Assumptions!$BB$105:$BB$135,'non-road'!$F48,Assumptions!$BC$105:$BC$135,'non-road'!$D48)/SUMIF(Assumptions!$BB$105:$BB$135,'non-road'!$F48,Assumptions!BV$105:BV$135),"")</f>
        <v>0</v>
      </c>
      <c r="Z48" s="40">
        <f>IFERROR(SUMIFS(Assumptions!BW$105:BW$135,Assumptions!$BB$105:$BB$135,'non-road'!$F48,Assumptions!$BC$105:$BC$135,'non-road'!$D48)/SUMIF(Assumptions!$BB$105:$BB$135,'non-road'!$F48,Assumptions!BW$105:BW$135),"")</f>
        <v>0</v>
      </c>
      <c r="AA48" s="40">
        <f>IFERROR(SUMIFS(Assumptions!BX$105:BX$135,Assumptions!$BB$105:$BB$135,'non-road'!$F48,Assumptions!$BC$105:$BC$135,'non-road'!$D48)/SUMIF(Assumptions!$BB$105:$BB$135,'non-road'!$F48,Assumptions!BX$105:BX$135),"")</f>
        <v>0</v>
      </c>
      <c r="AB48" s="40">
        <f>IFERROR(SUMIFS(Assumptions!BY$105:BY$135,Assumptions!$BB$105:$BB$135,'non-road'!$F48,Assumptions!$BC$105:$BC$135,'non-road'!$D48)/SUMIF(Assumptions!$BB$105:$BB$135,'non-road'!$F48,Assumptions!BY$105:BY$135),"")</f>
        <v>0</v>
      </c>
      <c r="AC48" s="40">
        <f>IFERROR(SUMIFS(Assumptions!BZ$105:BZ$135,Assumptions!$BB$105:$BB$135,'non-road'!$F48,Assumptions!$BC$105:$BC$135,'non-road'!$D48)/SUMIF(Assumptions!$BB$105:$BB$135,'non-road'!$F48,Assumptions!BZ$105:BZ$135),"")</f>
        <v>0</v>
      </c>
      <c r="AD48" s="40">
        <f>IFERROR(SUMIFS(Assumptions!CA$105:CA$135,Assumptions!$BB$105:$BB$135,'non-road'!$F48,Assumptions!$BC$105:$BC$135,'non-road'!$D48)/SUMIF(Assumptions!$BB$105:$BB$135,'non-road'!$F48,Assumptions!CA$105:CA$135),"")</f>
        <v>0</v>
      </c>
      <c r="AE48" s="40">
        <f>IFERROR(SUMIFS(Assumptions!CB$105:CB$135,Assumptions!$BB$105:$BB$135,'non-road'!$F48,Assumptions!$BC$105:$BC$135,'non-road'!$D48)/SUMIF(Assumptions!$BB$105:$BB$135,'non-road'!$F48,Assumptions!CB$105:CB$135),"")</f>
        <v>0</v>
      </c>
      <c r="AF48" s="40" t="str">
        <f>IFERROR(SUMIFS(Assumptions!CC$105:CC$135,Assumptions!$BB$105:$BB$135,'non-road'!$F48,Assumptions!$BC$105:$BC$135,'non-road'!$D48)/SUMIF(Assumptions!$BB$105:$BB$135,'non-road'!$F48,Assumptions!CC$105:CC$135),"")</f>
        <v/>
      </c>
      <c r="AG48" s="40" t="str">
        <f>IFERROR(SUMIFS(Assumptions!CD$105:CD$135,Assumptions!$BB$105:$BB$135,'non-road'!$F48,Assumptions!$BC$105:$BC$135,'non-road'!$D48)/SUMIF(Assumptions!$BB$105:$BB$135,'non-road'!$F48,Assumptions!CD$105:CD$135),"")</f>
        <v/>
      </c>
      <c r="AH48" s="40">
        <f>IFERROR(SUMIFS(Assumptions!CE$105:CE$135,Assumptions!$BB$105:$BB$135,'non-road'!$F48,Assumptions!$BC$105:$BC$135,'non-road'!$D48)/SUMIF(Assumptions!$BB$105:$BB$135,'non-road'!$F48,Assumptions!CE$105:CE$135),"")</f>
        <v>0</v>
      </c>
      <c r="AI48" s="40">
        <f>IFERROR(SUMIFS(Assumptions!CF$105:CF$135,Assumptions!$BB$105:$BB$135,'non-road'!$F48,Assumptions!$BC$105:$BC$135,'non-road'!$D48)/SUMIF(Assumptions!$BB$105:$BB$135,'non-road'!$F48,Assumptions!CF$105:CF$135),"")</f>
        <v>0</v>
      </c>
      <c r="AJ48" s="40">
        <f>IFERROR(SUMIFS(Assumptions!CG$105:CG$135,Assumptions!$BB$105:$BB$135,'non-road'!$F48,Assumptions!$BC$105:$BC$135,'non-road'!$D48)/SUMIF(Assumptions!$BB$105:$BB$135,'non-road'!$F48,Assumptions!CG$105:CG$135),"")</f>
        <v>0</v>
      </c>
      <c r="AK48" s="40">
        <f>IFERROR(SUMIFS(Assumptions!CH$105:CH$135,Assumptions!$BB$105:$BB$135,'non-road'!$F48,Assumptions!$BC$105:$BC$135,'non-road'!$D48)/SUMIF(Assumptions!$BB$105:$BB$135,'non-road'!$F48,Assumptions!CH$105:CH$135),"")</f>
        <v>0</v>
      </c>
      <c r="AL48" s="40">
        <f>IFERROR(SUMIFS(Assumptions!CI$105:CI$135,Assumptions!$BB$105:$BB$135,'non-road'!$F48,Assumptions!$BC$105:$BC$135,'non-road'!$D48)/SUMIF(Assumptions!$BB$105:$BB$135,'non-road'!$F48,Assumptions!CI$105:CI$135),"")</f>
        <v>0</v>
      </c>
      <c r="AM48" s="40">
        <f>IFERROR(SUMIFS(Assumptions!CJ$105:CJ$135,Assumptions!$BB$105:$BB$135,'non-road'!$F48,Assumptions!$BC$105:$BC$135,'non-road'!$D48)/SUMIF(Assumptions!$BB$105:$BB$135,'non-road'!$F48,Assumptions!CJ$105:CJ$135),"")</f>
        <v>0</v>
      </c>
      <c r="AN48" s="40">
        <f>IFERROR(SUMIFS(Assumptions!CK$105:CK$135,Assumptions!$BB$105:$BB$135,'non-road'!$F48,Assumptions!$BC$105:$BC$135,'non-road'!$D48)/SUMIF(Assumptions!$BB$105:$BB$135,'non-road'!$F48,Assumptions!CK$105:CK$135),"")</f>
        <v>0</v>
      </c>
      <c r="AO48" s="40">
        <f>IFERROR(SUMIFS(Assumptions!CL$105:CL$135,Assumptions!$BB$105:$BB$135,'non-road'!$F48,Assumptions!$BC$105:$BC$135,'non-road'!$D48)/SUMIF(Assumptions!$BB$105:$BB$135,'non-road'!$F48,Assumptions!CL$105:CL$135),"")</f>
        <v>0</v>
      </c>
      <c r="AP48" s="40" t="str">
        <f>IFERROR(SUMIFS(Assumptions!CM$105:CM$135,Assumptions!$BB$105:$BB$135,'non-road'!$F48,Assumptions!$BC$105:$BC$135,'non-road'!$D48)/SUMIF(Assumptions!$BB$105:$BB$135,'non-road'!$F48,Assumptions!CM$105:CM$135),"")</f>
        <v/>
      </c>
      <c r="AQ48" s="40" t="str">
        <f>IFERROR(SUMIFS(Assumptions!CN$105:CN$135,Assumptions!$BB$105:$BB$135,'non-road'!$F48,Assumptions!$BC$105:$BC$135,'non-road'!$D48)/SUMIF(Assumptions!$BB$105:$BB$135,'non-road'!$F48,Assumptions!CN$105:CN$135),"")</f>
        <v/>
      </c>
      <c r="AR48" s="40" t="str">
        <f>IFERROR(SUMIFS(Assumptions!CO$105:CO$135,Assumptions!$BB$105:$BB$135,'non-road'!$F48,Assumptions!$BC$105:$BC$135,'non-road'!$D48)/SUMIF(Assumptions!$BB$105:$BB$135,'non-road'!$F48,Assumptions!CO$105:CO$135),"")</f>
        <v/>
      </c>
      <c r="AS48" s="40" t="str">
        <f>IFERROR(SUMIFS(Assumptions!CP$105:CP$135,Assumptions!$BB$105:$BB$135,'non-road'!$F48,Assumptions!$BC$105:$BC$135,'non-road'!$D48)/SUMIF(Assumptions!$BB$105:$BB$135,'non-road'!$F48,Assumptions!CP$105:CP$135),"")</f>
        <v/>
      </c>
      <c r="AT48" s="40" t="str">
        <f>IFERROR(SUMIFS(Assumptions!CQ$105:CQ$135,Assumptions!$BB$105:$BB$135,'non-road'!$F48,Assumptions!$BC$105:$BC$135,'non-road'!$D48)/SUMIF(Assumptions!$BB$105:$BB$135,'non-road'!$F48,Assumptions!CQ$105:CQ$135),"")</f>
        <v/>
      </c>
      <c r="AU48" s="40" t="str">
        <f>IFERROR(SUMIFS(Assumptions!CR$105:CR$135,Assumptions!$BB$105:$BB$135,'non-road'!$F48,Assumptions!$BC$105:$BC$135,'non-road'!$D48)/SUMIF(Assumptions!$BB$105:$BB$135,'non-road'!$F48,Assumptions!CR$105:CR$135),"")</f>
        <v/>
      </c>
      <c r="AV48" s="40" t="str">
        <f>IFERROR(SUMIFS(Assumptions!CS$105:CS$135,Assumptions!$BB$105:$BB$135,'non-road'!$F48,Assumptions!$BC$105:$BC$135,'non-road'!$D48)/SUMIF(Assumptions!$BB$105:$BB$135,'non-road'!$F48,Assumptions!CS$105:CS$135),"")</f>
        <v/>
      </c>
      <c r="AW48" s="40" t="str">
        <f>IFERROR(SUMIFS(Assumptions!CT$105:CT$135,Assumptions!$BB$105:$BB$135,'non-road'!$F48,Assumptions!$BC$105:$BC$135,'non-road'!$D48)/SUMIF(Assumptions!$BB$105:$BB$135,'non-road'!$F48,Assumptions!CT$105:CT$135),"")</f>
        <v/>
      </c>
      <c r="AX48" s="40" t="str">
        <f>IFERROR(SUMIFS(Assumptions!CU$105:CU$135,Assumptions!$BB$105:$BB$135,'non-road'!$F48,Assumptions!$BC$105:$BC$135,'non-road'!$D48)/SUMIF(Assumptions!$BB$105:$BB$135,'non-road'!$F48,Assumptions!CU$105:CU$135),"")</f>
        <v/>
      </c>
      <c r="AY48" s="40" t="str">
        <f>IFERROR(SUMIFS(Assumptions!CV$105:CV$135,Assumptions!$BB$105:$BB$135,'non-road'!$F48,Assumptions!$BC$105:$BC$135,'non-road'!$D48)/SUMIF(Assumptions!$BB$105:$BB$135,'non-road'!$F48,Assumptions!CV$105:CV$135),"")</f>
        <v/>
      </c>
      <c r="AZ48" s="40" t="str">
        <f>IFERROR(SUMIFS(Assumptions!CW$105:CW$135,Assumptions!$BB$105:$BB$135,'non-road'!$F48,Assumptions!$BC$105:$BC$135,'non-road'!$D48)/SUMIF(Assumptions!$BB$105:$BB$135,'non-road'!$F48,Assumptions!CW$105:CW$135),"")</f>
        <v/>
      </c>
      <c r="CY48" s="39"/>
      <c r="CZ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</row>
    <row r="49" spans="3:152">
      <c r="C49" s="47" t="s">
        <v>453</v>
      </c>
      <c r="D49" s="48" t="s">
        <v>44</v>
      </c>
      <c r="E49" s="47" t="s">
        <v>449</v>
      </c>
      <c r="F49" s="47"/>
      <c r="G49" s="49">
        <v>0</v>
      </c>
      <c r="H49" s="49">
        <v>0</v>
      </c>
      <c r="I49" s="49">
        <v>0</v>
      </c>
      <c r="J49" s="49">
        <v>0</v>
      </c>
      <c r="K49" s="49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  <c r="W49" s="49">
        <v>0</v>
      </c>
      <c r="X49" s="49">
        <v>0</v>
      </c>
      <c r="Y49" s="49">
        <v>0</v>
      </c>
      <c r="Z49" s="49">
        <v>0</v>
      </c>
      <c r="AA49" s="49">
        <v>0</v>
      </c>
      <c r="AB49" s="49">
        <v>0</v>
      </c>
      <c r="AC49" s="49">
        <v>0</v>
      </c>
      <c r="AD49" s="49">
        <v>0</v>
      </c>
      <c r="AE49" s="49">
        <v>0</v>
      </c>
      <c r="AF49" s="49">
        <v>0</v>
      </c>
      <c r="AG49" s="49">
        <v>0</v>
      </c>
      <c r="AH49" s="49">
        <v>0</v>
      </c>
      <c r="AI49" s="49">
        <v>0</v>
      </c>
      <c r="AJ49" s="49">
        <v>0</v>
      </c>
      <c r="AK49" s="49">
        <v>0</v>
      </c>
      <c r="AL49" s="49">
        <v>0</v>
      </c>
      <c r="AM49" s="49">
        <v>0</v>
      </c>
      <c r="AN49" s="49">
        <v>0</v>
      </c>
      <c r="AO49" s="49">
        <v>0</v>
      </c>
      <c r="CY49" s="39"/>
      <c r="CZ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</row>
    <row r="50" spans="3:152">
      <c r="C50" s="47" t="s">
        <v>454</v>
      </c>
      <c r="D50" s="48" t="s">
        <v>44</v>
      </c>
      <c r="E50" s="47" t="s">
        <v>449</v>
      </c>
      <c r="F50" s="47"/>
      <c r="G50" s="49">
        <v>0</v>
      </c>
      <c r="H50" s="49">
        <v>0</v>
      </c>
      <c r="I50" s="49">
        <v>0</v>
      </c>
      <c r="J50" s="49">
        <v>0</v>
      </c>
      <c r="K50" s="49">
        <v>0</v>
      </c>
      <c r="L50" s="49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  <c r="W50" s="49">
        <v>0</v>
      </c>
      <c r="X50" s="49">
        <v>0</v>
      </c>
      <c r="Y50" s="49">
        <v>0</v>
      </c>
      <c r="Z50" s="49">
        <v>0</v>
      </c>
      <c r="AA50" s="49">
        <v>0</v>
      </c>
      <c r="AB50" s="49">
        <v>0</v>
      </c>
      <c r="AC50" s="49">
        <v>0</v>
      </c>
      <c r="AD50" s="49">
        <v>0</v>
      </c>
      <c r="AE50" s="49">
        <v>0</v>
      </c>
      <c r="AF50" s="49">
        <v>0</v>
      </c>
      <c r="AG50" s="49">
        <v>0</v>
      </c>
      <c r="AH50" s="49">
        <v>0</v>
      </c>
      <c r="AI50" s="49">
        <v>0</v>
      </c>
      <c r="AJ50" s="49">
        <v>0</v>
      </c>
      <c r="AK50" s="49">
        <v>0</v>
      </c>
      <c r="AL50" s="49">
        <v>0</v>
      </c>
      <c r="AM50" s="49">
        <v>0</v>
      </c>
      <c r="AN50" s="49">
        <v>0</v>
      </c>
      <c r="AO50" s="49">
        <v>0</v>
      </c>
      <c r="CY50" s="39"/>
      <c r="CZ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</row>
    <row r="51" spans="3:152">
      <c r="C51" s="47" t="s">
        <v>455</v>
      </c>
      <c r="D51" s="48" t="s">
        <v>44</v>
      </c>
      <c r="E51" s="47" t="s">
        <v>449</v>
      </c>
      <c r="F51" s="47"/>
      <c r="G51" s="49">
        <v>0</v>
      </c>
      <c r="H51" s="49">
        <v>0</v>
      </c>
      <c r="I51" s="49">
        <v>0</v>
      </c>
      <c r="J51" s="49">
        <v>0</v>
      </c>
      <c r="K51" s="49">
        <v>0</v>
      </c>
      <c r="L51" s="49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  <c r="W51" s="49">
        <v>0</v>
      </c>
      <c r="X51" s="49">
        <v>0</v>
      </c>
      <c r="Y51" s="49">
        <v>0</v>
      </c>
      <c r="Z51" s="49">
        <v>0</v>
      </c>
      <c r="AA51" s="49">
        <v>0</v>
      </c>
      <c r="AB51" s="49">
        <v>0</v>
      </c>
      <c r="AC51" s="49">
        <v>0</v>
      </c>
      <c r="AD51" s="49">
        <v>0</v>
      </c>
      <c r="AE51" s="49">
        <v>0</v>
      </c>
      <c r="AF51" s="49">
        <v>0</v>
      </c>
      <c r="AG51" s="49">
        <v>0</v>
      </c>
      <c r="AH51" s="49">
        <v>0</v>
      </c>
      <c r="AI51" s="49">
        <v>0</v>
      </c>
      <c r="AJ51" s="49">
        <v>0</v>
      </c>
      <c r="AK51" s="49">
        <v>0</v>
      </c>
      <c r="AL51" s="49">
        <v>0</v>
      </c>
      <c r="AM51" s="49">
        <v>0</v>
      </c>
      <c r="AN51" s="49">
        <v>0</v>
      </c>
      <c r="AO51" s="49">
        <v>0</v>
      </c>
      <c r="CY51" s="39"/>
      <c r="CZ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</row>
    <row r="52" spans="3:152">
      <c r="C52" s="47" t="s">
        <v>456</v>
      </c>
      <c r="D52" s="48" t="s">
        <v>44</v>
      </c>
      <c r="E52" s="47" t="s">
        <v>449</v>
      </c>
      <c r="F52" s="47"/>
      <c r="G52" s="49">
        <v>0</v>
      </c>
      <c r="H52" s="49">
        <v>0</v>
      </c>
      <c r="I52" s="49">
        <v>0</v>
      </c>
      <c r="J52" s="49">
        <v>0</v>
      </c>
      <c r="K52" s="49">
        <v>0</v>
      </c>
      <c r="L52" s="49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49">
        <v>0</v>
      </c>
      <c r="AH52" s="49">
        <v>0</v>
      </c>
      <c r="AI52" s="49">
        <v>0</v>
      </c>
      <c r="AJ52" s="49">
        <v>0</v>
      </c>
      <c r="AK52" s="49">
        <v>0</v>
      </c>
      <c r="AL52" s="49">
        <v>0</v>
      </c>
      <c r="AM52" s="49">
        <v>0</v>
      </c>
      <c r="AN52" s="49">
        <v>0</v>
      </c>
      <c r="AO52" s="49">
        <v>0</v>
      </c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</row>
    <row r="53" spans="3:152">
      <c r="C53" s="50" t="s">
        <v>454</v>
      </c>
      <c r="D53" s="50" t="s">
        <v>64</v>
      </c>
      <c r="E53" s="4" t="s">
        <v>449</v>
      </c>
      <c r="F53" s="4"/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</row>
    <row r="54" spans="3:152"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</row>
    <row r="55" spans="3:152"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</row>
    <row r="56" spans="3:152">
      <c r="C56" s="47" t="str">
        <f>C27</f>
        <v>TWD_Generic</v>
      </c>
      <c r="D56" s="48" t="s">
        <v>44</v>
      </c>
      <c r="E56" s="48" t="s">
        <v>457</v>
      </c>
      <c r="F56" s="48" t="s">
        <v>87</v>
      </c>
      <c r="G56" s="51">
        <f>SUMIFS(Assumptions!BD$105:BD$128,Assumptions!$BB$105:$BB$128,'non-road'!$F56,Assumptions!$BC$105:$BC$128,'non-road'!$D56)/SUMIF(Assumptions!$BB$105:$BB$128,'non-road'!$F56,Assumptions!BD$105:BD$128)</f>
        <v>0</v>
      </c>
      <c r="H56" s="51">
        <f>SUMIFS(Assumptions!BE$105:BE$128,Assumptions!$BB$105:$BB$128,'non-road'!$F56,Assumptions!$BC$105:$BC$128,'non-road'!$D56)/SUMIF(Assumptions!$BB$105:$BB$128,'non-road'!$F56,Assumptions!BE$105:BE$128)</f>
        <v>0</v>
      </c>
      <c r="I56" s="51">
        <f>SUMIFS(Assumptions!BF$105:BF$128,Assumptions!$BB$105:$BB$128,'non-road'!$F56,Assumptions!$BC$105:$BC$128,'non-road'!$D56)/SUMIF(Assumptions!$BB$105:$BB$128,'non-road'!$F56,Assumptions!BF$105:BF$128)</f>
        <v>0</v>
      </c>
      <c r="J56" s="51">
        <f>SUMIFS(Assumptions!BG$105:BG$128,Assumptions!$BB$105:$BB$128,'non-road'!$F56,Assumptions!$BC$105:$BC$128,'non-road'!$D56)/SUMIF(Assumptions!$BB$105:$BB$128,'non-road'!$F56,Assumptions!BG$105:BG$128)</f>
        <v>0</v>
      </c>
      <c r="K56" s="51">
        <f>SUMIFS(Assumptions!BH$105:BH$128,Assumptions!$BB$105:$BB$128,'non-road'!$F56,Assumptions!$BC$105:$BC$128,'non-road'!$D56)/SUMIF(Assumptions!$BB$105:$BB$128,'non-road'!$F56,Assumptions!BH$105:BH$128)</f>
        <v>0</v>
      </c>
      <c r="L56" s="51">
        <f>SUMIFS(Assumptions!BI$105:BI$128,Assumptions!$BB$105:$BB$128,'non-road'!$F56,Assumptions!$BC$105:$BC$128,'non-road'!$D56)/SUMIF(Assumptions!$BB$105:$BB$128,'non-road'!$F56,Assumptions!BI$105:BI$128)</f>
        <v>0.00658462099436333</v>
      </c>
      <c r="M56" s="51">
        <f>SUMIFS(Assumptions!BJ$105:BJ$128,Assumptions!$BB$105:$BB$128,'non-road'!$F56,Assumptions!$BC$105:$BC$128,'non-road'!$D56)/SUMIF(Assumptions!$BB$105:$BB$128,'non-road'!$F56,Assumptions!BJ$105:BJ$128)</f>
        <v>0</v>
      </c>
      <c r="N56" s="51">
        <f>SUMIFS(Assumptions!BK$105:BK$128,Assumptions!$BB$105:$BB$128,'non-road'!$F56,Assumptions!$BC$105:$BC$128,'non-road'!$D56)/SUMIF(Assumptions!$BB$105:$BB$128,'non-road'!$F56,Assumptions!BK$105:BK$128)</f>
        <v>0</v>
      </c>
      <c r="O56" s="51">
        <f>SUMIFS(Assumptions!BL$105:BL$128,Assumptions!$BB$105:$BB$128,'non-road'!$F56,Assumptions!$BC$105:$BC$128,'non-road'!$D56)/SUMIF(Assumptions!$BB$105:$BB$128,'non-road'!$F56,Assumptions!BL$105:BL$128)</f>
        <v>0</v>
      </c>
      <c r="P56" s="51">
        <f>SUMIFS(Assumptions!BM$105:BM$128,Assumptions!$BB$105:$BB$128,'non-road'!$F56,Assumptions!$BC$105:$BC$128,'non-road'!$D56)/SUMIF(Assumptions!$BB$105:$BB$128,'non-road'!$F56,Assumptions!BM$105:BM$128)</f>
        <v>0</v>
      </c>
      <c r="Q56" s="51">
        <f>SUMIFS(Assumptions!BN$105:BN$128,Assumptions!$BB$105:$BB$128,'non-road'!$F56,Assumptions!$BC$105:$BC$128,'non-road'!$D56)/SUMIF(Assumptions!$BB$105:$BB$128,'non-road'!$F56,Assumptions!BN$105:BN$128)</f>
        <v>0.00845681824271819</v>
      </c>
      <c r="R56" s="51">
        <f>SUMIFS(Assumptions!BO$105:BO$128,Assumptions!$BB$105:$BB$128,'non-road'!$F56,Assumptions!$BC$105:$BC$128,'non-road'!$D56)/SUMIF(Assumptions!$BB$105:$BB$128,'non-road'!$F56,Assumptions!BO$105:BO$128)</f>
        <v>0</v>
      </c>
      <c r="S56" s="51">
        <f>SUMIFS(Assumptions!BP$105:BP$128,Assumptions!$BB$105:$BB$128,'non-road'!$F56,Assumptions!$BC$105:$BC$128,'non-road'!$D56)/SUMIF(Assumptions!$BB$105:$BB$128,'non-road'!$F56,Assumptions!BP$105:BP$128)</f>
        <v>0.000631524184867016</v>
      </c>
      <c r="T56" s="51">
        <f>SUMIFS(Assumptions!BQ$105:BQ$128,Assumptions!$BB$105:$BB$128,'non-road'!$F56,Assumptions!$BC$105:$BC$128,'non-road'!$D56)/SUMIF(Assumptions!$BB$105:$BB$128,'non-road'!$F56,Assumptions!BQ$105:BQ$128)</f>
        <v>0</v>
      </c>
      <c r="U56" s="51">
        <f>SUMIFS(Assumptions!BR$105:BR$128,Assumptions!$BB$105:$BB$128,'non-road'!$F56,Assumptions!$BC$105:$BC$128,'non-road'!$D56)/SUMIF(Assumptions!$BB$105:$BB$128,'non-road'!$F56,Assumptions!BR$105:BR$128)</f>
        <v>5.98960205083974e-5</v>
      </c>
      <c r="V56" s="51">
        <f>SUMIFS(Assumptions!BS$105:BS$128,Assumptions!$BB$105:$BB$128,'non-road'!$F56,Assumptions!$BC$105:$BC$128,'non-road'!$D56)/SUMIF(Assumptions!$BB$105:$BB$128,'non-road'!$F56,Assumptions!BS$105:BS$128)</f>
        <v>0</v>
      </c>
      <c r="W56" s="51">
        <f>SUMIFS(Assumptions!BT$105:BT$128,Assumptions!$BB$105:$BB$128,'non-road'!$F56,Assumptions!$BC$105:$BC$128,'non-road'!$D56)/SUMIF(Assumptions!$BB$105:$BB$128,'non-road'!$F56,Assumptions!BT$105:BT$128)</f>
        <v>0</v>
      </c>
      <c r="X56" s="51">
        <f>SUMIFS(Assumptions!BU$105:BU$128,Assumptions!$BB$105:$BB$128,'non-road'!$F56,Assumptions!$BC$105:$BC$128,'non-road'!$D56)/SUMIF(Assumptions!$BB$105:$BB$128,'non-road'!$F56,Assumptions!BU$105:BU$128)</f>
        <v>0</v>
      </c>
      <c r="Y56" s="51">
        <f>SUMIFS(Assumptions!BV$105:BV$128,Assumptions!$BB$105:$BB$128,'non-road'!$F56,Assumptions!$BC$105:$BC$128,'non-road'!$D56)/SUMIF(Assumptions!$BB$105:$BB$128,'non-road'!$F56,Assumptions!BV$105:BV$128)</f>
        <v>0</v>
      </c>
      <c r="Z56" s="51">
        <f>SUMIFS(Assumptions!BW$105:BW$128,Assumptions!$BB$105:$BB$128,'non-road'!$F56,Assumptions!$BC$105:$BC$128,'non-road'!$D56)/SUMIF(Assumptions!$BB$105:$BB$128,'non-road'!$F56,Assumptions!BW$105:BW$128)</f>
        <v>0</v>
      </c>
      <c r="AA56" s="51" t="e">
        <f>SUMIFS(Assumptions!BX$105:BX$128,Assumptions!$BB$105:$BB$128,'non-road'!$F56,Assumptions!$BC$105:$BC$128,'non-road'!$D56)/SUMIF(Assumptions!$BB$105:$BB$128,'non-road'!$F56,Assumptions!BX$105:BX$128)</f>
        <v>#DIV/0!</v>
      </c>
      <c r="AB56" s="51">
        <f>SUMIFS(Assumptions!BY$105:BY$128,Assumptions!$BB$105:$BB$128,'non-road'!$F56,Assumptions!$BC$105:$BC$128,'non-road'!$D56)/SUMIF(Assumptions!$BB$105:$BB$128,'non-road'!$F56,Assumptions!BY$105:BY$128)</f>
        <v>0.0101264353012163</v>
      </c>
      <c r="AC56" s="51">
        <f>SUMIFS(Assumptions!BZ$105:BZ$128,Assumptions!$BB$105:$BB$128,'non-road'!$F56,Assumptions!$BC$105:$BC$128,'non-road'!$D56)/SUMIF(Assumptions!$BB$105:$BB$128,'non-road'!$F56,Assumptions!BZ$105:BZ$128)</f>
        <v>0</v>
      </c>
      <c r="AD56" s="51">
        <f>SUMIFS(Assumptions!CA$105:CA$128,Assumptions!$BB$105:$BB$128,'non-road'!$F56,Assumptions!$BC$105:$BC$128,'non-road'!$D56)/SUMIF(Assumptions!$BB$105:$BB$128,'non-road'!$F56,Assumptions!CA$105:CA$128)</f>
        <v>0</v>
      </c>
      <c r="AE56" s="51">
        <f>SUMIFS(Assumptions!CB$105:CB$128,Assumptions!$BB$105:$BB$128,'non-road'!$F56,Assumptions!$BC$105:$BC$128,'non-road'!$D56)/SUMIF(Assumptions!$BB$105:$BB$128,'non-road'!$F56,Assumptions!CB$105:CB$128)</f>
        <v>0.000913267242883914</v>
      </c>
      <c r="AF56" s="51">
        <f>SUMIFS(Assumptions!CC$105:CC$128,Assumptions!$BB$105:$BB$128,'non-road'!$F56,Assumptions!$BC$105:$BC$128,'non-road'!$D56)/SUMIF(Assumptions!$BB$105:$BB$128,'non-road'!$F56,Assumptions!CC$105:CC$128)</f>
        <v>0</v>
      </c>
      <c r="AG56" s="51" t="e">
        <f>SUMIFS(Assumptions!CD$105:CD$128,Assumptions!$BB$105:$BB$128,'non-road'!$F56,Assumptions!$BC$105:$BC$128,'non-road'!$D56)/SUMIF(Assumptions!$BB$105:$BB$128,'non-road'!$F56,Assumptions!CD$105:CD$128)</f>
        <v>#DIV/0!</v>
      </c>
      <c r="AH56" s="51">
        <f>SUMIFS(Assumptions!CE$105:CE$128,Assumptions!$BB$105:$BB$128,'non-road'!$F56,Assumptions!$BC$105:$BC$128,'non-road'!$D56)/SUMIF(Assumptions!$BB$105:$BB$128,'non-road'!$F56,Assumptions!CE$105:CE$128)</f>
        <v>0</v>
      </c>
      <c r="AI56" s="51">
        <f>SUMIFS(Assumptions!CF$105:CF$128,Assumptions!$BB$105:$BB$128,'non-road'!$F56,Assumptions!$BC$105:$BC$128,'non-road'!$D56)/SUMIF(Assumptions!$BB$105:$BB$128,'non-road'!$F56,Assumptions!CF$105:CF$128)</f>
        <v>0.00226900914883423</v>
      </c>
      <c r="AJ56" s="51">
        <f>SUMIFS(Assumptions!CG$105:CG$128,Assumptions!$BB$105:$BB$128,'non-road'!$F56,Assumptions!$BC$105:$BC$128,'non-road'!$D56)/SUMIF(Assumptions!$BB$105:$BB$128,'non-road'!$F56,Assumptions!CG$105:CG$128)</f>
        <v>0.0102271587514695</v>
      </c>
      <c r="AK56" s="51">
        <f>SUMIFS(Assumptions!CH$105:CH$128,Assumptions!$BB$105:$BB$128,'non-road'!$F56,Assumptions!$BC$105:$BC$128,'non-road'!$D56)/SUMIF(Assumptions!$BB$105:$BB$128,'non-road'!$F56,Assumptions!CH$105:CH$128)</f>
        <v>0.0187053082631558</v>
      </c>
      <c r="AL56" s="51">
        <f>SUMIFS(Assumptions!CI$105:CI$128,Assumptions!$BB$105:$BB$128,'non-road'!$F56,Assumptions!$BC$105:$BC$128,'non-road'!$D56)/SUMIF(Assumptions!$BB$105:$BB$128,'non-road'!$F56,Assumptions!CI$105:CI$128)</f>
        <v>0</v>
      </c>
      <c r="AM56" s="51">
        <f>SUMIFS(Assumptions!CJ$105:CJ$128,Assumptions!$BB$105:$BB$128,'non-road'!$F56,Assumptions!$BC$105:$BC$128,'non-road'!$D56)/SUMIF(Assumptions!$BB$105:$BB$128,'non-road'!$F56,Assumptions!CJ$105:CJ$128)</f>
        <v>0</v>
      </c>
      <c r="AN56" s="51">
        <f>SUMIFS(Assumptions!CK$105:CK$128,Assumptions!$BB$105:$BB$128,'non-road'!$F56,Assumptions!$BC$105:$BC$128,'non-road'!$D56)/SUMIF(Assumptions!$BB$105:$BB$128,'non-road'!$F56,Assumptions!CK$105:CK$128)</f>
        <v>0</v>
      </c>
      <c r="AO56" s="51">
        <f>SUMIFS(Assumptions!CL$105:CL$128,Assumptions!$BB$105:$BB$128,'non-road'!$F56,Assumptions!$BC$105:$BC$128,'non-road'!$D56)/SUMIF(Assumptions!$BB$105:$BB$128,'non-road'!$F56,Assumptions!CL$105:CL$128)</f>
        <v>0</v>
      </c>
      <c r="AP56" s="51" t="e">
        <f>SUMIFS(Assumptions!CM$105:CM$128,Assumptions!$BB$105:$BB$128,'non-road'!$F56,Assumptions!$BC$105:$BC$128,'non-road'!$D56)/SUMIF(Assumptions!$BB$105:$BB$128,'non-road'!$F56,Assumptions!CM$105:CM$128)</f>
        <v>#DIV/0!</v>
      </c>
      <c r="AQ56" s="51" t="e">
        <f>SUMIFS(Assumptions!CN$105:CN$128,Assumptions!$BB$105:$BB$128,'non-road'!$F56,Assumptions!$BC$105:$BC$128,'non-road'!$D56)/SUMIF(Assumptions!$BB$105:$BB$128,'non-road'!$F56,Assumptions!CN$105:CN$128)</f>
        <v>#DIV/0!</v>
      </c>
      <c r="AR56" s="51" t="e">
        <f>SUMIFS(Assumptions!CO$105:CO$128,Assumptions!$BB$105:$BB$128,'non-road'!$F56,Assumptions!$BC$105:$BC$128,'non-road'!$D56)/SUMIF(Assumptions!$BB$105:$BB$128,'non-road'!$F56,Assumptions!CO$105:CO$128)</f>
        <v>#DIV/0!</v>
      </c>
      <c r="AS56" s="51" t="e">
        <f>SUMIFS(Assumptions!CP$105:CP$128,Assumptions!$BB$105:$BB$128,'non-road'!$F56,Assumptions!$BC$105:$BC$128,'non-road'!$D56)/SUMIF(Assumptions!$BB$105:$BB$128,'non-road'!$F56,Assumptions!CP$105:CP$128)</f>
        <v>#DIV/0!</v>
      </c>
      <c r="AT56" s="51" t="e">
        <f>SUMIFS(Assumptions!CQ$105:CQ$128,Assumptions!$BB$105:$BB$128,'non-road'!$F56,Assumptions!$BC$105:$BC$128,'non-road'!$D56)/SUMIF(Assumptions!$BB$105:$BB$128,'non-road'!$F56,Assumptions!CQ$105:CQ$128)</f>
        <v>#DIV/0!</v>
      </c>
      <c r="AU56" s="51" t="e">
        <f>SUMIFS(Assumptions!CR$105:CR$128,Assumptions!$BB$105:$BB$128,'non-road'!$F56,Assumptions!$BC$105:$BC$128,'non-road'!$D56)/SUMIF(Assumptions!$BB$105:$BB$128,'non-road'!$F56,Assumptions!CR$105:CR$128)</f>
        <v>#DIV/0!</v>
      </c>
      <c r="AV56" s="51" t="e">
        <f>SUMIFS(Assumptions!CS$105:CS$128,Assumptions!$BB$105:$BB$128,'non-road'!$F56,Assumptions!$BC$105:$BC$128,'non-road'!$D56)/SUMIF(Assumptions!$BB$105:$BB$128,'non-road'!$F56,Assumptions!CS$105:CS$128)</f>
        <v>#DIV/0!</v>
      </c>
      <c r="AW56" s="51" t="e">
        <f>SUMIFS(Assumptions!CT$105:CT$128,Assumptions!$BB$105:$BB$128,'non-road'!$F56,Assumptions!$BC$105:$BC$128,'non-road'!$D56)/SUMIF(Assumptions!$BB$105:$BB$128,'non-road'!$F56,Assumptions!CT$105:CT$128)</f>
        <v>#DIV/0!</v>
      </c>
      <c r="AX56" s="51" t="e">
        <f>SUMIFS(Assumptions!CU$105:CU$128,Assumptions!$BB$105:$BB$128,'non-road'!$F56,Assumptions!$BC$105:$BC$128,'non-road'!$D56)/SUMIF(Assumptions!$BB$105:$BB$128,'non-road'!$F56,Assumptions!CU$105:CU$128)</f>
        <v>#DIV/0!</v>
      </c>
      <c r="AY56" s="51" t="e">
        <f>SUMIFS(Assumptions!CV$105:CV$128,Assumptions!$BB$105:$BB$128,'non-road'!$F56,Assumptions!$BC$105:$BC$128,'non-road'!$D56)/SUMIF(Assumptions!$BB$105:$BB$128,'non-road'!$F56,Assumptions!CV$105:CV$128)</f>
        <v>#DIV/0!</v>
      </c>
      <c r="AZ56" s="51" t="e">
        <f>SUMIFS(Assumptions!CW$105:CW$128,Assumptions!$BB$105:$BB$128,'non-road'!$F56,Assumptions!$BC$105:$BC$128,'non-road'!$D56)/SUMIF(Assumptions!$BB$105:$BB$128,'non-road'!$F56,Assumptions!CW$105:CW$128)</f>
        <v>#DIV/0!</v>
      </c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</row>
    <row r="57" spans="3:152">
      <c r="C57" s="47"/>
      <c r="D57" s="48" t="s">
        <v>48</v>
      </c>
      <c r="E57" s="48" t="s">
        <v>457</v>
      </c>
      <c r="F57" s="48" t="s">
        <v>87</v>
      </c>
      <c r="G57" s="51">
        <f>SUMIFS(Assumptions!BD$105:BD$128,Assumptions!$BB$105:$BB$128,'non-road'!$F57,Assumptions!$BC$105:$BC$128,'non-road'!$D57)/SUMIF(Assumptions!$BB$105:$BB$128,'non-road'!$F57,Assumptions!BD$105:BD$128)</f>
        <v>0</v>
      </c>
      <c r="H57" s="51">
        <f>SUMIFS(Assumptions!BE$105:BE$128,Assumptions!$BB$105:$BB$128,'non-road'!$F57,Assumptions!$BC$105:$BC$128,'non-road'!$D57)/SUMIF(Assumptions!$BB$105:$BB$128,'non-road'!$F57,Assumptions!BE$105:BE$128)</f>
        <v>0</v>
      </c>
      <c r="I57" s="51">
        <f>SUMIFS(Assumptions!BF$105:BF$128,Assumptions!$BB$105:$BB$128,'non-road'!$F57,Assumptions!$BC$105:$BC$128,'non-road'!$D57)/SUMIF(Assumptions!$BB$105:$BB$128,'non-road'!$F57,Assumptions!BF$105:BF$128)</f>
        <v>0</v>
      </c>
      <c r="J57" s="51">
        <f>SUMIFS(Assumptions!BG$105:BG$128,Assumptions!$BB$105:$BB$128,'non-road'!$F57,Assumptions!$BC$105:$BC$128,'non-road'!$D57)/SUMIF(Assumptions!$BB$105:$BB$128,'non-road'!$F57,Assumptions!BG$105:BG$128)</f>
        <v>0</v>
      </c>
      <c r="K57" s="51">
        <f>SUMIFS(Assumptions!BH$105:BH$128,Assumptions!$BB$105:$BB$128,'non-road'!$F57,Assumptions!$BC$105:$BC$128,'non-road'!$D57)/SUMIF(Assumptions!$BB$105:$BB$128,'non-road'!$F57,Assumptions!BH$105:BH$128)</f>
        <v>0</v>
      </c>
      <c r="L57" s="51">
        <f>SUMIFS(Assumptions!BI$105:BI$128,Assumptions!$BB$105:$BB$128,'non-road'!$F57,Assumptions!$BC$105:$BC$128,'non-road'!$D57)/SUMIF(Assumptions!$BB$105:$BB$128,'non-road'!$F57,Assumptions!BI$105:BI$128)</f>
        <v>0</v>
      </c>
      <c r="M57" s="51">
        <f>SUMIFS(Assumptions!BJ$105:BJ$128,Assumptions!$BB$105:$BB$128,'non-road'!$F57,Assumptions!$BC$105:$BC$128,'non-road'!$D57)/SUMIF(Assumptions!$BB$105:$BB$128,'non-road'!$F57,Assumptions!BJ$105:BJ$128)</f>
        <v>0</v>
      </c>
      <c r="N57" s="51">
        <f>SUMIFS(Assumptions!BK$105:BK$128,Assumptions!$BB$105:$BB$128,'non-road'!$F57,Assumptions!$BC$105:$BC$128,'non-road'!$D57)/SUMIF(Assumptions!$BB$105:$BB$128,'non-road'!$F57,Assumptions!BK$105:BK$128)</f>
        <v>0</v>
      </c>
      <c r="O57" s="51">
        <f>SUMIFS(Assumptions!BL$105:BL$128,Assumptions!$BB$105:$BB$128,'non-road'!$F57,Assumptions!$BC$105:$BC$128,'non-road'!$D57)/SUMIF(Assumptions!$BB$105:$BB$128,'non-road'!$F57,Assumptions!BL$105:BL$128)</f>
        <v>0</v>
      </c>
      <c r="P57" s="51">
        <f>SUMIFS(Assumptions!BM$105:BM$128,Assumptions!$BB$105:$BB$128,'non-road'!$F57,Assumptions!$BC$105:$BC$128,'non-road'!$D57)/SUMIF(Assumptions!$BB$105:$BB$128,'non-road'!$F57,Assumptions!BM$105:BM$128)</f>
        <v>0</v>
      </c>
      <c r="Q57" s="51">
        <f>SUMIFS(Assumptions!BN$105:BN$128,Assumptions!$BB$105:$BB$128,'non-road'!$F57,Assumptions!$BC$105:$BC$128,'non-road'!$D57)/SUMIF(Assumptions!$BB$105:$BB$128,'non-road'!$F57,Assumptions!BN$105:BN$128)</f>
        <v>0</v>
      </c>
      <c r="R57" s="51">
        <f>SUMIFS(Assumptions!BO$105:BO$128,Assumptions!$BB$105:$BB$128,'non-road'!$F57,Assumptions!$BC$105:$BC$128,'non-road'!$D57)/SUMIF(Assumptions!$BB$105:$BB$128,'non-road'!$F57,Assumptions!BO$105:BO$128)</f>
        <v>0</v>
      </c>
      <c r="S57" s="51">
        <f>SUMIFS(Assumptions!BP$105:BP$128,Assumptions!$BB$105:$BB$128,'non-road'!$F57,Assumptions!$BC$105:$BC$128,'non-road'!$D57)/SUMIF(Assumptions!$BB$105:$BB$128,'non-road'!$F57,Assumptions!BP$105:BP$128)</f>
        <v>0</v>
      </c>
      <c r="T57" s="51">
        <f>SUMIFS(Assumptions!BQ$105:BQ$128,Assumptions!$BB$105:$BB$128,'non-road'!$F57,Assumptions!$BC$105:$BC$128,'non-road'!$D57)/SUMIF(Assumptions!$BB$105:$BB$128,'non-road'!$F57,Assumptions!BQ$105:BQ$128)</f>
        <v>0</v>
      </c>
      <c r="U57" s="51">
        <f>SUMIFS(Assumptions!BR$105:BR$128,Assumptions!$BB$105:$BB$128,'non-road'!$F57,Assumptions!$BC$105:$BC$128,'non-road'!$D57)/SUMIF(Assumptions!$BB$105:$BB$128,'non-road'!$F57,Assumptions!BR$105:BR$128)</f>
        <v>0</v>
      </c>
      <c r="V57" s="51">
        <f>SUMIFS(Assumptions!BS$105:BS$128,Assumptions!$BB$105:$BB$128,'non-road'!$F57,Assumptions!$BC$105:$BC$128,'non-road'!$D57)/SUMIF(Assumptions!$BB$105:$BB$128,'non-road'!$F57,Assumptions!BS$105:BS$128)</f>
        <v>0</v>
      </c>
      <c r="W57" s="51">
        <f>SUMIFS(Assumptions!BT$105:BT$128,Assumptions!$BB$105:$BB$128,'non-road'!$F57,Assumptions!$BC$105:$BC$128,'non-road'!$D57)/SUMIF(Assumptions!$BB$105:$BB$128,'non-road'!$F57,Assumptions!BT$105:BT$128)</f>
        <v>0</v>
      </c>
      <c r="X57" s="51">
        <f>SUMIFS(Assumptions!BU$105:BU$128,Assumptions!$BB$105:$BB$128,'non-road'!$F57,Assumptions!$BC$105:$BC$128,'non-road'!$D57)/SUMIF(Assumptions!$BB$105:$BB$128,'non-road'!$F57,Assumptions!BU$105:BU$128)</f>
        <v>0</v>
      </c>
      <c r="Y57" s="51">
        <f>SUMIFS(Assumptions!BV$105:BV$128,Assumptions!$BB$105:$BB$128,'non-road'!$F57,Assumptions!$BC$105:$BC$128,'non-road'!$D57)/SUMIF(Assumptions!$BB$105:$BB$128,'non-road'!$F57,Assumptions!BV$105:BV$128)</f>
        <v>0</v>
      </c>
      <c r="Z57" s="51">
        <f>SUMIFS(Assumptions!BW$105:BW$128,Assumptions!$BB$105:$BB$128,'non-road'!$F57,Assumptions!$BC$105:$BC$128,'non-road'!$D57)/SUMIF(Assumptions!$BB$105:$BB$128,'non-road'!$F57,Assumptions!BW$105:BW$128)</f>
        <v>0</v>
      </c>
      <c r="AA57" s="51" t="e">
        <f>SUMIFS(Assumptions!BX$105:BX$128,Assumptions!$BB$105:$BB$128,'non-road'!$F57,Assumptions!$BC$105:$BC$128,'non-road'!$D57)/SUMIF(Assumptions!$BB$105:$BB$128,'non-road'!$F57,Assumptions!BX$105:BX$128)</f>
        <v>#DIV/0!</v>
      </c>
      <c r="AB57" s="51">
        <f>SUMIFS(Assumptions!BY$105:BY$128,Assumptions!$BB$105:$BB$128,'non-road'!$F57,Assumptions!$BC$105:$BC$128,'non-road'!$D57)/SUMIF(Assumptions!$BB$105:$BB$128,'non-road'!$F57,Assumptions!BY$105:BY$128)</f>
        <v>0</v>
      </c>
      <c r="AC57" s="51">
        <f>SUMIFS(Assumptions!BZ$105:BZ$128,Assumptions!$BB$105:$BB$128,'non-road'!$F57,Assumptions!$BC$105:$BC$128,'non-road'!$D57)/SUMIF(Assumptions!$BB$105:$BB$128,'non-road'!$F57,Assumptions!BZ$105:BZ$128)</f>
        <v>0</v>
      </c>
      <c r="AD57" s="51">
        <f>SUMIFS(Assumptions!CA$105:CA$128,Assumptions!$BB$105:$BB$128,'non-road'!$F57,Assumptions!$BC$105:$BC$128,'non-road'!$D57)/SUMIF(Assumptions!$BB$105:$BB$128,'non-road'!$F57,Assumptions!CA$105:CA$128)</f>
        <v>0</v>
      </c>
      <c r="AE57" s="51">
        <f>SUMIFS(Assumptions!CB$105:CB$128,Assumptions!$BB$105:$BB$128,'non-road'!$F57,Assumptions!$BC$105:$BC$128,'non-road'!$D57)/SUMIF(Assumptions!$BB$105:$BB$128,'non-road'!$F57,Assumptions!CB$105:CB$128)</f>
        <v>0</v>
      </c>
      <c r="AF57" s="51">
        <f>SUMIFS(Assumptions!CC$105:CC$128,Assumptions!$BB$105:$BB$128,'non-road'!$F57,Assumptions!$BC$105:$BC$128,'non-road'!$D57)/SUMIF(Assumptions!$BB$105:$BB$128,'non-road'!$F57,Assumptions!CC$105:CC$128)</f>
        <v>0</v>
      </c>
      <c r="AG57" s="51" t="e">
        <f>SUMIFS(Assumptions!CD$105:CD$128,Assumptions!$BB$105:$BB$128,'non-road'!$F57,Assumptions!$BC$105:$BC$128,'non-road'!$D57)/SUMIF(Assumptions!$BB$105:$BB$128,'non-road'!$F57,Assumptions!CD$105:CD$128)</f>
        <v>#DIV/0!</v>
      </c>
      <c r="AH57" s="51">
        <f>SUMIFS(Assumptions!CE$105:CE$128,Assumptions!$BB$105:$BB$128,'non-road'!$F57,Assumptions!$BC$105:$BC$128,'non-road'!$D57)/SUMIF(Assumptions!$BB$105:$BB$128,'non-road'!$F57,Assumptions!CE$105:CE$128)</f>
        <v>0</v>
      </c>
      <c r="AI57" s="51">
        <f>SUMIFS(Assumptions!CF$105:CF$128,Assumptions!$BB$105:$BB$128,'non-road'!$F57,Assumptions!$BC$105:$BC$128,'non-road'!$D57)/SUMIF(Assumptions!$BB$105:$BB$128,'non-road'!$F57,Assumptions!CF$105:CF$128)</f>
        <v>0</v>
      </c>
      <c r="AJ57" s="51">
        <f>SUMIFS(Assumptions!CG$105:CG$128,Assumptions!$BB$105:$BB$128,'non-road'!$F57,Assumptions!$BC$105:$BC$128,'non-road'!$D57)/SUMIF(Assumptions!$BB$105:$BB$128,'non-road'!$F57,Assumptions!CG$105:CG$128)</f>
        <v>0</v>
      </c>
      <c r="AK57" s="51">
        <f>SUMIFS(Assumptions!CH$105:CH$128,Assumptions!$BB$105:$BB$128,'non-road'!$F57,Assumptions!$BC$105:$BC$128,'non-road'!$D57)/SUMIF(Assumptions!$BB$105:$BB$128,'non-road'!$F57,Assumptions!CH$105:CH$128)</f>
        <v>0</v>
      </c>
      <c r="AL57" s="51">
        <f>SUMIFS(Assumptions!CI$105:CI$128,Assumptions!$BB$105:$BB$128,'non-road'!$F57,Assumptions!$BC$105:$BC$128,'non-road'!$D57)/SUMIF(Assumptions!$BB$105:$BB$128,'non-road'!$F57,Assumptions!CI$105:CI$128)</f>
        <v>0</v>
      </c>
      <c r="AM57" s="51">
        <f>SUMIFS(Assumptions!CJ$105:CJ$128,Assumptions!$BB$105:$BB$128,'non-road'!$F57,Assumptions!$BC$105:$BC$128,'non-road'!$D57)/SUMIF(Assumptions!$BB$105:$BB$128,'non-road'!$F57,Assumptions!CJ$105:CJ$128)</f>
        <v>0</v>
      </c>
      <c r="AN57" s="51">
        <f>SUMIFS(Assumptions!CK$105:CK$128,Assumptions!$BB$105:$BB$128,'non-road'!$F57,Assumptions!$BC$105:$BC$128,'non-road'!$D57)/SUMIF(Assumptions!$BB$105:$BB$128,'non-road'!$F57,Assumptions!CK$105:CK$128)</f>
        <v>0</v>
      </c>
      <c r="AO57" s="51">
        <f>SUMIFS(Assumptions!CL$105:CL$128,Assumptions!$BB$105:$BB$128,'non-road'!$F57,Assumptions!$BC$105:$BC$128,'non-road'!$D57)/SUMIF(Assumptions!$BB$105:$BB$128,'non-road'!$F57,Assumptions!CL$105:CL$128)</f>
        <v>0</v>
      </c>
      <c r="AP57" s="51" t="e">
        <f>SUMIFS(Assumptions!CM$105:CM$128,Assumptions!$BB$105:$BB$128,'non-road'!$F57,Assumptions!$BC$105:$BC$128,'non-road'!$D57)/SUMIF(Assumptions!$BB$105:$BB$128,'non-road'!$F57,Assumptions!CM$105:CM$128)</f>
        <v>#DIV/0!</v>
      </c>
      <c r="AQ57" s="51" t="e">
        <f>SUMIFS(Assumptions!CN$105:CN$128,Assumptions!$BB$105:$BB$128,'non-road'!$F57,Assumptions!$BC$105:$BC$128,'non-road'!$D57)/SUMIF(Assumptions!$BB$105:$BB$128,'non-road'!$F57,Assumptions!CN$105:CN$128)</f>
        <v>#DIV/0!</v>
      </c>
      <c r="AR57" s="51" t="e">
        <f>SUMIFS(Assumptions!CO$105:CO$128,Assumptions!$BB$105:$BB$128,'non-road'!$F57,Assumptions!$BC$105:$BC$128,'non-road'!$D57)/SUMIF(Assumptions!$BB$105:$BB$128,'non-road'!$F57,Assumptions!CO$105:CO$128)</f>
        <v>#DIV/0!</v>
      </c>
      <c r="AS57" s="51" t="e">
        <f>SUMIFS(Assumptions!CP$105:CP$128,Assumptions!$BB$105:$BB$128,'non-road'!$F57,Assumptions!$BC$105:$BC$128,'non-road'!$D57)/SUMIF(Assumptions!$BB$105:$BB$128,'non-road'!$F57,Assumptions!CP$105:CP$128)</f>
        <v>#DIV/0!</v>
      </c>
      <c r="AT57" s="51" t="e">
        <f>SUMIFS(Assumptions!CQ$105:CQ$128,Assumptions!$BB$105:$BB$128,'non-road'!$F57,Assumptions!$BC$105:$BC$128,'non-road'!$D57)/SUMIF(Assumptions!$BB$105:$BB$128,'non-road'!$F57,Assumptions!CQ$105:CQ$128)</f>
        <v>#DIV/0!</v>
      </c>
      <c r="AU57" s="51" t="e">
        <f>SUMIFS(Assumptions!CR$105:CR$128,Assumptions!$BB$105:$BB$128,'non-road'!$F57,Assumptions!$BC$105:$BC$128,'non-road'!$D57)/SUMIF(Assumptions!$BB$105:$BB$128,'non-road'!$F57,Assumptions!CR$105:CR$128)</f>
        <v>#DIV/0!</v>
      </c>
      <c r="AV57" s="51" t="e">
        <f>SUMIFS(Assumptions!CS$105:CS$128,Assumptions!$BB$105:$BB$128,'non-road'!$F57,Assumptions!$BC$105:$BC$128,'non-road'!$D57)/SUMIF(Assumptions!$BB$105:$BB$128,'non-road'!$F57,Assumptions!CS$105:CS$128)</f>
        <v>#DIV/0!</v>
      </c>
      <c r="AW57" s="51" t="e">
        <f>SUMIFS(Assumptions!CT$105:CT$128,Assumptions!$BB$105:$BB$128,'non-road'!$F57,Assumptions!$BC$105:$BC$128,'non-road'!$D57)/SUMIF(Assumptions!$BB$105:$BB$128,'non-road'!$F57,Assumptions!CT$105:CT$128)</f>
        <v>#DIV/0!</v>
      </c>
      <c r="AX57" s="51" t="e">
        <f>SUMIFS(Assumptions!CU$105:CU$128,Assumptions!$BB$105:$BB$128,'non-road'!$F57,Assumptions!$BC$105:$BC$128,'non-road'!$D57)/SUMIF(Assumptions!$BB$105:$BB$128,'non-road'!$F57,Assumptions!CU$105:CU$128)</f>
        <v>#DIV/0!</v>
      </c>
      <c r="AY57" s="51" t="e">
        <f>SUMIFS(Assumptions!CV$105:CV$128,Assumptions!$BB$105:$BB$128,'non-road'!$F57,Assumptions!$BC$105:$BC$128,'non-road'!$D57)/SUMIF(Assumptions!$BB$105:$BB$128,'non-road'!$F57,Assumptions!CV$105:CV$128)</f>
        <v>#DIV/0!</v>
      </c>
      <c r="AZ57" s="51" t="e">
        <f>SUMIFS(Assumptions!CW$105:CW$128,Assumptions!$BB$105:$BB$128,'non-road'!$F57,Assumptions!$BC$105:$BC$128,'non-road'!$D57)/SUMIF(Assumptions!$BB$105:$BB$128,'non-road'!$F57,Assumptions!CW$105:CW$128)</f>
        <v>#DIV/0!</v>
      </c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</row>
    <row r="58" spans="3:152"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</row>
    <row r="59" spans="3:152"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</row>
    <row r="60" spans="3:152"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</row>
    <row r="61" spans="3:152">
      <c r="C61" s="47" t="str">
        <f>C35</f>
        <v>TWI_Generic</v>
      </c>
      <c r="D61" s="48" t="s">
        <v>44</v>
      </c>
      <c r="E61" s="48" t="s">
        <v>457</v>
      </c>
      <c r="F61" s="48" t="s">
        <v>88</v>
      </c>
      <c r="G61" s="51">
        <f>SUMIFS(Assumptions!BD$105:BD$128,Assumptions!$BB$105:$BB$128,'non-road'!$F61,Assumptions!$BC$105:$BC$128,'non-road'!$D61)/SUMIF(Assumptions!$BB$105:$BB$128,'non-road'!$F61,Assumptions!BD$105:BD$128)</f>
        <v>0</v>
      </c>
      <c r="H61" s="51">
        <f>SUMIFS(Assumptions!BE$105:BE$128,Assumptions!$BB$105:$BB$128,'non-road'!$F61,Assumptions!$BC$105:$BC$128,'non-road'!$D61)/SUMIF(Assumptions!$BB$105:$BB$128,'non-road'!$F61,Assumptions!BE$105:BE$128)</f>
        <v>0</v>
      </c>
      <c r="I61" s="51">
        <f>SUMIFS(Assumptions!BF$105:BF$128,Assumptions!$BB$105:$BB$128,'non-road'!$F61,Assumptions!$BC$105:$BC$128,'non-road'!$D61)/SUMIF(Assumptions!$BB$105:$BB$128,'non-road'!$F61,Assumptions!BF$105:BF$128)</f>
        <v>0</v>
      </c>
      <c r="J61" s="51">
        <f>SUMIFS(Assumptions!BG$105:BG$128,Assumptions!$BB$105:$BB$128,'non-road'!$F61,Assumptions!$BC$105:$BC$128,'non-road'!$D61)/SUMIF(Assumptions!$BB$105:$BB$128,'non-road'!$F61,Assumptions!BG$105:BG$128)</f>
        <v>0</v>
      </c>
      <c r="K61" s="51">
        <f>SUMIFS(Assumptions!BH$105:BH$128,Assumptions!$BB$105:$BB$128,'non-road'!$F61,Assumptions!$BC$105:$BC$128,'non-road'!$D61)/SUMIF(Assumptions!$BB$105:$BB$128,'non-road'!$F61,Assumptions!BH$105:BH$128)</f>
        <v>0</v>
      </c>
      <c r="L61" s="51">
        <f>SUMIFS(Assumptions!BI$105:BI$128,Assumptions!$BB$105:$BB$128,'non-road'!$F61,Assumptions!$BC$105:$BC$128,'non-road'!$D61)/SUMIF(Assumptions!$BB$105:$BB$128,'non-road'!$F61,Assumptions!BI$105:BI$128)</f>
        <v>0.0024434422165488</v>
      </c>
      <c r="M61" s="51">
        <f>SUMIFS(Assumptions!BJ$105:BJ$128,Assumptions!$BB$105:$BB$128,'non-road'!$F61,Assumptions!$BC$105:$BC$128,'non-road'!$D61)/SUMIF(Assumptions!$BB$105:$BB$128,'non-road'!$F61,Assumptions!BJ$105:BJ$128)</f>
        <v>0</v>
      </c>
      <c r="N61" s="51">
        <f>SUMIFS(Assumptions!BK$105:BK$128,Assumptions!$BB$105:$BB$128,'non-road'!$F61,Assumptions!$BC$105:$BC$128,'non-road'!$D61)/SUMIF(Assumptions!$BB$105:$BB$128,'non-road'!$F61,Assumptions!BK$105:BK$128)</f>
        <v>0</v>
      </c>
      <c r="O61" s="51">
        <f>SUMIFS(Assumptions!BL$105:BL$128,Assumptions!$BB$105:$BB$128,'non-road'!$F61,Assumptions!$BC$105:$BC$128,'non-road'!$D61)/SUMIF(Assumptions!$BB$105:$BB$128,'non-road'!$F61,Assumptions!BL$105:BL$128)</f>
        <v>0</v>
      </c>
      <c r="P61" s="51" t="e">
        <f>SUMIFS(Assumptions!BM$105:BM$128,Assumptions!$BB$105:$BB$128,'non-road'!$F61,Assumptions!$BC$105:$BC$128,'non-road'!$D61)/SUMIF(Assumptions!$BB$105:$BB$128,'non-road'!$F61,Assumptions!BM$105:BM$128)</f>
        <v>#DIV/0!</v>
      </c>
      <c r="Q61" s="51">
        <f>SUMIFS(Assumptions!BN$105:BN$128,Assumptions!$BB$105:$BB$128,'non-road'!$F61,Assumptions!$BC$105:$BC$128,'non-road'!$D61)/SUMIF(Assumptions!$BB$105:$BB$128,'non-road'!$F61,Assumptions!BN$105:BN$128)</f>
        <v>0</v>
      </c>
      <c r="R61" s="51">
        <f>SUMIFS(Assumptions!BO$105:BO$128,Assumptions!$BB$105:$BB$128,'non-road'!$F61,Assumptions!$BC$105:$BC$128,'non-road'!$D61)/SUMIF(Assumptions!$BB$105:$BB$128,'non-road'!$F61,Assumptions!BO$105:BO$128)</f>
        <v>0</v>
      </c>
      <c r="S61" s="51">
        <f>SUMIFS(Assumptions!BP$105:BP$128,Assumptions!$BB$105:$BB$128,'non-road'!$F61,Assumptions!$BC$105:$BC$128,'non-road'!$D61)/SUMIF(Assumptions!$BB$105:$BB$128,'non-road'!$F61,Assumptions!BP$105:BP$128)</f>
        <v>1.31949996744161e-5</v>
      </c>
      <c r="T61" s="51">
        <f>SUMIFS(Assumptions!BQ$105:BQ$128,Assumptions!$BB$105:$BB$128,'non-road'!$F61,Assumptions!$BC$105:$BC$128,'non-road'!$D61)/SUMIF(Assumptions!$BB$105:$BB$128,'non-road'!$F61,Assumptions!BQ$105:BQ$128)</f>
        <v>0</v>
      </c>
      <c r="U61" s="51">
        <f>SUMIFS(Assumptions!BR$105:BR$128,Assumptions!$BB$105:$BB$128,'non-road'!$F61,Assumptions!$BC$105:$BC$128,'non-road'!$D61)/SUMIF(Assumptions!$BB$105:$BB$128,'non-road'!$F61,Assumptions!BR$105:BR$128)</f>
        <v>0</v>
      </c>
      <c r="V61" s="51">
        <f>SUMIFS(Assumptions!BS$105:BS$128,Assumptions!$BB$105:$BB$128,'non-road'!$F61,Assumptions!$BC$105:$BC$128,'non-road'!$D61)/SUMIF(Assumptions!$BB$105:$BB$128,'non-road'!$F61,Assumptions!BS$105:BS$128)</f>
        <v>0</v>
      </c>
      <c r="W61" s="51">
        <f>SUMIFS(Assumptions!BT$105:BT$128,Assumptions!$BB$105:$BB$128,'non-road'!$F61,Assumptions!$BC$105:$BC$128,'non-road'!$D61)/SUMIF(Assumptions!$BB$105:$BB$128,'non-road'!$F61,Assumptions!BT$105:BT$128)</f>
        <v>0</v>
      </c>
      <c r="X61" s="51">
        <f>SUMIFS(Assumptions!BU$105:BU$128,Assumptions!$BB$105:$BB$128,'non-road'!$F61,Assumptions!$BC$105:$BC$128,'non-road'!$D61)/SUMIF(Assumptions!$BB$105:$BB$128,'non-road'!$F61,Assumptions!BU$105:BU$128)</f>
        <v>0</v>
      </c>
      <c r="Y61" s="51">
        <f>SUMIFS(Assumptions!BV$105:BV$128,Assumptions!$BB$105:$BB$128,'non-road'!$F61,Assumptions!$BC$105:$BC$128,'non-road'!$D61)/SUMIF(Assumptions!$BB$105:$BB$128,'non-road'!$F61,Assumptions!BV$105:BV$128)</f>
        <v>0</v>
      </c>
      <c r="Z61" s="51">
        <f>SUMIFS(Assumptions!BW$105:BW$128,Assumptions!$BB$105:$BB$128,'non-road'!$F61,Assumptions!$BC$105:$BC$128,'non-road'!$D61)/SUMIF(Assumptions!$BB$105:$BB$128,'non-road'!$F61,Assumptions!BW$105:BW$128)</f>
        <v>0</v>
      </c>
      <c r="AA61" s="51">
        <f>SUMIFS(Assumptions!BX$105:BX$128,Assumptions!$BB$105:$BB$128,'non-road'!$F61,Assumptions!$BC$105:$BC$128,'non-road'!$D61)/SUMIF(Assumptions!$BB$105:$BB$128,'non-road'!$F61,Assumptions!BX$105:BX$128)</f>
        <v>0</v>
      </c>
      <c r="AB61" s="51">
        <f>SUMIFS(Assumptions!BY$105:BY$128,Assumptions!$BB$105:$BB$128,'non-road'!$F61,Assumptions!$BC$105:$BC$128,'non-road'!$D61)/SUMIF(Assumptions!$BB$105:$BB$128,'non-road'!$F61,Assumptions!BY$105:BY$128)</f>
        <v>0.0084412314120072</v>
      </c>
      <c r="AC61" s="51">
        <f>SUMIFS(Assumptions!BZ$105:BZ$128,Assumptions!$BB$105:$BB$128,'non-road'!$F61,Assumptions!$BC$105:$BC$128,'non-road'!$D61)/SUMIF(Assumptions!$BB$105:$BB$128,'non-road'!$F61,Assumptions!BZ$105:BZ$128)</f>
        <v>0</v>
      </c>
      <c r="AD61" s="51">
        <f>SUMIFS(Assumptions!CA$105:CA$128,Assumptions!$BB$105:$BB$128,'non-road'!$F61,Assumptions!$BC$105:$BC$128,'non-road'!$D61)/SUMIF(Assumptions!$BB$105:$BB$128,'non-road'!$F61,Assumptions!CA$105:CA$128)</f>
        <v>0</v>
      </c>
      <c r="AE61" s="51">
        <f>SUMIFS(Assumptions!CB$105:CB$128,Assumptions!$BB$105:$BB$128,'non-road'!$F61,Assumptions!$BC$105:$BC$128,'non-road'!$D61)/SUMIF(Assumptions!$BB$105:$BB$128,'non-road'!$F61,Assumptions!CB$105:CB$128)</f>
        <v>0</v>
      </c>
      <c r="AF61" s="51">
        <f>SUMIFS(Assumptions!CC$105:CC$128,Assumptions!$BB$105:$BB$128,'non-road'!$F61,Assumptions!$BC$105:$BC$128,'non-road'!$D61)/SUMIF(Assumptions!$BB$105:$BB$128,'non-road'!$F61,Assumptions!CC$105:CC$128)</f>
        <v>0</v>
      </c>
      <c r="AG61" s="51">
        <f>SUMIFS(Assumptions!CD$105:CD$128,Assumptions!$BB$105:$BB$128,'non-road'!$F61,Assumptions!$BC$105:$BC$128,'non-road'!$D61)/SUMIF(Assumptions!$BB$105:$BB$128,'non-road'!$F61,Assumptions!CD$105:CD$128)</f>
        <v>0</v>
      </c>
      <c r="AH61" s="51">
        <f>SUMIFS(Assumptions!CE$105:CE$128,Assumptions!$BB$105:$BB$128,'non-road'!$F61,Assumptions!$BC$105:$BC$128,'non-road'!$D61)/SUMIF(Assumptions!$BB$105:$BB$128,'non-road'!$F61,Assumptions!CE$105:CE$128)</f>
        <v>0</v>
      </c>
      <c r="AI61" s="51">
        <f>SUMIFS(Assumptions!CF$105:CF$128,Assumptions!$BB$105:$BB$128,'non-road'!$F61,Assumptions!$BC$105:$BC$128,'non-road'!$D61)/SUMIF(Assumptions!$BB$105:$BB$128,'non-road'!$F61,Assumptions!CF$105:CF$128)</f>
        <v>0</v>
      </c>
      <c r="AJ61" s="51">
        <f>SUMIFS(Assumptions!CG$105:CG$128,Assumptions!$BB$105:$BB$128,'non-road'!$F61,Assumptions!$BC$105:$BC$128,'non-road'!$D61)/SUMIF(Assumptions!$BB$105:$BB$128,'non-road'!$F61,Assumptions!CG$105:CG$128)</f>
        <v>0</v>
      </c>
      <c r="AK61" s="51">
        <f>SUMIFS(Assumptions!CH$105:CH$128,Assumptions!$BB$105:$BB$128,'non-road'!$F61,Assumptions!$BC$105:$BC$128,'non-road'!$D61)/SUMIF(Assumptions!$BB$105:$BB$128,'non-road'!$F61,Assumptions!CH$105:CH$128)</f>
        <v>0</v>
      </c>
      <c r="AL61" s="51">
        <f>SUMIFS(Assumptions!CI$105:CI$128,Assumptions!$BB$105:$BB$128,'non-road'!$F61,Assumptions!$BC$105:$BC$128,'non-road'!$D61)/SUMIF(Assumptions!$BB$105:$BB$128,'non-road'!$F61,Assumptions!CI$105:CI$128)</f>
        <v>0</v>
      </c>
      <c r="AM61" s="51">
        <f>SUMIFS(Assumptions!CJ$105:CJ$128,Assumptions!$BB$105:$BB$128,'non-road'!$F61,Assumptions!$BC$105:$BC$128,'non-road'!$D61)/SUMIF(Assumptions!$BB$105:$BB$128,'non-road'!$F61,Assumptions!CJ$105:CJ$128)</f>
        <v>0</v>
      </c>
      <c r="AN61" s="51" t="e">
        <f>SUMIFS(Assumptions!CK$105:CK$128,Assumptions!$BB$105:$BB$128,'non-road'!$F61,Assumptions!$BC$105:$BC$128,'non-road'!$D61)/SUMIF(Assumptions!$BB$105:$BB$128,'non-road'!$F61,Assumptions!CK$105:CK$128)</f>
        <v>#DIV/0!</v>
      </c>
      <c r="AO61" s="51">
        <f>SUMIFS(Assumptions!CL$105:CL$128,Assumptions!$BB$105:$BB$128,'non-road'!$F61,Assumptions!$BC$105:$BC$128,'non-road'!$D61)/SUMIF(Assumptions!$BB$105:$BB$128,'non-road'!$F61,Assumptions!CL$105:CL$128)</f>
        <v>0</v>
      </c>
      <c r="AP61" s="51" t="e">
        <f>SUMIFS(Assumptions!CM$105:CM$128,Assumptions!$BB$105:$BB$128,'non-road'!$F61,Assumptions!$BC$105:$BC$128,'non-road'!$D61)/SUMIF(Assumptions!$BB$105:$BB$128,'non-road'!$F61,Assumptions!CM$105:CM$128)</f>
        <v>#DIV/0!</v>
      </c>
      <c r="AQ61" s="51" t="e">
        <f>SUMIFS(Assumptions!CN$105:CN$128,Assumptions!$BB$105:$BB$128,'non-road'!$F61,Assumptions!$BC$105:$BC$128,'non-road'!$D61)/SUMIF(Assumptions!$BB$105:$BB$128,'non-road'!$F61,Assumptions!CN$105:CN$128)</f>
        <v>#DIV/0!</v>
      </c>
      <c r="AR61" s="51" t="e">
        <f>SUMIFS(Assumptions!CO$105:CO$128,Assumptions!$BB$105:$BB$128,'non-road'!$F61,Assumptions!$BC$105:$BC$128,'non-road'!$D61)/SUMIF(Assumptions!$BB$105:$BB$128,'non-road'!$F61,Assumptions!CO$105:CO$128)</f>
        <v>#DIV/0!</v>
      </c>
      <c r="AS61" s="51" t="e">
        <f>SUMIFS(Assumptions!CP$105:CP$128,Assumptions!$BB$105:$BB$128,'non-road'!$F61,Assumptions!$BC$105:$BC$128,'non-road'!$D61)/SUMIF(Assumptions!$BB$105:$BB$128,'non-road'!$F61,Assumptions!CP$105:CP$128)</f>
        <v>#DIV/0!</v>
      </c>
      <c r="AT61" s="51" t="e">
        <f>SUMIFS(Assumptions!CQ$105:CQ$128,Assumptions!$BB$105:$BB$128,'non-road'!$F61,Assumptions!$BC$105:$BC$128,'non-road'!$D61)/SUMIF(Assumptions!$BB$105:$BB$128,'non-road'!$F61,Assumptions!CQ$105:CQ$128)</f>
        <v>#DIV/0!</v>
      </c>
      <c r="AU61" s="51" t="e">
        <f>SUMIFS(Assumptions!CR$105:CR$128,Assumptions!$BB$105:$BB$128,'non-road'!$F61,Assumptions!$BC$105:$BC$128,'non-road'!$D61)/SUMIF(Assumptions!$BB$105:$BB$128,'non-road'!$F61,Assumptions!CR$105:CR$128)</f>
        <v>#DIV/0!</v>
      </c>
      <c r="AV61" s="51" t="e">
        <f>SUMIFS(Assumptions!CS$105:CS$128,Assumptions!$BB$105:$BB$128,'non-road'!$F61,Assumptions!$BC$105:$BC$128,'non-road'!$D61)/SUMIF(Assumptions!$BB$105:$BB$128,'non-road'!$F61,Assumptions!CS$105:CS$128)</f>
        <v>#DIV/0!</v>
      </c>
      <c r="AW61" s="51" t="e">
        <f>SUMIFS(Assumptions!CT$105:CT$128,Assumptions!$BB$105:$BB$128,'non-road'!$F61,Assumptions!$BC$105:$BC$128,'non-road'!$D61)/SUMIF(Assumptions!$BB$105:$BB$128,'non-road'!$F61,Assumptions!CT$105:CT$128)</f>
        <v>#DIV/0!</v>
      </c>
      <c r="AX61" s="51" t="e">
        <f>SUMIFS(Assumptions!CU$105:CU$128,Assumptions!$BB$105:$BB$128,'non-road'!$F61,Assumptions!$BC$105:$BC$128,'non-road'!$D61)/SUMIF(Assumptions!$BB$105:$BB$128,'non-road'!$F61,Assumptions!CU$105:CU$128)</f>
        <v>#DIV/0!</v>
      </c>
      <c r="AY61" s="51" t="e">
        <f>SUMIFS(Assumptions!CV$105:CV$128,Assumptions!$BB$105:$BB$128,'non-road'!$F61,Assumptions!$BC$105:$BC$128,'non-road'!$D61)/SUMIF(Assumptions!$BB$105:$BB$128,'non-road'!$F61,Assumptions!CV$105:CV$128)</f>
        <v>#DIV/0!</v>
      </c>
      <c r="AZ61" s="51" t="e">
        <f>SUMIFS(Assumptions!CW$105:CW$128,Assumptions!$BB$105:$BB$128,'non-road'!$F61,Assumptions!$BC$105:$BC$128,'non-road'!$D61)/SUMIF(Assumptions!$BB$105:$BB$128,'non-road'!$F61,Assumptions!CW$105:CW$128)</f>
        <v>#DIV/0!</v>
      </c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</row>
    <row r="62" spans="3:152">
      <c r="CY62" s="39"/>
      <c r="EV62" s="39"/>
    </row>
    <row r="63" spans="3:152">
      <c r="CY63" s="39"/>
      <c r="EV63" s="39"/>
    </row>
    <row r="64" spans="3:152">
      <c r="CY64" s="39"/>
      <c r="EV64" s="39"/>
    </row>
    <row r="65" spans="103:152">
      <c r="CY65" s="39"/>
      <c r="EV65" s="39"/>
    </row>
    <row r="66" spans="103:152">
      <c r="CY66" s="39"/>
      <c r="EV66" s="39"/>
    </row>
    <row r="67" spans="103:152">
      <c r="CY67" s="39"/>
      <c r="EV67" s="39"/>
    </row>
    <row r="68" spans="103:152">
      <c r="CY68" s="39"/>
      <c r="EV68" s="39"/>
    </row>
    <row r="69" spans="103:152">
      <c r="CY69" s="39"/>
      <c r="EV69" s="39"/>
    </row>
    <row r="70" spans="103:152">
      <c r="CY70" s="39"/>
      <c r="EV70" s="39"/>
    </row>
    <row r="71" spans="103:152">
      <c r="CY71" s="39"/>
      <c r="EV71" s="39"/>
    </row>
    <row r="72" spans="103:152">
      <c r="CY72" s="39"/>
      <c r="EV72" s="39"/>
    </row>
    <row r="73" spans="103:152">
      <c r="CY73" s="39"/>
      <c r="EV73" s="39"/>
    </row>
    <row r="74" spans="103:152">
      <c r="CY74" s="39"/>
      <c r="EV74" s="39"/>
    </row>
    <row r="75" spans="103:152">
      <c r="CY75" s="39"/>
      <c r="EV75" s="39"/>
    </row>
    <row r="76" spans="103:152">
      <c r="CY76" s="39"/>
      <c r="EV76" s="39"/>
    </row>
    <row r="77" spans="103:152">
      <c r="CY77" s="39"/>
      <c r="EV77" s="39"/>
    </row>
  </sheetData>
  <sortState ref="DA3:DA61">
    <sortCondition ref="DA3:DA61"/>
  </sortState>
  <conditionalFormatting sqref="DB13:EU1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B14:EU1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B15:EU1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B16:EU1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B17:EU1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B12:EU1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65"/>
  <sheetViews>
    <sheetView zoomScale="68" zoomScaleNormal="68" workbookViewId="0">
      <selection activeCell="J26" sqref="J26"/>
    </sheetView>
  </sheetViews>
  <sheetFormatPr defaultColWidth="8.72727272727273" defaultRowHeight="12.5"/>
  <cols>
    <col min="1" max="1" width="4.6" style="8" customWidth="1"/>
    <col min="2" max="2" width="5.72727272727273" style="8" customWidth="1"/>
    <col min="3" max="3" width="18.4" style="8" customWidth="1"/>
    <col min="4" max="4" width="15.7272727272727" style="8" customWidth="1"/>
    <col min="5" max="5" width="17" style="8" customWidth="1"/>
    <col min="6" max="6" width="12.4" style="8" customWidth="1"/>
    <col min="7" max="7" width="16.2636363636364" style="8" customWidth="1"/>
    <col min="8" max="16384" width="8.72727272727273" style="8"/>
  </cols>
  <sheetData>
    <row r="1" ht="13.25"/>
    <row r="2" ht="39" customHeight="1" spans="2:8">
      <c r="C2" s="9" t="s">
        <v>458</v>
      </c>
      <c r="D2" s="10"/>
      <c r="E2" s="11"/>
    </row>
    <row r="3" spans="2:8">
      <c r="C3" s="12" t="s">
        <v>459</v>
      </c>
      <c r="D3" s="13" t="s">
        <v>460</v>
      </c>
      <c r="E3" s="14" t="s">
        <v>461</v>
      </c>
    </row>
    <row r="4" spans="2:8">
      <c r="C4" s="15" t="s">
        <v>462</v>
      </c>
      <c r="D4" s="16">
        <v>62751</v>
      </c>
      <c r="E4" s="17" t="s">
        <v>463</v>
      </c>
      <c r="F4" s="18">
        <f>D4*1.6/1000</f>
        <v>100.4016</v>
      </c>
    </row>
    <row r="5" spans="2:8">
      <c r="C5" s="15" t="s">
        <v>464</v>
      </c>
      <c r="D5" s="19">
        <v>43647</v>
      </c>
      <c r="E5" s="17" t="s">
        <v>465</v>
      </c>
      <c r="F5" s="18">
        <f t="shared" ref="F5:F12" si="0">D5*1.6/1000</f>
        <v>69.8352</v>
      </c>
    </row>
    <row r="6" spans="2:8">
      <c r="C6" s="15" t="s">
        <v>466</v>
      </c>
      <c r="D6" s="20">
        <v>29429</v>
      </c>
      <c r="E6" s="17" t="s">
        <v>465</v>
      </c>
      <c r="F6" s="18">
        <f t="shared" si="0"/>
        <v>47.0864</v>
      </c>
    </row>
    <row r="7" spans="2:8">
      <c r="C7" s="15" t="s">
        <v>467</v>
      </c>
      <c r="D7" s="20">
        <v>25000</v>
      </c>
      <c r="E7" s="17" t="s">
        <v>468</v>
      </c>
      <c r="F7" s="18">
        <f t="shared" si="0"/>
        <v>40</v>
      </c>
      <c r="H7" s="21"/>
    </row>
    <row r="8" spans="2:8">
      <c r="C8" s="15" t="s">
        <v>469</v>
      </c>
      <c r="D8" s="16">
        <v>12435</v>
      </c>
      <c r="E8" s="17" t="s">
        <v>463</v>
      </c>
      <c r="F8" s="18">
        <f t="shared" si="0"/>
        <v>19.896</v>
      </c>
    </row>
    <row r="9" spans="2:8">
      <c r="C9" s="15" t="s">
        <v>470</v>
      </c>
      <c r="D9" s="20">
        <v>12000</v>
      </c>
      <c r="E9" s="17" t="s">
        <v>471</v>
      </c>
      <c r="F9" s="18">
        <f t="shared" si="0"/>
        <v>19.2</v>
      </c>
    </row>
    <row r="10" spans="2:8">
      <c r="C10" s="15" t="s">
        <v>472</v>
      </c>
      <c r="D10" s="16">
        <v>11543</v>
      </c>
      <c r="E10" s="17" t="s">
        <v>463</v>
      </c>
      <c r="F10" s="18">
        <f t="shared" si="0"/>
        <v>18.4688</v>
      </c>
    </row>
    <row r="11" spans="2:8">
      <c r="C11" s="15" t="s">
        <v>473</v>
      </c>
      <c r="D11" s="16">
        <v>11467</v>
      </c>
      <c r="E11" s="17" t="s">
        <v>463</v>
      </c>
      <c r="F11" s="18">
        <f t="shared" si="0"/>
        <v>18.3472</v>
      </c>
    </row>
    <row r="12" ht="13.25" spans="2:8">
      <c r="C12" s="22" t="s">
        <v>474</v>
      </c>
      <c r="D12" s="23">
        <v>2312</v>
      </c>
      <c r="E12" s="24" t="s">
        <v>463</v>
      </c>
      <c r="F12" s="18">
        <f t="shared" si="0"/>
        <v>3.6992</v>
      </c>
    </row>
    <row r="13" spans="2:8">
      <c r="D13" s="25"/>
    </row>
    <row r="14" spans="2:8">
      <c r="C14" s="21"/>
    </row>
    <row r="15" ht="13" spans="2:8">
      <c r="B15" s="26" t="s">
        <v>475</v>
      </c>
      <c r="C15" s="26"/>
    </row>
    <row r="16" ht="30" customHeight="1" spans="2:8">
      <c r="B16" s="27" t="s">
        <v>463</v>
      </c>
      <c r="C16" s="28" t="s">
        <v>476</v>
      </c>
      <c r="D16" s="28"/>
      <c r="E16" s="28"/>
      <c r="F16" s="28"/>
      <c r="G16" s="28"/>
    </row>
    <row r="17" ht="42" customHeight="1" spans="2:11">
      <c r="B17" s="27" t="s">
        <v>465</v>
      </c>
      <c r="C17" s="28" t="s">
        <v>477</v>
      </c>
      <c r="D17" s="28"/>
      <c r="E17" s="28"/>
      <c r="F17" s="28"/>
      <c r="G17" s="28"/>
    </row>
    <row r="18" ht="30.4" customHeight="1" spans="2:11">
      <c r="B18" s="27" t="s">
        <v>468</v>
      </c>
      <c r="C18" s="28" t="s">
        <v>478</v>
      </c>
      <c r="D18" s="28"/>
      <c r="E18" s="28"/>
      <c r="F18" s="28"/>
      <c r="G18" s="28"/>
    </row>
    <row r="19" ht="27.6" customHeight="1" spans="2:11">
      <c r="B19" s="27" t="s">
        <v>471</v>
      </c>
      <c r="C19" s="28" t="s">
        <v>479</v>
      </c>
      <c r="D19" s="28"/>
      <c r="E19" s="28"/>
      <c r="F19" s="28"/>
      <c r="G19" s="28"/>
    </row>
    <row r="21" ht="13" spans="2:11">
      <c r="B21" s="29" t="s">
        <v>480</v>
      </c>
    </row>
    <row r="22" ht="43.5" customHeight="1" spans="2:11">
      <c r="B22" s="21" t="s">
        <v>481</v>
      </c>
      <c r="C22" s="21"/>
      <c r="D22" s="21"/>
      <c r="E22" s="21"/>
      <c r="F22" s="21"/>
      <c r="G22" s="21"/>
      <c r="H22" s="21"/>
    </row>
    <row r="23" ht="16.5" customHeight="1" spans="2:11">
      <c r="B23" s="21" t="s">
        <v>482</v>
      </c>
      <c r="C23" s="21"/>
      <c r="D23" s="21"/>
      <c r="E23" s="21"/>
      <c r="F23" s="21"/>
      <c r="G23" s="21"/>
      <c r="H23" s="21"/>
    </row>
    <row r="24" ht="16.5" customHeight="1" spans="2:11">
      <c r="B24" s="21" t="s">
        <v>483</v>
      </c>
      <c r="C24" s="21"/>
      <c r="D24" s="21"/>
      <c r="E24" s="21"/>
      <c r="F24" s="21"/>
      <c r="G24" s="21"/>
      <c r="H24" s="21"/>
      <c r="J24" s="30"/>
      <c r="K24" s="31"/>
    </row>
    <row r="25" ht="16.5" customHeight="1" spans="2:11">
      <c r="B25" s="21"/>
      <c r="C25" s="21"/>
      <c r="D25" s="21"/>
      <c r="E25" s="21"/>
      <c r="F25" s="21"/>
      <c r="G25" s="21"/>
      <c r="H25" s="21"/>
      <c r="J25" s="30"/>
      <c r="K25" s="31"/>
    </row>
    <row r="26" ht="16.5" customHeight="1" spans="2:11">
      <c r="B26" s="32" t="s">
        <v>484</v>
      </c>
      <c r="C26" s="32"/>
      <c r="D26" s="21"/>
      <c r="E26" s="21"/>
      <c r="F26" s="21"/>
      <c r="G26" s="21"/>
      <c r="H26" s="21"/>
      <c r="J26" s="30"/>
      <c r="K26" s="31"/>
    </row>
    <row r="27" ht="16.5" customHeight="1" spans="2:11">
      <c r="B27" s="33" t="s">
        <v>485</v>
      </c>
      <c r="C27" s="33"/>
      <c r="D27" s="21"/>
      <c r="E27" s="21"/>
      <c r="F27" s="21"/>
      <c r="G27" s="21"/>
      <c r="H27" s="21"/>
      <c r="J27" s="30"/>
      <c r="K27" s="31"/>
    </row>
    <row r="28" ht="16.5" customHeight="1"/>
    <row r="29" ht="15.75" customHeight="1" spans="2:11">
      <c r="B29" s="34" t="s">
        <v>486</v>
      </c>
      <c r="C29" s="34"/>
      <c r="D29" s="34"/>
      <c r="E29" s="34"/>
      <c r="F29" s="34"/>
      <c r="G29" s="34"/>
      <c r="H29" s="35"/>
    </row>
    <row r="30" spans="2:11">
      <c r="B30" s="35" t="s">
        <v>487</v>
      </c>
      <c r="C30" s="35"/>
      <c r="D30" s="35"/>
      <c r="E30" s="35"/>
      <c r="F30" s="35"/>
      <c r="G30" s="35"/>
      <c r="H30" s="35"/>
    </row>
    <row r="36" spans="10:10">
      <c r="J36" s="36"/>
    </row>
    <row r="58" ht="15" spans="3:3">
      <c r="C58" s="37"/>
    </row>
    <row r="61" ht="15.5" spans="3:3">
      <c r="C61" s="38"/>
    </row>
    <row r="62" ht="15" spans="3:3">
      <c r="C62" s="37"/>
    </row>
    <row r="63" ht="15.5" spans="3:3">
      <c r="C63" s="38"/>
    </row>
    <row r="64" ht="15" spans="3:3">
      <c r="C64" s="37"/>
    </row>
    <row r="65" ht="15.5" spans="3:3">
      <c r="C65" s="38"/>
    </row>
  </sheetData>
  <mergeCells count="12">
    <mergeCell ref="C2:E2"/>
    <mergeCell ref="B15:C15"/>
    <mergeCell ref="C16:G16"/>
    <mergeCell ref="C17:G17"/>
    <mergeCell ref="C18:G18"/>
    <mergeCell ref="C19:G19"/>
    <mergeCell ref="B22:G22"/>
    <mergeCell ref="B23:G23"/>
    <mergeCell ref="B24:G24"/>
    <mergeCell ref="B26:C26"/>
    <mergeCell ref="B27:C27"/>
    <mergeCell ref="B30:G30"/>
  </mergeCells>
  <pageMargins left="0.7" right="0.7" top="0.75" bottom="0.75" header="0.3" footer="0.3"/>
  <pageSetup paperSize="1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B1:X56"/>
  <sheetViews>
    <sheetView zoomScale="89" zoomScaleNormal="89" topLeftCell="B1" workbookViewId="0">
      <selection activeCell="N26" sqref="N26"/>
    </sheetView>
  </sheetViews>
  <sheetFormatPr defaultColWidth="9" defaultRowHeight="14.5"/>
  <cols>
    <col min="1" max="1" width="8.72727272727273" customWidth="1"/>
    <col min="2" max="2" width="7.13636363636364" customWidth="1"/>
    <col min="3" max="3" width="12.2636363636364" customWidth="1"/>
    <col min="4" max="4" width="9.4" customWidth="1"/>
    <col min="5" max="5" width="16.4" customWidth="1"/>
    <col min="6" max="6" width="5" customWidth="1"/>
    <col min="7" max="7" width="4" customWidth="1"/>
    <col min="8" max="8" width="4.4" customWidth="1"/>
    <col min="9" max="9" width="11.2636363636364" customWidth="1"/>
    <col min="10" max="10" width="12.2636363636364" customWidth="1"/>
    <col min="11" max="11" width="27.1363636363636" customWidth="1"/>
    <col min="12" max="12" width="4.6" customWidth="1"/>
    <col min="13" max="13" width="5" customWidth="1"/>
    <col min="14" max="14" width="8.6" customWidth="1"/>
    <col min="15" max="22" width="4.4" customWidth="1"/>
    <col min="23" max="23" width="4.6" customWidth="1"/>
    <col min="24" max="24" width="32.2636363636364" customWidth="1"/>
    <col min="25" max="30" width="4.6" customWidth="1"/>
    <col min="31" max="31" width="5" customWidth="1"/>
    <col min="32" max="32" width="4.86363636363636" customWidth="1"/>
    <col min="33" max="33" width="5" customWidth="1"/>
    <col min="34" max="35" width="4.6" customWidth="1"/>
    <col min="36" max="36" width="5.13636363636364" customWidth="1"/>
    <col min="37" max="37" width="6.86363636363636" customWidth="1"/>
    <col min="38" max="51" width="5.13636363636364" customWidth="1"/>
    <col min="52" max="52" width="5.6" customWidth="1"/>
    <col min="53" max="53" width="8.13636363636364" customWidth="1"/>
    <col min="55" max="55" width="16.4" customWidth="1"/>
    <col min="56" max="76" width="6.6" customWidth="1"/>
    <col min="77" max="77" width="5.6" customWidth="1"/>
    <col min="78" max="78" width="6.6" customWidth="1"/>
    <col min="79" max="79" width="6.4" customWidth="1"/>
    <col min="80" max="83" width="6.6" customWidth="1"/>
    <col min="84" max="84" width="5.6" customWidth="1"/>
    <col min="85" max="85" width="7.6" customWidth="1"/>
    <col min="86" max="101" width="6.6" customWidth="1"/>
    <col min="105" max="132" width="6.6" customWidth="1"/>
    <col min="133" max="133" width="6" customWidth="1"/>
    <col min="134" max="134" width="7.6" customWidth="1"/>
    <col min="135" max="150" width="6.6" customWidth="1"/>
    <col min="153" max="153" width="18.6" customWidth="1"/>
    <col min="154" max="154" width="42.7272727272727" customWidth="1"/>
    <col min="155" max="155" width="5.86363636363636" customWidth="1"/>
    <col min="156" max="156" width="7.86363636363636" customWidth="1"/>
    <col min="157" max="157" width="5" customWidth="1"/>
    <col min="158" max="158" width="10.2636363636364" customWidth="1"/>
    <col min="159" max="159" width="7.86363636363636" customWidth="1"/>
  </cols>
  <sheetData>
    <row r="1" spans="2:24">
      <c r="X1" s="4" t="s">
        <v>488</v>
      </c>
    </row>
    <row r="2" spans="2:24">
      <c r="D2" s="1"/>
      <c r="E2" s="1" t="s">
        <v>489</v>
      </c>
      <c r="F2" s="1"/>
      <c r="G2" s="1"/>
      <c r="I2" t="s">
        <v>131</v>
      </c>
    </row>
    <row r="3" ht="15.25" spans="2:24">
      <c r="B3" s="2" t="s">
        <v>229</v>
      </c>
      <c r="C3" s="2" t="s">
        <v>490</v>
      </c>
      <c r="D3" s="2" t="s">
        <v>236</v>
      </c>
      <c r="E3" s="2" t="s">
        <v>237</v>
      </c>
      <c r="F3" s="5">
        <v>2019</v>
      </c>
      <c r="G3" s="2" t="s">
        <v>153</v>
      </c>
      <c r="I3" s="2" t="s">
        <v>138</v>
      </c>
      <c r="J3" s="2" t="s">
        <v>437</v>
      </c>
      <c r="K3" s="2" t="s">
        <v>491</v>
      </c>
      <c r="L3" s="2" t="s">
        <v>141</v>
      </c>
      <c r="M3" s="2" t="s">
        <v>142</v>
      </c>
      <c r="N3" s="2" t="s">
        <v>435</v>
      </c>
    </row>
    <row r="4" spans="2:24">
      <c r="C4" t="s">
        <v>492</v>
      </c>
      <c r="D4" t="s">
        <v>493</v>
      </c>
      <c r="E4" t="s">
        <v>44</v>
      </c>
      <c r="F4">
        <v>1</v>
      </c>
      <c r="G4">
        <v>1</v>
      </c>
      <c r="I4" t="s">
        <v>494</v>
      </c>
      <c r="J4" t="s">
        <v>492</v>
      </c>
      <c r="K4" t="s">
        <v>495</v>
      </c>
      <c r="L4" t="s">
        <v>85</v>
      </c>
      <c r="M4" t="s">
        <v>496</v>
      </c>
    </row>
    <row r="5" spans="2:24">
      <c r="C5" t="s">
        <v>497</v>
      </c>
      <c r="D5" t="s">
        <v>498</v>
      </c>
      <c r="E5" t="s">
        <v>48</v>
      </c>
      <c r="F5">
        <v>1</v>
      </c>
      <c r="G5">
        <v>1</v>
      </c>
      <c r="I5" t="s">
        <v>494</v>
      </c>
      <c r="J5" t="s">
        <v>497</v>
      </c>
      <c r="K5" t="s">
        <v>499</v>
      </c>
      <c r="L5" t="s">
        <v>85</v>
      </c>
      <c r="M5" t="s">
        <v>496</v>
      </c>
    </row>
    <row r="6" spans="2:24">
      <c r="C6" t="s">
        <v>500</v>
      </c>
      <c r="D6" t="s">
        <v>501</v>
      </c>
      <c r="E6" t="s">
        <v>502</v>
      </c>
      <c r="F6">
        <v>1</v>
      </c>
      <c r="G6">
        <v>1</v>
      </c>
      <c r="I6" t="s">
        <v>494</v>
      </c>
      <c r="J6" t="s">
        <v>500</v>
      </c>
      <c r="K6" t="s">
        <v>503</v>
      </c>
      <c r="L6" t="s">
        <v>85</v>
      </c>
      <c r="M6" t="s">
        <v>496</v>
      </c>
    </row>
    <row r="7" spans="2:24">
      <c r="C7" t="s">
        <v>504</v>
      </c>
      <c r="D7" t="s">
        <v>505</v>
      </c>
      <c r="E7" t="s">
        <v>56</v>
      </c>
      <c r="F7">
        <v>1</v>
      </c>
      <c r="G7">
        <v>1</v>
      </c>
      <c r="I7" t="s">
        <v>494</v>
      </c>
      <c r="J7" t="s">
        <v>504</v>
      </c>
      <c r="K7" t="s">
        <v>506</v>
      </c>
      <c r="L7" t="s">
        <v>85</v>
      </c>
      <c r="M7" t="s">
        <v>496</v>
      </c>
    </row>
    <row r="8" spans="2:24">
      <c r="C8" t="s">
        <v>507</v>
      </c>
      <c r="D8" t="s">
        <v>508</v>
      </c>
      <c r="E8" t="s">
        <v>60</v>
      </c>
      <c r="F8">
        <v>1</v>
      </c>
      <c r="G8">
        <v>1</v>
      </c>
      <c r="I8" t="s">
        <v>494</v>
      </c>
      <c r="J8" t="s">
        <v>507</v>
      </c>
      <c r="K8" t="s">
        <v>509</v>
      </c>
      <c r="L8" t="s">
        <v>85</v>
      </c>
      <c r="M8" t="s">
        <v>496</v>
      </c>
    </row>
    <row r="9" spans="2:24">
      <c r="C9" t="s">
        <v>510</v>
      </c>
      <c r="D9" t="s">
        <v>445</v>
      </c>
      <c r="E9" t="s">
        <v>64</v>
      </c>
      <c r="F9">
        <v>1</v>
      </c>
      <c r="G9">
        <v>1</v>
      </c>
      <c r="I9" t="s">
        <v>494</v>
      </c>
      <c r="J9" t="s">
        <v>510</v>
      </c>
      <c r="K9" t="s">
        <v>511</v>
      </c>
      <c r="L9" t="s">
        <v>85</v>
      </c>
      <c r="M9" t="s">
        <v>496</v>
      </c>
      <c r="R9" s="6" t="s">
        <v>512</v>
      </c>
    </row>
    <row r="10" spans="2:24">
      <c r="C10" t="s">
        <v>513</v>
      </c>
      <c r="D10" t="s">
        <v>514</v>
      </c>
      <c r="E10" t="s">
        <v>66</v>
      </c>
      <c r="F10">
        <v>1</v>
      </c>
      <c r="G10">
        <v>1</v>
      </c>
      <c r="I10" t="s">
        <v>494</v>
      </c>
      <c r="J10" t="s">
        <v>513</v>
      </c>
      <c r="K10" t="s">
        <v>515</v>
      </c>
      <c r="L10" t="s">
        <v>85</v>
      </c>
      <c r="M10" t="s">
        <v>496</v>
      </c>
    </row>
    <row r="11" spans="2:24">
      <c r="C11" t="s">
        <v>516</v>
      </c>
      <c r="D11" t="s">
        <v>517</v>
      </c>
      <c r="E11" t="s">
        <v>69</v>
      </c>
      <c r="F11">
        <v>1</v>
      </c>
      <c r="G11">
        <v>1</v>
      </c>
      <c r="I11" t="s">
        <v>494</v>
      </c>
      <c r="J11" t="s">
        <v>516</v>
      </c>
      <c r="K11" t="s">
        <v>518</v>
      </c>
      <c r="L11" t="s">
        <v>85</v>
      </c>
      <c r="M11" t="s">
        <v>496</v>
      </c>
    </row>
    <row r="12" spans="2:24">
      <c r="C12" t="s">
        <v>519</v>
      </c>
      <c r="D12" t="s">
        <v>520</v>
      </c>
      <c r="E12" t="s">
        <v>72</v>
      </c>
      <c r="F12">
        <v>1</v>
      </c>
      <c r="G12">
        <v>1</v>
      </c>
      <c r="I12" t="s">
        <v>494</v>
      </c>
      <c r="J12" t="s">
        <v>519</v>
      </c>
      <c r="K12" t="s">
        <v>521</v>
      </c>
      <c r="L12" t="s">
        <v>85</v>
      </c>
      <c r="M12" t="s">
        <v>496</v>
      </c>
    </row>
    <row r="13" spans="2:24">
      <c r="C13" t="s">
        <v>522</v>
      </c>
      <c r="D13" t="s">
        <v>523</v>
      </c>
      <c r="E13" t="s">
        <v>74</v>
      </c>
      <c r="F13">
        <v>1</v>
      </c>
      <c r="G13">
        <v>1</v>
      </c>
      <c r="I13" t="s">
        <v>494</v>
      </c>
      <c r="J13" t="s">
        <v>522</v>
      </c>
      <c r="K13" t="s">
        <v>524</v>
      </c>
      <c r="L13" t="s">
        <v>85</v>
      </c>
      <c r="M13" t="s">
        <v>496</v>
      </c>
    </row>
    <row r="14" spans="2:24">
      <c r="C14" t="s">
        <v>525</v>
      </c>
      <c r="D14" t="s">
        <v>526</v>
      </c>
      <c r="E14" t="s">
        <v>52</v>
      </c>
      <c r="F14">
        <v>1</v>
      </c>
      <c r="G14">
        <v>1</v>
      </c>
      <c r="I14" t="s">
        <v>494</v>
      </c>
      <c r="J14" t="s">
        <v>525</v>
      </c>
      <c r="K14" t="s">
        <v>527</v>
      </c>
      <c r="L14" t="s">
        <v>85</v>
      </c>
      <c r="M14" t="s">
        <v>496</v>
      </c>
      <c r="N14" t="s">
        <v>528</v>
      </c>
    </row>
    <row r="15" spans="2:24">
      <c r="C15" t="s">
        <v>39</v>
      </c>
      <c r="J15" t="s">
        <v>39</v>
      </c>
    </row>
    <row r="16" spans="2:24">
      <c r="C16" t="str">
        <f>J16</f>
        <v>TraSupply</v>
      </c>
      <c r="E16" t="s">
        <v>517</v>
      </c>
      <c r="F16">
        <v>15</v>
      </c>
      <c r="I16" t="s">
        <v>529</v>
      </c>
      <c r="J16" t="s">
        <v>530</v>
      </c>
      <c r="K16" t="s">
        <v>531</v>
      </c>
      <c r="L16" t="s">
        <v>85</v>
      </c>
      <c r="M16" t="s">
        <v>496</v>
      </c>
    </row>
    <row r="17" spans="5:10">
      <c r="E17" t="s">
        <v>508</v>
      </c>
      <c r="F17">
        <v>20</v>
      </c>
      <c r="J17" t="s">
        <v>39</v>
      </c>
    </row>
    <row r="18" spans="5:10">
      <c r="E18" t="s">
        <v>520</v>
      </c>
      <c r="F18">
        <v>20</v>
      </c>
      <c r="J18" t="s">
        <v>39</v>
      </c>
    </row>
    <row r="19" spans="5:10">
      <c r="E19" t="s">
        <v>523</v>
      </c>
      <c r="F19">
        <v>20</v>
      </c>
      <c r="J19" t="s">
        <v>39</v>
      </c>
    </row>
    <row r="20" spans="5:10">
      <c r="E20" t="s">
        <v>505</v>
      </c>
      <c r="F20">
        <v>2</v>
      </c>
      <c r="J20" t="s">
        <v>39</v>
      </c>
    </row>
    <row r="21" spans="5:10">
      <c r="E21" t="s">
        <v>498</v>
      </c>
      <c r="F21">
        <v>22</v>
      </c>
      <c r="J21" t="s">
        <v>39</v>
      </c>
    </row>
    <row r="22" spans="5:10">
      <c r="E22" t="s">
        <v>501</v>
      </c>
      <c r="F22">
        <v>4</v>
      </c>
      <c r="J22" t="s">
        <v>39</v>
      </c>
    </row>
    <row r="23" spans="5:10">
      <c r="E23" t="s">
        <v>493</v>
      </c>
      <c r="F23">
        <v>22</v>
      </c>
      <c r="J23" t="s">
        <v>39</v>
      </c>
    </row>
    <row r="24" spans="5:10">
      <c r="E24" t="s">
        <v>514</v>
      </c>
      <c r="F24">
        <v>20</v>
      </c>
      <c r="J24" t="s">
        <v>39</v>
      </c>
    </row>
    <row r="25" spans="5:10">
      <c r="E25" t="s">
        <v>526</v>
      </c>
      <c r="F25">
        <v>4</v>
      </c>
      <c r="J25" t="s">
        <v>39</v>
      </c>
    </row>
    <row r="26" spans="5:10">
      <c r="E26" t="s">
        <v>532</v>
      </c>
      <c r="F26">
        <v>1</v>
      </c>
      <c r="J26" t="s">
        <v>39</v>
      </c>
    </row>
    <row r="27" spans="5:10">
      <c r="E27" t="s">
        <v>533</v>
      </c>
      <c r="F27">
        <v>1</v>
      </c>
      <c r="J27" t="s">
        <v>39</v>
      </c>
    </row>
    <row r="28" spans="5:10">
      <c r="E28" t="s">
        <v>534</v>
      </c>
      <c r="F28">
        <v>1</v>
      </c>
      <c r="J28" t="s">
        <v>39</v>
      </c>
    </row>
    <row r="29" spans="5:10">
      <c r="E29" t="s">
        <v>535</v>
      </c>
      <c r="F29">
        <v>1</v>
      </c>
      <c r="J29" t="s">
        <v>39</v>
      </c>
    </row>
    <row r="30" spans="5:10">
      <c r="E30" t="s">
        <v>263</v>
      </c>
      <c r="F30">
        <v>12</v>
      </c>
      <c r="J30" t="s">
        <v>39</v>
      </c>
    </row>
    <row r="31" spans="5:10">
      <c r="E31" t="s">
        <v>536</v>
      </c>
      <c r="F31">
        <v>1</v>
      </c>
      <c r="J31" t="s">
        <v>39</v>
      </c>
    </row>
    <row r="32" spans="5:10">
      <c r="E32" t="s">
        <v>537</v>
      </c>
      <c r="F32">
        <v>1</v>
      </c>
      <c r="J32" t="s">
        <v>39</v>
      </c>
    </row>
    <row r="33" spans="3:14">
      <c r="E33" t="s">
        <v>538</v>
      </c>
      <c r="F33">
        <v>1</v>
      </c>
      <c r="J33" t="s">
        <v>39</v>
      </c>
    </row>
    <row r="34" spans="3:14">
      <c r="E34" t="s">
        <v>539</v>
      </c>
      <c r="F34">
        <v>1</v>
      </c>
      <c r="J34" t="s">
        <v>39</v>
      </c>
    </row>
    <row r="35" spans="3:14">
      <c r="C35" t="s">
        <v>39</v>
      </c>
      <c r="I35" t="s">
        <v>39</v>
      </c>
      <c r="J35" t="s">
        <v>39</v>
      </c>
    </row>
    <row r="36" spans="3:14">
      <c r="C36" t="str">
        <f>J36</f>
        <v>ElecDemand</v>
      </c>
      <c r="D36" t="s">
        <v>445</v>
      </c>
      <c r="E36" t="s">
        <v>540</v>
      </c>
      <c r="G36">
        <v>1</v>
      </c>
      <c r="I36" t="s">
        <v>541</v>
      </c>
      <c r="J36" t="s">
        <v>542</v>
      </c>
      <c r="K36" t="s">
        <v>543</v>
      </c>
      <c r="L36" t="s">
        <v>85</v>
      </c>
      <c r="M36" t="s">
        <v>496</v>
      </c>
      <c r="N36" s="7"/>
    </row>
    <row r="37" spans="3:14">
      <c r="C37" t="s">
        <v>39</v>
      </c>
      <c r="I37" t="s">
        <v>39</v>
      </c>
    </row>
    <row r="38" spans="3:14">
      <c r="C38" t="s">
        <v>544</v>
      </c>
      <c r="D38" t="s">
        <v>501</v>
      </c>
      <c r="E38" s="1" t="s">
        <v>545</v>
      </c>
      <c r="F38" s="1"/>
      <c r="G38" s="1">
        <v>1</v>
      </c>
      <c r="I38" t="s">
        <v>494</v>
      </c>
      <c r="J38" t="s">
        <v>544</v>
      </c>
      <c r="K38" t="s">
        <v>546</v>
      </c>
      <c r="L38" s="3" t="s">
        <v>85</v>
      </c>
      <c r="M38" s="3" t="s">
        <v>496</v>
      </c>
    </row>
    <row r="39" spans="3:14">
      <c r="C39" t="s">
        <v>547</v>
      </c>
      <c r="D39" t="s">
        <v>505</v>
      </c>
      <c r="E39" s="1" t="s">
        <v>548</v>
      </c>
      <c r="F39" s="1"/>
      <c r="G39" s="1">
        <v>1</v>
      </c>
      <c r="I39" t="s">
        <v>494</v>
      </c>
      <c r="J39" t="s">
        <v>547</v>
      </c>
      <c r="K39" t="s">
        <v>549</v>
      </c>
      <c r="L39" s="3" t="s">
        <v>85</v>
      </c>
      <c r="M39" s="3" t="s">
        <v>496</v>
      </c>
    </row>
    <row r="40" spans="3:14">
      <c r="C40" t="s">
        <v>550</v>
      </c>
      <c r="D40" t="s">
        <v>532</v>
      </c>
      <c r="E40" s="1" t="s">
        <v>551</v>
      </c>
      <c r="F40" s="1"/>
      <c r="G40" s="1">
        <v>1</v>
      </c>
      <c r="I40" t="s">
        <v>494</v>
      </c>
      <c r="J40" t="s">
        <v>550</v>
      </c>
      <c r="K40" t="s">
        <v>552</v>
      </c>
      <c r="L40" s="3" t="s">
        <v>85</v>
      </c>
      <c r="M40" s="3" t="s">
        <v>496</v>
      </c>
    </row>
    <row r="41" spans="3:14">
      <c r="C41" t="s">
        <v>553</v>
      </c>
      <c r="D41" t="s">
        <v>533</v>
      </c>
      <c r="E41" s="1" t="s">
        <v>554</v>
      </c>
      <c r="F41" s="1"/>
      <c r="G41" s="1">
        <v>1</v>
      </c>
      <c r="I41" t="s">
        <v>494</v>
      </c>
      <c r="J41" t="s">
        <v>553</v>
      </c>
      <c r="K41" t="s">
        <v>555</v>
      </c>
      <c r="L41" s="3" t="s">
        <v>85</v>
      </c>
      <c r="M41" s="3" t="s">
        <v>496</v>
      </c>
    </row>
    <row r="42" spans="3:14">
      <c r="C42" t="s">
        <v>556</v>
      </c>
      <c r="D42" t="s">
        <v>534</v>
      </c>
      <c r="E42" s="1" t="s">
        <v>557</v>
      </c>
      <c r="F42" s="1"/>
      <c r="G42" s="1">
        <v>1</v>
      </c>
      <c r="I42" t="s">
        <v>494</v>
      </c>
      <c r="J42" t="s">
        <v>556</v>
      </c>
      <c r="K42" t="s">
        <v>558</v>
      </c>
      <c r="L42" s="3" t="s">
        <v>85</v>
      </c>
      <c r="M42" s="3" t="s">
        <v>496</v>
      </c>
    </row>
    <row r="43" spans="3:14">
      <c r="C43" t="s">
        <v>559</v>
      </c>
      <c r="D43" t="s">
        <v>526</v>
      </c>
      <c r="E43" s="1" t="s">
        <v>560</v>
      </c>
      <c r="F43" s="1"/>
      <c r="G43" s="1">
        <v>1</v>
      </c>
      <c r="I43" t="s">
        <v>494</v>
      </c>
      <c r="J43" t="s">
        <v>559</v>
      </c>
      <c r="K43" t="s">
        <v>561</v>
      </c>
      <c r="L43" s="3" t="s">
        <v>85</v>
      </c>
      <c r="M43" s="3" t="s">
        <v>496</v>
      </c>
    </row>
    <row r="44" spans="3:14">
      <c r="C44" t="s">
        <v>562</v>
      </c>
      <c r="D44" t="s">
        <v>535</v>
      </c>
      <c r="E44" s="1" t="s">
        <v>563</v>
      </c>
      <c r="F44" s="1"/>
      <c r="G44" s="1">
        <v>1</v>
      </c>
      <c r="I44" t="s">
        <v>494</v>
      </c>
      <c r="J44" t="s">
        <v>562</v>
      </c>
      <c r="K44" t="s">
        <v>564</v>
      </c>
      <c r="L44" s="3" t="s">
        <v>85</v>
      </c>
      <c r="M44" s="3" t="s">
        <v>496</v>
      </c>
    </row>
    <row r="45" spans="3:14">
      <c r="C45" t="s">
        <v>565</v>
      </c>
      <c r="D45" t="s">
        <v>517</v>
      </c>
      <c r="E45" s="1" t="s">
        <v>566</v>
      </c>
      <c r="F45" s="1"/>
      <c r="G45" s="1">
        <v>1</v>
      </c>
      <c r="I45" t="s">
        <v>494</v>
      </c>
      <c r="J45" t="s">
        <v>565</v>
      </c>
      <c r="K45" t="s">
        <v>567</v>
      </c>
      <c r="L45" s="3" t="s">
        <v>85</v>
      </c>
      <c r="M45" s="3" t="s">
        <v>496</v>
      </c>
    </row>
    <row r="46" spans="3:14">
      <c r="C46" t="s">
        <v>568</v>
      </c>
      <c r="D46" t="s">
        <v>263</v>
      </c>
      <c r="E46" s="1" t="s">
        <v>569</v>
      </c>
      <c r="F46" s="1"/>
      <c r="G46" s="1">
        <v>1</v>
      </c>
      <c r="I46" t="s">
        <v>494</v>
      </c>
      <c r="J46" t="s">
        <v>568</v>
      </c>
      <c r="K46" t="s">
        <v>570</v>
      </c>
      <c r="L46" s="3" t="s">
        <v>85</v>
      </c>
      <c r="M46" s="3" t="s">
        <v>496</v>
      </c>
    </row>
    <row r="47" spans="3:14">
      <c r="C47" t="s">
        <v>571</v>
      </c>
      <c r="D47" t="s">
        <v>508</v>
      </c>
      <c r="E47" s="1" t="s">
        <v>572</v>
      </c>
      <c r="F47" s="1"/>
      <c r="G47" s="1">
        <v>1</v>
      </c>
      <c r="I47" t="s">
        <v>494</v>
      </c>
      <c r="J47" t="s">
        <v>571</v>
      </c>
      <c r="K47" t="s">
        <v>573</v>
      </c>
      <c r="L47" s="3" t="s">
        <v>85</v>
      </c>
      <c r="M47" s="3" t="s">
        <v>496</v>
      </c>
    </row>
    <row r="48" spans="3:14">
      <c r="C48" t="s">
        <v>574</v>
      </c>
      <c r="D48" t="s">
        <v>536</v>
      </c>
      <c r="E48" s="1" t="s">
        <v>575</v>
      </c>
      <c r="F48" s="1"/>
      <c r="G48" s="1">
        <v>1</v>
      </c>
      <c r="I48" t="s">
        <v>494</v>
      </c>
      <c r="J48" t="s">
        <v>574</v>
      </c>
      <c r="K48" t="s">
        <v>576</v>
      </c>
      <c r="L48" s="3" t="s">
        <v>85</v>
      </c>
      <c r="M48" s="3" t="s">
        <v>496</v>
      </c>
    </row>
    <row r="49" spans="3:17">
      <c r="C49" t="s">
        <v>577</v>
      </c>
      <c r="D49" t="s">
        <v>537</v>
      </c>
      <c r="E49" s="1" t="s">
        <v>578</v>
      </c>
      <c r="F49" s="1"/>
      <c r="G49" s="1">
        <v>1</v>
      </c>
      <c r="I49" t="s">
        <v>494</v>
      </c>
      <c r="J49" t="s">
        <v>577</v>
      </c>
      <c r="K49" t="s">
        <v>579</v>
      </c>
      <c r="L49" s="3" t="s">
        <v>85</v>
      </c>
      <c r="M49" s="3" t="s">
        <v>496</v>
      </c>
    </row>
    <row r="50" spans="3:17">
      <c r="C50" t="s">
        <v>580</v>
      </c>
      <c r="D50" t="s">
        <v>538</v>
      </c>
      <c r="E50" s="1" t="s">
        <v>581</v>
      </c>
      <c r="F50" s="1"/>
      <c r="G50" s="1">
        <v>1</v>
      </c>
      <c r="I50" t="s">
        <v>494</v>
      </c>
      <c r="J50" t="s">
        <v>580</v>
      </c>
      <c r="K50" t="s">
        <v>582</v>
      </c>
      <c r="L50" s="3" t="s">
        <v>85</v>
      </c>
      <c r="M50" s="3" t="s">
        <v>496</v>
      </c>
    </row>
    <row r="51" spans="3:17">
      <c r="C51" t="s">
        <v>583</v>
      </c>
      <c r="D51" t="s">
        <v>539</v>
      </c>
      <c r="E51" s="1" t="s">
        <v>584</v>
      </c>
      <c r="F51" s="1"/>
      <c r="G51" s="1">
        <v>1</v>
      </c>
      <c r="I51" t="s">
        <v>494</v>
      </c>
      <c r="J51" t="s">
        <v>583</v>
      </c>
      <c r="K51" t="s">
        <v>585</v>
      </c>
      <c r="L51" s="3" t="s">
        <v>85</v>
      </c>
      <c r="M51" s="3" t="s">
        <v>496</v>
      </c>
    </row>
    <row r="52" spans="3:17">
      <c r="C52" t="s">
        <v>39</v>
      </c>
      <c r="J52" t="s">
        <v>39</v>
      </c>
    </row>
    <row r="53" spans="3:17">
      <c r="C53" t="s">
        <v>586</v>
      </c>
      <c r="D53" t="s">
        <v>505</v>
      </c>
      <c r="E53" t="s">
        <v>587</v>
      </c>
      <c r="F53">
        <v>1</v>
      </c>
      <c r="G53">
        <v>1</v>
      </c>
      <c r="I53" t="s">
        <v>494</v>
      </c>
      <c r="J53" t="s">
        <v>586</v>
      </c>
      <c r="K53" t="s">
        <v>588</v>
      </c>
      <c r="L53" t="s">
        <v>85</v>
      </c>
      <c r="M53" t="s">
        <v>496</v>
      </c>
    </row>
    <row r="54" spans="3:17">
      <c r="C54" t="s">
        <v>589</v>
      </c>
      <c r="D54" t="s">
        <v>445</v>
      </c>
      <c r="E54" t="s">
        <v>590</v>
      </c>
      <c r="F54">
        <v>1</v>
      </c>
      <c r="G54">
        <v>1</v>
      </c>
      <c r="I54" t="s">
        <v>494</v>
      </c>
      <c r="J54" t="s">
        <v>589</v>
      </c>
      <c r="K54" t="s">
        <v>591</v>
      </c>
      <c r="L54" t="s">
        <v>85</v>
      </c>
      <c r="M54" t="s">
        <v>496</v>
      </c>
      <c r="Q54" s="6" t="s">
        <v>512</v>
      </c>
    </row>
    <row r="55" spans="3:17">
      <c r="C55" t="s">
        <v>592</v>
      </c>
      <c r="D55" t="s">
        <v>517</v>
      </c>
      <c r="E55" t="s">
        <v>593</v>
      </c>
      <c r="F55">
        <v>1</v>
      </c>
      <c r="G55">
        <v>1</v>
      </c>
      <c r="I55" t="s">
        <v>494</v>
      </c>
      <c r="J55" t="s">
        <v>592</v>
      </c>
      <c r="K55" t="s">
        <v>594</v>
      </c>
      <c r="L55" t="s">
        <v>85</v>
      </c>
      <c r="M55" t="s">
        <v>496</v>
      </c>
    </row>
    <row r="56" spans="3:17">
      <c r="C56" t="s">
        <v>595</v>
      </c>
      <c r="D56" t="s">
        <v>526</v>
      </c>
      <c r="E56" t="s">
        <v>596</v>
      </c>
      <c r="F56">
        <v>1</v>
      </c>
      <c r="G56">
        <v>1</v>
      </c>
      <c r="I56" t="s">
        <v>494</v>
      </c>
      <c r="J56" t="s">
        <v>595</v>
      </c>
      <c r="K56" t="s">
        <v>597</v>
      </c>
      <c r="L56" t="s">
        <v>85</v>
      </c>
      <c r="M56" t="s">
        <v>496</v>
      </c>
      <c r="N56" t="s">
        <v>528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52"/>
  <sheetViews>
    <sheetView zoomScale="67" zoomScaleNormal="67" workbookViewId="0">
      <selection activeCell="Z21" sqref="Z21"/>
    </sheetView>
  </sheetViews>
  <sheetFormatPr defaultColWidth="9" defaultRowHeight="14.5"/>
  <cols>
    <col min="1" max="1" width="8.72727272727273" customWidth="1"/>
    <col min="2" max="2" width="7.13636363636364" customWidth="1"/>
    <col min="3" max="3" width="12.2636363636364" customWidth="1"/>
    <col min="4" max="4" width="9.4" customWidth="1"/>
    <col min="5" max="5" width="16.4" customWidth="1"/>
    <col min="6" max="6" width="5" customWidth="1"/>
    <col min="7" max="7" width="4" customWidth="1"/>
    <col min="8" max="8" width="4.4" customWidth="1"/>
    <col min="9" max="9" width="11.2636363636364" customWidth="1"/>
    <col min="10" max="10" width="12.2636363636364" customWidth="1"/>
    <col min="11" max="11" width="27.1363636363636" customWidth="1"/>
    <col min="12" max="12" width="4.6" customWidth="1"/>
    <col min="13" max="13" width="5" customWidth="1"/>
    <col min="14" max="14" width="8.6" customWidth="1"/>
    <col min="15" max="22" width="4.4" customWidth="1"/>
    <col min="23" max="23" width="4.6" customWidth="1"/>
    <col min="24" max="24" width="4.86363636363636" customWidth="1"/>
    <col min="25" max="30" width="4.6" customWidth="1"/>
    <col min="31" max="31" width="5" customWidth="1"/>
    <col min="32" max="32" width="4.86363636363636" customWidth="1"/>
    <col min="33" max="33" width="5" customWidth="1"/>
    <col min="34" max="35" width="4.6" customWidth="1"/>
    <col min="36" max="36" width="5.13636363636364" customWidth="1"/>
    <col min="37" max="37" width="6.86363636363636" customWidth="1"/>
    <col min="38" max="51" width="5.13636363636364" customWidth="1"/>
    <col min="52" max="52" width="5.6" customWidth="1"/>
    <col min="53" max="53" width="8.13636363636364" customWidth="1"/>
    <col min="55" max="55" width="16.4" customWidth="1"/>
    <col min="56" max="76" width="6.6" customWidth="1"/>
    <col min="77" max="77" width="5.6" customWidth="1"/>
    <col min="78" max="78" width="6.6" customWidth="1"/>
    <col min="79" max="79" width="6.4" customWidth="1"/>
    <col min="80" max="83" width="6.6" customWidth="1"/>
    <col min="84" max="84" width="5.6" customWidth="1"/>
    <col min="85" max="85" width="7.6" customWidth="1"/>
    <col min="86" max="101" width="6.6" customWidth="1"/>
    <col min="105" max="132" width="6.6" customWidth="1"/>
    <col min="133" max="133" width="6" customWidth="1"/>
    <col min="134" max="134" width="7.6" customWidth="1"/>
    <col min="135" max="150" width="6.6" customWidth="1"/>
    <col min="153" max="153" width="18.6" customWidth="1"/>
    <col min="154" max="154" width="42.7272727272727" customWidth="1"/>
    <col min="155" max="155" width="5.86363636363636" customWidth="1"/>
    <col min="156" max="156" width="7.86363636363636" customWidth="1"/>
    <col min="157" max="157" width="5" customWidth="1"/>
    <col min="158" max="158" width="10.2636363636364" customWidth="1"/>
    <col min="159" max="159" width="7.86363636363636" customWidth="1"/>
  </cols>
  <sheetData>
    <row r="2" spans="2:14">
      <c r="D2" s="1"/>
      <c r="E2" s="1"/>
      <c r="F2" s="1"/>
      <c r="G2" s="1"/>
    </row>
    <row r="3" ht="15.25" spans="2:14">
      <c r="B3" s="2" t="s">
        <v>229</v>
      </c>
      <c r="C3" s="2" t="s">
        <v>490</v>
      </c>
      <c r="D3" s="2" t="s">
        <v>236</v>
      </c>
      <c r="E3" s="2" t="s">
        <v>237</v>
      </c>
      <c r="F3" s="2">
        <v>2020</v>
      </c>
      <c r="G3" s="2" t="s">
        <v>153</v>
      </c>
      <c r="I3" s="2" t="s">
        <v>138</v>
      </c>
      <c r="J3" s="2" t="s">
        <v>437</v>
      </c>
      <c r="K3" s="2" t="s">
        <v>491</v>
      </c>
      <c r="L3" s="2" t="s">
        <v>141</v>
      </c>
      <c r="M3" s="2" t="s">
        <v>142</v>
      </c>
      <c r="N3" s="2" t="s">
        <v>435</v>
      </c>
    </row>
    <row r="4" spans="2:14">
      <c r="C4" t="s">
        <v>492</v>
      </c>
      <c r="D4" t="s">
        <v>493</v>
      </c>
      <c r="E4" t="s">
        <v>44</v>
      </c>
      <c r="F4">
        <v>1</v>
      </c>
      <c r="G4">
        <v>1</v>
      </c>
      <c r="I4" t="s">
        <v>494</v>
      </c>
      <c r="J4" t="s">
        <v>492</v>
      </c>
      <c r="K4" t="s">
        <v>495</v>
      </c>
      <c r="L4" t="s">
        <v>85</v>
      </c>
      <c r="M4" t="s">
        <v>496</v>
      </c>
    </row>
    <row r="5" spans="2:14">
      <c r="C5" t="s">
        <v>497</v>
      </c>
      <c r="D5" t="s">
        <v>498</v>
      </c>
      <c r="E5" t="s">
        <v>48</v>
      </c>
      <c r="F5">
        <v>1</v>
      </c>
      <c r="G5">
        <v>1</v>
      </c>
      <c r="I5" t="s">
        <v>494</v>
      </c>
      <c r="J5" t="s">
        <v>497</v>
      </c>
      <c r="K5" t="s">
        <v>499</v>
      </c>
      <c r="L5" t="s">
        <v>85</v>
      </c>
      <c r="M5" t="s">
        <v>496</v>
      </c>
    </row>
    <row r="6" spans="2:14">
      <c r="C6" t="s">
        <v>500</v>
      </c>
      <c r="D6" t="s">
        <v>501</v>
      </c>
      <c r="E6" t="s">
        <v>502</v>
      </c>
      <c r="F6">
        <v>1</v>
      </c>
      <c r="G6">
        <v>1</v>
      </c>
      <c r="I6" t="s">
        <v>494</v>
      </c>
      <c r="J6" t="s">
        <v>500</v>
      </c>
      <c r="K6" t="s">
        <v>503</v>
      </c>
      <c r="L6" t="s">
        <v>85</v>
      </c>
      <c r="M6" t="s">
        <v>496</v>
      </c>
    </row>
    <row r="7" spans="2:14">
      <c r="C7" t="s">
        <v>504</v>
      </c>
      <c r="D7" t="s">
        <v>505</v>
      </c>
      <c r="E7" t="s">
        <v>56</v>
      </c>
      <c r="F7">
        <v>1</v>
      </c>
      <c r="G7">
        <v>1</v>
      </c>
      <c r="I7" t="s">
        <v>494</v>
      </c>
      <c r="J7" t="s">
        <v>504</v>
      </c>
      <c r="K7" t="s">
        <v>506</v>
      </c>
      <c r="L7" t="s">
        <v>85</v>
      </c>
      <c r="M7" t="s">
        <v>496</v>
      </c>
    </row>
    <row r="8" spans="2:14">
      <c r="C8" t="s">
        <v>507</v>
      </c>
      <c r="D8" t="s">
        <v>508</v>
      </c>
      <c r="E8" t="s">
        <v>60</v>
      </c>
      <c r="F8">
        <v>1</v>
      </c>
      <c r="G8">
        <v>1</v>
      </c>
      <c r="I8" t="s">
        <v>494</v>
      </c>
      <c r="J8" t="s">
        <v>507</v>
      </c>
      <c r="K8" t="s">
        <v>509</v>
      </c>
      <c r="L8" t="s">
        <v>85</v>
      </c>
      <c r="M8" t="s">
        <v>496</v>
      </c>
    </row>
    <row r="9" spans="2:14">
      <c r="C9" t="s">
        <v>510</v>
      </c>
      <c r="D9" t="s">
        <v>445</v>
      </c>
      <c r="E9" t="s">
        <v>64</v>
      </c>
      <c r="F9">
        <v>1</v>
      </c>
      <c r="G9">
        <v>1</v>
      </c>
      <c r="I9" t="s">
        <v>494</v>
      </c>
      <c r="J9" t="s">
        <v>510</v>
      </c>
      <c r="K9" t="s">
        <v>511</v>
      </c>
      <c r="L9" t="s">
        <v>85</v>
      </c>
      <c r="M9" t="s">
        <v>496</v>
      </c>
      <c r="N9" t="s">
        <v>512</v>
      </c>
    </row>
    <row r="10" spans="2:14">
      <c r="C10" t="s">
        <v>513</v>
      </c>
      <c r="D10" t="s">
        <v>514</v>
      </c>
      <c r="E10" t="s">
        <v>66</v>
      </c>
      <c r="F10">
        <v>1</v>
      </c>
      <c r="G10">
        <v>1</v>
      </c>
      <c r="I10" t="s">
        <v>494</v>
      </c>
      <c r="J10" t="s">
        <v>513</v>
      </c>
      <c r="K10" t="s">
        <v>515</v>
      </c>
      <c r="L10" t="s">
        <v>85</v>
      </c>
      <c r="M10" t="s">
        <v>496</v>
      </c>
    </row>
    <row r="11" spans="2:14">
      <c r="C11" t="s">
        <v>516</v>
      </c>
      <c r="D11" t="s">
        <v>517</v>
      </c>
      <c r="E11" t="s">
        <v>69</v>
      </c>
      <c r="F11">
        <v>1</v>
      </c>
      <c r="G11">
        <v>1</v>
      </c>
      <c r="I11" t="s">
        <v>494</v>
      </c>
      <c r="J11" t="s">
        <v>516</v>
      </c>
      <c r="K11" t="s">
        <v>518</v>
      </c>
      <c r="L11" t="s">
        <v>85</v>
      </c>
      <c r="M11" t="s">
        <v>496</v>
      </c>
    </row>
    <row r="12" spans="2:14">
      <c r="C12" t="s">
        <v>519</v>
      </c>
      <c r="D12" t="s">
        <v>520</v>
      </c>
      <c r="E12" t="s">
        <v>72</v>
      </c>
      <c r="F12">
        <v>1</v>
      </c>
      <c r="G12">
        <v>1</v>
      </c>
      <c r="I12" t="s">
        <v>494</v>
      </c>
      <c r="J12" t="s">
        <v>519</v>
      </c>
      <c r="K12" t="s">
        <v>521</v>
      </c>
      <c r="L12" t="s">
        <v>85</v>
      </c>
      <c r="M12" t="s">
        <v>496</v>
      </c>
    </row>
    <row r="13" spans="2:14">
      <c r="C13" t="s">
        <v>522</v>
      </c>
      <c r="D13" t="s">
        <v>523</v>
      </c>
      <c r="E13" t="s">
        <v>74</v>
      </c>
      <c r="F13">
        <v>1</v>
      </c>
      <c r="G13">
        <v>1</v>
      </c>
      <c r="I13" t="s">
        <v>494</v>
      </c>
      <c r="J13" t="s">
        <v>522</v>
      </c>
      <c r="K13" t="s">
        <v>524</v>
      </c>
      <c r="L13" t="s">
        <v>85</v>
      </c>
      <c r="M13" t="s">
        <v>496</v>
      </c>
    </row>
    <row r="14" spans="2:14">
      <c r="C14" t="s">
        <v>525</v>
      </c>
      <c r="D14" t="s">
        <v>526</v>
      </c>
      <c r="E14" t="s">
        <v>52</v>
      </c>
      <c r="F14">
        <v>1</v>
      </c>
      <c r="G14">
        <v>1</v>
      </c>
      <c r="I14" t="s">
        <v>494</v>
      </c>
      <c r="J14" t="s">
        <v>525</v>
      </c>
      <c r="K14" t="s">
        <v>527</v>
      </c>
      <c r="L14" t="s">
        <v>85</v>
      </c>
      <c r="M14" t="s">
        <v>496</v>
      </c>
      <c r="N14" t="s">
        <v>528</v>
      </c>
    </row>
    <row r="15" spans="2:14">
      <c r="C15" t="s">
        <v>39</v>
      </c>
      <c r="J15" t="s">
        <v>39</v>
      </c>
    </row>
    <row r="16" spans="2:14">
      <c r="C16" t="str">
        <f>J16</f>
        <v>TraSupply</v>
      </c>
      <c r="E16" t="s">
        <v>517</v>
      </c>
      <c r="F16">
        <v>15</v>
      </c>
      <c r="I16" t="s">
        <v>529</v>
      </c>
      <c r="J16" t="s">
        <v>530</v>
      </c>
      <c r="K16" t="s">
        <v>531</v>
      </c>
      <c r="L16" t="s">
        <v>85</v>
      </c>
      <c r="M16" t="s">
        <v>496</v>
      </c>
    </row>
    <row r="17" spans="5:10">
      <c r="E17" t="s">
        <v>508</v>
      </c>
      <c r="F17">
        <v>20</v>
      </c>
      <c r="J17" t="s">
        <v>39</v>
      </c>
    </row>
    <row r="18" spans="5:10">
      <c r="E18" t="s">
        <v>520</v>
      </c>
      <c r="F18">
        <v>20</v>
      </c>
      <c r="J18" t="s">
        <v>39</v>
      </c>
    </row>
    <row r="19" spans="5:10">
      <c r="E19" t="s">
        <v>523</v>
      </c>
      <c r="F19">
        <v>20</v>
      </c>
      <c r="J19" t="s">
        <v>39</v>
      </c>
    </row>
    <row r="20" spans="5:10">
      <c r="E20" t="s">
        <v>445</v>
      </c>
      <c r="F20">
        <v>222</v>
      </c>
      <c r="J20" t="s">
        <v>39</v>
      </c>
    </row>
    <row r="21" spans="5:10">
      <c r="E21" t="s">
        <v>505</v>
      </c>
      <c r="F21">
        <v>2</v>
      </c>
      <c r="J21" t="s">
        <v>39</v>
      </c>
    </row>
    <row r="22" spans="5:10">
      <c r="E22" t="s">
        <v>498</v>
      </c>
      <c r="F22">
        <v>22</v>
      </c>
      <c r="J22" t="s">
        <v>39</v>
      </c>
    </row>
    <row r="23" spans="5:10">
      <c r="E23" t="s">
        <v>501</v>
      </c>
      <c r="F23">
        <v>4</v>
      </c>
      <c r="J23" t="s">
        <v>39</v>
      </c>
    </row>
    <row r="24" spans="5:10">
      <c r="E24" t="s">
        <v>493</v>
      </c>
      <c r="F24">
        <v>22</v>
      </c>
      <c r="J24" t="s">
        <v>39</v>
      </c>
    </row>
    <row r="25" spans="5:10">
      <c r="E25" t="s">
        <v>514</v>
      </c>
      <c r="F25">
        <v>20</v>
      </c>
      <c r="J25" t="s">
        <v>39</v>
      </c>
    </row>
    <row r="26" spans="5:10">
      <c r="E26" t="s">
        <v>526</v>
      </c>
      <c r="F26">
        <v>4</v>
      </c>
      <c r="J26" t="s">
        <v>39</v>
      </c>
    </row>
    <row r="27" spans="5:10">
      <c r="E27" t="s">
        <v>532</v>
      </c>
      <c r="F27">
        <v>1</v>
      </c>
      <c r="J27" t="s">
        <v>39</v>
      </c>
    </row>
    <row r="28" spans="5:10">
      <c r="E28" t="s">
        <v>533</v>
      </c>
      <c r="F28">
        <v>1</v>
      </c>
      <c r="J28" t="s">
        <v>39</v>
      </c>
    </row>
    <row r="29" spans="5:10">
      <c r="E29" t="s">
        <v>534</v>
      </c>
      <c r="F29">
        <v>1</v>
      </c>
      <c r="J29" t="s">
        <v>39</v>
      </c>
    </row>
    <row r="30" spans="5:10">
      <c r="E30" t="s">
        <v>535</v>
      </c>
      <c r="F30">
        <v>1</v>
      </c>
      <c r="J30" t="s">
        <v>39</v>
      </c>
    </row>
    <row r="31" spans="5:10">
      <c r="E31" t="s">
        <v>263</v>
      </c>
      <c r="F31">
        <v>12</v>
      </c>
      <c r="J31" t="s">
        <v>39</v>
      </c>
    </row>
    <row r="32" spans="5:10">
      <c r="E32" t="s">
        <v>536</v>
      </c>
      <c r="F32">
        <v>1</v>
      </c>
      <c r="J32" t="s">
        <v>39</v>
      </c>
    </row>
    <row r="33" spans="3:13">
      <c r="E33" t="s">
        <v>537</v>
      </c>
      <c r="F33">
        <v>1</v>
      </c>
      <c r="J33" t="s">
        <v>39</v>
      </c>
    </row>
    <row r="34" spans="3:13">
      <c r="E34" t="s">
        <v>538</v>
      </c>
      <c r="F34">
        <v>1</v>
      </c>
      <c r="J34" t="s">
        <v>39</v>
      </c>
    </row>
    <row r="35" spans="3:13">
      <c r="E35" t="s">
        <v>539</v>
      </c>
      <c r="F35">
        <v>1</v>
      </c>
      <c r="J35" t="s">
        <v>39</v>
      </c>
    </row>
    <row r="36" spans="3:13">
      <c r="C36" t="s">
        <v>39</v>
      </c>
      <c r="I36" t="s">
        <v>39</v>
      </c>
      <c r="J36" t="s">
        <v>39</v>
      </c>
    </row>
    <row r="37" spans="3:13">
      <c r="C37" t="str">
        <f>J37</f>
        <v>ElecDemand</v>
      </c>
      <c r="D37" t="s">
        <v>445</v>
      </c>
      <c r="E37" t="s">
        <v>540</v>
      </c>
      <c r="G37">
        <v>1</v>
      </c>
      <c r="I37" t="s">
        <v>541</v>
      </c>
      <c r="J37" t="s">
        <v>542</v>
      </c>
      <c r="K37" t="s">
        <v>543</v>
      </c>
      <c r="L37" t="s">
        <v>85</v>
      </c>
      <c r="M37" t="s">
        <v>496</v>
      </c>
    </row>
    <row r="38" spans="3:13">
      <c r="C38" t="s">
        <v>39</v>
      </c>
      <c r="I38" t="s">
        <v>39</v>
      </c>
    </row>
    <row r="39" spans="3:13">
      <c r="C39" t="s">
        <v>544</v>
      </c>
      <c r="D39" t="s">
        <v>501</v>
      </c>
      <c r="E39" s="1" t="s">
        <v>545</v>
      </c>
      <c r="F39" s="1"/>
      <c r="G39" s="1">
        <v>1</v>
      </c>
      <c r="I39" t="s">
        <v>494</v>
      </c>
      <c r="J39" t="s">
        <v>544</v>
      </c>
      <c r="K39" t="s">
        <v>546</v>
      </c>
      <c r="L39" s="3" t="s">
        <v>85</v>
      </c>
      <c r="M39" s="3" t="s">
        <v>496</v>
      </c>
    </row>
    <row r="40" spans="3:13">
      <c r="C40" t="s">
        <v>547</v>
      </c>
      <c r="D40" t="s">
        <v>505</v>
      </c>
      <c r="E40" s="1" t="s">
        <v>548</v>
      </c>
      <c r="F40" s="1"/>
      <c r="G40" s="1">
        <v>1</v>
      </c>
      <c r="I40" t="s">
        <v>494</v>
      </c>
      <c r="J40" t="s">
        <v>547</v>
      </c>
      <c r="K40" t="s">
        <v>549</v>
      </c>
      <c r="L40" s="3" t="s">
        <v>85</v>
      </c>
      <c r="M40" s="3" t="s">
        <v>496</v>
      </c>
    </row>
    <row r="41" spans="3:13">
      <c r="C41" t="s">
        <v>550</v>
      </c>
      <c r="D41" t="s">
        <v>532</v>
      </c>
      <c r="E41" s="1" t="s">
        <v>551</v>
      </c>
      <c r="F41" s="1"/>
      <c r="G41" s="1">
        <v>1</v>
      </c>
      <c r="I41" t="s">
        <v>494</v>
      </c>
      <c r="J41" t="s">
        <v>550</v>
      </c>
      <c r="K41" t="s">
        <v>552</v>
      </c>
      <c r="L41" s="3" t="s">
        <v>85</v>
      </c>
      <c r="M41" s="3" t="s">
        <v>496</v>
      </c>
    </row>
    <row r="42" spans="3:13">
      <c r="C42" t="s">
        <v>553</v>
      </c>
      <c r="D42" t="s">
        <v>533</v>
      </c>
      <c r="E42" s="1" t="s">
        <v>554</v>
      </c>
      <c r="F42" s="1"/>
      <c r="G42" s="1">
        <v>1</v>
      </c>
      <c r="I42" t="s">
        <v>494</v>
      </c>
      <c r="J42" t="s">
        <v>553</v>
      </c>
      <c r="K42" t="s">
        <v>555</v>
      </c>
      <c r="L42" s="3" t="s">
        <v>85</v>
      </c>
      <c r="M42" s="3" t="s">
        <v>496</v>
      </c>
    </row>
    <row r="43" spans="3:13">
      <c r="C43" t="s">
        <v>556</v>
      </c>
      <c r="D43" t="s">
        <v>534</v>
      </c>
      <c r="E43" s="1" t="s">
        <v>557</v>
      </c>
      <c r="F43" s="1"/>
      <c r="G43" s="1">
        <v>1</v>
      </c>
      <c r="I43" t="s">
        <v>494</v>
      </c>
      <c r="J43" t="s">
        <v>556</v>
      </c>
      <c r="K43" t="s">
        <v>558</v>
      </c>
      <c r="L43" s="3" t="s">
        <v>85</v>
      </c>
      <c r="M43" s="3" t="s">
        <v>496</v>
      </c>
    </row>
    <row r="44" spans="3:13">
      <c r="C44" t="s">
        <v>559</v>
      </c>
      <c r="D44" t="s">
        <v>526</v>
      </c>
      <c r="E44" s="1" t="s">
        <v>560</v>
      </c>
      <c r="F44" s="1"/>
      <c r="G44" s="1">
        <v>1</v>
      </c>
      <c r="I44" t="s">
        <v>494</v>
      </c>
      <c r="J44" t="s">
        <v>559</v>
      </c>
      <c r="K44" t="s">
        <v>561</v>
      </c>
      <c r="L44" s="3" t="s">
        <v>85</v>
      </c>
      <c r="M44" s="3" t="s">
        <v>496</v>
      </c>
    </row>
    <row r="45" spans="3:13">
      <c r="C45" t="s">
        <v>562</v>
      </c>
      <c r="D45" t="s">
        <v>535</v>
      </c>
      <c r="E45" s="1" t="s">
        <v>563</v>
      </c>
      <c r="F45" s="1"/>
      <c r="G45" s="1">
        <v>1</v>
      </c>
      <c r="I45" t="s">
        <v>494</v>
      </c>
      <c r="J45" t="s">
        <v>562</v>
      </c>
      <c r="K45" t="s">
        <v>564</v>
      </c>
      <c r="L45" s="3" t="s">
        <v>85</v>
      </c>
      <c r="M45" s="3" t="s">
        <v>496</v>
      </c>
    </row>
    <row r="46" spans="3:13">
      <c r="C46" t="s">
        <v>565</v>
      </c>
      <c r="D46" t="s">
        <v>517</v>
      </c>
      <c r="E46" s="1" t="s">
        <v>566</v>
      </c>
      <c r="F46" s="1"/>
      <c r="G46" s="1">
        <v>1</v>
      </c>
      <c r="I46" t="s">
        <v>494</v>
      </c>
      <c r="J46" t="s">
        <v>565</v>
      </c>
      <c r="K46" t="s">
        <v>567</v>
      </c>
      <c r="L46" s="3" t="s">
        <v>85</v>
      </c>
      <c r="M46" s="3" t="s">
        <v>496</v>
      </c>
    </row>
    <row r="47" spans="3:13">
      <c r="C47" t="s">
        <v>568</v>
      </c>
      <c r="D47" t="s">
        <v>263</v>
      </c>
      <c r="E47" s="1" t="s">
        <v>569</v>
      </c>
      <c r="F47" s="1"/>
      <c r="G47" s="1">
        <v>1</v>
      </c>
      <c r="I47" t="s">
        <v>494</v>
      </c>
      <c r="J47" t="s">
        <v>568</v>
      </c>
      <c r="K47" t="s">
        <v>570</v>
      </c>
      <c r="L47" s="3" t="s">
        <v>85</v>
      </c>
      <c r="M47" s="3" t="s">
        <v>496</v>
      </c>
    </row>
    <row r="48" spans="3:13">
      <c r="C48" t="s">
        <v>571</v>
      </c>
      <c r="D48" t="s">
        <v>508</v>
      </c>
      <c r="E48" s="1" t="s">
        <v>572</v>
      </c>
      <c r="F48" s="1"/>
      <c r="G48" s="1">
        <v>1</v>
      </c>
      <c r="I48" t="s">
        <v>494</v>
      </c>
      <c r="J48" t="s">
        <v>571</v>
      </c>
      <c r="K48" t="s">
        <v>573</v>
      </c>
      <c r="L48" s="3" t="s">
        <v>85</v>
      </c>
      <c r="M48" s="3" t="s">
        <v>496</v>
      </c>
    </row>
    <row r="49" spans="3:13">
      <c r="C49" t="s">
        <v>574</v>
      </c>
      <c r="D49" t="s">
        <v>536</v>
      </c>
      <c r="E49" s="1" t="s">
        <v>575</v>
      </c>
      <c r="F49" s="1"/>
      <c r="G49" s="1">
        <v>1</v>
      </c>
      <c r="I49" t="s">
        <v>494</v>
      </c>
      <c r="J49" t="s">
        <v>574</v>
      </c>
      <c r="K49" t="s">
        <v>576</v>
      </c>
      <c r="L49" s="3" t="s">
        <v>85</v>
      </c>
      <c r="M49" s="3" t="s">
        <v>496</v>
      </c>
    </row>
    <row r="50" spans="3:13">
      <c r="C50" t="s">
        <v>577</v>
      </c>
      <c r="D50" t="s">
        <v>537</v>
      </c>
      <c r="E50" s="1" t="s">
        <v>578</v>
      </c>
      <c r="F50" s="1"/>
      <c r="G50" s="1">
        <v>1</v>
      </c>
      <c r="I50" t="s">
        <v>494</v>
      </c>
      <c r="J50" t="s">
        <v>577</v>
      </c>
      <c r="K50" t="s">
        <v>579</v>
      </c>
      <c r="L50" s="3" t="s">
        <v>85</v>
      </c>
      <c r="M50" s="3" t="s">
        <v>496</v>
      </c>
    </row>
    <row r="51" spans="3:13">
      <c r="C51" t="s">
        <v>580</v>
      </c>
      <c r="D51" t="s">
        <v>538</v>
      </c>
      <c r="E51" s="1" t="s">
        <v>581</v>
      </c>
      <c r="F51" s="1"/>
      <c r="G51" s="1">
        <v>1</v>
      </c>
      <c r="I51" t="s">
        <v>494</v>
      </c>
      <c r="J51" t="s">
        <v>580</v>
      </c>
      <c r="K51" t="s">
        <v>582</v>
      </c>
      <c r="L51" s="3" t="s">
        <v>85</v>
      </c>
      <c r="M51" s="3" t="s">
        <v>496</v>
      </c>
    </row>
    <row r="52" spans="3:13">
      <c r="C52" t="s">
        <v>583</v>
      </c>
      <c r="D52" t="s">
        <v>539</v>
      </c>
      <c r="E52" s="1" t="s">
        <v>584</v>
      </c>
      <c r="F52" s="1"/>
      <c r="G52" s="1">
        <v>1</v>
      </c>
      <c r="I52" t="s">
        <v>494</v>
      </c>
      <c r="J52" t="s">
        <v>583</v>
      </c>
      <c r="K52" t="s">
        <v>585</v>
      </c>
      <c r="L52" s="3" t="s">
        <v>85</v>
      </c>
      <c r="M52" s="3" t="s">
        <v>496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TRA balance</vt:lpstr>
      <vt:lpstr>2-w</vt:lpstr>
      <vt:lpstr>3-w</vt:lpstr>
      <vt:lpstr>Cars</vt:lpstr>
      <vt:lpstr>Bus</vt:lpstr>
      <vt:lpstr>Trucks-lcv</vt:lpstr>
      <vt:lpstr>Trucks-hdt</vt:lpstr>
      <vt:lpstr>Trucks</vt:lpstr>
      <vt:lpstr>TIAM15_assumptions</vt:lpstr>
      <vt:lpstr>vehicle population data</vt:lpstr>
      <vt:lpstr>EV data</vt:lpstr>
      <vt:lpstr>Assumptions</vt:lpstr>
      <vt:lpstr>non-road</vt:lpstr>
      <vt:lpstr>Average VMT by Vehicle Type</vt:lpstr>
      <vt:lpstr>fuel tech_update</vt:lpstr>
      <vt:lpstr>fuel tech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2021-06-29T05:47:00Z</dcterms:created>
  <dcterms:modified xsi:type="dcterms:W3CDTF">2026-09-18T06:16:50Z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{049A75C4-3F07-49E6-9BEF-9F46E0A663F1}</vt:lpwstr>
  </property>
  <property fmtid="{D5CDD505-2E9C-101B-9397-08002B2CF9AE}" pid="3" name="SaveCode">
    <vt:r8>465130026434560</vt:r8>
  </property>
  <property fmtid="{D5CDD505-2E9C-101B-9397-08002B2CF9AE}" pid="4" name="ICV">
    <vt:lpwstr>73BBE31EA47A4010B0D2AE9B2C8C4EC3_13</vt:lpwstr>
  </property>
  <property fmtid="{D5CDD505-2E9C-101B-9397-08002B2CF9AE}" pid="5" name="KSOProductBuildVer">
    <vt:lpwstr>1033-12.1.0.28485</vt:lpwstr>
  </property>
  <property fmtid="{D5CDD505-2E9C-101B-9397-08002B2CF9AE}" pid="6" name="CalculationRule">
    <vt:i4>0</vt:i4>
  </property>
</Properties>
</file>