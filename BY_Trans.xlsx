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6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3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it bcz if you let them retire post 2025 then 2060 will appear an abrupt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<sst xmlns="http://schemas.openxmlformats.org/spreadsheetml/2006/main" count="454" uniqueCount="149">
  <si>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</si>
  <si>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</si>
  <si>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</si>
  <si>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</si>
  <si>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</si>
  <si>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</si>
  <si>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</si>
  <si>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</si>
  <si>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</si>
  <si>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</si>
  <si>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</si>
  <si>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</si>
  <si>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</si>
  <si>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</si>
  <si>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</si>
  <si>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</si>
  <si>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</si>
  <si>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</si>
  <si>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</si>
  <si>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</si>
  <si>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</si>
  <si>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</si>
  <si>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</si>
  <si>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</si>
  <si>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</si>
  <si>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</si>
  <si>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</si>
  <si>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</si>
  <si>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</si>
  <si>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</si>
  <si>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</si>
  <si>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</si>
  <si>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</si>
  <si>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</si>
  <si>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RCAP_BND</t>
  </si>
  <si>
    <t>UP</t>
  </si>
  <si>
    <t>ELE,CHP</t>
  </si>
  <si>
    <t>-ELCHYD,-ELCBIO,-ELCWAS,-ELCSPV,-ELCWIN</t>
  </si>
  <si>
    <t>ELCNGA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</si>
  <si>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</si>
  <si>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</si>
  <si>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</si>
  <si>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</si>
  <si>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</si>
  <si>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</si>
  <si>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</si>
  <si>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</si>
  <si>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</si>
  <si>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</si>
  <si>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</si>
  <si>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</si>
  <si>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</si>
  <si>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</si>
  <si>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</si>
  <si>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</si>
  <si>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</si>
  <si>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</si>
  <si>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</si>
  <si>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</si>
  <si>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</si>
  <si>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</si>
  <si>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</si>
  <si>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</si>
  <si>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</si>
  <si>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</si>
  <si>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</si>
  <si>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</si>
  <si>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</si>
  <si>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</si>
  <si>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</si>
  <si>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</si>
  <si>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</si>
  <si>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</si>
  <si>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</si>
  <si>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</si>
  <si>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</si>
  <si>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</si>
  <si>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</si>
  <si>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</si>
  <si>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</si>
  <si>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</si>
  <si>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</si>
  <si>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</si>
  <si>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</si>
  <si>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</si>
  <si>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</si>
  <si>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</si>
  <si>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</si>
  <si>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</si>
  <si>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</si>
  <si>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</si>
  <si>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</si>
  <si>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</si>
  <si>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</si>
  <si>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</si>
  <si>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</si>
  <si>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</si>
  <si>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</si>
  <si>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</si>
  <si>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</si>
  <si>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</si>
  <si>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</si>
  <si>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</si>
  <si>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</si>
  <si>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</si>
  <si>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</si>
  <si>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</si>
  <si>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</si>
  <si>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</si>
  <si>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*Migrated from ssp projections deducting transport demand, but N-P need revise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</si>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</sst>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5" borderId="4" applyNumberFormat="0" applyAlignment="0" applyProtection="0"/>
    <xf numFmtId="0" fontId="18" fillId="9" borderId="13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6" borderId="0" applyNumberFormat="0" applyBorder="0" applyAlignment="0" applyProtection="0"/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6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0" fontId="1" fillId="2" borderId="0" xfId="0" applyFont="1" applyFill="1" applyAlignment="1">
      <alignment vertical="center"/>
    </xf>
    <xf numFmtId="2" fontId="2" fillId="0" borderId="0" xfId="55" applyNumberFormat="1"/>
    <xf numFmtId="0" fontId="1" fillId="0" borderId="0" xfId="0" applyFont="1" applyFill="1" applyAlignment="1">
      <alignment vertical="center"/>
    </xf>
    <xf numFmtId="0" fontId="1" fillId="0" borderId="0" xfId="53"/>
    <xf numFmtId="0" fontId="3" fillId="0" borderId="0" xfId="53" applyFont="1"/>
    <xf numFmtId="0" fontId="3" fillId="3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4" borderId="3" xfId="8" applyFont="1"/>
    <xf numFmtId="0" fontId="5" fillId="0" borderId="0" xfId="52" applyFont="1" applyAlignment="1">
      <alignment horizontal="center"/>
    </xf>
    <xf numFmtId="0" fontId="6" fillId="5" borderId="4" xfId="16"/>
    <xf numFmtId="178" fontId="7" fillId="6" borderId="0" xfId="22" applyNumberFormat="1" applyFont="1"/>
    <xf numFmtId="0" fontId="8" fillId="0" borderId="0" xfId="52" applyFont="1"/>
    <xf numFmtId="179" fontId="1" fillId="7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4" borderId="3" xfId="8" applyFont="1"/>
    <xf numFmtId="2" fontId="0" fillId="0" borderId="0" xfId="0" applyNumberFormat="1"/>
    <xf numFmtId="0" fontId="0" fillId="8" borderId="0" xfId="0" applyFill="1"/>
    <xf numFmtId="0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72" zoomScaleNormal="72" workbookViewId="0">
      <selection activeCell="J12" sqref="J12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30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6" t="s">
        <v>16</v>
      </c>
    </row>
    <row r="6" spans="1:10">
      <c r="B6" t="s">
        <v>17</v>
      </c>
      <c r="D6" t="s">
        <v>13</v>
      </c>
      <c r="G6" s="31">
        <v>31.536</v>
      </c>
      <c r="H6" t="s">
        <v>15</v>
      </c>
      <c r="I6" s="36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6" t="s">
        <v>16</v>
      </c>
    </row>
    <row r="8" spans="1:10">
      <c r="B8" t="s">
        <v>18</v>
      </c>
      <c r="G8">
        <v>1</v>
      </c>
      <c r="H8" t="s">
        <v>15</v>
      </c>
    </row>
    <row r="9" spans="1:10">
      <c r="B9" t="s">
        <v>18</v>
      </c>
      <c r="G9">
        <v>0.15</v>
      </c>
      <c r="J9" t="s">
        <v>19</v>
      </c>
    </row>
    <row r="10" spans="1:10">
      <c r="B10" t="s">
        <v>18</v>
      </c>
      <c r="G10">
        <v>0.25</v>
      </c>
      <c r="J10" t="s">
        <v>20</v>
      </c>
    </row>
    <row r="16" spans="1:10">
      <c r="B16" t="s">
        <v>21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22</v>
      </c>
      <c r="G18">
        <v>0.32</v>
      </c>
      <c r="I18" t="s">
        <v>23</v>
      </c>
    </row>
    <row r="19" spans="2:10">
      <c r="B19" t="s">
        <v>22</v>
      </c>
      <c r="G19">
        <v>1</v>
      </c>
      <c r="I19" t="s">
        <v>24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25</v>
      </c>
      <c r="C26" t="s">
        <v>26</v>
      </c>
      <c r="G26" s="34">
        <v>2882.65777101602</v>
      </c>
      <c r="H26" t="s">
        <v>27</v>
      </c>
      <c r="J26" t="s">
        <v>28</v>
      </c>
    </row>
    <row r="27" spans="2:10">
      <c r="B27" t="s">
        <v>25</v>
      </c>
      <c r="C27" t="s">
        <v>26</v>
      </c>
      <c r="G27" s="34">
        <v>893.709136548464</v>
      </c>
      <c r="H27" t="s">
        <v>27</v>
      </c>
      <c r="J27" t="s">
        <v>29</v>
      </c>
    </row>
    <row r="28" spans="2:10">
      <c r="B28" t="s">
        <v>25</v>
      </c>
      <c r="C28" t="s">
        <v>26</v>
      </c>
      <c r="G28" s="34">
        <v>3000</v>
      </c>
      <c r="H28" t="s">
        <v>30</v>
      </c>
      <c r="J28" t="s">
        <v>31</v>
      </c>
    </row>
    <row r="29" spans="2:10">
      <c r="B29" t="s">
        <v>32</v>
      </c>
      <c r="G29">
        <v>30</v>
      </c>
      <c r="J29" t="s">
        <v>33</v>
      </c>
    </row>
    <row r="35" spans="2:10">
      <c r="B35" s="35" t="s">
        <v>34</v>
      </c>
      <c r="D35" t="s">
        <v>13</v>
      </c>
      <c r="E35" t="s">
        <v>35</v>
      </c>
      <c r="F35">
        <v>2025</v>
      </c>
      <c r="G35">
        <v>0</v>
      </c>
      <c r="H35" t="s">
        <v>36</v>
      </c>
      <c r="J35" s="37" t="s">
        <v>37</v>
      </c>
    </row>
    <row r="36" spans="2:10">
      <c r="B36" s="35" t="s">
        <v>34</v>
      </c>
      <c r="D36" t="s">
        <v>13</v>
      </c>
      <c r="E36" t="s">
        <v>35</v>
      </c>
      <c r="F36">
        <v>2030</v>
      </c>
      <c r="G36">
        <v>0</v>
      </c>
      <c r="H36" t="s">
        <v>36</v>
      </c>
      <c r="J36" t="s">
        <v>38</v>
      </c>
    </row>
    <row r="37" spans="2:10">
      <c r="B37" s="35" t="s">
        <v>34</v>
      </c>
      <c r="D37" t="s">
        <v>13</v>
      </c>
      <c r="E37" t="s">
        <v>35</v>
      </c>
      <c r="F37">
        <v>0</v>
      </c>
      <c r="G37">
        <v>4</v>
      </c>
      <c r="H37" t="s">
        <v>36</v>
      </c>
      <c r="J37" s="37" t="str">
        <f>J35</f>
        <v>-ELCHYD,-ELCBIO,-ELCWAS,-ELCSPV,-ELCWIN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30" t="s">
        <v>39</v>
      </c>
      <c r="K1" t="s">
        <v>40</v>
      </c>
    </row>
    <row r="2" spans="2:15">
      <c r="J2" s="31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31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31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31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31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31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31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31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31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31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31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31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31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31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31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31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31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31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31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31">
        <f>SHAPES!D26</f>
        <v>0.118814738805559</v>
      </c>
    </row>
    <row r="25" spans="2:10">
      <c r="B25" t="s">
        <v>13</v>
      </c>
      <c r="C25" t="s">
        <v>50</v>
      </c>
      <c r="D25" s="32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31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31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31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31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31">
        <v>0</v>
      </c>
    </row>
    <row r="30" spans="2:10">
      <c r="G30" t="s">
        <v>51</v>
      </c>
      <c r="H30">
        <v>15</v>
      </c>
      <c r="I30">
        <f>SHAPES!A32</f>
        <v>25</v>
      </c>
      <c r="J30" s="31">
        <v>0</v>
      </c>
    </row>
    <row r="31" spans="2:10">
      <c r="G31" t="s">
        <v>51</v>
      </c>
      <c r="H31">
        <v>15</v>
      </c>
      <c r="I31">
        <f>SHAPES!A33</f>
        <v>26</v>
      </c>
      <c r="J31" s="31">
        <v>0</v>
      </c>
    </row>
    <row r="32" spans="2:10">
      <c r="G32" t="s">
        <v>51</v>
      </c>
      <c r="H32">
        <v>15</v>
      </c>
      <c r="I32">
        <f>SHAPES!A34</f>
        <v>27</v>
      </c>
      <c r="J32" s="31">
        <v>0</v>
      </c>
    </row>
    <row r="33" spans="7:10">
      <c r="G33" t="s">
        <v>51</v>
      </c>
      <c r="H33">
        <v>15</v>
      </c>
      <c r="I33">
        <f>SHAPES!A35</f>
        <v>28</v>
      </c>
      <c r="J33" s="31">
        <v>0</v>
      </c>
    </row>
    <row r="34" spans="7:10">
      <c r="G34" t="s">
        <v>51</v>
      </c>
      <c r="H34">
        <v>15</v>
      </c>
      <c r="I34">
        <f>SHAPES!A36</f>
        <v>29</v>
      </c>
      <c r="J34" s="31">
        <v>0</v>
      </c>
    </row>
    <row r="35" spans="7:10">
      <c r="G35" t="s">
        <v>51</v>
      </c>
      <c r="H35">
        <v>15</v>
      </c>
      <c r="I35">
        <f>SHAPES!A37</f>
        <v>30</v>
      </c>
      <c r="J35" s="31">
        <v>0</v>
      </c>
    </row>
    <row r="36" spans="7:10">
      <c r="G36" t="s">
        <v>51</v>
      </c>
      <c r="H36">
        <v>15</v>
      </c>
      <c r="I36">
        <f>SHAPES!A38</f>
        <v>31</v>
      </c>
      <c r="J36" s="31">
        <v>0</v>
      </c>
    </row>
    <row r="37" spans="7:10">
      <c r="G37" t="s">
        <v>51</v>
      </c>
      <c r="H37">
        <v>15</v>
      </c>
      <c r="I37">
        <f>SHAPES!A39</f>
        <v>32</v>
      </c>
      <c r="J37" s="31">
        <v>0</v>
      </c>
    </row>
    <row r="38" spans="7:10">
      <c r="G38" t="s">
        <v>51</v>
      </c>
      <c r="H38">
        <v>15</v>
      </c>
      <c r="I38">
        <f>SHAPES!A40</f>
        <v>33</v>
      </c>
      <c r="J38" s="31">
        <v>0</v>
      </c>
    </row>
    <row r="39" spans="7:10">
      <c r="G39" t="s">
        <v>51</v>
      </c>
      <c r="H39">
        <v>15</v>
      </c>
      <c r="I39">
        <f>SHAPES!A41</f>
        <v>34</v>
      </c>
      <c r="J39" s="31">
        <v>0</v>
      </c>
    </row>
    <row r="40" spans="7:10">
      <c r="G40" t="s">
        <v>51</v>
      </c>
      <c r="H40">
        <v>15</v>
      </c>
      <c r="I40">
        <f>SHAPES!A42</f>
        <v>35</v>
      </c>
      <c r="J40" s="31">
        <v>0</v>
      </c>
    </row>
    <row r="41" spans="7:10">
      <c r="G41" t="s">
        <v>51</v>
      </c>
      <c r="H41">
        <v>15</v>
      </c>
      <c r="I41">
        <f>SHAPES!A43</f>
        <v>36</v>
      </c>
      <c r="J41" s="31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30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4"/>
  </cols>
  <sheetData>
    <row r="4" spans="1:7">
      <c r="B4" s="17" t="s">
        <v>62</v>
      </c>
      <c r="C4" s="18">
        <v>0.192</v>
      </c>
      <c r="D4" s="18">
        <v>0.195</v>
      </c>
      <c r="E4" s="18">
        <v>0.131</v>
      </c>
      <c r="F4" s="18">
        <v>0.13</v>
      </c>
      <c r="G4" s="18"/>
    </row>
    <row r="5" spans="1:7">
      <c r="B5" s="17" t="s">
        <v>63</v>
      </c>
      <c r="C5" s="18">
        <v>1200</v>
      </c>
      <c r="D5" s="18">
        <v>900</v>
      </c>
      <c r="E5" s="18">
        <v>21</v>
      </c>
      <c r="F5" s="18">
        <v>52</v>
      </c>
      <c r="G5" s="18"/>
    </row>
    <row r="7" spans="1:7">
      <c r="B7" s="19" t="s">
        <v>64</v>
      </c>
      <c r="C7" s="19">
        <f t="shared" ref="C7:F7" si="0">SUM(C8:C32)</f>
        <v>10.0234245384626</v>
      </c>
      <c r="D7" s="19">
        <f t="shared" si="0"/>
        <v>11.9503259310896</v>
      </c>
      <c r="E7" s="19">
        <f t="shared" si="0"/>
        <v>19.9589529077991</v>
      </c>
      <c r="F7" s="19">
        <f t="shared" si="0"/>
        <v>15.0360677410005</v>
      </c>
      <c r="G7" s="20" t="s">
        <v>65</v>
      </c>
    </row>
    <row r="8" spans="1:7">
      <c r="A8" s="14">
        <v>1</v>
      </c>
      <c r="B8" s="21">
        <v>0.98</v>
      </c>
      <c r="C8" s="22">
        <f>(1/(1+EXP(-(50-$A8)*C$4)))^C$5</f>
        <v>0.906219385211314</v>
      </c>
      <c r="D8" s="22">
        <f>(1/(1+EXP(-(50-$A8)*D$4)))^D$5</f>
        <v>0.938230830558969</v>
      </c>
      <c r="E8" s="22">
        <f>(1/(1+EXP(-(50-$A8)*E$4)))^E$5</f>
        <v>0.966370359922775</v>
      </c>
      <c r="F8" s="22">
        <f>(1/(1+EXP(-(50-$A8)*F$4)))^F$5</f>
        <v>0.914885692356098</v>
      </c>
      <c r="G8" s="23"/>
    </row>
    <row r="9" spans="1:7">
      <c r="A9" s="14">
        <v>2</v>
      </c>
      <c r="B9" s="21">
        <v>0.970622580135159</v>
      </c>
      <c r="C9" s="22">
        <f t="shared" ref="C9:F57" si="1">(1/(1+EXP(-(50-$A9)*C$4)))^C$5</f>
        <v>0.887526560438355</v>
      </c>
      <c r="D9" s="22">
        <f t="shared" si="1"/>
        <v>0.925439283531944</v>
      </c>
      <c r="E9" s="22">
        <f t="shared" si="1"/>
        <v>0.961758676863334</v>
      </c>
      <c r="F9" s="22">
        <f t="shared" si="1"/>
        <v>0.903667527866718</v>
      </c>
      <c r="G9" s="23"/>
    </row>
    <row r="10" spans="1:7">
      <c r="A10" s="14">
        <v>3</v>
      </c>
      <c r="B10" s="21">
        <v>0.962396435716511</v>
      </c>
      <c r="C10" s="22">
        <f t="shared" si="1"/>
        <v>0.865393324683414</v>
      </c>
      <c r="D10" s="22">
        <f t="shared" si="1"/>
        <v>0.910128364505219</v>
      </c>
      <c r="E10" s="22">
        <f t="shared" si="1"/>
        <v>0.956529615654335</v>
      </c>
      <c r="F10" s="22">
        <f t="shared" si="1"/>
        <v>0.891062569793048</v>
      </c>
      <c r="G10" s="23"/>
    </row>
    <row r="11" spans="1:7">
      <c r="A11" s="14">
        <v>4</v>
      </c>
      <c r="B11" s="21">
        <v>0.962396435716511</v>
      </c>
      <c r="C11" s="22">
        <f t="shared" si="1"/>
        <v>0.839314002453786</v>
      </c>
      <c r="D11" s="22">
        <f t="shared" si="1"/>
        <v>0.891861795425706</v>
      </c>
      <c r="E11" s="22">
        <f t="shared" si="1"/>
        <v>0.950604963935119</v>
      </c>
      <c r="F11" s="22">
        <f t="shared" si="1"/>
        <v>0.876925728837395</v>
      </c>
      <c r="G11" s="23"/>
    </row>
    <row r="12" spans="1:7">
      <c r="A12" s="14">
        <v>5</v>
      </c>
      <c r="B12" s="21">
        <v>0.953348946865523</v>
      </c>
      <c r="C12" s="22">
        <f t="shared" si="1"/>
        <v>0.808766111793418</v>
      </c>
      <c r="D12" s="22">
        <f t="shared" si="1"/>
        <v>0.870155573115599</v>
      </c>
      <c r="E12" s="22">
        <f t="shared" si="1"/>
        <v>0.943897915356145</v>
      </c>
      <c r="F12" s="22">
        <f t="shared" si="1"/>
        <v>0.861104397852864</v>
      </c>
      <c r="G12" s="23"/>
    </row>
    <row r="13" spans="1:7">
      <c r="A13" s="14">
        <v>6</v>
      </c>
      <c r="B13" s="21">
        <v>0.946947220933845</v>
      </c>
      <c r="C13" s="22">
        <f t="shared" si="1"/>
        <v>0.773239215092304</v>
      </c>
      <c r="D13" s="22">
        <f t="shared" si="1"/>
        <v>0.844486434298216</v>
      </c>
      <c r="E13" s="22">
        <f t="shared" si="1"/>
        <v>0.936312523381613</v>
      </c>
      <c r="F13" s="22">
        <f t="shared" si="1"/>
        <v>0.843440509350422</v>
      </c>
      <c r="G13" s="23"/>
    </row>
    <row r="14" spans="1:7">
      <c r="A14" s="14">
        <v>7</v>
      </c>
      <c r="B14" s="21">
        <v>0.946947220933845</v>
      </c>
      <c r="C14" s="22">
        <f t="shared" si="1"/>
        <v>0.732278494099783</v>
      </c>
      <c r="D14" s="22">
        <f t="shared" si="1"/>
        <v>0.814308706204866</v>
      </c>
      <c r="E14" s="22">
        <f t="shared" si="1"/>
        <v>0.927743253132952</v>
      </c>
      <c r="F14" s="22">
        <f t="shared" si="1"/>
        <v>0.823773522375577</v>
      </c>
      <c r="G14" s="23"/>
    </row>
    <row r="15" spans="1:7">
      <c r="A15" s="14">
        <v>8</v>
      </c>
      <c r="B15" s="21">
        <v>0.926261114788064</v>
      </c>
      <c r="C15" s="22">
        <f t="shared" si="1"/>
        <v>0.685546224575631</v>
      </c>
      <c r="D15" s="22">
        <f t="shared" si="1"/>
        <v>0.779082860560271</v>
      </c>
      <c r="E15" s="22">
        <f t="shared" si="1"/>
        <v>0.918074687227548</v>
      </c>
      <c r="F15" s="22">
        <f t="shared" si="1"/>
        <v>0.801944546687233</v>
      </c>
      <c r="G15" s="23"/>
    </row>
    <row r="16" spans="1:7">
      <c r="A16" s="14">
        <v>9</v>
      </c>
      <c r="B16" s="21">
        <v>0.898162758045296</v>
      </c>
      <c r="C16" s="22">
        <f t="shared" si="1"/>
        <v>0.632903023475913</v>
      </c>
      <c r="D16" s="22">
        <f t="shared" si="1"/>
        <v>0.7383195238711</v>
      </c>
      <c r="E16" s="22">
        <f t="shared" si="1"/>
        <v>0.907181457650145</v>
      </c>
      <c r="F16" s="22">
        <f t="shared" si="1"/>
        <v>0.777801823096523</v>
      </c>
      <c r="G16" s="23"/>
    </row>
    <row r="17" spans="1:7">
      <c r="A17" s="14">
        <v>10</v>
      </c>
      <c r="B17" s="21">
        <v>0.898162758045296</v>
      </c>
      <c r="C17" s="22">
        <f t="shared" si="1"/>
        <v>0.574507650216493</v>
      </c>
      <c r="D17" s="22">
        <f t="shared" si="1"/>
        <v>0.691642583607144</v>
      </c>
      <c r="E17" s="22">
        <f t="shared" si="1"/>
        <v>0.894928494661952</v>
      </c>
      <c r="F17" s="22">
        <f t="shared" si="1"/>
        <v>0.751207773296982</v>
      </c>
      <c r="G17" s="23"/>
    </row>
    <row r="18" spans="1:7">
      <c r="A18" s="14">
        <v>11</v>
      </c>
      <c r="B18" s="21">
        <v>0.846189380878412</v>
      </c>
      <c r="C18" s="22">
        <f t="shared" si="1"/>
        <v>0.510928455302216</v>
      </c>
      <c r="D18" s="22">
        <f t="shared" si="1"/>
        <v>0.638873803601385</v>
      </c>
      <c r="E18" s="22">
        <f t="shared" si="1"/>
        <v>0.881171705489785</v>
      </c>
      <c r="F18" s="22">
        <f t="shared" si="1"/>
        <v>0.722047800743682</v>
      </c>
      <c r="G18" s="23"/>
    </row>
    <row r="19" spans="1:7">
      <c r="A19" s="14">
        <v>12</v>
      </c>
      <c r="B19" s="21">
        <v>0.836089965568855</v>
      </c>
      <c r="C19" s="22">
        <f t="shared" si="1"/>
        <v>0.443250713618776</v>
      </c>
      <c r="D19" s="22">
        <f t="shared" si="1"/>
        <v>0.580138223569736</v>
      </c>
      <c r="E19" s="22">
        <f t="shared" si="1"/>
        <v>0.865759219524715</v>
      </c>
      <c r="F19" s="22">
        <f t="shared" si="1"/>
        <v>0.690240953567927</v>
      </c>
      <c r="G19" s="23"/>
    </row>
    <row r="20" spans="1:7">
      <c r="A20" s="14">
        <v>13</v>
      </c>
      <c r="B20" s="21">
        <v>0.785347748818551</v>
      </c>
      <c r="C20" s="22">
        <f t="shared" si="1"/>
        <v>0.373152419091481</v>
      </c>
      <c r="D20" s="22">
        <f t="shared" si="1"/>
        <v>0.515983628855313</v>
      </c>
      <c r="E20" s="22">
        <f t="shared" si="1"/>
        <v>0.848533361850074</v>
      </c>
      <c r="F20" s="22">
        <f t="shared" si="1"/>
        <v>0.655752436144864</v>
      </c>
      <c r="G20" s="23"/>
    </row>
    <row r="21" spans="1:7">
      <c r="A21" s="14">
        <v>14</v>
      </c>
      <c r="B21" s="21">
        <v>0.765158424624948</v>
      </c>
      <c r="C21" s="22">
        <f t="shared" si="1"/>
        <v>0.302909076264049</v>
      </c>
      <c r="D21" s="22">
        <f t="shared" si="1"/>
        <v>0.447497806996866</v>
      </c>
      <c r="E21" s="22">
        <f t="shared" si="1"/>
        <v>0.829333541043553</v>
      </c>
      <c r="F21" s="22">
        <f t="shared" si="1"/>
        <v>0.61860776150924</v>
      </c>
      <c r="G21" s="23"/>
    </row>
    <row r="22" spans="1:7">
      <c r="A22" s="14">
        <v>15</v>
      </c>
      <c r="B22" s="21">
        <v>0.722888201491699</v>
      </c>
      <c r="C22" s="22">
        <f t="shared" si="1"/>
        <v>0.23528138033045</v>
      </c>
      <c r="D22" s="22">
        <f t="shared" si="1"/>
        <v>0.376394405858965</v>
      </c>
      <c r="E22" s="22">
        <f t="shared" si="1"/>
        <v>0.808000257000151</v>
      </c>
      <c r="F22" s="22">
        <f t="shared" si="1"/>
        <v>0.578908057444174</v>
      </c>
      <c r="G22" s="23"/>
    </row>
    <row r="23" spans="1:7">
      <c r="A23" s="14">
        <v>16</v>
      </c>
      <c r="B23" s="21">
        <v>0.662206654111213</v>
      </c>
      <c r="C23" s="22">
        <f t="shared" si="1"/>
        <v>0.1732480236977</v>
      </c>
      <c r="D23" s="22">
        <f t="shared" si="1"/>
        <v>0.305024495274644</v>
      </c>
      <c r="E23" s="22">
        <f t="shared" si="1"/>
        <v>0.784380444928941</v>
      </c>
      <c r="F23" s="22">
        <f t="shared" si="1"/>
        <v>0.536845665869112</v>
      </c>
      <c r="G23" s="23"/>
    </row>
    <row r="24" spans="1:7">
      <c r="A24" s="14">
        <v>17</v>
      </c>
      <c r="B24" s="21">
        <v>0.623093147917535</v>
      </c>
      <c r="C24" s="22">
        <f t="shared" si="1"/>
        <v>0.11958021751459</v>
      </c>
      <c r="D24" s="22">
        <f t="shared" si="1"/>
        <v>0.236262757898913</v>
      </c>
      <c r="E24" s="22">
        <f t="shared" si="1"/>
        <v>0.75833436545842</v>
      </c>
      <c r="F24" s="22">
        <f t="shared" si="1"/>
        <v>0.492718712520419</v>
      </c>
      <c r="G24" s="23"/>
    </row>
    <row r="25" spans="1:7">
      <c r="A25" s="14">
        <v>18</v>
      </c>
      <c r="B25" s="21">
        <v>0.537592092285781</v>
      </c>
      <c r="C25" s="22">
        <f t="shared" si="1"/>
        <v>0.0763196147056263</v>
      </c>
      <c r="D25" s="22">
        <f t="shared" si="1"/>
        <v>0.173225455866289</v>
      </c>
      <c r="E25" s="22">
        <f t="shared" si="1"/>
        <v>0.729744218200363</v>
      </c>
      <c r="F25" s="22">
        <f t="shared" si="1"/>
        <v>0.446942799578822</v>
      </c>
      <c r="G25" s="23"/>
    </row>
    <row r="26" spans="1:7">
      <c r="A26" s="14">
        <v>19</v>
      </c>
      <c r="B26" s="21">
        <v>0.474189219095591</v>
      </c>
      <c r="C26" s="22">
        <f t="shared" si="1"/>
        <v>0.0443026892620923</v>
      </c>
      <c r="D26" s="22">
        <f t="shared" si="1"/>
        <v>0.118814738805559</v>
      </c>
      <c r="E26" s="22">
        <f t="shared" si="1"/>
        <v>0.698524584808679</v>
      </c>
      <c r="F26" s="22">
        <f t="shared" si="1"/>
        <v>0.400057451000559</v>
      </c>
      <c r="G26" s="23"/>
    </row>
    <row r="27" spans="1:7">
      <c r="A27" s="14">
        <v>20</v>
      </c>
      <c r="B27" s="21">
        <v>0.422091220937619</v>
      </c>
      <c r="C27" s="22">
        <f t="shared" si="1"/>
        <v>0.0229281766898145</v>
      </c>
      <c r="D27" s="22">
        <f t="shared" si="1"/>
        <v>0.0751563871916662</v>
      </c>
      <c r="E27" s="22">
        <f t="shared" si="1"/>
        <v>0.664634682968127</v>
      </c>
      <c r="F27" s="22">
        <f t="shared" si="1"/>
        <v>0.352724529092067</v>
      </c>
      <c r="G27" s="23"/>
    </row>
    <row r="28" spans="1:7">
      <c r="A28" s="14">
        <v>21</v>
      </c>
      <c r="B28" s="21">
        <v>0.346971016058413</v>
      </c>
      <c r="C28" s="22">
        <f t="shared" si="1"/>
        <v>0.0103268678591589</v>
      </c>
      <c r="D28" s="22">
        <f t="shared" si="1"/>
        <v>0.0430894887796983</v>
      </c>
      <c r="E28" s="22">
        <f t="shared" si="1"/>
        <v>0.628092219448125</v>
      </c>
      <c r="F28" s="22">
        <f t="shared" si="1"/>
        <v>0.305715704765527</v>
      </c>
      <c r="G28" s="23"/>
    </row>
    <row r="29" spans="1:7">
      <c r="A29" s="14">
        <v>22</v>
      </c>
      <c r="B29" s="21">
        <v>0.293064361762058</v>
      </c>
      <c r="C29" s="22">
        <f t="shared" si="1"/>
        <v>0.00393145344541023</v>
      </c>
      <c r="D29" s="22">
        <f t="shared" si="1"/>
        <v>0.0219260148806106</v>
      </c>
      <c r="E29" s="22">
        <f t="shared" si="1"/>
        <v>0.588988354885599</v>
      </c>
      <c r="F29" s="22">
        <f t="shared" si="1"/>
        <v>0.25988641177864</v>
      </c>
      <c r="G29" s="23"/>
    </row>
    <row r="30" spans="1:7">
      <c r="A30" s="14">
        <v>23</v>
      </c>
      <c r="B30" s="21">
        <v>0.232858040357466</v>
      </c>
      <c r="C30" s="22">
        <f t="shared" si="1"/>
        <v>0.00122126980138214</v>
      </c>
      <c r="D30" s="22">
        <f t="shared" si="1"/>
        <v>0.00965316125123916</v>
      </c>
      <c r="E30" s="22">
        <f t="shared" si="1"/>
        <v>0.547502928572496</v>
      </c>
      <c r="F30" s="22">
        <f t="shared" si="1"/>
        <v>0.216134768758909</v>
      </c>
      <c r="G30" s="23"/>
    </row>
    <row r="31" spans="1:7">
      <c r="A31" s="14">
        <v>24</v>
      </c>
      <c r="B31" s="21">
        <v>0.190942528947818</v>
      </c>
      <c r="C31" s="22">
        <f t="shared" si="1"/>
        <v>0.000296659508114373</v>
      </c>
      <c r="D31" s="22">
        <f t="shared" si="1"/>
        <v>0.00356535659104143</v>
      </c>
      <c r="E31" s="22">
        <f t="shared" si="1"/>
        <v>0.503918645433383</v>
      </c>
      <c r="F31" s="22">
        <f t="shared" si="1"/>
        <v>0.17534587855983</v>
      </c>
      <c r="G31" s="23"/>
    </row>
    <row r="32" spans="1:7">
      <c r="A32" s="14">
        <v>25</v>
      </c>
      <c r="B32" s="21">
        <v>0.164653096923697</v>
      </c>
      <c r="C32" s="22">
        <f t="shared" si="1"/>
        <v>5.35293312880216e-5</v>
      </c>
      <c r="D32" s="22">
        <f t="shared" si="1"/>
        <v>0.00106424998867156</v>
      </c>
      <c r="E32" s="22">
        <f t="shared" si="1"/>
        <v>0.458632430400759</v>
      </c>
      <c r="F32" s="22">
        <f t="shared" si="1"/>
        <v>0.138324718153866</v>
      </c>
      <c r="G32" s="23"/>
    </row>
    <row r="33" spans="1:11">
      <c r="A33" s="14">
        <v>26</v>
      </c>
      <c r="B33" s="21">
        <v>0.148868327448333</v>
      </c>
      <c r="C33" s="22">
        <f t="shared" si="1"/>
        <v>6.74423475754726e-6</v>
      </c>
      <c r="D33" s="22">
        <f t="shared" si="1"/>
        <v>0.000245403816057935</v>
      </c>
      <c r="E33" s="22">
        <f t="shared" si="1"/>
        <v>0.412161672924921</v>
      </c>
      <c r="F33" s="22">
        <f t="shared" si="1"/>
        <v>0.105724230407663</v>
      </c>
      <c r="G33" s="23"/>
    </row>
    <row r="34" spans="1:11">
      <c r="A34" s="14">
        <v>27</v>
      </c>
      <c r="B34" s="21">
        <v>0.11454490726822</v>
      </c>
      <c r="C34" s="22">
        <f t="shared" si="1"/>
        <v>5.50705105352367e-7</v>
      </c>
      <c r="D34" s="22">
        <f t="shared" si="1"/>
        <v>4.13929618796038e-5</v>
      </c>
      <c r="E34" s="22">
        <f t="shared" si="1"/>
        <v>0.365142725874107</v>
      </c>
      <c r="F34" s="22">
        <f t="shared" si="1"/>
        <v>0.0779785453058308</v>
      </c>
      <c r="G34" s="23"/>
    </row>
    <row r="35" spans="1:11">
      <c r="A35" s="14">
        <v>28</v>
      </c>
      <c r="B35" s="21">
        <v>0.103054577939045</v>
      </c>
      <c r="C35" s="22">
        <f t="shared" si="1"/>
        <v>2.6646577225688e-8</v>
      </c>
      <c r="D35" s="22">
        <f t="shared" si="1"/>
        <v>4.78188415507316e-6</v>
      </c>
      <c r="E35" s="22">
        <f t="shared" si="1"/>
        <v>0.318318944915169</v>
      </c>
      <c r="F35" s="22">
        <f t="shared" si="1"/>
        <v>0.0552534242125428</v>
      </c>
      <c r="G35" s="23"/>
    </row>
    <row r="36" ht="15.25" spans="1:11">
      <c r="A36" s="14">
        <v>29</v>
      </c>
      <c r="B36" s="21">
        <v>0.0950979000353695</v>
      </c>
      <c r="C36" s="22">
        <f t="shared" si="1"/>
        <v>6.86109253935805e-10</v>
      </c>
      <c r="D36" s="22">
        <f t="shared" si="1"/>
        <v>3.49520200309893e-7</v>
      </c>
      <c r="E36" s="22">
        <f t="shared" si="1"/>
        <v>0.272515947885678</v>
      </c>
      <c r="F36" s="22">
        <f t="shared" si="1"/>
        <v>0.0374257781970897</v>
      </c>
      <c r="G36" s="23"/>
    </row>
    <row r="37" ht="15.5" spans="1:11">
      <c r="A37" s="14">
        <v>30</v>
      </c>
      <c r="B37" s="21">
        <v>0.0950979000353695</v>
      </c>
      <c r="C37" s="22">
        <f t="shared" si="1"/>
        <v>8.2645524853028e-12</v>
      </c>
      <c r="D37" s="22">
        <f t="shared" si="1"/>
        <v>1.46945298074594e-8</v>
      </c>
      <c r="E37" s="22">
        <f t="shared" si="1"/>
        <v>0.228602829015039</v>
      </c>
      <c r="F37" s="22">
        <f t="shared" si="1"/>
        <v>0.024100468898179</v>
      </c>
      <c r="G37" s="23"/>
      <c r="I37" s="24">
        <v>20</v>
      </c>
      <c r="J37" s="25" t="s">
        <v>66</v>
      </c>
      <c r="K37" s="26"/>
    </row>
    <row r="38" ht="16.25" spans="1:11">
      <c r="A38" s="14">
        <v>31</v>
      </c>
      <c r="B38" s="21">
        <v>0.0794965091942965</v>
      </c>
      <c r="C38" s="22">
        <f t="shared" si="1"/>
        <v>3.99248227801898e-14</v>
      </c>
      <c r="D38" s="22">
        <f t="shared" si="1"/>
        <v>3.16957251470982e-10</v>
      </c>
      <c r="E38" s="22">
        <f t="shared" si="1"/>
        <v>0.1874399026682</v>
      </c>
      <c r="F38" s="22">
        <f t="shared" si="1"/>
        <v>0.0146654724946527</v>
      </c>
      <c r="G38" s="23"/>
      <c r="I38" s="27">
        <v>15</v>
      </c>
      <c r="J38" s="28" t="s">
        <v>67</v>
      </c>
      <c r="K38" s="29"/>
    </row>
    <row r="39" spans="1:11">
      <c r="A39" s="14">
        <v>32</v>
      </c>
      <c r="B39" s="21">
        <v>0.0568420433598065</v>
      </c>
      <c r="C39" s="22">
        <f t="shared" si="1"/>
        <v>6.43818749795908e-17</v>
      </c>
      <c r="D39" s="22">
        <f t="shared" si="1"/>
        <v>3.05927625547114e-12</v>
      </c>
      <c r="E39" s="22">
        <f t="shared" si="1"/>
        <v>0.149816134662246</v>
      </c>
      <c r="F39" s="22">
        <f t="shared" si="1"/>
        <v>0.00837724347223734</v>
      </c>
      <c r="G39" s="23"/>
    </row>
    <row r="40" spans="1:11">
      <c r="A40" s="14">
        <v>33</v>
      </c>
      <c r="B40" s="21">
        <v>0.0542540888865057</v>
      </c>
      <c r="C40" s="22">
        <f t="shared" si="1"/>
        <v>2.78692808868817e-20</v>
      </c>
      <c r="D40" s="22">
        <f t="shared" si="1"/>
        <v>1.12256021557371e-14</v>
      </c>
      <c r="E40" s="22">
        <f t="shared" si="1"/>
        <v>0.116382437982868</v>
      </c>
      <c r="F40" s="22">
        <f t="shared" si="1"/>
        <v>0.00445960432889931</v>
      </c>
      <c r="G40" s="23"/>
    </row>
    <row r="41" spans="1:11">
      <c r="A41" s="14">
        <v>34</v>
      </c>
      <c r="B41" s="21">
        <v>0.0542540888865057</v>
      </c>
      <c r="C41" s="22">
        <f t="shared" si="1"/>
        <v>2.50254185482109e-24</v>
      </c>
      <c r="D41" s="22">
        <f t="shared" si="1"/>
        <v>1.29036644913749e-17</v>
      </c>
      <c r="E41" s="22">
        <f t="shared" si="1"/>
        <v>0.0875898228328662</v>
      </c>
      <c r="F41" s="22">
        <f t="shared" si="1"/>
        <v>0.00219517829753202</v>
      </c>
      <c r="G41" s="23"/>
    </row>
    <row r="42" spans="1:11">
      <c r="A42" s="14">
        <v>35</v>
      </c>
      <c r="B42" s="21">
        <v>0.0542540888865057</v>
      </c>
      <c r="C42" s="22">
        <f t="shared" si="1"/>
        <v>3.44187211361019e-29</v>
      </c>
      <c r="D42" s="22">
        <f t="shared" si="1"/>
        <v>3.69671135557014e-21</v>
      </c>
      <c r="E42" s="22">
        <f t="shared" si="1"/>
        <v>0.0636430653415445</v>
      </c>
      <c r="F42" s="22">
        <f t="shared" si="1"/>
        <v>0.000990702863321507</v>
      </c>
      <c r="G42" s="23"/>
    </row>
    <row r="43" spans="1:11">
      <c r="A43" s="14">
        <v>36</v>
      </c>
      <c r="B43" s="21">
        <v>0.0453752228971555</v>
      </c>
      <c r="C43" s="22">
        <f t="shared" si="1"/>
        <v>5.08488119352033e-35</v>
      </c>
      <c r="D43" s="22">
        <f t="shared" si="1"/>
        <v>2.01780834205926e-25</v>
      </c>
      <c r="E43" s="22">
        <f t="shared" si="1"/>
        <v>0.0444800833434214</v>
      </c>
      <c r="F43" s="22">
        <f t="shared" si="1"/>
        <v>0.000406238313725398</v>
      </c>
      <c r="G43" s="23"/>
    </row>
    <row r="44" spans="1:11">
      <c r="A44" s="14">
        <v>37</v>
      </c>
      <c r="B44" s="21">
        <v>0.0330173163442898</v>
      </c>
      <c r="C44" s="22">
        <f t="shared" si="1"/>
        <v>5.34466962894203e-42</v>
      </c>
      <c r="D44" s="22">
        <f t="shared" si="1"/>
        <v>1.5342782793287e-30</v>
      </c>
      <c r="E44" s="22">
        <f t="shared" si="1"/>
        <v>0.0297838898972336</v>
      </c>
      <c r="F44" s="22">
        <f t="shared" si="1"/>
        <v>0.000149900948741295</v>
      </c>
      <c r="G44" s="23"/>
    </row>
    <row r="45" spans="1:11">
      <c r="A45" s="14">
        <v>38</v>
      </c>
      <c r="B45" s="21">
        <v>0.0330173163442898</v>
      </c>
      <c r="C45" s="22">
        <f t="shared" si="1"/>
        <v>2.48753719707069e-50</v>
      </c>
      <c r="D45" s="22">
        <f t="shared" si="1"/>
        <v>1.13154945051616e-36</v>
      </c>
      <c r="E45" s="22">
        <f t="shared" si="1"/>
        <v>0.0190279481314734</v>
      </c>
      <c r="F45" s="22">
        <f t="shared" si="1"/>
        <v>4.92743912646851e-5</v>
      </c>
      <c r="G45" s="23"/>
    </row>
    <row r="46" spans="1:11">
      <c r="A46" s="14">
        <v>39</v>
      </c>
      <c r="B46" s="21">
        <v>0.031841483991343</v>
      </c>
      <c r="C46" s="22">
        <f t="shared" si="1"/>
        <v>2.98709273777631e-60</v>
      </c>
      <c r="D46" s="22">
        <f t="shared" si="1"/>
        <v>5.34979488148274e-44</v>
      </c>
      <c r="E46" s="22">
        <f t="shared" si="1"/>
        <v>0.011548223188478</v>
      </c>
      <c r="F46" s="22">
        <f t="shared" si="1"/>
        <v>1.42778241771178e-5</v>
      </c>
      <c r="G46" s="23"/>
    </row>
    <row r="47" spans="1:11">
      <c r="A47" s="14">
        <v>40</v>
      </c>
      <c r="B47" s="21">
        <v>0.0289468036284937</v>
      </c>
      <c r="C47" s="22">
        <f t="shared" si="1"/>
        <v>5.04092981981214e-72</v>
      </c>
      <c r="D47" s="22">
        <f t="shared" si="1"/>
        <v>1.0155773516225e-52</v>
      </c>
      <c r="E47" s="22">
        <f t="shared" si="1"/>
        <v>0.00662848337086842</v>
      </c>
      <c r="F47" s="22">
        <f t="shared" si="1"/>
        <v>3.60770183438638e-6</v>
      </c>
      <c r="G47" s="23"/>
    </row>
    <row r="48" spans="1:11">
      <c r="A48" s="14">
        <v>41</v>
      </c>
      <c r="B48" s="21">
        <v>0.0260521232656443</v>
      </c>
      <c r="C48" s="22">
        <f t="shared" si="1"/>
        <v>6.09869056937694e-86</v>
      </c>
      <c r="D48" s="22">
        <f t="shared" si="1"/>
        <v>4.59937564837077e-63</v>
      </c>
      <c r="E48" s="22">
        <f t="shared" si="1"/>
        <v>0.00358198121587089</v>
      </c>
      <c r="F48" s="22">
        <f t="shared" si="1"/>
        <v>7.86262836388685e-7</v>
      </c>
      <c r="G48" s="23"/>
    </row>
    <row r="49" spans="1:7">
      <c r="A49" s="14">
        <v>42</v>
      </c>
      <c r="B49" s="21">
        <v>0.0231574429027949</v>
      </c>
      <c r="C49" s="22">
        <f t="shared" si="1"/>
        <v>2.54322977557799e-102</v>
      </c>
      <c r="D49" s="22">
        <f t="shared" si="1"/>
        <v>2.81328835742251e-75</v>
      </c>
      <c r="E49" s="22">
        <f t="shared" si="1"/>
        <v>0.00181417657127675</v>
      </c>
      <c r="F49" s="22">
        <f t="shared" si="1"/>
        <v>1.46193015454287e-7</v>
      </c>
      <c r="G49" s="23"/>
    </row>
    <row r="50" spans="1:7">
      <c r="A50" s="14">
        <v>43</v>
      </c>
      <c r="B50" s="21">
        <v>0.0202627625399456</v>
      </c>
      <c r="C50" s="22">
        <f t="shared" si="1"/>
        <v>1.67650027026223e-121</v>
      </c>
      <c r="D50" s="22">
        <f t="shared" si="1"/>
        <v>1.26504110236933e-89</v>
      </c>
      <c r="E50" s="22">
        <f t="shared" si="1"/>
        <v>0.000857351614537152</v>
      </c>
      <c r="F50" s="22">
        <f t="shared" si="1"/>
        <v>2.29435548157318e-8</v>
      </c>
      <c r="G50" s="23"/>
    </row>
    <row r="51" spans="1:7">
      <c r="A51" s="14">
        <v>44</v>
      </c>
      <c r="B51" s="21">
        <v>0.0173680821770962</v>
      </c>
      <c r="C51" s="22">
        <f t="shared" si="1"/>
        <v>7.78570335510438e-144</v>
      </c>
      <c r="D51" s="22">
        <f t="shared" si="1"/>
        <v>2.22006086811815e-106</v>
      </c>
      <c r="E51" s="22">
        <f t="shared" si="1"/>
        <v>0.000376458594281512</v>
      </c>
      <c r="F51" s="22">
        <f t="shared" si="1"/>
        <v>3.00829776838304e-9</v>
      </c>
      <c r="G51" s="23"/>
    </row>
    <row r="52" spans="1:7">
      <c r="A52" s="14">
        <v>45</v>
      </c>
      <c r="B52" s="21">
        <v>0.0144734018142468</v>
      </c>
      <c r="C52" s="22">
        <f t="shared" si="1"/>
        <v>1.13174612312143e-169</v>
      </c>
      <c r="D52" s="22">
        <f t="shared" si="1"/>
        <v>8.03262555274651e-126</v>
      </c>
      <c r="E52" s="22">
        <f t="shared" si="1"/>
        <v>0.000152979402302229</v>
      </c>
      <c r="F52" s="22">
        <f t="shared" si="1"/>
        <v>3.26406539912992e-10</v>
      </c>
      <c r="G52" s="23"/>
    </row>
    <row r="53" spans="1:7">
      <c r="A53" s="14">
        <v>46</v>
      </c>
      <c r="B53" s="21">
        <v>0.0115787214513975</v>
      </c>
      <c r="C53" s="22">
        <f t="shared" si="1"/>
        <v>2.35537253900522e-199</v>
      </c>
      <c r="D53" s="22">
        <f t="shared" si="1"/>
        <v>3.23146037062183e-148</v>
      </c>
      <c r="E53" s="22">
        <f t="shared" si="1"/>
        <v>5.73260931245053e-5</v>
      </c>
      <c r="F53" s="22">
        <f t="shared" si="1"/>
        <v>2.90558610240178e-11</v>
      </c>
      <c r="G53" s="23"/>
    </row>
    <row r="54" spans="1:7">
      <c r="A54" s="14">
        <v>47</v>
      </c>
      <c r="B54" s="21">
        <v>0.00868404108854809</v>
      </c>
      <c r="C54" s="22">
        <f t="shared" si="1"/>
        <v>3.42957733088786e-233</v>
      </c>
      <c r="D54" s="22">
        <f t="shared" si="1"/>
        <v>8.19736610112632e-174</v>
      </c>
      <c r="E54" s="22">
        <f t="shared" si="1"/>
        <v>1.97484236454548e-5</v>
      </c>
      <c r="F54" s="22">
        <f t="shared" si="1"/>
        <v>2.10627395377568e-12</v>
      </c>
      <c r="G54" s="23"/>
    </row>
    <row r="55" spans="1:7">
      <c r="A55" s="14">
        <v>48</v>
      </c>
      <c r="B55" s="21">
        <v>0.00578936072569872</v>
      </c>
      <c r="C55" s="22">
        <f t="shared" si="1"/>
        <v>1.89670438496799e-271</v>
      </c>
      <c r="D55" s="22">
        <f t="shared" si="1"/>
        <v>8.07212567278304e-203</v>
      </c>
      <c r="E55" s="22">
        <f t="shared" si="1"/>
        <v>6.23851575799832e-6</v>
      </c>
      <c r="F55" s="22">
        <f t="shared" si="1"/>
        <v>1.23588203550676e-13</v>
      </c>
      <c r="G55" s="23"/>
    </row>
    <row r="56" spans="1:7">
      <c r="A56" s="14">
        <v>49</v>
      </c>
      <c r="B56" s="21">
        <v>0.00289468036284934</v>
      </c>
      <c r="C56" s="22">
        <f t="shared" si="1"/>
        <v>2.49421781354134e-314</v>
      </c>
      <c r="D56" s="22">
        <f t="shared" si="1"/>
        <v>2.12544751796573e-235</v>
      </c>
      <c r="E56" s="22">
        <f t="shared" si="1"/>
        <v>1.80381580962101e-6</v>
      </c>
      <c r="F56" s="22">
        <f t="shared" si="1"/>
        <v>5.84361885257411e-15</v>
      </c>
      <c r="G56" s="23"/>
    </row>
    <row r="57" spans="1:7">
      <c r="A57" s="14">
        <v>50</v>
      </c>
      <c r="B57" s="21">
        <v>0</v>
      </c>
      <c r="C57" s="22">
        <f t="shared" si="1"/>
        <v>0</v>
      </c>
      <c r="D57" s="22">
        <f t="shared" si="1"/>
        <v>1.18305218616677e-271</v>
      </c>
      <c r="E57" s="22">
        <f t="shared" si="1"/>
        <v>4.76837158203125e-7</v>
      </c>
      <c r="F57" s="22">
        <f t="shared" si="1"/>
        <v>2.22044604925031e-16</v>
      </c>
      <c r="G57" s="23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21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3"/>
      <c r="D14" s="14"/>
      <c r="E14" s="14"/>
      <c r="F14" s="14"/>
    </row>
    <row r="15" ht="14.5" spans="2:9">
      <c r="C15" s="13"/>
      <c r="D15" s="13"/>
      <c r="E15" s="14"/>
      <c r="F15" s="14"/>
      <c r="I15" s="15"/>
    </row>
    <row r="16" ht="14.5" spans="2:9">
      <c r="B16" t="s">
        <v>75</v>
      </c>
      <c r="C16" s="13"/>
      <c r="D16" s="13"/>
      <c r="E16" s="14"/>
      <c r="F16" s="14"/>
      <c r="I16" s="15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6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6"/>
    <col min="3" max="3" width="26" style="6" customWidth="1"/>
    <col min="4" max="4" width="11.8636363636364" style="6" customWidth="1"/>
    <col min="5" max="5" width="7.72727272727273" style="6" customWidth="1"/>
    <col min="6" max="6" width="8.26363636363636" style="6" customWidth="1"/>
    <col min="7" max="7" width="26" style="6" customWidth="1"/>
    <col min="8" max="8" width="9.6" style="6" customWidth="1"/>
    <col min="9" max="9" width="9.13636363636364" style="6"/>
    <col min="10" max="10" width="6.86363636363636" style="6" customWidth="1"/>
    <col min="11" max="16384" width="9.13636363636364" style="6"/>
  </cols>
  <sheetData>
    <row r="1" spans="1:12">
      <c r="A1" s="7" t="s">
        <v>89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>
      <c r="A3" s="7"/>
      <c r="B3" s="7"/>
      <c r="C3" s="8" t="s">
        <v>2</v>
      </c>
      <c r="D3" s="7"/>
      <c r="E3" s="7"/>
      <c r="F3" s="7"/>
      <c r="G3" s="7"/>
      <c r="H3" s="7"/>
      <c r="I3" s="7"/>
      <c r="J3" s="7"/>
      <c r="K3" s="7"/>
      <c r="L3" s="7"/>
    </row>
    <row r="4" spans="1:12">
      <c r="A4" s="7"/>
      <c r="B4" s="7"/>
      <c r="C4" s="7" t="s">
        <v>43</v>
      </c>
      <c r="D4" s="7" t="s">
        <v>47</v>
      </c>
      <c r="E4" s="7" t="s">
        <v>90</v>
      </c>
      <c r="F4" s="7" t="s">
        <v>46</v>
      </c>
      <c r="G4" s="7" t="s">
        <v>68</v>
      </c>
      <c r="H4" s="7" t="s">
        <v>77</v>
      </c>
      <c r="I4" s="7" t="s">
        <v>91</v>
      </c>
      <c r="J4" s="7"/>
      <c r="K4" s="7"/>
      <c r="L4" s="7" t="s">
        <v>92</v>
      </c>
    </row>
    <row r="5" spans="1:12">
      <c r="A5" s="7"/>
      <c r="B5" s="7"/>
      <c r="C5" s="9" t="s">
        <v>93</v>
      </c>
      <c r="D5" s="9" t="s">
        <v>94</v>
      </c>
      <c r="E5" s="9"/>
      <c r="F5" s="10">
        <v>0.25</v>
      </c>
      <c r="G5" s="9" t="s">
        <v>95</v>
      </c>
      <c r="H5" s="9"/>
      <c r="I5" s="9" t="s">
        <v>94</v>
      </c>
      <c r="J5" s="7"/>
      <c r="K5" s="7"/>
      <c r="L5" s="7"/>
    </row>
    <row r="6" spans="1:12">
      <c r="A6" s="7"/>
      <c r="B6" s="7"/>
      <c r="C6" s="7" t="s">
        <v>93</v>
      </c>
      <c r="D6" s="7" t="s">
        <v>96</v>
      </c>
      <c r="E6" s="7"/>
      <c r="F6" s="11">
        <v>0.25</v>
      </c>
      <c r="G6" s="7" t="s">
        <v>97</v>
      </c>
      <c r="H6" s="7"/>
      <c r="I6" s="7" t="s">
        <v>96</v>
      </c>
      <c r="J6" s="7"/>
      <c r="K6" s="7"/>
      <c r="L6" s="7"/>
    </row>
    <row r="7" spans="1:12">
      <c r="A7" s="7"/>
      <c r="B7" s="7"/>
      <c r="C7" s="7" t="s">
        <v>98</v>
      </c>
      <c r="D7" s="7" t="s">
        <v>99</v>
      </c>
      <c r="E7" s="7" t="s">
        <v>100</v>
      </c>
      <c r="F7" s="11">
        <v>0.31</v>
      </c>
      <c r="G7" s="7" t="s">
        <v>101</v>
      </c>
      <c r="H7" s="7"/>
      <c r="I7" s="7"/>
      <c r="J7" s="7"/>
      <c r="K7" s="7"/>
      <c r="L7" s="7"/>
    </row>
    <row r="8" spans="1:12">
      <c r="A8" s="7"/>
      <c r="B8" s="7"/>
      <c r="C8" s="7" t="s">
        <v>98</v>
      </c>
      <c r="D8" s="7" t="s">
        <v>94</v>
      </c>
      <c r="E8" s="7" t="s">
        <v>100</v>
      </c>
      <c r="F8" s="11">
        <v>1</v>
      </c>
      <c r="G8" s="7" t="s">
        <v>95</v>
      </c>
      <c r="H8" s="7"/>
      <c r="I8" s="7" t="s">
        <v>94</v>
      </c>
      <c r="J8" s="7"/>
      <c r="K8" s="7"/>
      <c r="L8" s="7"/>
    </row>
    <row r="9" spans="1:12">
      <c r="A9" s="7"/>
      <c r="B9" s="7"/>
      <c r="C9" s="7" t="s">
        <v>98</v>
      </c>
      <c r="D9" s="7" t="s">
        <v>96</v>
      </c>
      <c r="E9" s="7" t="s">
        <v>100</v>
      </c>
      <c r="F9" s="11">
        <v>1</v>
      </c>
      <c r="G9" s="7" t="s">
        <v>97</v>
      </c>
      <c r="H9" s="7"/>
      <c r="I9" s="7" t="s">
        <v>96</v>
      </c>
      <c r="J9" s="7"/>
      <c r="K9" s="7"/>
      <c r="L9" s="7"/>
    </row>
    <row r="10" spans="1:12">
      <c r="A10" s="7"/>
      <c r="B10" s="7"/>
      <c r="C10" s="7" t="s">
        <v>98</v>
      </c>
      <c r="D10" s="7" t="s">
        <v>102</v>
      </c>
      <c r="E10" s="7" t="s">
        <v>100</v>
      </c>
      <c r="F10" s="11">
        <v>0.67</v>
      </c>
      <c r="G10" s="7" t="s">
        <v>101</v>
      </c>
      <c r="H10" s="7"/>
      <c r="I10" s="7"/>
      <c r="J10" s="7"/>
      <c r="K10" s="7"/>
      <c r="L10" s="7" t="s">
        <v>103</v>
      </c>
    </row>
    <row r="11" spans="1:12">
      <c r="A11" s="7"/>
      <c r="B11" s="7"/>
      <c r="C11" s="7" t="s">
        <v>104</v>
      </c>
      <c r="D11" s="7"/>
      <c r="E11" s="7"/>
      <c r="F11" s="11">
        <v>0.8</v>
      </c>
      <c r="G11" s="7" t="s">
        <v>101</v>
      </c>
      <c r="H11" s="7"/>
      <c r="I11" s="7"/>
      <c r="J11" s="7"/>
      <c r="K11" s="7"/>
      <c r="L11" s="7"/>
    </row>
    <row r="12" spans="1:12">
      <c r="A12" s="7"/>
      <c r="B12" s="7"/>
      <c r="C12" s="7" t="s">
        <v>105</v>
      </c>
      <c r="D12" s="7" t="s">
        <v>106</v>
      </c>
      <c r="E12" s="7"/>
      <c r="F12" s="7">
        <v>1.25</v>
      </c>
      <c r="G12" s="7" t="s">
        <v>95</v>
      </c>
      <c r="H12" s="7" t="s">
        <v>94</v>
      </c>
      <c r="I12" s="7"/>
      <c r="J12" s="7"/>
      <c r="K12" s="7"/>
      <c r="L12" s="7"/>
    </row>
    <row r="13" spans="1:12">
      <c r="A13" s="7"/>
      <c r="B13" s="7"/>
      <c r="C13" s="12" t="s">
        <v>105</v>
      </c>
      <c r="D13" s="12" t="s">
        <v>106</v>
      </c>
      <c r="E13" s="12"/>
      <c r="F13" s="12">
        <v>0.8</v>
      </c>
      <c r="G13" s="12" t="s">
        <v>97</v>
      </c>
      <c r="H13" s="12" t="s">
        <v>96</v>
      </c>
      <c r="I13" s="12"/>
      <c r="J13" s="7"/>
      <c r="K13" s="7"/>
      <c r="L13" s="7"/>
    </row>
    <row r="14" spans="1:1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>
      <c r="A16" s="7"/>
      <c r="B16" s="7"/>
      <c r="C16" s="8" t="s">
        <v>107</v>
      </c>
      <c r="D16" s="7"/>
      <c r="E16" s="7"/>
      <c r="F16" s="7"/>
      <c r="G16" s="7"/>
      <c r="H16" s="7"/>
      <c r="I16" s="7"/>
      <c r="J16" s="7"/>
      <c r="K16" s="7"/>
      <c r="L16" s="7"/>
    </row>
    <row r="17" spans="1:12">
      <c r="A17" s="7"/>
      <c r="B17" s="7"/>
      <c r="C17" s="7" t="s">
        <v>68</v>
      </c>
      <c r="D17" s="7" t="s">
        <v>77</v>
      </c>
      <c r="E17" s="7" t="s">
        <v>49</v>
      </c>
      <c r="F17" s="7"/>
      <c r="G17" s="7"/>
      <c r="H17" s="7"/>
      <c r="I17" s="7"/>
      <c r="J17" s="7"/>
      <c r="K17" s="7"/>
      <c r="L17" s="7"/>
    </row>
    <row r="18" spans="1:12">
      <c r="A18" s="7"/>
      <c r="B18" s="7"/>
      <c r="C18" s="7" t="s">
        <v>95</v>
      </c>
      <c r="D18" s="7" t="s">
        <v>106</v>
      </c>
      <c r="E18" s="7" t="s">
        <v>108</v>
      </c>
      <c r="F18" s="7"/>
      <c r="G18" s="7"/>
      <c r="H18" s="7"/>
      <c r="I18" s="7"/>
      <c r="J18" s="7"/>
      <c r="K18" s="7"/>
      <c r="L18" s="7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K82"/>
  <sheetViews>
    <sheetView tabSelected="1" zoomScale="47" zoomScaleNormal="47" workbookViewId="0">
      <selection activeCell="U24" sqref="U24"/>
    </sheetView>
  </sheetViews>
  <sheetFormatPr defaultColWidth="9" defaultRowHeight="12.5"/>
  <cols>
    <col min="3" max="3" width="14.4" customWidth="1"/>
    <col min="5" max="13" width="9.6" customWidth="1"/>
  </cols>
  <sheetData>
    <row r="1" spans="3:19">
      <c r="S1" t="s">
        <v>109</v>
      </c>
    </row>
    <row r="3" spans="3:19">
      <c r="C3" t="s">
        <v>110</v>
      </c>
    </row>
    <row r="4" ht="15.5" spans="3:19">
      <c r="C4" s="2" t="s">
        <v>111</v>
      </c>
      <c r="D4" s="2" t="s">
        <v>112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  <c r="N4" s="3">
        <v>2070</v>
      </c>
      <c r="O4" s="3">
        <v>2090</v>
      </c>
      <c r="P4" s="3">
        <v>2100</v>
      </c>
    </row>
    <row r="5" ht="15.5" spans="3:19">
      <c r="C5" s="2" t="s">
        <v>113</v>
      </c>
      <c r="D5" s="2" t="s">
        <v>114</v>
      </c>
      <c r="E5" s="4">
        <v>1015.57785219713</v>
      </c>
      <c r="F5" s="4">
        <v>1037.01473698061</v>
      </c>
      <c r="G5" s="4">
        <v>1127.61866769891</v>
      </c>
      <c r="H5" s="4">
        <v>1192.89451864597</v>
      </c>
      <c r="I5" s="4">
        <v>1370.05677173614</v>
      </c>
      <c r="J5" s="4">
        <v>1665.88413628056</v>
      </c>
      <c r="K5" s="4">
        <v>2199.3436201368</v>
      </c>
      <c r="L5" s="4">
        <v>2925.87637226267</v>
      </c>
      <c r="M5" s="4">
        <v>3795.92770380334</v>
      </c>
      <c r="N5" s="3">
        <v>6600.51</v>
      </c>
      <c r="O5" s="3">
        <v>8720.43</v>
      </c>
      <c r="P5" s="3">
        <v>9222.13</v>
      </c>
    </row>
    <row r="6" ht="15.5" spans="3:19">
      <c r="C6" s="2" t="s">
        <v>115</v>
      </c>
      <c r="D6" s="2" t="s">
        <v>114</v>
      </c>
      <c r="E6" s="4">
        <v>700.506390189112</v>
      </c>
      <c r="F6" s="4">
        <v>708.187423292878</v>
      </c>
      <c r="G6" s="4">
        <v>763.456291089545</v>
      </c>
      <c r="H6" s="4">
        <v>809.880234686472</v>
      </c>
      <c r="I6" s="4">
        <v>984.300013102204</v>
      </c>
      <c r="J6" s="4">
        <v>1267.90458730955</v>
      </c>
      <c r="K6" s="4">
        <v>1745.47108445086</v>
      </c>
      <c r="L6" s="4">
        <v>2427.96068174782</v>
      </c>
      <c r="M6" s="4">
        <v>3278.02249606961</v>
      </c>
      <c r="N6" s="3">
        <v>6217.59</v>
      </c>
      <c r="O6" s="3">
        <v>8584.99</v>
      </c>
      <c r="P6" s="3">
        <v>9160.08</v>
      </c>
    </row>
    <row r="7" ht="15.5" spans="3:19">
      <c r="C7" s="2" t="s">
        <v>116</v>
      </c>
      <c r="D7" s="2" t="s">
        <v>114</v>
      </c>
      <c r="E7" s="4">
        <v>811.760710025002</v>
      </c>
      <c r="F7" s="4">
        <v>803.644381254031</v>
      </c>
      <c r="G7" s="4">
        <v>816.735144712492</v>
      </c>
      <c r="H7" s="4">
        <v>828.38482385546</v>
      </c>
      <c r="I7" s="4">
        <v>866.15624018891</v>
      </c>
      <c r="J7" s="4">
        <v>932.447059584168</v>
      </c>
      <c r="K7" s="4">
        <v>1036.67083840925</v>
      </c>
      <c r="L7" s="4">
        <v>1169.76924846412</v>
      </c>
      <c r="M7" s="4">
        <v>1316.33975710608</v>
      </c>
      <c r="N7" s="3">
        <v>1673.84</v>
      </c>
      <c r="O7" s="3">
        <v>1888.19</v>
      </c>
      <c r="P7" s="3">
        <v>1934.33</v>
      </c>
    </row>
    <row r="8" ht="15.5" spans="3:19">
      <c r="C8" s="2" t="s">
        <v>117</v>
      </c>
      <c r="D8" s="2" t="s">
        <v>114</v>
      </c>
      <c r="E8" s="4">
        <v>224.684568772695</v>
      </c>
      <c r="F8" s="4">
        <v>221.658821619</v>
      </c>
      <c r="G8" s="4">
        <v>229.211458542644</v>
      </c>
      <c r="H8" s="4">
        <v>230.394037153742</v>
      </c>
      <c r="I8" s="4">
        <v>232.438606018886</v>
      </c>
      <c r="J8" s="4">
        <v>238.378802292813</v>
      </c>
      <c r="K8" s="4">
        <v>247.640926063722</v>
      </c>
      <c r="L8" s="4">
        <v>265.373430289485</v>
      </c>
      <c r="M8" s="4">
        <v>282.416268561145</v>
      </c>
      <c r="N8" s="3">
        <v>322.22</v>
      </c>
      <c r="O8" s="3">
        <v>344.22</v>
      </c>
      <c r="P8" s="3">
        <v>348.8</v>
      </c>
    </row>
    <row r="9" ht="15.5" spans="3:19">
      <c r="C9" s="2" t="s">
        <v>118</v>
      </c>
      <c r="D9" s="2" t="s">
        <v>114</v>
      </c>
      <c r="E9" s="4">
        <v>91.3213206364547</v>
      </c>
      <c r="F9" s="4">
        <v>92.6404840937767</v>
      </c>
      <c r="G9" s="4">
        <v>92.5984420524589</v>
      </c>
      <c r="H9" s="4">
        <v>91.4898158422601</v>
      </c>
      <c r="I9" s="4">
        <v>93.5552740948178</v>
      </c>
      <c r="J9" s="4">
        <v>95.9559380661831</v>
      </c>
      <c r="K9" s="4">
        <v>101.209166619483</v>
      </c>
      <c r="L9" s="4">
        <v>109.271397028133</v>
      </c>
      <c r="M9" s="4">
        <v>115.392425870025</v>
      </c>
      <c r="N9" s="3">
        <v>131.61</v>
      </c>
      <c r="O9" s="3">
        <v>140.58</v>
      </c>
      <c r="P9" s="3">
        <v>142.44</v>
      </c>
    </row>
    <row r="10" ht="15.5" spans="3:19">
      <c r="C10" s="2" t="s">
        <v>119</v>
      </c>
      <c r="D10" s="2" t="s">
        <v>114</v>
      </c>
      <c r="E10" s="4">
        <v>720.056906884785</v>
      </c>
      <c r="F10" s="4">
        <v>719.556627078013</v>
      </c>
      <c r="G10" s="4">
        <v>733.373956427643</v>
      </c>
      <c r="H10" s="4">
        <v>742.088533821348</v>
      </c>
      <c r="I10" s="4">
        <v>755.510974755295</v>
      </c>
      <c r="J10" s="4">
        <v>772.143483151526</v>
      </c>
      <c r="K10" s="4">
        <v>808.860835882477</v>
      </c>
      <c r="L10" s="4">
        <v>859.578580594601</v>
      </c>
      <c r="M10" s="4">
        <v>917.862208599184</v>
      </c>
      <c r="N10" s="3">
        <v>1041.96</v>
      </c>
      <c r="O10" s="3">
        <v>1110.29</v>
      </c>
      <c r="P10" s="3">
        <v>1124.49</v>
      </c>
    </row>
    <row r="11" ht="15.5" spans="3:19">
      <c r="C11" s="2" t="s">
        <v>120</v>
      </c>
      <c r="D11" s="2" t="s">
        <v>114</v>
      </c>
      <c r="E11" s="4">
        <v>1889.629495543</v>
      </c>
      <c r="F11" s="4">
        <v>1859.9687751164</v>
      </c>
      <c r="G11" s="4">
        <v>1981.78033291991</v>
      </c>
      <c r="H11" s="4">
        <v>2049.79112447664</v>
      </c>
      <c r="I11" s="4">
        <v>2098.78105924734</v>
      </c>
      <c r="J11" s="4">
        <v>2290.11734063228</v>
      </c>
      <c r="K11" s="4">
        <v>2754.80771382896</v>
      </c>
      <c r="L11" s="4">
        <v>3444.89980463834</v>
      </c>
      <c r="M11" s="4">
        <v>4246.97439528645</v>
      </c>
      <c r="N11" s="3">
        <v>6578.11</v>
      </c>
      <c r="O11" s="3">
        <v>8196.55</v>
      </c>
      <c r="P11" s="3">
        <v>8566.44</v>
      </c>
    </row>
    <row r="12" ht="15.5" spans="3:19">
      <c r="C12" s="2" t="s">
        <v>121</v>
      </c>
      <c r="D12" s="2" t="s">
        <v>114</v>
      </c>
      <c r="E12" s="4">
        <v>22744.2339083522</v>
      </c>
      <c r="F12" s="4">
        <v>23606.9665005486</v>
      </c>
      <c r="G12" s="4">
        <v>24450.2550934097</v>
      </c>
      <c r="H12" s="4">
        <v>25084.4224967097</v>
      </c>
      <c r="I12" s="4">
        <v>26155.0416914015</v>
      </c>
      <c r="J12" s="4">
        <v>26842.4787162917</v>
      </c>
      <c r="K12" s="4">
        <v>27770.8078025527</v>
      </c>
      <c r="L12" s="4">
        <v>28938.6996602857</v>
      </c>
      <c r="M12" s="4">
        <v>29909.1495814007</v>
      </c>
      <c r="N12" s="3">
        <v>32216.57</v>
      </c>
      <c r="O12" s="3">
        <v>33437.36</v>
      </c>
      <c r="P12" s="3">
        <v>33687.15</v>
      </c>
    </row>
    <row r="13" ht="15.5" spans="3:19">
      <c r="C13" s="2" t="s">
        <v>122</v>
      </c>
      <c r="D13" s="2" t="s">
        <v>114</v>
      </c>
      <c r="E13" s="4">
        <v>106.71394978007</v>
      </c>
      <c r="F13" s="4">
        <v>105.86114713288</v>
      </c>
      <c r="G13" s="4">
        <v>111.769604710543</v>
      </c>
      <c r="H13" s="4">
        <v>115.436623165546</v>
      </c>
      <c r="I13" s="4">
        <v>120.433369853716</v>
      </c>
      <c r="J13" s="4">
        <v>125.53400071485</v>
      </c>
      <c r="K13" s="4">
        <v>133.215918481045</v>
      </c>
      <c r="L13" s="4">
        <v>140.231846964562</v>
      </c>
      <c r="M13" s="4">
        <v>145.791724644316</v>
      </c>
      <c r="N13" s="3">
        <v>159.58</v>
      </c>
      <c r="O13" s="3">
        <v>166.96</v>
      </c>
      <c r="P13" s="3">
        <v>168.48</v>
      </c>
    </row>
    <row r="14" ht="15.5" spans="3:19">
      <c r="C14" s="2" t="s">
        <v>123</v>
      </c>
      <c r="D14" s="2" t="s">
        <v>114</v>
      </c>
      <c r="E14" s="4">
        <v>298.431610121176</v>
      </c>
      <c r="F14" s="4">
        <v>302.891536772257</v>
      </c>
      <c r="G14" s="4">
        <v>303.590972202189</v>
      </c>
      <c r="H14" s="4">
        <v>306.287576652962</v>
      </c>
      <c r="I14" s="4">
        <v>309.521178544634</v>
      </c>
      <c r="J14" s="4">
        <v>317.514465675274</v>
      </c>
      <c r="K14" s="4">
        <v>349.884297902855</v>
      </c>
      <c r="L14" s="4">
        <v>374.428069554838</v>
      </c>
      <c r="M14" s="4">
        <v>402.873694207413</v>
      </c>
      <c r="N14" s="3">
        <v>464.12</v>
      </c>
      <c r="O14" s="3">
        <v>498.21</v>
      </c>
      <c r="P14" s="3">
        <v>505.33</v>
      </c>
    </row>
    <row r="15" ht="15.5" spans="3:19">
      <c r="C15" s="2" t="s">
        <v>124</v>
      </c>
      <c r="D15" s="2" t="s">
        <v>114</v>
      </c>
      <c r="E15" s="4">
        <v>1523.31830942518</v>
      </c>
      <c r="F15" s="4">
        <v>1518.03306002552</v>
      </c>
      <c r="G15" s="4">
        <v>1551.10407188437</v>
      </c>
      <c r="H15" s="4">
        <v>1590.28740164799</v>
      </c>
      <c r="I15" s="4">
        <v>1565.03609854446</v>
      </c>
      <c r="J15" s="4">
        <v>1579.33124731023</v>
      </c>
      <c r="K15" s="4">
        <v>1626.56371385418</v>
      </c>
      <c r="L15" s="4">
        <v>1782.14555116026</v>
      </c>
      <c r="M15" s="4">
        <v>1964.29883037776</v>
      </c>
      <c r="N15" s="3">
        <v>2374.28</v>
      </c>
      <c r="O15" s="3">
        <v>2610.91</v>
      </c>
      <c r="P15" s="3">
        <v>2661.06</v>
      </c>
    </row>
    <row r="16" ht="15.5" spans="3:19">
      <c r="C16" s="2" t="s">
        <v>125</v>
      </c>
      <c r="D16" s="2" t="s">
        <v>114</v>
      </c>
      <c r="E16" s="4">
        <v>1751.82770057674</v>
      </c>
      <c r="F16" s="4">
        <v>1741.22491771675</v>
      </c>
      <c r="G16" s="4">
        <v>1748.58986706485</v>
      </c>
      <c r="H16" s="4">
        <v>1773.67723745575</v>
      </c>
      <c r="I16" s="4">
        <v>1746.78484731398</v>
      </c>
      <c r="J16" s="4">
        <v>1764.44051833082</v>
      </c>
      <c r="K16" s="4">
        <v>1885.75198265507</v>
      </c>
      <c r="L16" s="4">
        <v>2091.14588739423</v>
      </c>
      <c r="M16" s="4">
        <v>2203.62619393307</v>
      </c>
      <c r="N16" s="3">
        <v>2576.66</v>
      </c>
      <c r="O16" s="3">
        <v>2786.65</v>
      </c>
      <c r="P16" s="3">
        <v>2830.71</v>
      </c>
    </row>
    <row r="17" ht="15.5" spans="3:16">
      <c r="C17" s="2" t="s">
        <v>126</v>
      </c>
      <c r="D17" s="2" t="s">
        <v>114</v>
      </c>
      <c r="E17" s="4">
        <v>202.965719423183</v>
      </c>
      <c r="F17" s="4">
        <v>200.796513584471</v>
      </c>
      <c r="G17" s="4">
        <v>211.698151044089</v>
      </c>
      <c r="H17" s="4">
        <v>219.361788377134</v>
      </c>
      <c r="I17" s="4">
        <v>223.695189227577</v>
      </c>
      <c r="J17" s="4">
        <v>232.498849232118</v>
      </c>
      <c r="K17" s="4">
        <v>250.211044493798</v>
      </c>
      <c r="L17" s="4">
        <v>271.693840391958</v>
      </c>
      <c r="M17" s="4">
        <v>292.167447409053</v>
      </c>
      <c r="N17" s="3">
        <v>341.37</v>
      </c>
      <c r="O17" s="3">
        <v>369.05</v>
      </c>
      <c r="P17" s="3">
        <v>374.86</v>
      </c>
    </row>
    <row r="18" ht="15.5" spans="3:16">
      <c r="C18" s="2" t="s">
        <v>127</v>
      </c>
      <c r="D18" s="2" t="s">
        <v>114</v>
      </c>
      <c r="E18" s="4">
        <v>422.154863455916</v>
      </c>
      <c r="F18" s="4">
        <v>424.207924638176</v>
      </c>
      <c r="G18" s="4">
        <v>438.132377784779</v>
      </c>
      <c r="H18" s="4">
        <v>448.440585003087</v>
      </c>
      <c r="I18" s="4">
        <v>467.986483101575</v>
      </c>
      <c r="J18" s="4">
        <v>493.927958226482</v>
      </c>
      <c r="K18" s="4">
        <v>531.222605933791</v>
      </c>
      <c r="L18" s="4">
        <v>570.409474012972</v>
      </c>
      <c r="M18" s="4">
        <v>601.324795064838</v>
      </c>
      <c r="N18" s="3">
        <v>680.93</v>
      </c>
      <c r="O18" s="3">
        <v>724.68</v>
      </c>
      <c r="P18" s="3">
        <v>733.77</v>
      </c>
    </row>
    <row r="19" ht="15.5" spans="3:16">
      <c r="C19" s="2" t="s">
        <v>128</v>
      </c>
      <c r="D19" s="2" t="s">
        <v>114</v>
      </c>
      <c r="E19" s="4">
        <v>60.4539572974715</v>
      </c>
      <c r="F19" s="4">
        <v>60.59246295926</v>
      </c>
      <c r="G19" s="4">
        <v>65.3816416592109</v>
      </c>
      <c r="H19" s="4">
        <v>68.7131115967035</v>
      </c>
      <c r="I19" s="4">
        <v>76.3826051943315</v>
      </c>
      <c r="J19" s="4">
        <v>84.8463366031251</v>
      </c>
      <c r="K19" s="4">
        <v>94.1027591069653</v>
      </c>
      <c r="L19" s="4">
        <v>103.016887042525</v>
      </c>
      <c r="M19" s="4">
        <v>112.218052947304</v>
      </c>
      <c r="N19" s="3">
        <v>133.93</v>
      </c>
      <c r="O19" s="3">
        <v>146.35</v>
      </c>
      <c r="P19" s="3">
        <v>148.97</v>
      </c>
    </row>
    <row r="20" ht="15.5" spans="3:16">
      <c r="C20" s="2" t="s">
        <v>129</v>
      </c>
      <c r="D20" s="2" t="s">
        <v>114</v>
      </c>
      <c r="E20" s="4">
        <v>4502.38020205123</v>
      </c>
      <c r="F20" s="4">
        <v>4572.60507127652</v>
      </c>
      <c r="G20" s="4">
        <v>5494.71646075169</v>
      </c>
      <c r="H20" s="4">
        <v>6074.71125752964</v>
      </c>
      <c r="I20" s="4">
        <v>7626.5520416464</v>
      </c>
      <c r="J20" s="4">
        <v>9561.4403506468</v>
      </c>
      <c r="K20" s="4">
        <v>12130.9279229059</v>
      </c>
      <c r="L20" s="4">
        <v>15065.5257697937</v>
      </c>
      <c r="M20" s="4">
        <v>18404.055717985</v>
      </c>
      <c r="N20" s="3">
        <v>28042.67</v>
      </c>
      <c r="O20" s="3">
        <v>34654.02</v>
      </c>
      <c r="P20" s="3">
        <v>36157.54</v>
      </c>
    </row>
    <row r="21" ht="15.5" spans="3:16">
      <c r="C21" s="2" t="s">
        <v>130</v>
      </c>
      <c r="D21" s="2" t="s">
        <v>114</v>
      </c>
      <c r="E21" s="4">
        <v>101.514199512125</v>
      </c>
      <c r="F21" s="4">
        <v>107.040188910481</v>
      </c>
      <c r="G21" s="4">
        <v>110.336748175391</v>
      </c>
      <c r="H21" s="4">
        <v>114.96915766046</v>
      </c>
      <c r="I21" s="4">
        <v>117.768768215006</v>
      </c>
      <c r="J21" s="4">
        <v>122.605229659658</v>
      </c>
      <c r="K21" s="4">
        <v>134.149507756878</v>
      </c>
      <c r="L21" s="4">
        <v>151.578310273947</v>
      </c>
      <c r="M21" s="4">
        <v>168.944520472062</v>
      </c>
      <c r="N21" s="3">
        <v>213.04</v>
      </c>
      <c r="O21" s="3">
        <v>239.31</v>
      </c>
      <c r="P21" s="3">
        <v>244.95</v>
      </c>
    </row>
    <row r="22" ht="15.5" spans="3:16">
      <c r="C22" s="2" t="s">
        <v>131</v>
      </c>
      <c r="D22" s="2" t="s">
        <v>114</v>
      </c>
      <c r="E22" s="4">
        <v>1015.30841514321</v>
      </c>
      <c r="F22" s="4">
        <v>1002.56260242359</v>
      </c>
      <c r="G22" s="4">
        <v>1019.52943157746</v>
      </c>
      <c r="H22" s="4">
        <v>1031.95629586965</v>
      </c>
      <c r="I22" s="4">
        <v>1002.42600621985</v>
      </c>
      <c r="J22" s="4">
        <v>1029.72756882515</v>
      </c>
      <c r="K22" s="4">
        <v>1088.30096650283</v>
      </c>
      <c r="L22" s="4">
        <v>1164.25160516749</v>
      </c>
      <c r="M22" s="4">
        <v>1249.22121537408</v>
      </c>
      <c r="N22" s="3">
        <v>1434.62</v>
      </c>
      <c r="O22" s="3">
        <v>1537.57</v>
      </c>
      <c r="P22" s="3">
        <v>1559.06</v>
      </c>
    </row>
    <row r="23" ht="15.5" spans="3:16">
      <c r="C23" s="2" t="s">
        <v>132</v>
      </c>
      <c r="D23" s="2" t="s">
        <v>114</v>
      </c>
      <c r="E23" s="4">
        <v>3272.7165337573</v>
      </c>
      <c r="F23" s="4">
        <v>3211.59710233487</v>
      </c>
      <c r="G23" s="4">
        <v>3239.82915146128</v>
      </c>
      <c r="H23" s="4">
        <v>3238.62087811627</v>
      </c>
      <c r="I23" s="4">
        <v>3213.90891662095</v>
      </c>
      <c r="J23" s="4">
        <v>3256.12710807577</v>
      </c>
      <c r="K23" s="4">
        <v>3456.4015716034</v>
      </c>
      <c r="L23" s="4">
        <v>3742.03367769938</v>
      </c>
      <c r="M23" s="4">
        <v>4027.39454479793</v>
      </c>
      <c r="N23" s="3">
        <v>4695.45</v>
      </c>
      <c r="O23" s="3">
        <v>5070.7</v>
      </c>
      <c r="P23" s="3">
        <v>5149.37</v>
      </c>
    </row>
    <row r="24" ht="15.5" spans="3:16">
      <c r="C24" s="2" t="s">
        <v>133</v>
      </c>
      <c r="D24" s="2" t="s">
        <v>114</v>
      </c>
      <c r="E24" s="4">
        <v>1881.5013573081</v>
      </c>
      <c r="F24" s="4">
        <v>1905.6331219769</v>
      </c>
      <c r="G24" s="4">
        <v>1996.34343971699</v>
      </c>
      <c r="H24" s="4">
        <v>2105.65649432344</v>
      </c>
      <c r="I24" s="4">
        <v>2347.37742658956</v>
      </c>
      <c r="J24" s="4">
        <v>2732.7680573898</v>
      </c>
      <c r="K24" s="4">
        <v>3313.66405562039</v>
      </c>
      <c r="L24" s="4">
        <v>4015.72356023045</v>
      </c>
      <c r="M24" s="4">
        <v>4820.8975175147</v>
      </c>
      <c r="N24" s="3">
        <v>7038.41</v>
      </c>
      <c r="O24" s="3">
        <v>8512.09</v>
      </c>
      <c r="P24" s="3">
        <v>8842.92</v>
      </c>
    </row>
    <row r="25" ht="15.5" spans="3:16">
      <c r="C25" s="2" t="s">
        <v>134</v>
      </c>
      <c r="D25" s="2" t="s">
        <v>114</v>
      </c>
      <c r="E25" s="4">
        <v>2675.25809958813</v>
      </c>
      <c r="F25" s="4">
        <v>2679.63167210421</v>
      </c>
      <c r="G25" s="4">
        <v>2853.99312986777</v>
      </c>
      <c r="H25" s="4">
        <v>3015.03945410957</v>
      </c>
      <c r="I25" s="4">
        <v>3321.72607654027</v>
      </c>
      <c r="J25" s="4">
        <v>3774.24787151231</v>
      </c>
      <c r="K25" s="4">
        <v>4537.44528154882</v>
      </c>
      <c r="L25" s="4">
        <v>5464.79403391664</v>
      </c>
      <c r="M25" s="4">
        <v>6304.34603582939</v>
      </c>
      <c r="N25" s="3">
        <v>8783</v>
      </c>
      <c r="O25" s="3">
        <v>10373.92</v>
      </c>
      <c r="P25" s="3">
        <v>10726.03</v>
      </c>
    </row>
    <row r="26" ht="15.5" spans="3:16">
      <c r="C26" s="2" t="s">
        <v>135</v>
      </c>
      <c r="D26" s="2" t="s">
        <v>114</v>
      </c>
      <c r="E26" s="4">
        <v>17145.4052610998</v>
      </c>
      <c r="F26" s="4">
        <v>17104.1935090524</v>
      </c>
      <c r="G26" s="4">
        <v>17311.0707244867</v>
      </c>
      <c r="H26" s="4">
        <v>17524.9162900633</v>
      </c>
      <c r="I26" s="4">
        <v>17486.59065799</v>
      </c>
      <c r="J26" s="4">
        <v>17861.5162045354</v>
      </c>
      <c r="K26" s="4">
        <v>19209.1825873353</v>
      </c>
      <c r="L26" s="4">
        <v>20872.5950363844</v>
      </c>
      <c r="M26" s="4">
        <v>22450.1623301513</v>
      </c>
      <c r="N26" s="3">
        <v>26253.91</v>
      </c>
      <c r="O26" s="3">
        <v>28395.38</v>
      </c>
      <c r="P26" s="3">
        <v>28844.73</v>
      </c>
    </row>
    <row r="27" ht="15.5" spans="3:16">
      <c r="C27" s="2" t="s">
        <v>136</v>
      </c>
      <c r="D27" s="2" t="s">
        <v>114</v>
      </c>
      <c r="E27" s="4">
        <v>424.951304727839</v>
      </c>
      <c r="F27" s="4">
        <v>427.740228572879</v>
      </c>
      <c r="G27" s="4">
        <v>439.154594993977</v>
      </c>
      <c r="H27" s="4">
        <v>450.031215173994</v>
      </c>
      <c r="I27" s="4">
        <v>455.98010156531</v>
      </c>
      <c r="J27" s="4">
        <v>466.076295842655</v>
      </c>
      <c r="K27" s="4">
        <v>496.08036550802</v>
      </c>
      <c r="L27" s="4">
        <v>539.529405127338</v>
      </c>
      <c r="M27" s="4">
        <v>582.17574012869</v>
      </c>
      <c r="N27" s="3">
        <v>683.66</v>
      </c>
      <c r="O27" s="3">
        <v>740.97</v>
      </c>
      <c r="P27" s="3">
        <v>753.02</v>
      </c>
    </row>
    <row r="28" ht="15.5" spans="3:16">
      <c r="C28" s="2" t="s">
        <v>137</v>
      </c>
      <c r="D28" s="2" t="s">
        <v>114</v>
      </c>
      <c r="E28" s="4">
        <v>518.434065125709</v>
      </c>
      <c r="F28" s="4">
        <v>528.075357769929</v>
      </c>
      <c r="G28" s="4">
        <v>557.201064486678</v>
      </c>
      <c r="H28" s="4">
        <v>571.332406161887</v>
      </c>
      <c r="I28" s="4">
        <v>608.935317143709</v>
      </c>
      <c r="J28" s="4">
        <v>641.110808923055</v>
      </c>
      <c r="K28" s="4">
        <v>667.682080637942</v>
      </c>
      <c r="L28" s="4">
        <v>700.023925617931</v>
      </c>
      <c r="M28" s="4">
        <v>789.491975892405</v>
      </c>
      <c r="N28" s="3">
        <v>934.18</v>
      </c>
      <c r="O28" s="3">
        <v>1016.36</v>
      </c>
      <c r="P28" s="3">
        <v>1033.67</v>
      </c>
    </row>
    <row r="29" ht="15.5" spans="3:16">
      <c r="C29" s="2" t="s">
        <v>138</v>
      </c>
      <c r="D29" s="2" t="s">
        <v>114</v>
      </c>
      <c r="E29" s="4">
        <v>9220.17454914368</v>
      </c>
      <c r="F29" s="4">
        <v>9416.06706695193</v>
      </c>
      <c r="G29" s="4">
        <v>10119.6743208035</v>
      </c>
      <c r="H29" s="4">
        <v>10633.4451400848</v>
      </c>
      <c r="I29" s="4">
        <v>12101.4505189081</v>
      </c>
      <c r="J29" s="4">
        <v>13902.2525251278</v>
      </c>
      <c r="K29" s="4">
        <v>16778.8849073298</v>
      </c>
      <c r="L29" s="4">
        <v>20034.4874996652</v>
      </c>
      <c r="M29" s="4">
        <v>23441.7652900775</v>
      </c>
      <c r="N29" s="3">
        <v>32842.17</v>
      </c>
      <c r="O29" s="3">
        <v>38901.04</v>
      </c>
      <c r="P29" s="3">
        <v>40244.31</v>
      </c>
    </row>
    <row r="30" ht="15.5" spans="3:16">
      <c r="C30" s="2" t="s">
        <v>139</v>
      </c>
      <c r="D30" s="2" t="s">
        <v>114</v>
      </c>
      <c r="E30" s="4">
        <v>3015.83085759749</v>
      </c>
      <c r="F30" s="4">
        <v>3010.98916845573</v>
      </c>
      <c r="G30" s="4">
        <v>2850.62026436412</v>
      </c>
      <c r="H30" s="4">
        <v>2846.270849853</v>
      </c>
      <c r="I30" s="4">
        <v>3011.21000401546</v>
      </c>
      <c r="J30" s="4">
        <v>3097.48332177206</v>
      </c>
      <c r="K30" s="4">
        <v>3330.42257881761</v>
      </c>
      <c r="L30" s="4">
        <v>3597.25757300807</v>
      </c>
      <c r="M30" s="4">
        <v>3875.89558066925</v>
      </c>
      <c r="N30" s="3">
        <v>4513.32</v>
      </c>
      <c r="O30" s="3">
        <v>4871.03</v>
      </c>
      <c r="P30" s="3">
        <v>4945.99</v>
      </c>
    </row>
    <row r="31" ht="15.5" spans="3:16">
      <c r="C31" s="2" t="s">
        <v>140</v>
      </c>
      <c r="D31" s="2" t="s">
        <v>114</v>
      </c>
      <c r="E31" s="4">
        <v>1127.93756615386</v>
      </c>
      <c r="F31" s="4">
        <v>1115.04379214834</v>
      </c>
      <c r="G31" s="4">
        <v>1142.48347282559</v>
      </c>
      <c r="H31" s="4">
        <v>1155.28295745882</v>
      </c>
      <c r="I31" s="4">
        <v>1228.78335181374</v>
      </c>
      <c r="J31" s="4">
        <v>1300.780060604</v>
      </c>
      <c r="K31" s="4">
        <v>1457.99013557827</v>
      </c>
      <c r="L31" s="4">
        <v>1580.23081826058</v>
      </c>
      <c r="M31" s="4">
        <v>1753.53967428258</v>
      </c>
      <c r="N31" s="3">
        <v>2110.8</v>
      </c>
      <c r="O31" s="3">
        <v>2316.36</v>
      </c>
      <c r="P31" s="3">
        <v>2359.87</v>
      </c>
    </row>
    <row r="32" ht="15.5" spans="3:16">
      <c r="C32" s="2" t="s">
        <v>141</v>
      </c>
      <c r="D32" s="2" t="s">
        <v>114</v>
      </c>
      <c r="E32" s="4">
        <v>688.370874685496</v>
      </c>
      <c r="F32" s="4">
        <v>681.377893590665</v>
      </c>
      <c r="G32" s="4">
        <v>671.378047738662</v>
      </c>
      <c r="H32" s="4">
        <v>669.853056712089</v>
      </c>
      <c r="I32" s="4">
        <v>681.891206343725</v>
      </c>
      <c r="J32" s="4">
        <v>744.251715440297</v>
      </c>
      <c r="K32" s="4">
        <v>884.706753658681</v>
      </c>
      <c r="L32" s="4">
        <v>1071.04439872585</v>
      </c>
      <c r="M32" s="4">
        <v>1295.84825774367</v>
      </c>
      <c r="N32" s="3">
        <v>1904.98</v>
      </c>
      <c r="O32" s="3">
        <v>2311.85</v>
      </c>
      <c r="P32" s="3">
        <v>2403.39</v>
      </c>
    </row>
    <row r="33" ht="15.5" spans="3:37">
      <c r="C33" s="2" t="s">
        <v>142</v>
      </c>
      <c r="D33" s="2" t="s">
        <v>114</v>
      </c>
      <c r="E33" s="4">
        <v>1011.5972956086</v>
      </c>
      <c r="F33" s="4">
        <v>1008.73482254592</v>
      </c>
      <c r="G33" s="4">
        <v>1037.55084774788</v>
      </c>
      <c r="H33" s="4">
        <v>1064.04581840171</v>
      </c>
      <c r="I33" s="4">
        <v>1039.22195716001</v>
      </c>
      <c r="J33" s="4">
        <v>1075.27410864228</v>
      </c>
      <c r="K33" s="4">
        <v>1166.77193707517</v>
      </c>
      <c r="L33" s="4">
        <v>1289.62810770992</v>
      </c>
      <c r="M33" s="4">
        <v>1423.29369996679</v>
      </c>
      <c r="N33" s="3">
        <v>1737.92</v>
      </c>
      <c r="O33" s="3">
        <v>1920.91</v>
      </c>
      <c r="P33" s="3">
        <v>1959.82</v>
      </c>
    </row>
    <row r="34" ht="15.5" spans="3:37">
      <c r="C34" s="2" t="s">
        <v>143</v>
      </c>
      <c r="D34" s="2" t="s">
        <v>114</v>
      </c>
      <c r="E34" s="4">
        <v>837.061651779598</v>
      </c>
      <c r="F34" s="4">
        <v>838.970174052067</v>
      </c>
      <c r="G34" s="4">
        <v>838.144381283427</v>
      </c>
      <c r="H34" s="4">
        <v>843.160256344376</v>
      </c>
      <c r="I34" s="4">
        <v>871.478605015623</v>
      </c>
      <c r="J34" s="4">
        <v>914.811703704446</v>
      </c>
      <c r="K34" s="4">
        <v>974.564330989989</v>
      </c>
      <c r="L34" s="4">
        <v>1043.30530784173</v>
      </c>
      <c r="M34" s="4">
        <v>1111.76953486682</v>
      </c>
      <c r="N34" s="3">
        <v>1268.85</v>
      </c>
      <c r="O34" s="3">
        <v>1355.67</v>
      </c>
      <c r="P34" s="3">
        <v>1373.75</v>
      </c>
    </row>
    <row r="35" ht="15.5" spans="3:37">
      <c r="C35" s="2" t="s">
        <v>144</v>
      </c>
      <c r="D35" s="2" t="s">
        <v>114</v>
      </c>
      <c r="E35" s="4">
        <v>191.441300795113</v>
      </c>
      <c r="F35" s="4">
        <v>190.443472303878</v>
      </c>
      <c r="G35" s="4">
        <v>191.15088620439</v>
      </c>
      <c r="H35" s="4">
        <v>192.509181115961</v>
      </c>
      <c r="I35" s="4">
        <v>190.990306725668</v>
      </c>
      <c r="J35" s="4">
        <v>202.709546104397</v>
      </c>
      <c r="K35" s="4">
        <v>208.475543108351</v>
      </c>
      <c r="L35" s="4">
        <v>221.816879103907</v>
      </c>
      <c r="M35" s="4">
        <v>239.790209513569</v>
      </c>
      <c r="N35" s="3">
        <v>275.94</v>
      </c>
      <c r="O35" s="3">
        <v>296.04</v>
      </c>
      <c r="P35" s="3">
        <v>300.24</v>
      </c>
    </row>
    <row r="36" ht="15.5" spans="3:37">
      <c r="C36" s="2" t="s">
        <v>145</v>
      </c>
      <c r="D36" s="2" t="s">
        <v>114</v>
      </c>
      <c r="E36" s="4">
        <v>902.992257070818</v>
      </c>
      <c r="F36" s="4">
        <v>920.485799693816</v>
      </c>
      <c r="G36" s="4">
        <v>996.249938483025</v>
      </c>
      <c r="H36" s="4">
        <v>1045.04532969809</v>
      </c>
      <c r="I36" s="4">
        <v>1105.42578700347</v>
      </c>
      <c r="J36" s="4">
        <v>1177.6842510907</v>
      </c>
      <c r="K36" s="4">
        <v>1289.77518729408</v>
      </c>
      <c r="L36" s="4">
        <v>1395.37471724666</v>
      </c>
      <c r="M36" s="4">
        <v>1497.08145201408</v>
      </c>
      <c r="N36" s="3">
        <v>1738.66</v>
      </c>
      <c r="O36" s="3">
        <v>1873.97</v>
      </c>
      <c r="P36" s="3">
        <v>1902.3</v>
      </c>
    </row>
    <row r="37" ht="15.5" spans="3:37">
      <c r="C37" s="2" t="s">
        <v>146</v>
      </c>
      <c r="D37" s="2" t="s">
        <v>114</v>
      </c>
      <c r="E37" s="4">
        <v>1059.49247089325</v>
      </c>
      <c r="F37" s="4">
        <v>1053.138669625</v>
      </c>
      <c r="G37" s="4">
        <v>1069.51362306586</v>
      </c>
      <c r="H37" s="4">
        <v>1102.82335767951</v>
      </c>
      <c r="I37" s="4">
        <v>1110.9877935943</v>
      </c>
      <c r="J37" s="4">
        <v>1142.0942630254</v>
      </c>
      <c r="K37" s="4">
        <v>1242.40965379208</v>
      </c>
      <c r="L37" s="4">
        <v>1399.16314718121</v>
      </c>
      <c r="M37" s="4">
        <v>1567.33531962641</v>
      </c>
      <c r="N37" s="3">
        <v>1979.92</v>
      </c>
      <c r="O37" s="3">
        <v>2226.07</v>
      </c>
      <c r="P37" s="3">
        <v>2278.95</v>
      </c>
    </row>
    <row r="38" ht="15.5" spans="3:37">
      <c r="C38" s="2" t="s">
        <v>147</v>
      </c>
      <c r="D38" s="2" t="s">
        <v>114</v>
      </c>
      <c r="E38" s="4">
        <v>422.378294713019</v>
      </c>
      <c r="F38" s="4">
        <v>431.385488241428</v>
      </c>
      <c r="G38" s="4">
        <v>382.600992473691</v>
      </c>
      <c r="H38" s="4">
        <v>354.785063348349</v>
      </c>
      <c r="I38" s="4">
        <v>412.31956693474</v>
      </c>
      <c r="J38" s="4">
        <v>504.224434322444</v>
      </c>
      <c r="K38" s="4">
        <v>637.782784875819</v>
      </c>
      <c r="L38" s="4">
        <v>755.087128417368</v>
      </c>
      <c r="M38" s="4">
        <v>893.520716668517</v>
      </c>
      <c r="N38" s="3">
        <v>1255.37</v>
      </c>
      <c r="O38" s="3">
        <v>1489.09</v>
      </c>
      <c r="P38" s="3">
        <v>1540.94</v>
      </c>
    </row>
    <row r="39" ht="15.5" spans="3:37">
      <c r="C39" s="2" t="s">
        <v>148</v>
      </c>
      <c r="D39" s="2" t="s">
        <v>114</v>
      </c>
      <c r="E39" s="4">
        <v>220.412355031244</v>
      </c>
      <c r="F39" s="4">
        <v>217.199540847687</v>
      </c>
      <c r="G39" s="4">
        <v>237.807647829066</v>
      </c>
      <c r="H39" s="4">
        <v>249.745224538684</v>
      </c>
      <c r="I39" s="4">
        <v>288.631819741434</v>
      </c>
      <c r="J39" s="4">
        <v>340.349259388337</v>
      </c>
      <c r="K39" s="4">
        <v>406.332915412861</v>
      </c>
      <c r="L39" s="4">
        <v>473.614939937575</v>
      </c>
      <c r="M39" s="4">
        <v>535.009548871934</v>
      </c>
      <c r="N39" s="3">
        <v>705.78</v>
      </c>
      <c r="O39" s="3">
        <v>811.01</v>
      </c>
      <c r="P39" s="3">
        <v>833.92</v>
      </c>
    </row>
    <row r="47" ht="14.5" spans="3:37">
      <c r="X47" s="5" t="s">
        <v>111</v>
      </c>
      <c r="Y47" s="5" t="s">
        <v>112</v>
      </c>
      <c r="Z47" s="5">
        <v>2019</v>
      </c>
      <c r="AA47" s="5">
        <v>2020</v>
      </c>
      <c r="AB47" s="5">
        <v>2023</v>
      </c>
      <c r="AC47" s="5">
        <v>2025</v>
      </c>
      <c r="AD47" s="5">
        <v>2030</v>
      </c>
      <c r="AE47" s="5">
        <v>2035</v>
      </c>
      <c r="AF47" s="5">
        <v>2040</v>
      </c>
      <c r="AG47" s="5">
        <v>2045</v>
      </c>
      <c r="AH47" s="5">
        <v>2050</v>
      </c>
      <c r="AI47" s="5">
        <v>2070</v>
      </c>
      <c r="AJ47" s="5">
        <v>2090</v>
      </c>
      <c r="AK47" s="5">
        <v>2100</v>
      </c>
    </row>
    <row r="48" ht="14.5" spans="3:37">
      <c r="X48" s="5" t="s">
        <v>113</v>
      </c>
      <c r="Y48" s="5" t="s">
        <v>114</v>
      </c>
      <c r="Z48" s="5">
        <v>1015.12</v>
      </c>
      <c r="AA48" s="5">
        <v>1036.33</v>
      </c>
      <c r="AB48" s="5">
        <v>1125.42</v>
      </c>
      <c r="AC48" s="5">
        <v>1186.93</v>
      </c>
      <c r="AD48" s="5">
        <v>1349.51</v>
      </c>
      <c r="AE48" s="5">
        <v>1615.9</v>
      </c>
      <c r="AF48" s="5">
        <v>2106.97</v>
      </c>
      <c r="AG48" s="5">
        <v>2776.66</v>
      </c>
      <c r="AH48" s="5">
        <v>3579.56</v>
      </c>
      <c r="AI48" s="5">
        <v>6154.98</v>
      </c>
      <c r="AJ48" s="5">
        <v>8131.8</v>
      </c>
      <c r="AK48" s="5">
        <v>8599.64</v>
      </c>
    </row>
    <row r="49" ht="14.5" spans="24:37">
      <c r="X49" s="5" t="s">
        <v>115</v>
      </c>
      <c r="Y49" s="5" t="s">
        <v>114</v>
      </c>
      <c r="Z49" s="5">
        <v>700.19</v>
      </c>
      <c r="AA49" s="5">
        <v>707.72</v>
      </c>
      <c r="AB49" s="5">
        <v>761.97</v>
      </c>
      <c r="AC49" s="5">
        <v>805.83</v>
      </c>
      <c r="AD49" s="5">
        <v>969.54</v>
      </c>
      <c r="AE49" s="5">
        <v>1229.86</v>
      </c>
      <c r="AF49" s="5">
        <v>1672.16</v>
      </c>
      <c r="AG49" s="5">
        <v>2304.13</v>
      </c>
      <c r="AH49" s="5">
        <v>3091.17</v>
      </c>
      <c r="AI49" s="5">
        <v>5797.91</v>
      </c>
      <c r="AJ49" s="5">
        <v>8005.51</v>
      </c>
      <c r="AK49" s="5">
        <v>8541.77</v>
      </c>
    </row>
    <row r="50" ht="14.5" spans="24:37">
      <c r="X50" s="5" t="s">
        <v>116</v>
      </c>
      <c r="Y50" s="5" t="s">
        <v>114</v>
      </c>
      <c r="Z50" s="5">
        <v>810.91</v>
      </c>
      <c r="AA50" s="5">
        <v>802.4</v>
      </c>
      <c r="AB50" s="5">
        <v>813.02</v>
      </c>
      <c r="AC50" s="5">
        <v>820.1</v>
      </c>
      <c r="AD50" s="5">
        <v>844.51</v>
      </c>
      <c r="AE50" s="5">
        <v>885.83</v>
      </c>
      <c r="AF50" s="5">
        <v>964.1</v>
      </c>
      <c r="AG50" s="5">
        <v>1070.34</v>
      </c>
      <c r="AH50" s="5">
        <v>1191.29</v>
      </c>
      <c r="AI50" s="5">
        <v>1485.54</v>
      </c>
      <c r="AJ50" s="5">
        <v>1675.77</v>
      </c>
      <c r="AK50" s="5">
        <v>1716.72</v>
      </c>
    </row>
    <row r="51" ht="14.5" spans="24:37">
      <c r="X51" s="5" t="s">
        <v>117</v>
      </c>
      <c r="Y51" s="5" t="s">
        <v>114</v>
      </c>
      <c r="Z51" s="5">
        <v>224.34</v>
      </c>
      <c r="AA51" s="5">
        <v>221.17</v>
      </c>
      <c r="AB51" s="5">
        <v>227.72</v>
      </c>
      <c r="AC51" s="5">
        <v>226.82</v>
      </c>
      <c r="AD51" s="5">
        <v>222.45</v>
      </c>
      <c r="AE51" s="5">
        <v>217.88</v>
      </c>
      <c r="AF51" s="5">
        <v>217.82</v>
      </c>
      <c r="AG51" s="5">
        <v>226.57</v>
      </c>
      <c r="AH51" s="5">
        <v>236.27</v>
      </c>
      <c r="AI51" s="5">
        <v>259.87</v>
      </c>
      <c r="AJ51" s="5">
        <v>277.61</v>
      </c>
      <c r="AK51" s="5">
        <v>281.31</v>
      </c>
    </row>
    <row r="52" ht="14.5" spans="24:37">
      <c r="X52" s="5" t="s">
        <v>118</v>
      </c>
      <c r="Y52" s="5" t="s">
        <v>114</v>
      </c>
      <c r="Z52" s="5">
        <v>91.18</v>
      </c>
      <c r="AA52" s="5">
        <v>92.44</v>
      </c>
      <c r="AB52" s="5">
        <v>92</v>
      </c>
      <c r="AC52" s="5">
        <v>90.07</v>
      </c>
      <c r="AD52" s="5">
        <v>89.54</v>
      </c>
      <c r="AE52" s="5">
        <v>87.71</v>
      </c>
      <c r="AF52" s="5">
        <v>89.02</v>
      </c>
      <c r="AG52" s="5">
        <v>93.29</v>
      </c>
      <c r="AH52" s="5">
        <v>96.54</v>
      </c>
      <c r="AI52" s="5">
        <v>106.15</v>
      </c>
      <c r="AJ52" s="5">
        <v>113.37</v>
      </c>
      <c r="AK52" s="5">
        <v>114.88</v>
      </c>
    </row>
    <row r="53" ht="14.5" spans="24:37">
      <c r="X53" s="5" t="s">
        <v>119</v>
      </c>
      <c r="Y53" s="5" t="s">
        <v>114</v>
      </c>
      <c r="Z53" s="5">
        <v>718.98</v>
      </c>
      <c r="AA53" s="5">
        <v>717.98</v>
      </c>
      <c r="AB53" s="5">
        <v>728.6</v>
      </c>
      <c r="AC53" s="5">
        <v>730.59</v>
      </c>
      <c r="AD53" s="5">
        <v>723.02</v>
      </c>
      <c r="AE53" s="5">
        <v>705.74</v>
      </c>
      <c r="AF53" s="5">
        <v>711.47</v>
      </c>
      <c r="AG53" s="5">
        <v>733.91</v>
      </c>
      <c r="AH53" s="5">
        <v>767.88</v>
      </c>
      <c r="AI53" s="5">
        <v>840.34</v>
      </c>
      <c r="AJ53" s="5">
        <v>895.45</v>
      </c>
      <c r="AK53" s="5">
        <v>906.9</v>
      </c>
    </row>
    <row r="54" ht="14.5" spans="24:37">
      <c r="X54" s="5" t="s">
        <v>120</v>
      </c>
      <c r="Y54" s="5" t="s">
        <v>114</v>
      </c>
      <c r="Z54" s="5">
        <v>1889.35</v>
      </c>
      <c r="AA54" s="5">
        <v>1859.56</v>
      </c>
      <c r="AB54" s="5">
        <v>1980.49</v>
      </c>
      <c r="AC54" s="5">
        <v>2044.67</v>
      </c>
      <c r="AD54" s="5">
        <v>2077.79</v>
      </c>
      <c r="AE54" s="5">
        <v>2244.32</v>
      </c>
      <c r="AF54" s="5">
        <v>2677.68</v>
      </c>
      <c r="AG54" s="5">
        <v>3327.77</v>
      </c>
      <c r="AH54" s="5">
        <v>4085.59</v>
      </c>
      <c r="AI54" s="5">
        <v>6282.09</v>
      </c>
      <c r="AJ54" s="5">
        <v>7827.71</v>
      </c>
      <c r="AK54" s="5">
        <v>8180.95</v>
      </c>
    </row>
    <row r="55" ht="14.5" spans="24:37">
      <c r="X55" s="5" t="s">
        <v>121</v>
      </c>
      <c r="Y55" s="5" t="s">
        <v>114</v>
      </c>
      <c r="Z55" s="5">
        <v>22703.29</v>
      </c>
      <c r="AA55" s="5">
        <v>23544.65</v>
      </c>
      <c r="AB55" s="5">
        <v>24259.55</v>
      </c>
      <c r="AC55" s="5">
        <v>24683.07</v>
      </c>
      <c r="AD55" s="5">
        <v>25213.46</v>
      </c>
      <c r="AE55" s="5">
        <v>24909.82</v>
      </c>
      <c r="AF55" s="5">
        <v>24971.51</v>
      </c>
      <c r="AG55" s="5">
        <v>25396.6</v>
      </c>
      <c r="AH55" s="5">
        <v>25817.58</v>
      </c>
      <c r="AI55" s="5">
        <v>26997.49</v>
      </c>
      <c r="AJ55" s="5">
        <v>28020.51</v>
      </c>
      <c r="AK55" s="5">
        <v>28229.83</v>
      </c>
    </row>
    <row r="56" ht="14.5" spans="24:37">
      <c r="X56" s="5" t="s">
        <v>122</v>
      </c>
      <c r="Y56" s="5" t="s">
        <v>114</v>
      </c>
      <c r="Z56" s="5">
        <v>106.55</v>
      </c>
      <c r="AA56" s="5">
        <v>105.63</v>
      </c>
      <c r="AB56" s="5">
        <v>111.04</v>
      </c>
      <c r="AC56" s="5">
        <v>113.65</v>
      </c>
      <c r="AD56" s="5">
        <v>115.25</v>
      </c>
      <c r="AE56" s="5">
        <v>114.73</v>
      </c>
      <c r="AF56" s="5">
        <v>117.18</v>
      </c>
      <c r="AG56" s="5">
        <v>119.73</v>
      </c>
      <c r="AH56" s="5">
        <v>121.97</v>
      </c>
      <c r="AI56" s="5">
        <v>128.7</v>
      </c>
      <c r="AJ56" s="5">
        <v>134.66</v>
      </c>
      <c r="AK56" s="5">
        <v>135.88</v>
      </c>
    </row>
    <row r="57" ht="14.5" spans="24:37">
      <c r="X57" s="5" t="s">
        <v>123</v>
      </c>
      <c r="Y57" s="5" t="s">
        <v>114</v>
      </c>
      <c r="Z57" s="5">
        <v>297.98</v>
      </c>
      <c r="AA57" s="5">
        <v>302.22</v>
      </c>
      <c r="AB57" s="5">
        <v>301.62</v>
      </c>
      <c r="AC57" s="5">
        <v>301.54</v>
      </c>
      <c r="AD57" s="5">
        <v>296.21</v>
      </c>
      <c r="AE57" s="5">
        <v>290.2</v>
      </c>
      <c r="AF57" s="5">
        <v>307.75</v>
      </c>
      <c r="AG57" s="5">
        <v>319.69</v>
      </c>
      <c r="AH57" s="5">
        <v>337.04</v>
      </c>
      <c r="AI57" s="5">
        <v>374.31</v>
      </c>
      <c r="AJ57" s="5">
        <v>401.81</v>
      </c>
      <c r="AK57" s="5">
        <v>407.55</v>
      </c>
    </row>
    <row r="58" ht="14.5" spans="24:37">
      <c r="X58" s="5" t="s">
        <v>124</v>
      </c>
      <c r="Y58" s="5" t="s">
        <v>114</v>
      </c>
      <c r="Z58" s="5">
        <v>1521.04</v>
      </c>
      <c r="AA58" s="5">
        <v>1514.69</v>
      </c>
      <c r="AB58" s="5">
        <v>1541.02</v>
      </c>
      <c r="AC58" s="5">
        <v>1565.64</v>
      </c>
      <c r="AD58" s="5">
        <v>1497.74</v>
      </c>
      <c r="AE58" s="5">
        <v>1443.51</v>
      </c>
      <c r="AF58" s="5">
        <v>1430.72</v>
      </c>
      <c r="AG58" s="5">
        <v>1521.6</v>
      </c>
      <c r="AH58" s="5">
        <v>1643.33</v>
      </c>
      <c r="AI58" s="5">
        <v>1914.86</v>
      </c>
      <c r="AJ58" s="5">
        <v>2105.7</v>
      </c>
      <c r="AK58" s="5">
        <v>2146.15</v>
      </c>
    </row>
    <row r="59" ht="14.5" spans="24:37">
      <c r="X59" s="5" t="s">
        <v>125</v>
      </c>
      <c r="Y59" s="5" t="s">
        <v>114</v>
      </c>
      <c r="Z59" s="5">
        <v>1749.2</v>
      </c>
      <c r="AA59" s="5">
        <v>1737.39</v>
      </c>
      <c r="AB59" s="5">
        <v>1737.22</v>
      </c>
      <c r="AC59" s="5">
        <v>1746.19</v>
      </c>
      <c r="AD59" s="5">
        <v>1671.67</v>
      </c>
      <c r="AE59" s="5">
        <v>1612.7</v>
      </c>
      <c r="AF59" s="5">
        <v>1658.71</v>
      </c>
      <c r="AG59" s="5">
        <v>1785.42</v>
      </c>
      <c r="AH59" s="5">
        <v>1843.56</v>
      </c>
      <c r="AI59" s="5">
        <v>2078.07</v>
      </c>
      <c r="AJ59" s="5">
        <v>2247.43</v>
      </c>
      <c r="AK59" s="5">
        <v>2282.97</v>
      </c>
    </row>
    <row r="60" ht="14.5" spans="24:37">
      <c r="X60" s="5" t="s">
        <v>126</v>
      </c>
      <c r="Y60" s="5" t="s">
        <v>114</v>
      </c>
      <c r="Z60" s="5">
        <v>202.67</v>
      </c>
      <c r="AA60" s="5">
        <v>200.36</v>
      </c>
      <c r="AB60" s="5">
        <v>210.32</v>
      </c>
      <c r="AC60" s="5">
        <v>215.96</v>
      </c>
      <c r="AD60" s="5">
        <v>214.08</v>
      </c>
      <c r="AE60" s="5">
        <v>212.5</v>
      </c>
      <c r="AF60" s="5">
        <v>220.08</v>
      </c>
      <c r="AG60" s="5">
        <v>231.97</v>
      </c>
      <c r="AH60" s="5">
        <v>244.43</v>
      </c>
      <c r="AI60" s="5">
        <v>275.32</v>
      </c>
      <c r="AJ60" s="5">
        <v>297.64</v>
      </c>
      <c r="AK60" s="5">
        <v>302.32</v>
      </c>
    </row>
    <row r="61" ht="14.5" spans="24:37">
      <c r="X61" s="5" t="s">
        <v>127</v>
      </c>
      <c r="Y61" s="5" t="s">
        <v>114</v>
      </c>
      <c r="Z61" s="5">
        <v>421.52</v>
      </c>
      <c r="AA61" s="5">
        <v>423.28</v>
      </c>
      <c r="AB61" s="5">
        <v>435.28</v>
      </c>
      <c r="AC61" s="5">
        <v>441.49</v>
      </c>
      <c r="AD61" s="5">
        <v>447.87</v>
      </c>
      <c r="AE61" s="5">
        <v>451.45</v>
      </c>
      <c r="AF61" s="5">
        <v>467.26</v>
      </c>
      <c r="AG61" s="5">
        <v>487.02</v>
      </c>
      <c r="AH61" s="5">
        <v>503.06</v>
      </c>
      <c r="AI61" s="5">
        <v>549.17</v>
      </c>
      <c r="AJ61" s="5">
        <v>584.45</v>
      </c>
      <c r="AK61" s="5">
        <v>591.78</v>
      </c>
    </row>
    <row r="62" ht="14.5" spans="24:37">
      <c r="X62" s="5" t="s">
        <v>128</v>
      </c>
      <c r="Y62" s="5" t="s">
        <v>114</v>
      </c>
      <c r="Z62" s="5">
        <v>60.36</v>
      </c>
      <c r="AA62" s="5">
        <v>60.46</v>
      </c>
      <c r="AB62" s="5">
        <v>64.96</v>
      </c>
      <c r="AC62" s="5">
        <v>67.64</v>
      </c>
      <c r="AD62" s="5">
        <v>73.1</v>
      </c>
      <c r="AE62" s="5">
        <v>77.55</v>
      </c>
      <c r="AF62" s="5">
        <v>82.77</v>
      </c>
      <c r="AG62" s="5">
        <v>87.96</v>
      </c>
      <c r="AH62" s="5">
        <v>93.88</v>
      </c>
      <c r="AI62" s="5">
        <v>108.02</v>
      </c>
      <c r="AJ62" s="5">
        <v>118.03</v>
      </c>
      <c r="AK62" s="5">
        <v>120.14</v>
      </c>
    </row>
    <row r="63" ht="14.5" spans="24:37">
      <c r="X63" s="5" t="s">
        <v>129</v>
      </c>
      <c r="Y63" s="5" t="s">
        <v>114</v>
      </c>
      <c r="Z63" s="5">
        <v>4501.03</v>
      </c>
      <c r="AA63" s="5">
        <v>4570.6</v>
      </c>
      <c r="AB63" s="5">
        <v>5487.58</v>
      </c>
      <c r="AC63" s="5">
        <v>6053.45</v>
      </c>
      <c r="AD63" s="5">
        <v>7542.66</v>
      </c>
      <c r="AE63" s="5">
        <v>9351.09</v>
      </c>
      <c r="AF63" s="5">
        <v>11757.3</v>
      </c>
      <c r="AG63" s="5">
        <v>14502.08</v>
      </c>
      <c r="AH63" s="5">
        <v>17634.77</v>
      </c>
      <c r="AI63" s="5">
        <v>26654.56</v>
      </c>
      <c r="AJ63" s="5">
        <v>32938.65</v>
      </c>
      <c r="AK63" s="5">
        <v>34367.74</v>
      </c>
    </row>
    <row r="64" ht="14.5" spans="24:37">
      <c r="X64" s="5" t="s">
        <v>130</v>
      </c>
      <c r="Y64" s="5" t="s">
        <v>114</v>
      </c>
      <c r="Z64" s="5">
        <v>101.36</v>
      </c>
      <c r="AA64" s="5">
        <v>106.8</v>
      </c>
      <c r="AB64" s="5">
        <v>109.62</v>
      </c>
      <c r="AC64" s="5">
        <v>113.19</v>
      </c>
      <c r="AD64" s="5">
        <v>112.71</v>
      </c>
      <c r="AE64" s="5">
        <v>112.07</v>
      </c>
      <c r="AF64" s="5">
        <v>118</v>
      </c>
      <c r="AG64" s="5">
        <v>129.42</v>
      </c>
      <c r="AH64" s="5">
        <v>141.34</v>
      </c>
      <c r="AI64" s="5">
        <v>171.81</v>
      </c>
      <c r="AJ64" s="5">
        <v>193</v>
      </c>
      <c r="AK64" s="5">
        <v>197.55</v>
      </c>
    </row>
    <row r="65" ht="14.5" spans="24:37">
      <c r="X65" s="5" t="s">
        <v>131</v>
      </c>
      <c r="Y65" s="5" t="s">
        <v>114</v>
      </c>
      <c r="Z65" s="5">
        <v>1013.79</v>
      </c>
      <c r="AA65" s="5">
        <v>1000.35</v>
      </c>
      <c r="AB65" s="5">
        <v>1012.9</v>
      </c>
      <c r="AC65" s="5">
        <v>1015.96</v>
      </c>
      <c r="AD65" s="5">
        <v>959.33</v>
      </c>
      <c r="AE65" s="5">
        <v>941.17</v>
      </c>
      <c r="AF65" s="5">
        <v>957.27</v>
      </c>
      <c r="AG65" s="5">
        <v>994.04</v>
      </c>
      <c r="AH65" s="5">
        <v>1045.1</v>
      </c>
      <c r="AI65" s="5">
        <v>1157.02</v>
      </c>
      <c r="AJ65" s="5">
        <v>1240.05</v>
      </c>
      <c r="AK65" s="5">
        <v>1257.38</v>
      </c>
    </row>
    <row r="66" ht="14.5" spans="24:37">
      <c r="X66" s="5" t="s">
        <v>132</v>
      </c>
      <c r="Y66" s="5" t="s">
        <v>114</v>
      </c>
      <c r="Z66" s="5">
        <v>3272.23</v>
      </c>
      <c r="AA66" s="5">
        <v>3210.89</v>
      </c>
      <c r="AB66" s="5">
        <v>3237.72</v>
      </c>
      <c r="AC66" s="5">
        <v>3233.22</v>
      </c>
      <c r="AD66" s="5">
        <v>3197.84</v>
      </c>
      <c r="AE66" s="5">
        <v>3223.57</v>
      </c>
      <c r="AF66" s="5">
        <v>3408.01</v>
      </c>
      <c r="AG66" s="5">
        <v>3678.42</v>
      </c>
      <c r="AH66" s="5">
        <v>3950.87</v>
      </c>
      <c r="AI66" s="5">
        <v>4589.8</v>
      </c>
      <c r="AJ66" s="5">
        <v>4956.61</v>
      </c>
      <c r="AK66" s="5">
        <v>5033.5</v>
      </c>
    </row>
    <row r="67" ht="14.5" spans="24:37">
      <c r="X67" s="5" t="s">
        <v>133</v>
      </c>
      <c r="Y67" s="5" t="s">
        <v>114</v>
      </c>
      <c r="Z67" s="5">
        <v>1881.22</v>
      </c>
      <c r="AA67" s="5">
        <v>1905.21</v>
      </c>
      <c r="AB67" s="5">
        <v>1995.04</v>
      </c>
      <c r="AC67" s="5">
        <v>2100.4</v>
      </c>
      <c r="AD67" s="5">
        <v>2323.91</v>
      </c>
      <c r="AE67" s="5">
        <v>2678.11</v>
      </c>
      <c r="AF67" s="5">
        <v>3220.88</v>
      </c>
      <c r="AG67" s="5">
        <v>3879.19</v>
      </c>
      <c r="AH67" s="5">
        <v>4637.71</v>
      </c>
      <c r="AI67" s="5">
        <v>6721.68</v>
      </c>
      <c r="AJ67" s="5">
        <v>8129.04</v>
      </c>
      <c r="AK67" s="5">
        <v>8444.99</v>
      </c>
    </row>
    <row r="68" ht="14.5" spans="24:37">
      <c r="X68" s="5" t="s">
        <v>134</v>
      </c>
      <c r="Y68" s="5" t="s">
        <v>114</v>
      </c>
      <c r="Z68" s="5">
        <v>2674.06</v>
      </c>
      <c r="AA68" s="5">
        <v>2677.86</v>
      </c>
      <c r="AB68" s="5">
        <v>2848.42</v>
      </c>
      <c r="AC68" s="5">
        <v>2999.96</v>
      </c>
      <c r="AD68" s="5">
        <v>3271.9</v>
      </c>
      <c r="AE68" s="5">
        <v>3661.02</v>
      </c>
      <c r="AF68" s="5">
        <v>4346.88</v>
      </c>
      <c r="AG68" s="5">
        <v>5186.09</v>
      </c>
      <c r="AH68" s="5">
        <v>5945</v>
      </c>
      <c r="AI68" s="5">
        <v>8190.15</v>
      </c>
      <c r="AJ68" s="5">
        <v>9673.68</v>
      </c>
      <c r="AK68" s="5">
        <v>10002.02</v>
      </c>
    </row>
    <row r="69" ht="14.5" spans="24:37">
      <c r="X69" s="5" t="s">
        <v>135</v>
      </c>
      <c r="Y69" s="5" t="s">
        <v>114</v>
      </c>
      <c r="Z69" s="5">
        <v>17129.98</v>
      </c>
      <c r="AA69" s="5">
        <v>17081.61</v>
      </c>
      <c r="AB69" s="5">
        <v>17243.56</v>
      </c>
      <c r="AC69" s="5">
        <v>17373.04</v>
      </c>
      <c r="AD69" s="5">
        <v>17101.89</v>
      </c>
      <c r="AE69" s="5">
        <v>17075.61</v>
      </c>
      <c r="AF69" s="5">
        <v>18025.89</v>
      </c>
      <c r="AG69" s="5">
        <v>19311.33</v>
      </c>
      <c r="AH69" s="5">
        <v>20573.33</v>
      </c>
      <c r="AI69" s="5">
        <v>23654.77</v>
      </c>
      <c r="AJ69" s="5">
        <v>25584.24</v>
      </c>
      <c r="AK69" s="5">
        <v>25989.1</v>
      </c>
    </row>
    <row r="70" ht="14.5" spans="24:37">
      <c r="X70" s="5" t="s">
        <v>136</v>
      </c>
      <c r="Y70" s="5" t="s">
        <v>114</v>
      </c>
      <c r="Z70" s="5">
        <v>424.31</v>
      </c>
      <c r="AA70" s="5">
        <v>426.8</v>
      </c>
      <c r="AB70" s="5">
        <v>436.3</v>
      </c>
      <c r="AC70" s="5">
        <v>443.05</v>
      </c>
      <c r="AD70" s="5">
        <v>436.37</v>
      </c>
      <c r="AE70" s="5">
        <v>426</v>
      </c>
      <c r="AF70" s="5">
        <v>436.35</v>
      </c>
      <c r="AG70" s="5">
        <v>460.65</v>
      </c>
      <c r="AH70" s="5">
        <v>487.05</v>
      </c>
      <c r="AI70" s="5">
        <v>551.37</v>
      </c>
      <c r="AJ70" s="5">
        <v>597.6</v>
      </c>
      <c r="AK70" s="5">
        <v>607.31</v>
      </c>
    </row>
    <row r="71" ht="14.5" spans="24:37">
      <c r="X71" s="5" t="s">
        <v>137</v>
      </c>
      <c r="Y71" s="5" t="s">
        <v>114</v>
      </c>
      <c r="Z71" s="5">
        <v>517.65</v>
      </c>
      <c r="AA71" s="5">
        <v>526.92</v>
      </c>
      <c r="AB71" s="5">
        <v>553.58</v>
      </c>
      <c r="AC71" s="5">
        <v>562.47</v>
      </c>
      <c r="AD71" s="5">
        <v>582.76</v>
      </c>
      <c r="AE71" s="5">
        <v>585.97</v>
      </c>
      <c r="AF71" s="5">
        <v>587.29</v>
      </c>
      <c r="AG71" s="5">
        <v>597.68</v>
      </c>
      <c r="AH71" s="5">
        <v>660.49</v>
      </c>
      <c r="AI71" s="5">
        <v>753.41</v>
      </c>
      <c r="AJ71" s="5">
        <v>819.7</v>
      </c>
      <c r="AK71" s="5">
        <v>833.65</v>
      </c>
    </row>
    <row r="72" ht="14.5" spans="24:37">
      <c r="X72" s="5" t="s">
        <v>138</v>
      </c>
      <c r="Y72" s="5" t="s">
        <v>114</v>
      </c>
      <c r="Z72" s="5">
        <v>9216.02</v>
      </c>
      <c r="AA72" s="5">
        <v>9409.86</v>
      </c>
      <c r="AB72" s="5">
        <v>10099.94</v>
      </c>
      <c r="AC72" s="5">
        <v>10580.28</v>
      </c>
      <c r="AD72" s="5">
        <v>11919.93</v>
      </c>
      <c r="AE72" s="5">
        <v>13485.18</v>
      </c>
      <c r="AF72" s="5">
        <v>16074.17</v>
      </c>
      <c r="AG72" s="5">
        <v>19012.73</v>
      </c>
      <c r="AH72" s="5">
        <v>22105.59</v>
      </c>
      <c r="AI72" s="5">
        <v>30625.33</v>
      </c>
      <c r="AJ72" s="5">
        <v>36275.22</v>
      </c>
      <c r="AK72" s="5">
        <v>37527.82</v>
      </c>
    </row>
    <row r="73" ht="14.5" spans="24:37">
      <c r="X73" s="5" t="s">
        <v>139</v>
      </c>
      <c r="Y73" s="5" t="s">
        <v>114</v>
      </c>
      <c r="Z73" s="5">
        <v>3014.47</v>
      </c>
      <c r="AA73" s="5">
        <v>3009</v>
      </c>
      <c r="AB73" s="5">
        <v>2845.06</v>
      </c>
      <c r="AC73" s="5">
        <v>2832.04</v>
      </c>
      <c r="AD73" s="5">
        <v>2966.04</v>
      </c>
      <c r="AE73" s="5">
        <v>3004.56</v>
      </c>
      <c r="AF73" s="5">
        <v>3190.54</v>
      </c>
      <c r="AG73" s="5">
        <v>3413.8</v>
      </c>
      <c r="AH73" s="5">
        <v>3654.97</v>
      </c>
      <c r="AI73" s="5">
        <v>4208.67</v>
      </c>
      <c r="AJ73" s="5">
        <v>4542.23</v>
      </c>
      <c r="AK73" s="5">
        <v>4612.13</v>
      </c>
    </row>
    <row r="74" ht="14.5" spans="24:37">
      <c r="X74" s="5" t="s">
        <v>140</v>
      </c>
      <c r="Y74" s="5" t="s">
        <v>114</v>
      </c>
      <c r="Z74" s="5">
        <v>1127.43</v>
      </c>
      <c r="AA74" s="5">
        <v>1114.3</v>
      </c>
      <c r="AB74" s="5">
        <v>1140.25</v>
      </c>
      <c r="AC74" s="5">
        <v>1149.5</v>
      </c>
      <c r="AD74" s="5">
        <v>1210.35</v>
      </c>
      <c r="AE74" s="5">
        <v>1261.76</v>
      </c>
      <c r="AF74" s="5">
        <v>1396.75</v>
      </c>
      <c r="AG74" s="5">
        <v>1499.64</v>
      </c>
      <c r="AH74" s="5">
        <v>1653.59</v>
      </c>
      <c r="AI74" s="5">
        <v>1968.32</v>
      </c>
      <c r="AJ74" s="5">
        <v>2160</v>
      </c>
      <c r="AK74" s="5">
        <v>2200.58</v>
      </c>
    </row>
    <row r="75" ht="14.5" spans="24:37">
      <c r="X75" s="5" t="s">
        <v>141</v>
      </c>
      <c r="Y75" s="5" t="s">
        <v>114</v>
      </c>
      <c r="Z75" s="5">
        <v>688.06</v>
      </c>
      <c r="AA75" s="5">
        <v>680.93</v>
      </c>
      <c r="AB75" s="5">
        <v>670.07</v>
      </c>
      <c r="AC75" s="5">
        <v>666.5</v>
      </c>
      <c r="AD75" s="5">
        <v>671.66</v>
      </c>
      <c r="AE75" s="5">
        <v>721.92</v>
      </c>
      <c r="AF75" s="5">
        <v>847.55</v>
      </c>
      <c r="AG75" s="5">
        <v>1016.42</v>
      </c>
      <c r="AH75" s="5">
        <v>1221.99</v>
      </c>
      <c r="AI75" s="5">
        <v>1776.39</v>
      </c>
      <c r="AJ75" s="5">
        <v>2155.8</v>
      </c>
      <c r="AK75" s="5">
        <v>2241.16</v>
      </c>
    </row>
    <row r="76" ht="14.5" spans="24:37">
      <c r="X76" s="5" t="s">
        <v>142</v>
      </c>
      <c r="Y76" s="5" t="s">
        <v>114</v>
      </c>
      <c r="Z76" s="5">
        <v>1010.08</v>
      </c>
      <c r="AA76" s="5">
        <v>1006.51</v>
      </c>
      <c r="AB76" s="5">
        <v>1030.81</v>
      </c>
      <c r="AC76" s="5">
        <v>1047.56</v>
      </c>
      <c r="AD76" s="5">
        <v>994.53</v>
      </c>
      <c r="AE76" s="5">
        <v>982.8</v>
      </c>
      <c r="AF76" s="5">
        <v>1026.29</v>
      </c>
      <c r="AG76" s="5">
        <v>1101.09</v>
      </c>
      <c r="AH76" s="5">
        <v>1190.72</v>
      </c>
      <c r="AI76" s="5">
        <v>1401.63</v>
      </c>
      <c r="AJ76" s="5">
        <v>1549.21</v>
      </c>
      <c r="AK76" s="5">
        <v>1580.59</v>
      </c>
    </row>
    <row r="77" ht="14.5" spans="24:37">
      <c r="X77" s="5" t="s">
        <v>143</v>
      </c>
      <c r="Y77" s="5" t="s">
        <v>114</v>
      </c>
      <c r="Z77" s="5">
        <v>835.8</v>
      </c>
      <c r="AA77" s="5">
        <v>837.12</v>
      </c>
      <c r="AB77" s="5">
        <v>832.69</v>
      </c>
      <c r="AC77" s="5">
        <v>830.09</v>
      </c>
      <c r="AD77" s="5">
        <v>834.01</v>
      </c>
      <c r="AE77" s="5">
        <v>836.14</v>
      </c>
      <c r="AF77" s="5">
        <v>857.22</v>
      </c>
      <c r="AG77" s="5">
        <v>890.78</v>
      </c>
      <c r="AH77" s="5">
        <v>930.11</v>
      </c>
      <c r="AI77" s="5">
        <v>1023.33</v>
      </c>
      <c r="AJ77" s="5">
        <v>1093.35</v>
      </c>
      <c r="AK77" s="5">
        <v>1107.93</v>
      </c>
    </row>
    <row r="78" ht="14.5" spans="24:37">
      <c r="X78" s="5" t="s">
        <v>144</v>
      </c>
      <c r="Y78" s="5" t="s">
        <v>114</v>
      </c>
      <c r="Z78" s="5">
        <v>191.15</v>
      </c>
      <c r="AA78" s="5">
        <v>190.02</v>
      </c>
      <c r="AB78" s="5">
        <v>189.91</v>
      </c>
      <c r="AC78" s="5">
        <v>189.53</v>
      </c>
      <c r="AD78" s="5">
        <v>182.78</v>
      </c>
      <c r="AE78" s="5">
        <v>185.28</v>
      </c>
      <c r="AF78" s="5">
        <v>183.38</v>
      </c>
      <c r="AG78" s="5">
        <v>189.39</v>
      </c>
      <c r="AH78" s="5">
        <v>200.61</v>
      </c>
      <c r="AI78" s="5">
        <v>222.54</v>
      </c>
      <c r="AJ78" s="5">
        <v>238.76</v>
      </c>
      <c r="AK78" s="5">
        <v>242.14</v>
      </c>
    </row>
    <row r="79" ht="14.5" spans="24:37">
      <c r="X79" s="5" t="s">
        <v>145</v>
      </c>
      <c r="Y79" s="5" t="s">
        <v>114</v>
      </c>
      <c r="Z79" s="5">
        <v>901.64</v>
      </c>
      <c r="AA79" s="5">
        <v>918.46</v>
      </c>
      <c r="AB79" s="5">
        <v>989.77</v>
      </c>
      <c r="AC79" s="5">
        <v>1028.85</v>
      </c>
      <c r="AD79" s="5">
        <v>1057.9</v>
      </c>
      <c r="AE79" s="5">
        <v>1076.4</v>
      </c>
      <c r="AF79" s="5">
        <v>1134.49</v>
      </c>
      <c r="AG79" s="5">
        <v>1191.37</v>
      </c>
      <c r="AH79" s="5">
        <v>1252.46</v>
      </c>
      <c r="AI79" s="5">
        <v>1402.23</v>
      </c>
      <c r="AJ79" s="5">
        <v>1511.35</v>
      </c>
      <c r="AK79" s="5">
        <v>1534.2</v>
      </c>
    </row>
    <row r="80" ht="14.5" spans="24:37">
      <c r="X80" s="5" t="s">
        <v>146</v>
      </c>
      <c r="Y80" s="5" t="s">
        <v>114</v>
      </c>
      <c r="Z80" s="5">
        <v>1057.9</v>
      </c>
      <c r="AA80" s="5">
        <v>1050.82</v>
      </c>
      <c r="AB80" s="5">
        <v>1062.56</v>
      </c>
      <c r="AC80" s="5">
        <v>1085.73</v>
      </c>
      <c r="AD80" s="5">
        <v>1063.22</v>
      </c>
      <c r="AE80" s="5">
        <v>1043.87</v>
      </c>
      <c r="AF80" s="5">
        <v>1092.82</v>
      </c>
      <c r="AG80" s="5">
        <v>1194.6</v>
      </c>
      <c r="AH80" s="5">
        <v>1311.24</v>
      </c>
      <c r="AI80" s="5">
        <v>1596.81</v>
      </c>
      <c r="AJ80" s="5">
        <v>1795.32</v>
      </c>
      <c r="AK80" s="5">
        <v>1837.97</v>
      </c>
    </row>
    <row r="81" ht="14.5" spans="24:37">
      <c r="X81" s="5" t="s">
        <v>147</v>
      </c>
      <c r="Y81" s="5" t="s">
        <v>114</v>
      </c>
      <c r="Z81" s="5">
        <v>421.75</v>
      </c>
      <c r="AA81" s="5">
        <v>430.44</v>
      </c>
      <c r="AB81" s="5">
        <v>380.11</v>
      </c>
      <c r="AC81" s="5">
        <v>349.29</v>
      </c>
      <c r="AD81" s="5">
        <v>394.59</v>
      </c>
      <c r="AE81" s="5">
        <v>460.86</v>
      </c>
      <c r="AF81" s="5">
        <v>560.99</v>
      </c>
      <c r="AG81" s="5">
        <v>644.7</v>
      </c>
      <c r="AH81" s="5">
        <v>747.52</v>
      </c>
      <c r="AI81" s="5">
        <v>1012.46</v>
      </c>
      <c r="AJ81" s="5">
        <v>1200.95</v>
      </c>
      <c r="AK81" s="5">
        <v>1242.77</v>
      </c>
    </row>
    <row r="82" ht="14.5" spans="24:37">
      <c r="X82" s="5" t="s">
        <v>148</v>
      </c>
      <c r="Y82" s="5" t="s">
        <v>114</v>
      </c>
      <c r="Z82" s="5">
        <v>220.08</v>
      </c>
      <c r="AA82" s="5">
        <v>216.72</v>
      </c>
      <c r="AB82" s="5">
        <v>236.26</v>
      </c>
      <c r="AC82" s="5">
        <v>245.88</v>
      </c>
      <c r="AD82" s="5">
        <v>276.22</v>
      </c>
      <c r="AE82" s="5">
        <v>311.08</v>
      </c>
      <c r="AF82" s="5">
        <v>357.41</v>
      </c>
      <c r="AG82" s="5">
        <v>404.37</v>
      </c>
      <c r="AH82" s="5">
        <v>447.59</v>
      </c>
      <c r="AI82" s="5">
        <v>569.21</v>
      </c>
      <c r="AJ82" s="5">
        <v>654.08</v>
      </c>
      <c r="AK82" s="5">
        <v>672.56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3:J15"/>
  <sheetViews>
    <sheetView workbookViewId="0">
      <selection activeCell="F8" sqref="F8:K20"/>
    </sheetView>
  </sheetViews>
  <sheetFormatPr defaultColWidth="8.72727272727273" defaultRowHeight="12.5"/>
  <cols>
    <col min="8" max="8" width="16.2727272727273" customWidth="1"/>
  </cols>
  <sheetData>
    <row r="13" ht="14.5" spans="9:10">
      <c r="I13" s="1"/>
    </row>
    <row r="15" ht="14.5" spans="9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2026-08-17T20:43:53Z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