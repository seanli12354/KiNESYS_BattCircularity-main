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"/>
    </mc:Choice>
  </mc:AlternateContent>
  <xr:revisionPtr revIDLastSave="0" documentId="13_ncr:1_{95F37B8A-634E-4E6B-AD67-EAD62C95364F}" xr6:coauthVersionLast="47" xr6:coauthVersionMax="47" xr10:uidLastSave="{00000000-0000-0000-0000-000000000000}"/>
  <bookViews>
    <workbookView xWindow="-120" yWindow="-120" windowWidth="29040" windowHeight="17520" firstSheet="5" activeTab="5" xr2:uid="{00000000-000D-0000-FFFF-FFFF00000000}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2" l="1"/>
  <c r="J10" i="27"/>
  <c r="I13" i="27"/>
  <c r="J12" i="27"/>
  <c r="J13" i="27" s="1"/>
  <c r="J11" i="27"/>
  <c r="J7" i="27"/>
  <c r="J5" i="27"/>
  <c r="F11" i="27"/>
  <c r="C25" i="26" l="1"/>
  <c r="D18" i="27"/>
  <c r="C18" i="27"/>
  <c r="F10" i="27"/>
  <c r="F13" i="27" s="1"/>
  <c r="F8" i="27"/>
  <c r="F6" i="27"/>
  <c r="F5" i="27"/>
  <c r="I41" i="23" l="1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D7" i="23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F57" i="24" l="1"/>
  <c r="E57" i="24"/>
  <c r="D57" i="24"/>
  <c r="C57" i="24"/>
  <c r="F56" i="24"/>
  <c r="E56" i="24"/>
  <c r="D56" i="24"/>
  <c r="C56" i="24"/>
  <c r="F55" i="24"/>
  <c r="E55" i="24"/>
  <c r="D55" i="24"/>
  <c r="C55" i="24"/>
  <c r="F54" i="24"/>
  <c r="E54" i="24"/>
  <c r="D54" i="24"/>
  <c r="C54" i="24"/>
  <c r="F53" i="24"/>
  <c r="E53" i="24"/>
  <c r="D53" i="24"/>
  <c r="C53" i="24"/>
  <c r="F52" i="24"/>
  <c r="E52" i="24"/>
  <c r="D52" i="24"/>
  <c r="C52" i="24"/>
  <c r="F51" i="24"/>
  <c r="E51" i="24"/>
  <c r="D51" i="24"/>
  <c r="C51" i="24"/>
  <c r="F50" i="24"/>
  <c r="E50" i="24"/>
  <c r="D50" i="24"/>
  <c r="C50" i="24"/>
  <c r="F49" i="24"/>
  <c r="E49" i="24"/>
  <c r="D49" i="24"/>
  <c r="C49" i="24"/>
  <c r="F48" i="24"/>
  <c r="E48" i="24"/>
  <c r="D48" i="24"/>
  <c r="C48" i="24"/>
  <c r="F47" i="24"/>
  <c r="E47" i="24"/>
  <c r="D47" i="24"/>
  <c r="C47" i="24"/>
  <c r="F46" i="24"/>
  <c r="E46" i="24"/>
  <c r="D46" i="24"/>
  <c r="C46" i="24"/>
  <c r="F45" i="24"/>
  <c r="E45" i="24"/>
  <c r="D45" i="24"/>
  <c r="C45" i="24"/>
  <c r="F44" i="24"/>
  <c r="E44" i="24"/>
  <c r="D44" i="24"/>
  <c r="C44" i="24"/>
  <c r="F43" i="24"/>
  <c r="E43" i="24"/>
  <c r="D43" i="24"/>
  <c r="C43" i="24"/>
  <c r="F42" i="24"/>
  <c r="E42" i="24"/>
  <c r="D42" i="24"/>
  <c r="C42" i="24"/>
  <c r="F41" i="24"/>
  <c r="E41" i="24"/>
  <c r="D41" i="24"/>
  <c r="C41" i="24"/>
  <c r="F40" i="24"/>
  <c r="E40" i="24"/>
  <c r="D40" i="24"/>
  <c r="C40" i="24"/>
  <c r="F39" i="24"/>
  <c r="E39" i="24"/>
  <c r="D39" i="24"/>
  <c r="C39" i="24"/>
  <c r="F38" i="24"/>
  <c r="E38" i="24"/>
  <c r="D38" i="24"/>
  <c r="C38" i="24"/>
  <c r="F37" i="24"/>
  <c r="E37" i="24"/>
  <c r="D37" i="24"/>
  <c r="C37" i="24"/>
  <c r="F36" i="24"/>
  <c r="E36" i="24"/>
  <c r="D36" i="24"/>
  <c r="C36" i="24"/>
  <c r="F35" i="24"/>
  <c r="E35" i="24"/>
  <c r="D35" i="24"/>
  <c r="C35" i="24"/>
  <c r="F34" i="24"/>
  <c r="E34" i="24"/>
  <c r="D34" i="24"/>
  <c r="C34" i="24"/>
  <c r="F33" i="24"/>
  <c r="E33" i="24"/>
  <c r="D33" i="24"/>
  <c r="C33" i="24"/>
  <c r="F32" i="24"/>
  <c r="E32" i="24"/>
  <c r="D32" i="24"/>
  <c r="C32" i="24"/>
  <c r="F31" i="24"/>
  <c r="E31" i="24"/>
  <c r="D31" i="24"/>
  <c r="C31" i="24"/>
  <c r="F30" i="24"/>
  <c r="E30" i="24"/>
  <c r="D30" i="24"/>
  <c r="J28" i="23" s="1"/>
  <c r="C30" i="24"/>
  <c r="F29" i="24"/>
  <c r="E29" i="24"/>
  <c r="D29" i="24"/>
  <c r="J27" i="23" s="1"/>
  <c r="C29" i="24"/>
  <c r="F28" i="24"/>
  <c r="E28" i="24"/>
  <c r="D28" i="24"/>
  <c r="J26" i="23" s="1"/>
  <c r="C28" i="24"/>
  <c r="F27" i="24"/>
  <c r="E27" i="24"/>
  <c r="D27" i="24"/>
  <c r="J25" i="23" s="1"/>
  <c r="C27" i="24"/>
  <c r="F26" i="24"/>
  <c r="E26" i="24"/>
  <c r="D26" i="24"/>
  <c r="J24" i="23" s="1"/>
  <c r="C26" i="24"/>
  <c r="F25" i="24"/>
  <c r="E25" i="24"/>
  <c r="D25" i="24"/>
  <c r="J23" i="23" s="1"/>
  <c r="C25" i="24"/>
  <c r="F24" i="24"/>
  <c r="E24" i="24"/>
  <c r="D24" i="24"/>
  <c r="J22" i="23" s="1"/>
  <c r="C24" i="24"/>
  <c r="F23" i="24"/>
  <c r="E23" i="24"/>
  <c r="D23" i="24"/>
  <c r="J21" i="23" s="1"/>
  <c r="C23" i="24"/>
  <c r="F22" i="24"/>
  <c r="E22" i="24"/>
  <c r="D22" i="24"/>
  <c r="J20" i="23" s="1"/>
  <c r="C22" i="24"/>
  <c r="F21" i="24"/>
  <c r="E21" i="24"/>
  <c r="D21" i="24"/>
  <c r="J19" i="23" s="1"/>
  <c r="C21" i="24"/>
  <c r="F20" i="24"/>
  <c r="E20" i="24"/>
  <c r="D20" i="24"/>
  <c r="J18" i="23" s="1"/>
  <c r="C20" i="24"/>
  <c r="F19" i="24"/>
  <c r="E19" i="24"/>
  <c r="D19" i="24"/>
  <c r="J17" i="23" s="1"/>
  <c r="C19" i="24"/>
  <c r="F18" i="24"/>
  <c r="E18" i="24"/>
  <c r="D18" i="24"/>
  <c r="J16" i="23" s="1"/>
  <c r="C18" i="24"/>
  <c r="F17" i="24"/>
  <c r="E17" i="24"/>
  <c r="D17" i="24"/>
  <c r="J15" i="23" s="1"/>
  <c r="C17" i="24"/>
  <c r="F16" i="24"/>
  <c r="E16" i="24"/>
  <c r="D16" i="24"/>
  <c r="J14" i="23" s="1"/>
  <c r="C16" i="24"/>
  <c r="F15" i="24"/>
  <c r="E15" i="24"/>
  <c r="D15" i="24"/>
  <c r="J13" i="23" s="1"/>
  <c r="C15" i="24"/>
  <c r="F14" i="24"/>
  <c r="E14" i="24"/>
  <c r="D14" i="24"/>
  <c r="J12" i="23" s="1"/>
  <c r="C14" i="24"/>
  <c r="F13" i="24"/>
  <c r="E13" i="24"/>
  <c r="D13" i="24"/>
  <c r="J11" i="23" s="1"/>
  <c r="C13" i="24"/>
  <c r="F12" i="24"/>
  <c r="E12" i="24"/>
  <c r="D12" i="24"/>
  <c r="J10" i="23" s="1"/>
  <c r="C12" i="24"/>
  <c r="F11" i="24"/>
  <c r="E11" i="24"/>
  <c r="D11" i="24"/>
  <c r="J9" i="23" s="1"/>
  <c r="C11" i="24"/>
  <c r="F10" i="24"/>
  <c r="E10" i="24"/>
  <c r="D10" i="24"/>
  <c r="J8" i="23" s="1"/>
  <c r="C10" i="24"/>
  <c r="F9" i="24"/>
  <c r="E9" i="24"/>
  <c r="D9" i="24"/>
  <c r="J7" i="23" s="1"/>
  <c r="C9" i="24"/>
  <c r="F8" i="24"/>
  <c r="E8" i="24"/>
  <c r="D8" i="24"/>
  <c r="J6" i="23" s="1"/>
  <c r="C8" i="24"/>
  <c r="J2" i="23" l="1"/>
  <c r="C7" i="24"/>
  <c r="D7" i="24"/>
  <c r="E7" i="24"/>
  <c r="F7" i="24"/>
  <c r="E7" i="23" l="1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D117858D-18EF-4984-8171-A26A25119CD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<sst xmlns="http://schemas.openxmlformats.org/spreadsheetml/2006/main" count="342" uniqueCount="135">
  <si>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</si>
  <si>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</si>
  <si>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</si>
  <si>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</si>
  <si>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</si>
  <si>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</si>
  <si>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</si>
  <si>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</si>
  <si>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</si>
  <si>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</si>
  <si>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</si>
  <si>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</si>
  <si>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</si>
  <si>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FX</t>
  </si>
  <si>
    <t>ELE,CHP,STS</t>
  </si>
  <si>
    <t>PRC_CAPACT</t>
  </si>
  <si>
    <t>PASTI</t>
  </si>
  <si>
    <t>RCAP_BND</t>
  </si>
  <si>
    <t>UP</t>
  </si>
  <si>
    <t>ELE,CHP</t>
  </si>
  <si>
    <t>-ELCHYD,-ELCBIO,-ELCWAS,-ELCSPV,-ELCWIN</t>
  </si>
  <si>
    <t>ELCNGA</t>
  </si>
  <si>
    <t>PEAK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</si>
  <si>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</si>
  <si>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</si>
  <si>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</si>
  <si>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</si>
  <si>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</si>
  <si>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</si>
  <si>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</si>
  <si>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</si>
  <si>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</si>
  <si>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</si>
  <si>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</si>
  <si>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</si>
  <si>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</si>
  <si>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</si>
  <si>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</si>
  <si>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</si>
  <si>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</si>
  <si>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</si>
  <si>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</si>
  <si>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</si>
  <si>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</si>
  <si>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</si>
  <si>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</si>
  <si>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</si>
  <si>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</si>
  <si>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</si>
  <si>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</si>
  <si>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</si>
  <si>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</si>
  <si>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</si>
  <si>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</si>
  <si>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</si>
  <si>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</si>
  <si>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</si>
  <si>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</si>
  <si>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</si>
  <si>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</si>
  <si>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</si>
  <si>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</si>
  <si>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</si>
  <si>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</si>
  <si>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</si>
  <si>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</si>
  <si>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</si>
  <si>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</si>
  <si>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</si>
  <si>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</si>
  <si>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</si>
  <si>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</si>
  <si>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</si>
  <si>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</si>
  <si>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</si>
  <si>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</si>
  <si>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</si>
  <si>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</si>
  <si>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pset_pd</t>
  </si>
  <si>
    <t>pset_co</t>
  </si>
  <si>
    <t>assuming 6h storage capacity for day-night operation of pumped hydro</t>
  </si>
  <si>
    <t>NCAP_AFAC</t>
  </si>
  <si>
    <t>ELC</t>
  </si>
  <si>
    <t>E?_HYD_PS-HY*,E?_ELC-HY_PS*</t>
  </si>
  <si>
    <t>NCAP_AFC</t>
  </si>
  <si>
    <t>ACT</t>
  </si>
  <si>
    <t>DAYNITE</t>
  </si>
  <si>
    <t>NRG</t>
  </si>
  <si>
    <t>takes 9h to full charge (pump has a smaller capacity than the hydro turbine)</t>
  </si>
  <si>
    <t>STG_EFF</t>
  </si>
  <si>
    <t>FLO_FUNC</t>
  </si>
  <si>
    <t>AuxStoOUT</t>
  </si>
  <si>
    <t>INDELC</t>
  </si>
  <si>
    <t>AutoP*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</si>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</sst>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sz val="10"/>
      <name val="Arial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2">
    <xf numFmtId="0" fontId="0" fillId="0" borderId="0"/>
    <xf numFmtId="0" fontId="6" fillId="0" borderId="0"/>
    <xf numFmtId="0" fontId="8" fillId="0" borderId="0"/>
    <xf numFmtId="0" fontId="7" fillId="0" borderId="0"/>
    <xf numFmtId="0" fontId="5" fillId="0" borderId="0"/>
    <xf numFmtId="0" fontId="9" fillId="2" borderId="0" applyNumberFormat="0" applyBorder="0" applyAlignment="0" applyProtection="0"/>
    <xf numFmtId="0" fontId="10" fillId="3" borderId="1" applyNumberFormat="0" applyAlignment="0" applyProtection="0"/>
    <xf numFmtId="0" fontId="4" fillId="0" borderId="0"/>
    <xf numFmtId="0" fontId="3" fillId="0" borderId="0"/>
    <xf numFmtId="0" fontId="2" fillId="0" borderId="0"/>
    <xf numFmtId="0" fontId="18" fillId="5" borderId="8" applyNumberFormat="0" applyFont="0" applyAlignment="0" applyProtection="0"/>
    <xf numFmtId="0" fontId="19" fillId="0" borderId="0"/>
  </cellStyleXfs>
  <cellXfs count="28">
    <xf numFmtId="0" fontId="0" fillId="0" borderId="0" xfId="0"/>
    <xf numFmtId="2" fontId="0" fillId="0" borderId="0" xfId="0" applyNumberFormat="1"/>
    <xf numFmtId="1" fontId="0" fillId="0" borderId="0" xfId="0" applyNumberFormat="1"/>
    <xf numFmtId="0" fontId="4" fillId="0" borderId="0" xfId="7"/>
    <xf numFmtId="0" fontId="11" fillId="0" borderId="0" xfId="7" applyFont="1" applyAlignment="1">
      <alignment horizontal="center"/>
    </xf>
    <xf numFmtId="0" fontId="10" fillId="3" borderId="1" xfId="6"/>
    <xf numFmtId="164" fontId="12" fillId="2" borderId="0" xfId="5" applyNumberFormat="1" applyFont="1"/>
    <xf numFmtId="0" fontId="13" fillId="0" borderId="0" xfId="7" applyFont="1"/>
    <xf numFmtId="165" fontId="4" fillId="4" borderId="0" xfId="7" applyNumberFormat="1" applyFill="1"/>
    <xf numFmtId="165" fontId="4" fillId="0" borderId="0" xfId="7" applyNumberFormat="1"/>
    <xf numFmtId="2" fontId="4" fillId="0" borderId="0" xfId="7" applyNumberFormat="1"/>
    <xf numFmtId="0" fontId="14" fillId="0" borderId="2" xfId="7" applyFont="1" applyBorder="1"/>
    <xf numFmtId="0" fontId="14" fillId="0" borderId="3" xfId="7" applyFont="1" applyBorder="1"/>
    <xf numFmtId="0" fontId="14" fillId="0" borderId="4" xfId="7" applyFont="1" applyBorder="1"/>
    <xf numFmtId="0" fontId="14" fillId="0" borderId="5" xfId="7" applyFont="1" applyBorder="1"/>
    <xf numFmtId="0" fontId="14" fillId="0" borderId="6" xfId="7" applyFont="1" applyBorder="1"/>
    <xf numFmtId="0" fontId="14" fillId="0" borderId="7" xfId="7" applyFont="1" applyBorder="1"/>
    <xf numFmtId="0" fontId="6" fillId="0" borderId="0" xfId="0" applyFont="1"/>
    <xf numFmtId="0" fontId="3" fillId="0" borderId="0" xfId="8"/>
    <xf numFmtId="2" fontId="3" fillId="0" borderId="0" xfId="8" applyNumberFormat="1"/>
    <xf numFmtId="0" fontId="0" fillId="5" borderId="8" xfId="10" applyFont="1"/>
    <xf numFmtId="0" fontId="1" fillId="5" borderId="8" xfId="10" applyFont="1"/>
    <xf numFmtId="0" fontId="17" fillId="5" borderId="8" xfId="10" applyFont="1"/>
    <xf numFmtId="0" fontId="0" fillId="0" borderId="0" xfId="0" quotePrefix="1"/>
    <xf numFmtId="0" fontId="19" fillId="0" borderId="0" xfId="11"/>
    <xf numFmtId="2" fontId="19" fillId="0" borderId="0" xfId="11" applyNumberFormat="1"/>
    <xf numFmtId="0" fontId="1" fillId="0" borderId="0" xfId="7" applyFont="1"/>
    <xf numFmtId="0" fontId="1" fillId="0" borderId="0" xfId="8" applyFont="1"/>
  </cellXfs>
  <cellStyles count="12">
    <cellStyle name="Normal 10" xfId="1" xr:uid="{00000000-0005-0000-0000-000001000000}"/>
    <cellStyle name="Normal 2" xfId="2" xr:uid="{00000000-0005-0000-0000-000002000000}"/>
    <cellStyle name="Normal 2 2" xfId="4" xr:uid="{1226D20D-DD5A-46E6-8986-2C43794EB266}"/>
    <cellStyle name="Normal 3" xfId="7" xr:uid="{C22DBE0E-8657-4544-A2EA-84EFA64BE6D1}"/>
    <cellStyle name="Normal 4" xfId="8" xr:uid="{00A33187-A04D-4CA0-A8DA-8D764933E1A6}"/>
    <cellStyle name="Normal 5" xfId="9" xr:uid="{AF616BAE-5479-4CFB-BBF6-F1DA6C91F59D}"/>
    <cellStyle name="Normal 6" xfId="11" xr:uid="{706D549B-A868-4CC9-AB1C-5821BBB7BE1A}"/>
    <cellStyle name="Normale_Scen_UC_IND-StrucConst" xfId="3" xr:uid="{00000000-0005-0000-0000-000003000000}"/>
    <cellStyle name="好" xfId="5" builtinId="26"/>
    <cellStyle name="常规" xfId="0" builtinId="0"/>
    <cellStyle name="注释" xfId="10" builtinId="10"/>
    <cellStyle name="输入" xfId="6" builtinId="2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0.97062258013515912</c:v>
                </c:pt>
                <c:pt idx="2">
                  <c:v>0.96239643571651068</c:v>
                </c:pt>
                <c:pt idx="3">
                  <c:v>0.96239643571651068</c:v>
                </c:pt>
                <c:pt idx="4">
                  <c:v>0.95334894686552296</c:v>
                </c:pt>
                <c:pt idx="5">
                  <c:v>0.94694722093384487</c:v>
                </c:pt>
                <c:pt idx="6">
                  <c:v>0.94694722093384487</c:v>
                </c:pt>
                <c:pt idx="7">
                  <c:v>0.92626111478806361</c:v>
                </c:pt>
                <c:pt idx="8">
                  <c:v>0.89816275804529644</c:v>
                </c:pt>
                <c:pt idx="9">
                  <c:v>0.89816275804529644</c:v>
                </c:pt>
                <c:pt idx="10">
                  <c:v>0.84618938087841178</c:v>
                </c:pt>
                <c:pt idx="11">
                  <c:v>0.83608996556885473</c:v>
                </c:pt>
                <c:pt idx="12">
                  <c:v>0.78534774881855129</c:v>
                </c:pt>
                <c:pt idx="13">
                  <c:v>0.76515842462494787</c:v>
                </c:pt>
                <c:pt idx="14">
                  <c:v>0.72288820149169919</c:v>
                </c:pt>
                <c:pt idx="15">
                  <c:v>0.66220665411121304</c:v>
                </c:pt>
                <c:pt idx="16">
                  <c:v>0.62309314791753456</c:v>
                </c:pt>
                <c:pt idx="17">
                  <c:v>0.53759209228578131</c:v>
                </c:pt>
                <c:pt idx="18">
                  <c:v>0.47418921909559059</c:v>
                </c:pt>
                <c:pt idx="19">
                  <c:v>0.42209122093761908</c:v>
                </c:pt>
                <c:pt idx="20">
                  <c:v>0.34697101605841268</c:v>
                </c:pt>
                <c:pt idx="21">
                  <c:v>0.29306436176205847</c:v>
                </c:pt>
                <c:pt idx="22">
                  <c:v>0.23285804035746605</c:v>
                </c:pt>
                <c:pt idx="23">
                  <c:v>0.19094252894781777</c:v>
                </c:pt>
                <c:pt idx="24">
                  <c:v>0.16465309692369703</c:v>
                </c:pt>
                <c:pt idx="25">
                  <c:v>0.1488683274483332</c:v>
                </c:pt>
                <c:pt idx="26">
                  <c:v>0.11454490726821995</c:v>
                </c:pt>
                <c:pt idx="27">
                  <c:v>0.10305457793904532</c:v>
                </c:pt>
                <c:pt idx="28">
                  <c:v>9.509790003536947E-2</c:v>
                </c:pt>
                <c:pt idx="29">
                  <c:v>9.509790003536947E-2</c:v>
                </c:pt>
                <c:pt idx="30">
                  <c:v>7.9496509194296461E-2</c:v>
                </c:pt>
                <c:pt idx="31">
                  <c:v>5.6842043359806547E-2</c:v>
                </c:pt>
                <c:pt idx="32">
                  <c:v>5.4254088886505715E-2</c:v>
                </c:pt>
                <c:pt idx="33">
                  <c:v>5.4254088886505715E-2</c:v>
                </c:pt>
                <c:pt idx="34">
                  <c:v>5.4254088886505715E-2</c:v>
                </c:pt>
                <c:pt idx="35">
                  <c:v>4.5375222897155502E-2</c:v>
                </c:pt>
                <c:pt idx="36">
                  <c:v>3.3017316344289761E-2</c:v>
                </c:pt>
                <c:pt idx="37">
                  <c:v>3.3017316344289761E-2</c:v>
                </c:pt>
                <c:pt idx="38">
                  <c:v>3.1841483991343025E-2</c:v>
                </c:pt>
                <c:pt idx="39">
                  <c:v>2.8946803628493653E-2</c:v>
                </c:pt>
                <c:pt idx="40">
                  <c:v>2.6052123265644281E-2</c:v>
                </c:pt>
                <c:pt idx="41">
                  <c:v>2.3157442902794922E-2</c:v>
                </c:pt>
                <c:pt idx="42">
                  <c:v>2.026276253994555E-2</c:v>
                </c:pt>
                <c:pt idx="43">
                  <c:v>1.7368082177096178E-2</c:v>
                </c:pt>
                <c:pt idx="44">
                  <c:v>1.4473401814246806E-2</c:v>
                </c:pt>
                <c:pt idx="45">
                  <c:v>1.1578721451397461E-2</c:v>
                </c:pt>
                <c:pt idx="46">
                  <c:v>8.684041088548089E-3</c:v>
                </c:pt>
                <c:pt idx="47">
                  <c:v>5.7893607256987167E-3</c:v>
                </c:pt>
                <c:pt idx="48">
                  <c:v>2.8946803628493445E-3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C0-450A-8128-0F3E5F7808BE}"/>
            </c:ext>
          </c:extLst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0.90621938521129997</c:v>
                </c:pt>
                <c:pt idx="1">
                  <c:v>0.8875265604383793</c:v>
                </c:pt>
                <c:pt idx="2">
                  <c:v>0.86539332468343366</c:v>
                </c:pt>
                <c:pt idx="3">
                  <c:v>0.83931400245377985</c:v>
                </c:pt>
                <c:pt idx="4">
                  <c:v>0.80876611179341928</c:v>
                </c:pt>
                <c:pt idx="5">
                  <c:v>0.77323921509228544</c:v>
                </c:pt>
                <c:pt idx="6">
                  <c:v>0.73227849409977908</c:v>
                </c:pt>
                <c:pt idx="7">
                  <c:v>0.68554622457561987</c:v>
                </c:pt>
                <c:pt idx="8">
                  <c:v>0.63290302347589622</c:v>
                </c:pt>
                <c:pt idx="9">
                  <c:v>0.57450765021648109</c:v>
                </c:pt>
                <c:pt idx="10">
                  <c:v>0.51092845530222564</c:v>
                </c:pt>
                <c:pt idx="11">
                  <c:v>0.44325071361876711</c:v>
                </c:pt>
                <c:pt idx="12">
                  <c:v>0.37315241909147212</c:v>
                </c:pt>
                <c:pt idx="13">
                  <c:v>0.30290907626404634</c:v>
                </c:pt>
                <c:pt idx="14">
                  <c:v>0.23528138033044843</c:v>
                </c:pt>
                <c:pt idx="15">
                  <c:v>0.17324802369769995</c:v>
                </c:pt>
                <c:pt idx="16">
                  <c:v>0.1195802175145928</c:v>
                </c:pt>
                <c:pt idx="17">
                  <c:v>7.6319614705625927E-2</c:v>
                </c:pt>
                <c:pt idx="18">
                  <c:v>4.4302689262094221E-2</c:v>
                </c:pt>
                <c:pt idx="19">
                  <c:v>2.2928176689814807E-2</c:v>
                </c:pt>
                <c:pt idx="20">
                  <c:v>1.032686785915894E-2</c:v>
                </c:pt>
                <c:pt idx="21">
                  <c:v>3.931453445410067E-3</c:v>
                </c:pt>
                <c:pt idx="22">
                  <c:v>1.2212698013821749E-3</c:v>
                </c:pt>
                <c:pt idx="23">
                  <c:v>2.9665950811438033E-4</c:v>
                </c:pt>
                <c:pt idx="24">
                  <c:v>5.3529331288021628E-5</c:v>
                </c:pt>
                <c:pt idx="25">
                  <c:v>6.7442347575472243E-6</c:v>
                </c:pt>
                <c:pt idx="26">
                  <c:v>5.5070510535237054E-7</c:v>
                </c:pt>
                <c:pt idx="27">
                  <c:v>2.6646577225687996E-8</c:v>
                </c:pt>
                <c:pt idx="28">
                  <c:v>6.8610925393580868E-10</c:v>
                </c:pt>
                <c:pt idx="29">
                  <c:v>8.2645524853026971E-12</c:v>
                </c:pt>
                <c:pt idx="30">
                  <c:v>3.9924822780189681E-14</c:v>
                </c:pt>
                <c:pt idx="31">
                  <c:v>6.438187497959136E-17</c:v>
                </c:pt>
                <c:pt idx="32">
                  <c:v>2.7869280886881844E-20</c:v>
                </c:pt>
                <c:pt idx="33">
                  <c:v>2.5025418548211453E-24</c:v>
                </c:pt>
                <c:pt idx="34">
                  <c:v>3.4418721136100911E-29</c:v>
                </c:pt>
                <c:pt idx="35">
                  <c:v>5.0848811935204155E-35</c:v>
                </c:pt>
                <c:pt idx="36">
                  <c:v>5.344669628941995E-42</c:v>
                </c:pt>
                <c:pt idx="37">
                  <c:v>2.4875371970706651E-50</c:v>
                </c:pt>
                <c:pt idx="38">
                  <c:v>2.9870927377763022E-60</c:v>
                </c:pt>
                <c:pt idx="39">
                  <c:v>5.0409298198119639E-72</c:v>
                </c:pt>
                <c:pt idx="40">
                  <c:v>6.0986905693768619E-86</c:v>
                </c:pt>
                <c:pt idx="41">
                  <c:v>2.5432297755778838E-102</c:v>
                </c:pt>
                <c:pt idx="42">
                  <c:v>1.6765002702622089E-121</c:v>
                </c:pt>
                <c:pt idx="43">
                  <c:v>7.7857033551047022E-144</c:v>
                </c:pt>
                <c:pt idx="44">
                  <c:v>1.1317461231213568E-169</c:v>
                </c:pt>
                <c:pt idx="45">
                  <c:v>2.3553725390051792E-199</c:v>
                </c:pt>
                <c:pt idx="46">
                  <c:v>3.4295773308878646E-233</c:v>
                </c:pt>
                <c:pt idx="47">
                  <c:v>1.8967043849680431E-271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C0-450A-8128-0F3E5F7808BE}"/>
            </c:ext>
          </c:extLst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0.93823083055896217</c:v>
                </c:pt>
                <c:pt idx="1">
                  <c:v>0.92543928353195037</c:v>
                </c:pt>
                <c:pt idx="2">
                  <c:v>0.91012836450520007</c:v>
                </c:pt>
                <c:pt idx="3">
                  <c:v>0.89186179542568333</c:v>
                </c:pt>
                <c:pt idx="4">
                  <c:v>0.87015557311559599</c:v>
                </c:pt>
                <c:pt idx="5">
                  <c:v>0.84448643429821824</c:v>
                </c:pt>
                <c:pt idx="6">
                  <c:v>0.81430870620488494</c:v>
                </c:pt>
                <c:pt idx="7">
                  <c:v>0.77908286056025622</c:v>
                </c:pt>
                <c:pt idx="8">
                  <c:v>0.73831952387107802</c:v>
                </c:pt>
                <c:pt idx="9">
                  <c:v>0.69164258360715825</c:v>
                </c:pt>
                <c:pt idx="10">
                  <c:v>0.63887380360138246</c:v>
                </c:pt>
                <c:pt idx="11">
                  <c:v>0.58013822356972422</c:v>
                </c:pt>
                <c:pt idx="12">
                  <c:v>0.51598362885532811</c:v>
                </c:pt>
                <c:pt idx="13">
                  <c:v>0.44749780699687264</c:v>
                </c:pt>
                <c:pt idx="14">
                  <c:v>0.37639440585896222</c:v>
                </c:pt>
                <c:pt idx="15">
                  <c:v>0.30502449527464032</c:v>
                </c:pt>
                <c:pt idx="16">
                  <c:v>0.23626275789890977</c:v>
                </c:pt>
                <c:pt idx="17">
                  <c:v>0.17322545586628948</c:v>
                </c:pt>
                <c:pt idx="18">
                  <c:v>0.11881473880556002</c:v>
                </c:pt>
                <c:pt idx="19">
                  <c:v>7.515638719166616E-2</c:v>
                </c:pt>
                <c:pt idx="20">
                  <c:v>4.3089488779698863E-2</c:v>
                </c:pt>
                <c:pt idx="21">
                  <c:v>2.192601488061072E-2</c:v>
                </c:pt>
                <c:pt idx="22">
                  <c:v>9.6531612512389987E-3</c:v>
                </c:pt>
                <c:pt idx="23">
                  <c:v>3.5653565910413274E-3</c:v>
                </c:pt>
                <c:pt idx="24">
                  <c:v>1.0642499886715339E-3</c:v>
                </c:pt>
                <c:pt idx="25">
                  <c:v>2.4540381605793016E-4</c:v>
                </c:pt>
                <c:pt idx="26">
                  <c:v>4.1392961879602978E-5</c:v>
                </c:pt>
                <c:pt idx="27">
                  <c:v>4.7818841550731846E-6</c:v>
                </c:pt>
                <c:pt idx="28">
                  <c:v>3.4952020030990141E-7</c:v>
                </c:pt>
                <c:pt idx="29">
                  <c:v>1.4694529807459592E-8</c:v>
                </c:pt>
                <c:pt idx="30">
                  <c:v>3.1695725147098755E-10</c:v>
                </c:pt>
                <c:pt idx="31">
                  <c:v>3.0592762554711989E-12</c:v>
                </c:pt>
                <c:pt idx="32">
                  <c:v>1.1225602155736921E-14</c:v>
                </c:pt>
                <c:pt idx="33">
                  <c:v>1.2903664491374824E-17</c:v>
                </c:pt>
                <c:pt idx="34">
                  <c:v>3.6967113555702034E-21</c:v>
                </c:pt>
                <c:pt idx="35">
                  <c:v>2.0178083420592372E-25</c:v>
                </c:pt>
                <c:pt idx="36">
                  <c:v>1.5342782793287366E-30</c:v>
                </c:pt>
                <c:pt idx="37">
                  <c:v>1.1315494505161492E-36</c:v>
                </c:pt>
                <c:pt idx="38">
                  <c:v>5.3497948814828024E-44</c:v>
                </c:pt>
                <c:pt idx="39">
                  <c:v>1.0155773516224814E-52</c:v>
                </c:pt>
                <c:pt idx="40">
                  <c:v>4.599375648370823E-63</c:v>
                </c:pt>
                <c:pt idx="41">
                  <c:v>2.8132883574224033E-75</c:v>
                </c:pt>
                <c:pt idx="42">
                  <c:v>1.2650411023693033E-89</c:v>
                </c:pt>
                <c:pt idx="43">
                  <c:v>2.2200608681182757E-106</c:v>
                </c:pt>
                <c:pt idx="44">
                  <c:v>8.0326255527463641E-126</c:v>
                </c:pt>
                <c:pt idx="45">
                  <c:v>3.2314603706218274E-148</c:v>
                </c:pt>
                <c:pt idx="46">
                  <c:v>8.1973661011261091E-174</c:v>
                </c:pt>
                <c:pt idx="47">
                  <c:v>8.0721256727829729E-203</c:v>
                </c:pt>
                <c:pt idx="48">
                  <c:v>2.1254475179657738E-235</c:v>
                </c:pt>
                <c:pt idx="49">
                  <c:v>1.1830521861667747E-271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C0-450A-8128-0F3E5F7808BE}"/>
            </c:ext>
          </c:extLst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0.96637035992277476</c:v>
                </c:pt>
                <c:pt idx="1">
                  <c:v>0.96175867686333427</c:v>
                </c:pt>
                <c:pt idx="2">
                  <c:v>0.9565296156543347</c:v>
                </c:pt>
                <c:pt idx="3">
                  <c:v>0.95060496393511895</c:v>
                </c:pt>
                <c:pt idx="4">
                  <c:v>0.94389791535614542</c:v>
                </c:pt>
                <c:pt idx="5">
                  <c:v>0.93631252338161186</c:v>
                </c:pt>
                <c:pt idx="6">
                  <c:v>0.92774325313295103</c:v>
                </c:pt>
                <c:pt idx="7">
                  <c:v>0.91807468722754815</c:v>
                </c:pt>
                <c:pt idx="8">
                  <c:v>0.90718145765014457</c:v>
                </c:pt>
                <c:pt idx="9">
                  <c:v>0.89492849466195157</c:v>
                </c:pt>
                <c:pt idx="10">
                  <c:v>0.88117170548978441</c:v>
                </c:pt>
                <c:pt idx="11">
                  <c:v>0.8657592195247148</c:v>
                </c:pt>
                <c:pt idx="12">
                  <c:v>0.84853336185007378</c:v>
                </c:pt>
                <c:pt idx="13">
                  <c:v>0.82933354104355339</c:v>
                </c:pt>
                <c:pt idx="14">
                  <c:v>0.80800025700015121</c:v>
                </c:pt>
                <c:pt idx="15">
                  <c:v>0.78438044492894099</c:v>
                </c:pt>
                <c:pt idx="16">
                  <c:v>0.75833436545842037</c:v>
                </c:pt>
                <c:pt idx="17">
                  <c:v>0.7297442182003625</c:v>
                </c:pt>
                <c:pt idx="18">
                  <c:v>0.69852458480867941</c:v>
                </c:pt>
                <c:pt idx="19">
                  <c:v>0.66463468296812744</c:v>
                </c:pt>
                <c:pt idx="20">
                  <c:v>0.62809221944812499</c:v>
                </c:pt>
                <c:pt idx="21">
                  <c:v>0.58898835488559886</c:v>
                </c:pt>
                <c:pt idx="22">
                  <c:v>0.54750292857249572</c:v>
                </c:pt>
                <c:pt idx="23">
                  <c:v>0.50391864543338283</c:v>
                </c:pt>
                <c:pt idx="24">
                  <c:v>0.45863243040075968</c:v>
                </c:pt>
                <c:pt idx="25">
                  <c:v>0.41216167292492134</c:v>
                </c:pt>
                <c:pt idx="26">
                  <c:v>0.3651427258741064</c:v>
                </c:pt>
                <c:pt idx="27">
                  <c:v>0.31831894491516949</c:v>
                </c:pt>
                <c:pt idx="28">
                  <c:v>0.27251594788567834</c:v>
                </c:pt>
                <c:pt idx="29">
                  <c:v>0.22860282901503878</c:v>
                </c:pt>
                <c:pt idx="30">
                  <c:v>0.18743990266820038</c:v>
                </c:pt>
                <c:pt idx="31">
                  <c:v>0.14981613466224608</c:v>
                </c:pt>
                <c:pt idx="32">
                  <c:v>0.11638243798286813</c:v>
                </c:pt>
                <c:pt idx="33">
                  <c:v>8.7589822832866177E-2</c:v>
                </c:pt>
                <c:pt idx="34">
                  <c:v>6.3643065341544569E-2</c:v>
                </c:pt>
                <c:pt idx="35">
                  <c:v>4.4480083343421462E-2</c:v>
                </c:pt>
                <c:pt idx="36">
                  <c:v>2.9783889897233667E-2</c:v>
                </c:pt>
                <c:pt idx="37">
                  <c:v>1.902794813147337E-2</c:v>
                </c:pt>
                <c:pt idx="38">
                  <c:v>1.1548223188478004E-2</c:v>
                </c:pt>
                <c:pt idx="39">
                  <c:v>6.6284833708684212E-3</c:v>
                </c:pt>
                <c:pt idx="40">
                  <c:v>3.5819812158708873E-3</c:v>
                </c:pt>
                <c:pt idx="41">
                  <c:v>1.8141765712767492E-3</c:v>
                </c:pt>
                <c:pt idx="42">
                  <c:v>8.5735161453715349E-4</c:v>
                </c:pt>
                <c:pt idx="43">
                  <c:v>3.7645859428151265E-4</c:v>
                </c:pt>
                <c:pt idx="44">
                  <c:v>1.5297940230222861E-4</c:v>
                </c:pt>
                <c:pt idx="45">
                  <c:v>5.7326093124505313E-5</c:v>
                </c:pt>
                <c:pt idx="46">
                  <c:v>1.9748423645454795E-5</c:v>
                </c:pt>
                <c:pt idx="47">
                  <c:v>6.2385157579983215E-6</c:v>
                </c:pt>
                <c:pt idx="48">
                  <c:v>1.8038158096210059E-6</c:v>
                </c:pt>
                <c:pt idx="49">
                  <c:v>4.76837158203125E-7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C0-450A-8128-0F3E5F7808BE}"/>
            </c:ext>
          </c:extLst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0.91488569235609774</c:v>
                </c:pt>
                <c:pt idx="1">
                  <c:v>0.90366752786671811</c:v>
                </c:pt>
                <c:pt idx="2">
                  <c:v>0.89106256979304788</c:v>
                </c:pt>
                <c:pt idx="3">
                  <c:v>0.8769257288373955</c:v>
                </c:pt>
                <c:pt idx="4">
                  <c:v>0.8611043978528643</c:v>
                </c:pt>
                <c:pt idx="5">
                  <c:v>0.84344050935042314</c:v>
                </c:pt>
                <c:pt idx="6">
                  <c:v>0.82377352237557611</c:v>
                </c:pt>
                <c:pt idx="7">
                  <c:v>0.80194454668723303</c:v>
                </c:pt>
                <c:pt idx="8">
                  <c:v>0.77780182309652368</c:v>
                </c:pt>
                <c:pt idx="9">
                  <c:v>0.75120777329698307</c:v>
                </c:pt>
                <c:pt idx="10">
                  <c:v>0.72204780074368047</c:v>
                </c:pt>
                <c:pt idx="11">
                  <c:v>0.69024095356792647</c:v>
                </c:pt>
                <c:pt idx="12">
                  <c:v>0.65575243614486411</c:v>
                </c:pt>
                <c:pt idx="13">
                  <c:v>0.61860776150923924</c:v>
                </c:pt>
                <c:pt idx="14">
                  <c:v>0.57890805744417395</c:v>
                </c:pt>
                <c:pt idx="15">
                  <c:v>0.53684566586911131</c:v>
                </c:pt>
                <c:pt idx="16">
                  <c:v>0.49271871252041888</c:v>
                </c:pt>
                <c:pt idx="17">
                  <c:v>0.44694279957882194</c:v>
                </c:pt>
                <c:pt idx="18">
                  <c:v>0.40005745100055973</c:v>
                </c:pt>
                <c:pt idx="19">
                  <c:v>0.35272452909206703</c:v>
                </c:pt>
                <c:pt idx="20">
                  <c:v>0.30571570476552695</c:v>
                </c:pt>
                <c:pt idx="21">
                  <c:v>0.25988641177864036</c:v>
                </c:pt>
                <c:pt idx="22">
                  <c:v>0.21613476875890947</c:v>
                </c:pt>
                <c:pt idx="23">
                  <c:v>0.17534587855983078</c:v>
                </c:pt>
                <c:pt idx="24">
                  <c:v>0.13832471815386618</c:v>
                </c:pt>
                <c:pt idx="25">
                  <c:v>0.10572423040766306</c:v>
                </c:pt>
                <c:pt idx="26">
                  <c:v>7.7978545305830788E-2</c:v>
                </c:pt>
                <c:pt idx="27">
                  <c:v>5.5253424212542646E-2</c:v>
                </c:pt>
                <c:pt idx="28">
                  <c:v>3.7425778197089629E-2</c:v>
                </c:pt>
                <c:pt idx="29">
                  <c:v>2.4100468898179003E-2</c:v>
                </c:pt>
                <c:pt idx="30">
                  <c:v>1.4665472494652736E-2</c:v>
                </c:pt>
                <c:pt idx="31">
                  <c:v>8.3772434722373338E-3</c:v>
                </c:pt>
                <c:pt idx="32">
                  <c:v>4.4596043288993173E-3</c:v>
                </c:pt>
                <c:pt idx="33">
                  <c:v>2.1951782975320197E-3</c:v>
                </c:pt>
                <c:pt idx="34">
                  <c:v>9.9070286332150564E-4</c:v>
                </c:pt>
                <c:pt idx="35">
                  <c:v>4.0623831372539772E-4</c:v>
                </c:pt>
                <c:pt idx="36">
                  <c:v>1.4990094874129534E-4</c:v>
                </c:pt>
                <c:pt idx="37">
                  <c:v>4.9274391264684961E-5</c:v>
                </c:pt>
                <c:pt idx="38">
                  <c:v>1.4277824177117831E-5</c:v>
                </c:pt>
                <c:pt idx="39">
                  <c:v>3.607701834386371E-6</c:v>
                </c:pt>
                <c:pt idx="40">
                  <c:v>7.8626283638868803E-7</c:v>
                </c:pt>
                <c:pt idx="41">
                  <c:v>1.4619301545428716E-7</c:v>
                </c:pt>
                <c:pt idx="42">
                  <c:v>2.2943554815731808E-8</c:v>
                </c:pt>
                <c:pt idx="43">
                  <c:v>3.0082977683830433E-9</c:v>
                </c:pt>
                <c:pt idx="44">
                  <c:v>3.2640653991299126E-10</c:v>
                </c:pt>
                <c:pt idx="45">
                  <c:v>2.9055861024017896E-11</c:v>
                </c:pt>
                <c:pt idx="46">
                  <c:v>2.1062739537756836E-12</c:v>
                </c:pt>
                <c:pt idx="47">
                  <c:v>1.2358820355067601E-13</c:v>
                </c:pt>
                <c:pt idx="48">
                  <c:v>5.8436188525741118E-15</c:v>
                </c:pt>
                <c:pt idx="49">
                  <c:v>2.2204460492503131E-16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C0-450A-8128-0F3E5F78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DD352-9E69-4CD5-85C0-354775124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7935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2400" b="0" i="0">
                  <a:latin typeface="Cambria Math" panose="02040503050406030204" pitchFamily="18" charset="0"/>
                </a:rPr>
                <a:t>𝑆(𝑥)=</a:t>
              </a:r>
              <a:r>
                <a:rPr lang="en-IN" sz="24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/((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1+𝑒^(−𝑘𝑥) ) 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 i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4010-C144-4149-95F4-80A0F3B7A676}">
  <dimension ref="A1:J30"/>
  <sheetViews>
    <sheetView workbookViewId="0">
      <selection activeCell="J18" sqref="J18"/>
    </sheetView>
  </sheetViews>
  <sheetFormatPr defaultRowHeight="12.75"/>
  <cols>
    <col min="2" max="2" width="13.42578125" bestFit="1" customWidth="1"/>
    <col min="3" max="3" width="6.5703125" bestFit="1" customWidth="1"/>
    <col min="4" max="4" width="10.28515625" bestFit="1" customWidth="1"/>
    <col min="5" max="5" width="7.5703125" bestFit="1" customWidth="1"/>
    <col min="6" max="6" width="4.7109375" bestFit="1" customWidth="1"/>
    <col min="7" max="7" width="9.42578125" bestFit="1" customWidth="1"/>
    <col min="8" max="8" width="12.42578125" bestFit="1" customWidth="1"/>
    <col min="9" max="9" width="15.140625" bestFit="1" customWidth="1"/>
    <col min="10" max="10" width="25.7109375" bestFit="1" customWidth="1"/>
  </cols>
  <sheetData>
    <row r="1" spans="1:10">
      <c r="A1" s="20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E5" t="s">
        <v>13</v>
      </c>
      <c r="F5">
        <v>0</v>
      </c>
      <c r="G5">
        <v>2</v>
      </c>
      <c r="H5" t="s">
        <v>14</v>
      </c>
    </row>
    <row r="6" spans="1:10">
      <c r="B6" t="s">
        <v>15</v>
      </c>
      <c r="D6" t="s">
        <v>16</v>
      </c>
      <c r="G6" s="1">
        <v>31.536000000000001</v>
      </c>
      <c r="H6" t="s">
        <v>14</v>
      </c>
    </row>
    <row r="7" spans="1:10">
      <c r="B7" t="s">
        <v>16</v>
      </c>
      <c r="D7" t="s">
        <v>16</v>
      </c>
      <c r="F7">
        <v>0</v>
      </c>
      <c r="G7">
        <v>1</v>
      </c>
      <c r="H7" t="s">
        <v>14</v>
      </c>
    </row>
    <row r="8" spans="1:10">
      <c r="B8" t="s">
        <v>17</v>
      </c>
      <c r="D8" t="s">
        <v>16</v>
      </c>
      <c r="E8" t="s">
        <v>18</v>
      </c>
      <c r="F8">
        <v>2025</v>
      </c>
      <c r="G8">
        <v>0</v>
      </c>
      <c r="H8" t="s">
        <v>19</v>
      </c>
      <c r="J8" s="23" t="s">
        <v>20</v>
      </c>
    </row>
    <row r="9" spans="1:10">
      <c r="B9" t="s">
        <v>17</v>
      </c>
      <c r="D9" t="s">
        <v>16</v>
      </c>
      <c r="E9" t="s">
        <v>18</v>
      </c>
      <c r="F9">
        <v>2030</v>
      </c>
      <c r="G9">
        <v>0</v>
      </c>
      <c r="H9" t="s">
        <v>19</v>
      </c>
      <c r="J9" t="s">
        <v>21</v>
      </c>
    </row>
    <row r="10" spans="1:10">
      <c r="B10" t="s">
        <v>17</v>
      </c>
      <c r="D10" t="s">
        <v>16</v>
      </c>
      <c r="E10" t="s">
        <v>18</v>
      </c>
      <c r="F10">
        <v>0</v>
      </c>
      <c r="G10">
        <v>4</v>
      </c>
      <c r="H10" t="s">
        <v>19</v>
      </c>
      <c r="J10" t="str">
        <f>J8</f>
        <v>-ELCHYD,-ELCBIO,-ELCWAS,-ELCSPV,-ELCWIN</v>
      </c>
    </row>
    <row r="11" spans="1:10">
      <c r="B11" t="s">
        <v>22</v>
      </c>
      <c r="G11">
        <v>1</v>
      </c>
      <c r="H11" t="s">
        <v>14</v>
      </c>
    </row>
    <row r="14" spans="1:10">
      <c r="B14" t="s">
        <v>23</v>
      </c>
    </row>
    <row r="15" spans="1:10">
      <c r="B15" t="s">
        <v>3</v>
      </c>
      <c r="C15" t="s">
        <v>4</v>
      </c>
      <c r="D15" t="s">
        <v>5</v>
      </c>
      <c r="E15" t="s">
        <v>6</v>
      </c>
      <c r="F15" t="s">
        <v>7</v>
      </c>
      <c r="G15" t="s">
        <v>8</v>
      </c>
      <c r="H15" t="s">
        <v>9</v>
      </c>
      <c r="I15" t="s">
        <v>11</v>
      </c>
    </row>
    <row r="16" spans="1:10">
      <c r="B16" t="s">
        <v>24</v>
      </c>
      <c r="G16">
        <v>0.32</v>
      </c>
      <c r="I16" t="s">
        <v>25</v>
      </c>
    </row>
    <row r="17" spans="2:10">
      <c r="B17" t="s">
        <v>24</v>
      </c>
      <c r="G17">
        <v>1</v>
      </c>
      <c r="I17" t="s">
        <v>26</v>
      </c>
    </row>
    <row r="25" spans="2:10">
      <c r="B25" t="s">
        <v>2</v>
      </c>
    </row>
    <row r="26" spans="2:10"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9</v>
      </c>
      <c r="I26" t="s">
        <v>11</v>
      </c>
      <c r="J26" t="s">
        <v>10</v>
      </c>
    </row>
    <row r="27" spans="2:10">
      <c r="B27" t="s">
        <v>27</v>
      </c>
      <c r="C27" t="s">
        <v>28</v>
      </c>
      <c r="G27" s="2">
        <v>2882.65777101602</v>
      </c>
      <c r="H27" t="s">
        <v>29</v>
      </c>
      <c r="J27" t="s">
        <v>30</v>
      </c>
    </row>
    <row r="28" spans="2:10">
      <c r="B28" t="s">
        <v>27</v>
      </c>
      <c r="C28" t="s">
        <v>28</v>
      </c>
      <c r="G28" s="2">
        <v>893.70913654846424</v>
      </c>
      <c r="H28" t="s">
        <v>29</v>
      </c>
      <c r="J28" t="s">
        <v>31</v>
      </c>
    </row>
    <row r="29" spans="2:10">
      <c r="B29" t="s">
        <v>27</v>
      </c>
      <c r="C29" t="s">
        <v>28</v>
      </c>
      <c r="G29" s="2">
        <v>3000</v>
      </c>
      <c r="H29" t="s">
        <v>32</v>
      </c>
      <c r="J29" t="s">
        <v>33</v>
      </c>
    </row>
    <row r="30" spans="2:10">
      <c r="B30" t="s">
        <v>34</v>
      </c>
      <c r="G30">
        <v>30</v>
      </c>
      <c r="J30" t="s">
        <v>35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AD98-417C-4AC9-A358-3DC2CA78B755}">
  <dimension ref="B1:O41"/>
  <sheetViews>
    <sheetView workbookViewId="0"/>
  </sheetViews>
  <sheetFormatPr defaultRowHeight="12.75"/>
  <cols>
    <col min="4" max="4" width="5" bestFit="1" customWidth="1"/>
    <col min="7" max="7" width="9.85546875" bestFit="1" customWidth="1"/>
    <col min="8" max="8" width="12.5703125" bestFit="1" customWidth="1"/>
    <col min="9" max="9" width="4.5703125" bestFit="1" customWidth="1"/>
    <col min="10" max="10" width="8.140625" bestFit="1" customWidth="1"/>
    <col min="12" max="12" width="20.42578125" bestFit="1" customWidth="1"/>
    <col min="13" max="13" width="7.140625" bestFit="1" customWidth="1"/>
    <col min="14" max="14" width="4.28515625" bestFit="1" customWidth="1"/>
    <col min="15" max="15" width="5" bestFit="1" customWidth="1"/>
  </cols>
  <sheetData>
    <row r="1" spans="2:15">
      <c r="J1" s="20" t="s">
        <v>36</v>
      </c>
      <c r="K1" t="s">
        <v>37</v>
      </c>
    </row>
    <row r="2" spans="2:15">
      <c r="J2" s="1">
        <f>AVERAGE(J6:J25)</f>
        <v>0.59355138297991616</v>
      </c>
    </row>
    <row r="4" spans="2:15">
      <c r="B4" t="s">
        <v>38</v>
      </c>
      <c r="G4" t="s">
        <v>2</v>
      </c>
      <c r="L4" t="s">
        <v>39</v>
      </c>
    </row>
    <row r="5" spans="2:15">
      <c r="B5" t="s">
        <v>40</v>
      </c>
      <c r="C5" t="s">
        <v>41</v>
      </c>
      <c r="D5" t="s">
        <v>42</v>
      </c>
      <c r="E5" t="s">
        <v>43</v>
      </c>
      <c r="G5" t="s">
        <v>40</v>
      </c>
      <c r="H5" t="s">
        <v>44</v>
      </c>
      <c r="I5" t="s">
        <v>45</v>
      </c>
      <c r="J5" t="s">
        <v>46</v>
      </c>
      <c r="L5" t="s">
        <v>40</v>
      </c>
      <c r="M5" t="s">
        <v>41</v>
      </c>
      <c r="N5" t="s">
        <v>45</v>
      </c>
      <c r="O5" t="s">
        <v>46</v>
      </c>
    </row>
    <row r="6" spans="2:15">
      <c r="B6" t="s">
        <v>16</v>
      </c>
      <c r="C6" t="s">
        <v>47</v>
      </c>
      <c r="D6">
        <v>2019</v>
      </c>
      <c r="E6" t="str">
        <f>"*"&amp;1/20/$J$2</f>
        <v>*0.0842387052473464</v>
      </c>
      <c r="G6" t="s">
        <v>48</v>
      </c>
      <c r="H6">
        <v>15</v>
      </c>
      <c r="I6">
        <f>SHAPES!A8</f>
        <v>1</v>
      </c>
      <c r="J6" s="1">
        <f>SHAPES!D8</f>
        <v>0.93823083055896217</v>
      </c>
      <c r="L6" t="s">
        <v>12</v>
      </c>
      <c r="M6" t="s">
        <v>47</v>
      </c>
      <c r="N6">
        <v>0</v>
      </c>
      <c r="O6">
        <v>2</v>
      </c>
    </row>
    <row r="7" spans="2:15">
      <c r="B7" t="s">
        <v>16</v>
      </c>
      <c r="C7" t="s">
        <v>47</v>
      </c>
      <c r="D7">
        <f>D6-1</f>
        <v>2018</v>
      </c>
      <c r="E7" t="str">
        <f t="shared" ref="E7:E25" si="0">"*"&amp;1/20/$J$2</f>
        <v>*0.0842387052473464</v>
      </c>
      <c r="G7" t="s">
        <v>48</v>
      </c>
      <c r="H7">
        <v>15</v>
      </c>
      <c r="I7">
        <f>SHAPES!A9</f>
        <v>2</v>
      </c>
      <c r="J7" s="1">
        <f>SHAPES!D9</f>
        <v>0.92543928353195037</v>
      </c>
    </row>
    <row r="8" spans="2:15">
      <c r="B8" t="s">
        <v>16</v>
      </c>
      <c r="C8" t="s">
        <v>47</v>
      </c>
      <c r="D8">
        <f t="shared" ref="D8:D25" si="1">D7-1</f>
        <v>2017</v>
      </c>
      <c r="E8" t="str">
        <f t="shared" si="0"/>
        <v>*0.0842387052473464</v>
      </c>
      <c r="G8" t="s">
        <v>48</v>
      </c>
      <c r="H8">
        <v>15</v>
      </c>
      <c r="I8">
        <f>SHAPES!A10</f>
        <v>3</v>
      </c>
      <c r="J8" s="1">
        <f>SHAPES!D10</f>
        <v>0.91012836450520007</v>
      </c>
    </row>
    <row r="9" spans="2:15">
      <c r="B9" t="s">
        <v>16</v>
      </c>
      <c r="C9" t="s">
        <v>47</v>
      </c>
      <c r="D9">
        <f t="shared" si="1"/>
        <v>2016</v>
      </c>
      <c r="E9" t="str">
        <f t="shared" si="0"/>
        <v>*0.0842387052473464</v>
      </c>
      <c r="G9" t="s">
        <v>48</v>
      </c>
      <c r="H9">
        <v>15</v>
      </c>
      <c r="I9">
        <f>SHAPES!A11</f>
        <v>4</v>
      </c>
      <c r="J9" s="1">
        <f>SHAPES!D11</f>
        <v>0.89186179542568333</v>
      </c>
    </row>
    <row r="10" spans="2:15">
      <c r="B10" t="s">
        <v>16</v>
      </c>
      <c r="C10" t="s">
        <v>47</v>
      </c>
      <c r="D10">
        <f t="shared" si="1"/>
        <v>2015</v>
      </c>
      <c r="E10" t="str">
        <f t="shared" si="0"/>
        <v>*0.0842387052473464</v>
      </c>
      <c r="G10" t="s">
        <v>48</v>
      </c>
      <c r="H10">
        <v>15</v>
      </c>
      <c r="I10">
        <f>SHAPES!A12</f>
        <v>5</v>
      </c>
      <c r="J10" s="1">
        <f>SHAPES!D12</f>
        <v>0.87015557311559599</v>
      </c>
    </row>
    <row r="11" spans="2:15">
      <c r="B11" t="s">
        <v>16</v>
      </c>
      <c r="C11" t="s">
        <v>47</v>
      </c>
      <c r="D11">
        <f t="shared" si="1"/>
        <v>2014</v>
      </c>
      <c r="E11" t="str">
        <f t="shared" si="0"/>
        <v>*0.0842387052473464</v>
      </c>
      <c r="G11" t="s">
        <v>48</v>
      </c>
      <c r="H11">
        <v>15</v>
      </c>
      <c r="I11">
        <f>SHAPES!A13</f>
        <v>6</v>
      </c>
      <c r="J11" s="1">
        <f>SHAPES!D13</f>
        <v>0.84448643429821824</v>
      </c>
    </row>
    <row r="12" spans="2:15">
      <c r="B12" t="s">
        <v>16</v>
      </c>
      <c r="C12" t="s">
        <v>47</v>
      </c>
      <c r="D12">
        <f t="shared" si="1"/>
        <v>2013</v>
      </c>
      <c r="E12" t="str">
        <f t="shared" si="0"/>
        <v>*0.0842387052473464</v>
      </c>
      <c r="G12" t="s">
        <v>48</v>
      </c>
      <c r="H12">
        <v>15</v>
      </c>
      <c r="I12">
        <f>SHAPES!A14</f>
        <v>7</v>
      </c>
      <c r="J12" s="1">
        <f>SHAPES!D14</f>
        <v>0.81430870620488494</v>
      </c>
    </row>
    <row r="13" spans="2:15">
      <c r="B13" t="s">
        <v>16</v>
      </c>
      <c r="C13" t="s">
        <v>47</v>
      </c>
      <c r="D13">
        <f t="shared" si="1"/>
        <v>2012</v>
      </c>
      <c r="E13" t="str">
        <f t="shared" si="0"/>
        <v>*0.0842387052473464</v>
      </c>
      <c r="G13" t="s">
        <v>48</v>
      </c>
      <c r="H13">
        <v>15</v>
      </c>
      <c r="I13">
        <f>SHAPES!A15</f>
        <v>8</v>
      </c>
      <c r="J13" s="1">
        <f>SHAPES!D15</f>
        <v>0.77908286056025622</v>
      </c>
    </row>
    <row r="14" spans="2:15">
      <c r="B14" t="s">
        <v>16</v>
      </c>
      <c r="C14" t="s">
        <v>47</v>
      </c>
      <c r="D14">
        <f t="shared" si="1"/>
        <v>2011</v>
      </c>
      <c r="E14" t="str">
        <f t="shared" si="0"/>
        <v>*0.0842387052473464</v>
      </c>
      <c r="G14" t="s">
        <v>48</v>
      </c>
      <c r="H14">
        <v>15</v>
      </c>
      <c r="I14">
        <f>SHAPES!A16</f>
        <v>9</v>
      </c>
      <c r="J14" s="1">
        <f>SHAPES!D16</f>
        <v>0.73831952387107802</v>
      </c>
    </row>
    <row r="15" spans="2:15">
      <c r="B15" t="s">
        <v>16</v>
      </c>
      <c r="C15" t="s">
        <v>47</v>
      </c>
      <c r="D15">
        <f t="shared" si="1"/>
        <v>2010</v>
      </c>
      <c r="E15" t="str">
        <f t="shared" si="0"/>
        <v>*0.0842387052473464</v>
      </c>
      <c r="G15" t="s">
        <v>48</v>
      </c>
      <c r="H15">
        <v>15</v>
      </c>
      <c r="I15">
        <f>SHAPES!A17</f>
        <v>10</v>
      </c>
      <c r="J15" s="1">
        <f>SHAPES!D17</f>
        <v>0.69164258360715825</v>
      </c>
    </row>
    <row r="16" spans="2:15">
      <c r="B16" t="s">
        <v>16</v>
      </c>
      <c r="C16" t="s">
        <v>47</v>
      </c>
      <c r="D16">
        <f t="shared" si="1"/>
        <v>2009</v>
      </c>
      <c r="E16" t="str">
        <f t="shared" si="0"/>
        <v>*0.0842387052473464</v>
      </c>
      <c r="G16" t="s">
        <v>48</v>
      </c>
      <c r="H16">
        <v>15</v>
      </c>
      <c r="I16">
        <f>SHAPES!A18</f>
        <v>11</v>
      </c>
      <c r="J16" s="1">
        <f>SHAPES!D18</f>
        <v>0.63887380360138246</v>
      </c>
    </row>
    <row r="17" spans="2:10">
      <c r="B17" t="s">
        <v>16</v>
      </c>
      <c r="C17" t="s">
        <v>47</v>
      </c>
      <c r="D17">
        <f t="shared" si="1"/>
        <v>2008</v>
      </c>
      <c r="E17" t="str">
        <f t="shared" si="0"/>
        <v>*0.0842387052473464</v>
      </c>
      <c r="G17" t="s">
        <v>48</v>
      </c>
      <c r="H17">
        <v>15</v>
      </c>
      <c r="I17">
        <f>SHAPES!A19</f>
        <v>12</v>
      </c>
      <c r="J17" s="1">
        <f>SHAPES!D19</f>
        <v>0.58013822356972422</v>
      </c>
    </row>
    <row r="18" spans="2:10">
      <c r="B18" t="s">
        <v>16</v>
      </c>
      <c r="C18" t="s">
        <v>47</v>
      </c>
      <c r="D18">
        <f t="shared" si="1"/>
        <v>2007</v>
      </c>
      <c r="E18" t="str">
        <f t="shared" si="0"/>
        <v>*0.0842387052473464</v>
      </c>
      <c r="G18" t="s">
        <v>48</v>
      </c>
      <c r="H18">
        <v>15</v>
      </c>
      <c r="I18">
        <f>SHAPES!A20</f>
        <v>13</v>
      </c>
      <c r="J18" s="1">
        <f>SHAPES!D20</f>
        <v>0.51598362885532811</v>
      </c>
    </row>
    <row r="19" spans="2:10">
      <c r="B19" t="s">
        <v>16</v>
      </c>
      <c r="C19" t="s">
        <v>47</v>
      </c>
      <c r="D19">
        <f t="shared" si="1"/>
        <v>2006</v>
      </c>
      <c r="E19" t="str">
        <f t="shared" si="0"/>
        <v>*0.0842387052473464</v>
      </c>
      <c r="G19" t="s">
        <v>48</v>
      </c>
      <c r="H19">
        <v>15</v>
      </c>
      <c r="I19">
        <f>SHAPES!A21</f>
        <v>14</v>
      </c>
      <c r="J19" s="1">
        <f>SHAPES!D21</f>
        <v>0.44749780699687264</v>
      </c>
    </row>
    <row r="20" spans="2:10">
      <c r="B20" t="s">
        <v>16</v>
      </c>
      <c r="C20" t="s">
        <v>47</v>
      </c>
      <c r="D20">
        <f t="shared" si="1"/>
        <v>2005</v>
      </c>
      <c r="E20" t="str">
        <f t="shared" si="0"/>
        <v>*0.0842387052473464</v>
      </c>
      <c r="G20" t="s">
        <v>48</v>
      </c>
      <c r="H20">
        <v>15</v>
      </c>
      <c r="I20">
        <f>SHAPES!A22</f>
        <v>15</v>
      </c>
      <c r="J20" s="1">
        <f>SHAPES!D22</f>
        <v>0.37639440585896222</v>
      </c>
    </row>
    <row r="21" spans="2:10">
      <c r="B21" t="s">
        <v>16</v>
      </c>
      <c r="C21" t="s">
        <v>47</v>
      </c>
      <c r="D21">
        <f t="shared" si="1"/>
        <v>2004</v>
      </c>
      <c r="E21" t="str">
        <f t="shared" si="0"/>
        <v>*0.0842387052473464</v>
      </c>
      <c r="G21" t="s">
        <v>48</v>
      </c>
      <c r="H21">
        <v>15</v>
      </c>
      <c r="I21">
        <f>SHAPES!A23</f>
        <v>16</v>
      </c>
      <c r="J21" s="1">
        <f>SHAPES!D23</f>
        <v>0.30502449527464032</v>
      </c>
    </row>
    <row r="22" spans="2:10">
      <c r="B22" t="s">
        <v>16</v>
      </c>
      <c r="C22" t="s">
        <v>47</v>
      </c>
      <c r="D22">
        <f t="shared" si="1"/>
        <v>2003</v>
      </c>
      <c r="E22" t="str">
        <f t="shared" si="0"/>
        <v>*0.0842387052473464</v>
      </c>
      <c r="G22" t="s">
        <v>48</v>
      </c>
      <c r="H22">
        <v>15</v>
      </c>
      <c r="I22">
        <f>SHAPES!A24</f>
        <v>17</v>
      </c>
      <c r="J22" s="1">
        <f>SHAPES!D24</f>
        <v>0.23626275789890977</v>
      </c>
    </row>
    <row r="23" spans="2:10">
      <c r="B23" t="s">
        <v>16</v>
      </c>
      <c r="C23" t="s">
        <v>47</v>
      </c>
      <c r="D23">
        <f t="shared" si="1"/>
        <v>2002</v>
      </c>
      <c r="E23" t="str">
        <f t="shared" si="0"/>
        <v>*0.0842387052473464</v>
      </c>
      <c r="G23" t="s">
        <v>48</v>
      </c>
      <c r="H23">
        <v>15</v>
      </c>
      <c r="I23">
        <f>SHAPES!A25</f>
        <v>18</v>
      </c>
      <c r="J23" s="1">
        <f>SHAPES!D25</f>
        <v>0.17322545586628948</v>
      </c>
    </row>
    <row r="24" spans="2:10">
      <c r="B24" t="s">
        <v>16</v>
      </c>
      <c r="C24" t="s">
        <v>47</v>
      </c>
      <c r="D24">
        <f t="shared" si="1"/>
        <v>2001</v>
      </c>
      <c r="E24" t="str">
        <f t="shared" si="0"/>
        <v>*0.0842387052473464</v>
      </c>
      <c r="G24" t="s">
        <v>48</v>
      </c>
      <c r="H24">
        <v>15</v>
      </c>
      <c r="I24">
        <f>SHAPES!A26</f>
        <v>19</v>
      </c>
      <c r="J24" s="1">
        <f>SHAPES!D26</f>
        <v>0.11881473880556002</v>
      </c>
    </row>
    <row r="25" spans="2:10">
      <c r="B25" t="s">
        <v>16</v>
      </c>
      <c r="C25" t="s">
        <v>47</v>
      </c>
      <c r="D25">
        <f t="shared" si="1"/>
        <v>2000</v>
      </c>
      <c r="E25" t="str">
        <f t="shared" si="0"/>
        <v>*0.0842387052473464</v>
      </c>
      <c r="G25" t="s">
        <v>48</v>
      </c>
      <c r="H25">
        <v>15</v>
      </c>
      <c r="I25">
        <f>SHAPES!A27</f>
        <v>20</v>
      </c>
      <c r="J25" s="1">
        <f>SHAPES!D27</f>
        <v>7.515638719166616E-2</v>
      </c>
    </row>
    <row r="26" spans="2:10">
      <c r="G26" t="s">
        <v>48</v>
      </c>
      <c r="H26">
        <v>15</v>
      </c>
      <c r="I26">
        <f>SHAPES!A28</f>
        <v>21</v>
      </c>
      <c r="J26" s="1">
        <f>SHAPES!D28</f>
        <v>4.3089488779698863E-2</v>
      </c>
    </row>
    <row r="27" spans="2:10">
      <c r="G27" t="s">
        <v>48</v>
      </c>
      <c r="H27">
        <v>15</v>
      </c>
      <c r="I27">
        <f>SHAPES!A29</f>
        <v>22</v>
      </c>
      <c r="J27" s="1">
        <f>SHAPES!D29</f>
        <v>2.192601488061072E-2</v>
      </c>
    </row>
    <row r="28" spans="2:10">
      <c r="G28" t="s">
        <v>48</v>
      </c>
      <c r="H28">
        <v>15</v>
      </c>
      <c r="I28">
        <f>SHAPES!A30</f>
        <v>23</v>
      </c>
      <c r="J28" s="1">
        <f>SHAPES!D30</f>
        <v>9.6531612512389987E-3</v>
      </c>
    </row>
    <row r="29" spans="2:10">
      <c r="G29" t="s">
        <v>48</v>
      </c>
      <c r="H29">
        <v>15</v>
      </c>
      <c r="I29">
        <f>SHAPES!A31</f>
        <v>24</v>
      </c>
      <c r="J29" s="1">
        <v>0</v>
      </c>
    </row>
    <row r="30" spans="2:10">
      <c r="G30" t="s">
        <v>48</v>
      </c>
      <c r="H30">
        <v>15</v>
      </c>
      <c r="I30">
        <f>SHAPES!A32</f>
        <v>25</v>
      </c>
      <c r="J30" s="1">
        <v>0</v>
      </c>
    </row>
    <row r="31" spans="2:10">
      <c r="G31" t="s">
        <v>48</v>
      </c>
      <c r="H31">
        <v>15</v>
      </c>
      <c r="I31">
        <f>SHAPES!A33</f>
        <v>26</v>
      </c>
      <c r="J31" s="1">
        <v>0</v>
      </c>
    </row>
    <row r="32" spans="2:10">
      <c r="G32" t="s">
        <v>48</v>
      </c>
      <c r="H32">
        <v>15</v>
      </c>
      <c r="I32">
        <f>SHAPES!A34</f>
        <v>27</v>
      </c>
      <c r="J32" s="1">
        <v>0</v>
      </c>
    </row>
    <row r="33" spans="7:10">
      <c r="G33" t="s">
        <v>48</v>
      </c>
      <c r="H33">
        <v>15</v>
      </c>
      <c r="I33">
        <f>SHAPES!A35</f>
        <v>28</v>
      </c>
      <c r="J33" s="1">
        <v>0</v>
      </c>
    </row>
    <row r="34" spans="7:10">
      <c r="G34" t="s">
        <v>48</v>
      </c>
      <c r="H34">
        <v>15</v>
      </c>
      <c r="I34">
        <f>SHAPES!A36</f>
        <v>29</v>
      </c>
      <c r="J34" s="1">
        <v>0</v>
      </c>
    </row>
    <row r="35" spans="7:10">
      <c r="G35" t="s">
        <v>48</v>
      </c>
      <c r="H35">
        <v>15</v>
      </c>
      <c r="I35">
        <f>SHAPES!A37</f>
        <v>30</v>
      </c>
      <c r="J35" s="1">
        <v>0</v>
      </c>
    </row>
    <row r="36" spans="7:10">
      <c r="G36" t="s">
        <v>48</v>
      </c>
      <c r="H36">
        <v>15</v>
      </c>
      <c r="I36">
        <f>SHAPES!A38</f>
        <v>31</v>
      </c>
      <c r="J36" s="1">
        <v>0</v>
      </c>
    </row>
    <row r="37" spans="7:10">
      <c r="G37" t="s">
        <v>48</v>
      </c>
      <c r="H37">
        <v>15</v>
      </c>
      <c r="I37">
        <f>SHAPES!A39</f>
        <v>32</v>
      </c>
      <c r="J37" s="1">
        <v>0</v>
      </c>
    </row>
    <row r="38" spans="7:10">
      <c r="G38" t="s">
        <v>48</v>
      </c>
      <c r="H38">
        <v>15</v>
      </c>
      <c r="I38">
        <f>SHAPES!A40</f>
        <v>33</v>
      </c>
      <c r="J38" s="1">
        <v>0</v>
      </c>
    </row>
    <row r="39" spans="7:10">
      <c r="G39" t="s">
        <v>48</v>
      </c>
      <c r="H39">
        <v>15</v>
      </c>
      <c r="I39">
        <f>SHAPES!A41</f>
        <v>34</v>
      </c>
      <c r="J39" s="1">
        <v>0</v>
      </c>
    </row>
    <row r="40" spans="7:10">
      <c r="G40" t="s">
        <v>48</v>
      </c>
      <c r="H40">
        <v>15</v>
      </c>
      <c r="I40">
        <f>SHAPES!A42</f>
        <v>35</v>
      </c>
      <c r="J40" s="1">
        <v>0</v>
      </c>
    </row>
    <row r="41" spans="7:10">
      <c r="G41" t="s">
        <v>48</v>
      </c>
      <c r="H41">
        <v>15</v>
      </c>
      <c r="I41">
        <f>SHAPES!A43</f>
        <v>36</v>
      </c>
      <c r="J41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7CDDB-DFE3-45FD-BAA0-32A9B03D9D40}">
  <dimension ref="A4:K57"/>
  <sheetViews>
    <sheetView workbookViewId="0"/>
  </sheetViews>
  <sheetFormatPr defaultColWidth="9.140625" defaultRowHeight="15"/>
  <cols>
    <col min="1" max="16384" width="9.140625" style="3"/>
  </cols>
  <sheetData>
    <row r="4" spans="1:7">
      <c r="B4" s="4" t="s">
        <v>49</v>
      </c>
      <c r="C4" s="5">
        <v>0.192</v>
      </c>
      <c r="D4" s="5">
        <v>0.19500000000000001</v>
      </c>
      <c r="E4" s="5">
        <v>0.13100000000000001</v>
      </c>
      <c r="F4" s="5">
        <v>0.13</v>
      </c>
      <c r="G4" s="5"/>
    </row>
    <row r="5" spans="1:7">
      <c r="B5" s="4" t="s">
        <v>50</v>
      </c>
      <c r="C5" s="5">
        <v>1200</v>
      </c>
      <c r="D5" s="5">
        <v>900</v>
      </c>
      <c r="E5" s="5">
        <v>21</v>
      </c>
      <c r="F5" s="5">
        <v>52</v>
      </c>
      <c r="G5" s="5"/>
    </row>
    <row r="7" spans="1:7">
      <c r="B7" s="6" t="s">
        <v>51</v>
      </c>
      <c r="C7" s="6">
        <f t="shared" ref="C7:E7" si="0">SUM(C8:C32)</f>
        <v>10.023424538462518</v>
      </c>
      <c r="D7" s="6">
        <f t="shared" si="0"/>
        <v>11.950325931089585</v>
      </c>
      <c r="E7" s="6">
        <f t="shared" si="0"/>
        <v>19.958952907799087</v>
      </c>
      <c r="F7" s="6">
        <f>SUM(F8:F32)</f>
        <v>15.036067741000499</v>
      </c>
      <c r="G7" s="7" t="s">
        <v>52</v>
      </c>
    </row>
    <row r="8" spans="1:7">
      <c r="A8" s="3">
        <v>1</v>
      </c>
      <c r="B8" s="8">
        <v>0.98</v>
      </c>
      <c r="C8" s="9">
        <f>(1/(1+EXP(-(50-$A8)*C$4)))^C$5</f>
        <v>0.90621938521129997</v>
      </c>
      <c r="D8" s="9">
        <f>(1/(1+EXP(-(50-$A8)*D$4)))^D$5</f>
        <v>0.93823083055896217</v>
      </c>
      <c r="E8" s="9">
        <f>(1/(1+EXP(-(50-$A8)*E$4)))^E$5</f>
        <v>0.96637035992277476</v>
      </c>
      <c r="F8" s="9">
        <f>(1/(1+EXP(-(50-$A8)*F$4)))^F$5</f>
        <v>0.91488569235609774</v>
      </c>
      <c r="G8" s="10"/>
    </row>
    <row r="9" spans="1:7">
      <c r="A9" s="3">
        <v>2</v>
      </c>
      <c r="B9" s="8">
        <v>0.97062258013515912</v>
      </c>
      <c r="C9" s="9">
        <f t="shared" ref="C9:F57" si="1">(1/(1+EXP(-(50-$A9)*C$4)))^C$5</f>
        <v>0.8875265604383793</v>
      </c>
      <c r="D9" s="9">
        <f t="shared" si="1"/>
        <v>0.92543928353195037</v>
      </c>
      <c r="E9" s="9">
        <f t="shared" si="1"/>
        <v>0.96175867686333427</v>
      </c>
      <c r="F9" s="9">
        <f t="shared" si="1"/>
        <v>0.90366752786671811</v>
      </c>
      <c r="G9" s="10"/>
    </row>
    <row r="10" spans="1:7">
      <c r="A10" s="3">
        <v>3</v>
      </c>
      <c r="B10" s="8">
        <v>0.96239643571651068</v>
      </c>
      <c r="C10" s="9">
        <f t="shared" si="1"/>
        <v>0.86539332468343366</v>
      </c>
      <c r="D10" s="9">
        <f t="shared" si="1"/>
        <v>0.91012836450520007</v>
      </c>
      <c r="E10" s="9">
        <f t="shared" si="1"/>
        <v>0.9565296156543347</v>
      </c>
      <c r="F10" s="9">
        <f t="shared" si="1"/>
        <v>0.89106256979304788</v>
      </c>
      <c r="G10" s="10"/>
    </row>
    <row r="11" spans="1:7">
      <c r="A11" s="3">
        <v>4</v>
      </c>
      <c r="B11" s="8">
        <v>0.96239643571651068</v>
      </c>
      <c r="C11" s="9">
        <f t="shared" si="1"/>
        <v>0.83931400245377985</v>
      </c>
      <c r="D11" s="9">
        <f t="shared" si="1"/>
        <v>0.89186179542568333</v>
      </c>
      <c r="E11" s="9">
        <f t="shared" si="1"/>
        <v>0.95060496393511895</v>
      </c>
      <c r="F11" s="9">
        <f t="shared" si="1"/>
        <v>0.8769257288373955</v>
      </c>
      <c r="G11" s="10"/>
    </row>
    <row r="12" spans="1:7">
      <c r="A12" s="3">
        <v>5</v>
      </c>
      <c r="B12" s="8">
        <v>0.95334894686552296</v>
      </c>
      <c r="C12" s="9">
        <f t="shared" si="1"/>
        <v>0.80876611179341928</v>
      </c>
      <c r="D12" s="9">
        <f t="shared" si="1"/>
        <v>0.87015557311559599</v>
      </c>
      <c r="E12" s="9">
        <f t="shared" si="1"/>
        <v>0.94389791535614542</v>
      </c>
      <c r="F12" s="9">
        <f t="shared" si="1"/>
        <v>0.8611043978528643</v>
      </c>
      <c r="G12" s="10"/>
    </row>
    <row r="13" spans="1:7">
      <c r="A13" s="3">
        <v>6</v>
      </c>
      <c r="B13" s="8">
        <v>0.94694722093384487</v>
      </c>
      <c r="C13" s="9">
        <f t="shared" si="1"/>
        <v>0.77323921509228544</v>
      </c>
      <c r="D13" s="9">
        <f t="shared" si="1"/>
        <v>0.84448643429821824</v>
      </c>
      <c r="E13" s="9">
        <f t="shared" si="1"/>
        <v>0.93631252338161186</v>
      </c>
      <c r="F13" s="9">
        <f t="shared" si="1"/>
        <v>0.84344050935042314</v>
      </c>
      <c r="G13" s="10"/>
    </row>
    <row r="14" spans="1:7">
      <c r="A14" s="3">
        <v>7</v>
      </c>
      <c r="B14" s="8">
        <v>0.94694722093384487</v>
      </c>
      <c r="C14" s="9">
        <f t="shared" si="1"/>
        <v>0.73227849409977908</v>
      </c>
      <c r="D14" s="9">
        <f t="shared" si="1"/>
        <v>0.81430870620488494</v>
      </c>
      <c r="E14" s="9">
        <f t="shared" si="1"/>
        <v>0.92774325313295103</v>
      </c>
      <c r="F14" s="9">
        <f t="shared" si="1"/>
        <v>0.82377352237557611</v>
      </c>
      <c r="G14" s="10"/>
    </row>
    <row r="15" spans="1:7">
      <c r="A15" s="3">
        <v>8</v>
      </c>
      <c r="B15" s="8">
        <v>0.92626111478806361</v>
      </c>
      <c r="C15" s="9">
        <f t="shared" si="1"/>
        <v>0.68554622457561987</v>
      </c>
      <c r="D15" s="9">
        <f t="shared" si="1"/>
        <v>0.77908286056025622</v>
      </c>
      <c r="E15" s="9">
        <f t="shared" si="1"/>
        <v>0.91807468722754815</v>
      </c>
      <c r="F15" s="9">
        <f t="shared" si="1"/>
        <v>0.80194454668723303</v>
      </c>
      <c r="G15" s="10"/>
    </row>
    <row r="16" spans="1:7">
      <c r="A16" s="3">
        <v>9</v>
      </c>
      <c r="B16" s="8">
        <v>0.89816275804529644</v>
      </c>
      <c r="C16" s="9">
        <f t="shared" si="1"/>
        <v>0.63290302347589622</v>
      </c>
      <c r="D16" s="9">
        <f t="shared" si="1"/>
        <v>0.73831952387107802</v>
      </c>
      <c r="E16" s="9">
        <f t="shared" si="1"/>
        <v>0.90718145765014457</v>
      </c>
      <c r="F16" s="9">
        <f t="shared" si="1"/>
        <v>0.77780182309652368</v>
      </c>
      <c r="G16" s="10"/>
    </row>
    <row r="17" spans="1:7">
      <c r="A17" s="3">
        <v>10</v>
      </c>
      <c r="B17" s="8">
        <v>0.89816275804529644</v>
      </c>
      <c r="C17" s="9">
        <f t="shared" si="1"/>
        <v>0.57450765021648109</v>
      </c>
      <c r="D17" s="9">
        <f t="shared" si="1"/>
        <v>0.69164258360715825</v>
      </c>
      <c r="E17" s="9">
        <f t="shared" si="1"/>
        <v>0.89492849466195157</v>
      </c>
      <c r="F17" s="9">
        <f t="shared" si="1"/>
        <v>0.75120777329698307</v>
      </c>
      <c r="G17" s="10"/>
    </row>
    <row r="18" spans="1:7">
      <c r="A18" s="3">
        <v>11</v>
      </c>
      <c r="B18" s="8">
        <v>0.84618938087841178</v>
      </c>
      <c r="C18" s="9">
        <f t="shared" si="1"/>
        <v>0.51092845530222564</v>
      </c>
      <c r="D18" s="9">
        <f t="shared" si="1"/>
        <v>0.63887380360138246</v>
      </c>
      <c r="E18" s="9">
        <f t="shared" si="1"/>
        <v>0.88117170548978441</v>
      </c>
      <c r="F18" s="9">
        <f t="shared" si="1"/>
        <v>0.72204780074368047</v>
      </c>
      <c r="G18" s="10"/>
    </row>
    <row r="19" spans="1:7">
      <c r="A19" s="3">
        <v>12</v>
      </c>
      <c r="B19" s="8">
        <v>0.83608996556885473</v>
      </c>
      <c r="C19" s="9">
        <f t="shared" si="1"/>
        <v>0.44325071361876711</v>
      </c>
      <c r="D19" s="9">
        <f t="shared" si="1"/>
        <v>0.58013822356972422</v>
      </c>
      <c r="E19" s="9">
        <f t="shared" si="1"/>
        <v>0.8657592195247148</v>
      </c>
      <c r="F19" s="9">
        <f t="shared" si="1"/>
        <v>0.69024095356792647</v>
      </c>
      <c r="G19" s="10"/>
    </row>
    <row r="20" spans="1:7">
      <c r="A20" s="3">
        <v>13</v>
      </c>
      <c r="B20" s="8">
        <v>0.78534774881855129</v>
      </c>
      <c r="C20" s="9">
        <f t="shared" si="1"/>
        <v>0.37315241909147212</v>
      </c>
      <c r="D20" s="9">
        <f t="shared" si="1"/>
        <v>0.51598362885532811</v>
      </c>
      <c r="E20" s="9">
        <f t="shared" si="1"/>
        <v>0.84853336185007378</v>
      </c>
      <c r="F20" s="9">
        <f t="shared" si="1"/>
        <v>0.65575243614486411</v>
      </c>
      <c r="G20" s="10"/>
    </row>
    <row r="21" spans="1:7">
      <c r="A21" s="3">
        <v>14</v>
      </c>
      <c r="B21" s="8">
        <v>0.76515842462494787</v>
      </c>
      <c r="C21" s="9">
        <f t="shared" si="1"/>
        <v>0.30290907626404634</v>
      </c>
      <c r="D21" s="9">
        <f t="shared" si="1"/>
        <v>0.44749780699687264</v>
      </c>
      <c r="E21" s="9">
        <f t="shared" si="1"/>
        <v>0.82933354104355339</v>
      </c>
      <c r="F21" s="9">
        <f t="shared" si="1"/>
        <v>0.61860776150923924</v>
      </c>
      <c r="G21" s="10"/>
    </row>
    <row r="22" spans="1:7">
      <c r="A22" s="3">
        <v>15</v>
      </c>
      <c r="B22" s="8">
        <v>0.72288820149169919</v>
      </c>
      <c r="C22" s="9">
        <f t="shared" si="1"/>
        <v>0.23528138033044843</v>
      </c>
      <c r="D22" s="9">
        <f t="shared" si="1"/>
        <v>0.37639440585896222</v>
      </c>
      <c r="E22" s="9">
        <f t="shared" si="1"/>
        <v>0.80800025700015121</v>
      </c>
      <c r="F22" s="9">
        <f t="shared" si="1"/>
        <v>0.57890805744417395</v>
      </c>
      <c r="G22" s="10"/>
    </row>
    <row r="23" spans="1:7">
      <c r="A23" s="3">
        <v>16</v>
      </c>
      <c r="B23" s="8">
        <v>0.66220665411121304</v>
      </c>
      <c r="C23" s="9">
        <f t="shared" si="1"/>
        <v>0.17324802369769995</v>
      </c>
      <c r="D23" s="9">
        <f t="shared" si="1"/>
        <v>0.30502449527464032</v>
      </c>
      <c r="E23" s="9">
        <f t="shared" si="1"/>
        <v>0.78438044492894099</v>
      </c>
      <c r="F23" s="9">
        <f t="shared" si="1"/>
        <v>0.53684566586911131</v>
      </c>
      <c r="G23" s="10"/>
    </row>
    <row r="24" spans="1:7">
      <c r="A24" s="3">
        <v>17</v>
      </c>
      <c r="B24" s="8">
        <v>0.62309314791753456</v>
      </c>
      <c r="C24" s="9">
        <f t="shared" si="1"/>
        <v>0.1195802175145928</v>
      </c>
      <c r="D24" s="9">
        <f t="shared" si="1"/>
        <v>0.23626275789890977</v>
      </c>
      <c r="E24" s="9">
        <f t="shared" si="1"/>
        <v>0.75833436545842037</v>
      </c>
      <c r="F24" s="9">
        <f t="shared" si="1"/>
        <v>0.49271871252041888</v>
      </c>
      <c r="G24" s="10"/>
    </row>
    <row r="25" spans="1:7">
      <c r="A25" s="3">
        <v>18</v>
      </c>
      <c r="B25" s="8">
        <v>0.53759209228578131</v>
      </c>
      <c r="C25" s="9">
        <f t="shared" si="1"/>
        <v>7.6319614705625927E-2</v>
      </c>
      <c r="D25" s="9">
        <f t="shared" si="1"/>
        <v>0.17322545586628948</v>
      </c>
      <c r="E25" s="9">
        <f t="shared" si="1"/>
        <v>0.7297442182003625</v>
      </c>
      <c r="F25" s="9">
        <f t="shared" si="1"/>
        <v>0.44694279957882194</v>
      </c>
      <c r="G25" s="10"/>
    </row>
    <row r="26" spans="1:7">
      <c r="A26" s="3">
        <v>19</v>
      </c>
      <c r="B26" s="8">
        <v>0.47418921909559059</v>
      </c>
      <c r="C26" s="9">
        <f t="shared" si="1"/>
        <v>4.4302689262094221E-2</v>
      </c>
      <c r="D26" s="9">
        <f t="shared" si="1"/>
        <v>0.11881473880556002</v>
      </c>
      <c r="E26" s="9">
        <f t="shared" si="1"/>
        <v>0.69852458480867941</v>
      </c>
      <c r="F26" s="9">
        <f t="shared" si="1"/>
        <v>0.40005745100055973</v>
      </c>
      <c r="G26" s="10"/>
    </row>
    <row r="27" spans="1:7">
      <c r="A27" s="3">
        <v>20</v>
      </c>
      <c r="B27" s="8">
        <v>0.42209122093761908</v>
      </c>
      <c r="C27" s="9">
        <f t="shared" si="1"/>
        <v>2.2928176689814807E-2</v>
      </c>
      <c r="D27" s="9">
        <f t="shared" si="1"/>
        <v>7.515638719166616E-2</v>
      </c>
      <c r="E27" s="9">
        <f t="shared" si="1"/>
        <v>0.66463468296812744</v>
      </c>
      <c r="F27" s="9">
        <f t="shared" si="1"/>
        <v>0.35272452909206703</v>
      </c>
      <c r="G27" s="10"/>
    </row>
    <row r="28" spans="1:7">
      <c r="A28" s="3">
        <v>21</v>
      </c>
      <c r="B28" s="8">
        <v>0.34697101605841268</v>
      </c>
      <c r="C28" s="9">
        <f t="shared" si="1"/>
        <v>1.032686785915894E-2</v>
      </c>
      <c r="D28" s="9">
        <f t="shared" si="1"/>
        <v>4.3089488779698863E-2</v>
      </c>
      <c r="E28" s="9">
        <f t="shared" si="1"/>
        <v>0.62809221944812499</v>
      </c>
      <c r="F28" s="9">
        <f t="shared" si="1"/>
        <v>0.30571570476552695</v>
      </c>
      <c r="G28" s="10"/>
    </row>
    <row r="29" spans="1:7">
      <c r="A29" s="3">
        <v>22</v>
      </c>
      <c r="B29" s="8">
        <v>0.29306436176205847</v>
      </c>
      <c r="C29" s="9">
        <f t="shared" si="1"/>
        <v>3.931453445410067E-3</v>
      </c>
      <c r="D29" s="9">
        <f t="shared" si="1"/>
        <v>2.192601488061072E-2</v>
      </c>
      <c r="E29" s="9">
        <f t="shared" si="1"/>
        <v>0.58898835488559886</v>
      </c>
      <c r="F29" s="9">
        <f t="shared" si="1"/>
        <v>0.25988641177864036</v>
      </c>
      <c r="G29" s="10"/>
    </row>
    <row r="30" spans="1:7">
      <c r="A30" s="3">
        <v>23</v>
      </c>
      <c r="B30" s="8">
        <v>0.23285804035746605</v>
      </c>
      <c r="C30" s="9">
        <f t="shared" si="1"/>
        <v>1.2212698013821749E-3</v>
      </c>
      <c r="D30" s="9">
        <f t="shared" si="1"/>
        <v>9.6531612512389987E-3</v>
      </c>
      <c r="E30" s="9">
        <f t="shared" si="1"/>
        <v>0.54750292857249572</v>
      </c>
      <c r="F30" s="9">
        <f t="shared" si="1"/>
        <v>0.21613476875890947</v>
      </c>
      <c r="G30" s="10"/>
    </row>
    <row r="31" spans="1:7">
      <c r="A31" s="3">
        <v>24</v>
      </c>
      <c r="B31" s="8">
        <v>0.19094252894781777</v>
      </c>
      <c r="C31" s="9">
        <f t="shared" si="1"/>
        <v>2.9665950811438033E-4</v>
      </c>
      <c r="D31" s="9">
        <f t="shared" si="1"/>
        <v>3.5653565910413274E-3</v>
      </c>
      <c r="E31" s="9">
        <f t="shared" si="1"/>
        <v>0.50391864543338283</v>
      </c>
      <c r="F31" s="9">
        <f t="shared" si="1"/>
        <v>0.17534587855983078</v>
      </c>
      <c r="G31" s="10"/>
    </row>
    <row r="32" spans="1:7">
      <c r="A32" s="3">
        <v>25</v>
      </c>
      <c r="B32" s="8">
        <v>0.16465309692369703</v>
      </c>
      <c r="C32" s="9">
        <f t="shared" si="1"/>
        <v>5.3529331288021628E-5</v>
      </c>
      <c r="D32" s="9">
        <f t="shared" si="1"/>
        <v>1.0642499886715339E-3</v>
      </c>
      <c r="E32" s="9">
        <f t="shared" si="1"/>
        <v>0.45863243040075968</v>
      </c>
      <c r="F32" s="9">
        <f t="shared" si="1"/>
        <v>0.13832471815386618</v>
      </c>
      <c r="G32" s="10"/>
    </row>
    <row r="33" spans="1:11">
      <c r="A33" s="3">
        <v>26</v>
      </c>
      <c r="B33" s="8">
        <v>0.1488683274483332</v>
      </c>
      <c r="C33" s="9">
        <f t="shared" si="1"/>
        <v>6.7442347575472243E-6</v>
      </c>
      <c r="D33" s="9">
        <f t="shared" si="1"/>
        <v>2.4540381605793016E-4</v>
      </c>
      <c r="E33" s="9">
        <f t="shared" si="1"/>
        <v>0.41216167292492134</v>
      </c>
      <c r="F33" s="9">
        <f t="shared" si="1"/>
        <v>0.10572423040766306</v>
      </c>
      <c r="G33" s="10"/>
    </row>
    <row r="34" spans="1:11">
      <c r="A34" s="3">
        <v>27</v>
      </c>
      <c r="B34" s="8">
        <v>0.11454490726821995</v>
      </c>
      <c r="C34" s="9">
        <f t="shared" si="1"/>
        <v>5.5070510535237054E-7</v>
      </c>
      <c r="D34" s="9">
        <f t="shared" si="1"/>
        <v>4.1392961879602978E-5</v>
      </c>
      <c r="E34" s="9">
        <f t="shared" si="1"/>
        <v>0.3651427258741064</v>
      </c>
      <c r="F34" s="9">
        <f t="shared" si="1"/>
        <v>7.7978545305830788E-2</v>
      </c>
      <c r="G34" s="10"/>
    </row>
    <row r="35" spans="1:11">
      <c r="A35" s="3">
        <v>28</v>
      </c>
      <c r="B35" s="8">
        <v>0.10305457793904532</v>
      </c>
      <c r="C35" s="9">
        <f t="shared" si="1"/>
        <v>2.6646577225687996E-8</v>
      </c>
      <c r="D35" s="9">
        <f t="shared" si="1"/>
        <v>4.7818841550731846E-6</v>
      </c>
      <c r="E35" s="9">
        <f t="shared" si="1"/>
        <v>0.31831894491516949</v>
      </c>
      <c r="F35" s="9">
        <f t="shared" si="1"/>
        <v>5.5253424212542646E-2</v>
      </c>
      <c r="G35" s="10"/>
    </row>
    <row r="36" spans="1:11" ht="15.75" thickBot="1">
      <c r="A36" s="3">
        <v>29</v>
      </c>
      <c r="B36" s="8">
        <v>9.509790003536947E-2</v>
      </c>
      <c r="C36" s="9">
        <f t="shared" si="1"/>
        <v>6.8610925393580868E-10</v>
      </c>
      <c r="D36" s="9">
        <f t="shared" si="1"/>
        <v>3.4952020030990141E-7</v>
      </c>
      <c r="E36" s="9">
        <f t="shared" si="1"/>
        <v>0.27251594788567834</v>
      </c>
      <c r="F36" s="9">
        <f t="shared" si="1"/>
        <v>3.7425778197089629E-2</v>
      </c>
      <c r="G36" s="10"/>
    </row>
    <row r="37" spans="1:11" ht="15.75">
      <c r="A37" s="3">
        <v>30</v>
      </c>
      <c r="B37" s="8">
        <v>9.509790003536947E-2</v>
      </c>
      <c r="C37" s="9">
        <f t="shared" si="1"/>
        <v>8.2645524853026971E-12</v>
      </c>
      <c r="D37" s="9">
        <f t="shared" si="1"/>
        <v>1.4694529807459592E-8</v>
      </c>
      <c r="E37" s="9">
        <f t="shared" si="1"/>
        <v>0.22860282901503878</v>
      </c>
      <c r="F37" s="9">
        <f t="shared" si="1"/>
        <v>2.4100468898179003E-2</v>
      </c>
      <c r="G37" s="10"/>
      <c r="I37" s="11">
        <v>20</v>
      </c>
      <c r="J37" s="12" t="s">
        <v>53</v>
      </c>
      <c r="K37" s="13"/>
    </row>
    <row r="38" spans="1:11" ht="16.5" thickBot="1">
      <c r="A38" s="3">
        <v>31</v>
      </c>
      <c r="B38" s="8">
        <v>7.9496509194296461E-2</v>
      </c>
      <c r="C38" s="9">
        <f t="shared" si="1"/>
        <v>3.9924822780189681E-14</v>
      </c>
      <c r="D38" s="9">
        <f t="shared" si="1"/>
        <v>3.1695725147098755E-10</v>
      </c>
      <c r="E38" s="9">
        <f t="shared" si="1"/>
        <v>0.18743990266820038</v>
      </c>
      <c r="F38" s="9">
        <f t="shared" si="1"/>
        <v>1.4665472494652736E-2</v>
      </c>
      <c r="G38" s="10"/>
      <c r="I38" s="14">
        <v>15</v>
      </c>
      <c r="J38" s="15" t="s">
        <v>54</v>
      </c>
      <c r="K38" s="16"/>
    </row>
    <row r="39" spans="1:11">
      <c r="A39" s="3">
        <v>32</v>
      </c>
      <c r="B39" s="8">
        <v>5.6842043359806547E-2</v>
      </c>
      <c r="C39" s="9">
        <f t="shared" si="1"/>
        <v>6.438187497959136E-17</v>
      </c>
      <c r="D39" s="9">
        <f t="shared" si="1"/>
        <v>3.0592762554711989E-12</v>
      </c>
      <c r="E39" s="9">
        <f t="shared" si="1"/>
        <v>0.14981613466224608</v>
      </c>
      <c r="F39" s="9">
        <f t="shared" si="1"/>
        <v>8.3772434722373338E-3</v>
      </c>
      <c r="G39" s="10"/>
    </row>
    <row r="40" spans="1:11">
      <c r="A40" s="3">
        <v>33</v>
      </c>
      <c r="B40" s="8">
        <v>5.4254088886505715E-2</v>
      </c>
      <c r="C40" s="9">
        <f t="shared" si="1"/>
        <v>2.7869280886881844E-20</v>
      </c>
      <c r="D40" s="9">
        <f t="shared" si="1"/>
        <v>1.1225602155736921E-14</v>
      </c>
      <c r="E40" s="9">
        <f t="shared" si="1"/>
        <v>0.11638243798286813</v>
      </c>
      <c r="F40" s="9">
        <f t="shared" si="1"/>
        <v>4.4596043288993173E-3</v>
      </c>
      <c r="G40" s="10"/>
    </row>
    <row r="41" spans="1:11">
      <c r="A41" s="3">
        <v>34</v>
      </c>
      <c r="B41" s="8">
        <v>5.4254088886505715E-2</v>
      </c>
      <c r="C41" s="9">
        <f t="shared" si="1"/>
        <v>2.5025418548211453E-24</v>
      </c>
      <c r="D41" s="9">
        <f t="shared" si="1"/>
        <v>1.2903664491374824E-17</v>
      </c>
      <c r="E41" s="9">
        <f t="shared" si="1"/>
        <v>8.7589822832866177E-2</v>
      </c>
      <c r="F41" s="9">
        <f t="shared" si="1"/>
        <v>2.1951782975320197E-3</v>
      </c>
      <c r="G41" s="10"/>
    </row>
    <row r="42" spans="1:11">
      <c r="A42" s="3">
        <v>35</v>
      </c>
      <c r="B42" s="8">
        <v>5.4254088886505715E-2</v>
      </c>
      <c r="C42" s="9">
        <f t="shared" si="1"/>
        <v>3.4418721136100911E-29</v>
      </c>
      <c r="D42" s="9">
        <f t="shared" si="1"/>
        <v>3.6967113555702034E-21</v>
      </c>
      <c r="E42" s="9">
        <f t="shared" si="1"/>
        <v>6.3643065341544569E-2</v>
      </c>
      <c r="F42" s="9">
        <f t="shared" si="1"/>
        <v>9.9070286332150564E-4</v>
      </c>
      <c r="G42" s="10"/>
    </row>
    <row r="43" spans="1:11">
      <c r="A43" s="3">
        <v>36</v>
      </c>
      <c r="B43" s="8">
        <v>4.5375222897155502E-2</v>
      </c>
      <c r="C43" s="9">
        <f t="shared" si="1"/>
        <v>5.0848811935204155E-35</v>
      </c>
      <c r="D43" s="9">
        <f t="shared" si="1"/>
        <v>2.0178083420592372E-25</v>
      </c>
      <c r="E43" s="9">
        <f t="shared" si="1"/>
        <v>4.4480083343421462E-2</v>
      </c>
      <c r="F43" s="9">
        <f t="shared" si="1"/>
        <v>4.0623831372539772E-4</v>
      </c>
      <c r="G43" s="10"/>
    </row>
    <row r="44" spans="1:11">
      <c r="A44" s="3">
        <v>37</v>
      </c>
      <c r="B44" s="8">
        <v>3.3017316344289761E-2</v>
      </c>
      <c r="C44" s="9">
        <f t="shared" si="1"/>
        <v>5.344669628941995E-42</v>
      </c>
      <c r="D44" s="9">
        <f t="shared" si="1"/>
        <v>1.5342782793287366E-30</v>
      </c>
      <c r="E44" s="9">
        <f t="shared" si="1"/>
        <v>2.9783889897233667E-2</v>
      </c>
      <c r="F44" s="9">
        <f t="shared" si="1"/>
        <v>1.4990094874129534E-4</v>
      </c>
      <c r="G44" s="10"/>
    </row>
    <row r="45" spans="1:11">
      <c r="A45" s="3">
        <v>38</v>
      </c>
      <c r="B45" s="8">
        <v>3.3017316344289761E-2</v>
      </c>
      <c r="C45" s="9">
        <f t="shared" si="1"/>
        <v>2.4875371970706651E-50</v>
      </c>
      <c r="D45" s="9">
        <f t="shared" si="1"/>
        <v>1.1315494505161492E-36</v>
      </c>
      <c r="E45" s="9">
        <f t="shared" si="1"/>
        <v>1.902794813147337E-2</v>
      </c>
      <c r="F45" s="9">
        <f t="shared" si="1"/>
        <v>4.9274391264684961E-5</v>
      </c>
      <c r="G45" s="10"/>
    </row>
    <row r="46" spans="1:11">
      <c r="A46" s="3">
        <v>39</v>
      </c>
      <c r="B46" s="8">
        <v>3.1841483991343025E-2</v>
      </c>
      <c r="C46" s="9">
        <f t="shared" si="1"/>
        <v>2.9870927377763022E-60</v>
      </c>
      <c r="D46" s="9">
        <f t="shared" si="1"/>
        <v>5.3497948814828024E-44</v>
      </c>
      <c r="E46" s="9">
        <f t="shared" si="1"/>
        <v>1.1548223188478004E-2</v>
      </c>
      <c r="F46" s="9">
        <f t="shared" si="1"/>
        <v>1.4277824177117831E-5</v>
      </c>
      <c r="G46" s="10"/>
    </row>
    <row r="47" spans="1:11">
      <c r="A47" s="3">
        <v>40</v>
      </c>
      <c r="B47" s="8">
        <v>2.8946803628493653E-2</v>
      </c>
      <c r="C47" s="9">
        <f t="shared" si="1"/>
        <v>5.0409298198119639E-72</v>
      </c>
      <c r="D47" s="9">
        <f t="shared" si="1"/>
        <v>1.0155773516224814E-52</v>
      </c>
      <c r="E47" s="9">
        <f t="shared" si="1"/>
        <v>6.6284833708684212E-3</v>
      </c>
      <c r="F47" s="9">
        <f t="shared" si="1"/>
        <v>3.607701834386371E-6</v>
      </c>
      <c r="G47" s="10"/>
    </row>
    <row r="48" spans="1:11">
      <c r="A48" s="3">
        <v>41</v>
      </c>
      <c r="B48" s="8">
        <v>2.6052123265644281E-2</v>
      </c>
      <c r="C48" s="9">
        <f t="shared" si="1"/>
        <v>6.0986905693768619E-86</v>
      </c>
      <c r="D48" s="9">
        <f t="shared" si="1"/>
        <v>4.599375648370823E-63</v>
      </c>
      <c r="E48" s="9">
        <f t="shared" si="1"/>
        <v>3.5819812158708873E-3</v>
      </c>
      <c r="F48" s="9">
        <f t="shared" si="1"/>
        <v>7.8626283638868803E-7</v>
      </c>
      <c r="G48" s="10"/>
    </row>
    <row r="49" spans="1:7">
      <c r="A49" s="3">
        <v>42</v>
      </c>
      <c r="B49" s="8">
        <v>2.3157442902794922E-2</v>
      </c>
      <c r="C49" s="9">
        <f t="shared" si="1"/>
        <v>2.5432297755778838E-102</v>
      </c>
      <c r="D49" s="9">
        <f t="shared" si="1"/>
        <v>2.8132883574224033E-75</v>
      </c>
      <c r="E49" s="9">
        <f t="shared" si="1"/>
        <v>1.8141765712767492E-3</v>
      </c>
      <c r="F49" s="9">
        <f t="shared" si="1"/>
        <v>1.4619301545428716E-7</v>
      </c>
      <c r="G49" s="10"/>
    </row>
    <row r="50" spans="1:7">
      <c r="A50" s="3">
        <v>43</v>
      </c>
      <c r="B50" s="8">
        <v>2.026276253994555E-2</v>
      </c>
      <c r="C50" s="9">
        <f t="shared" si="1"/>
        <v>1.6765002702622089E-121</v>
      </c>
      <c r="D50" s="9">
        <f t="shared" si="1"/>
        <v>1.2650411023693033E-89</v>
      </c>
      <c r="E50" s="9">
        <f t="shared" si="1"/>
        <v>8.5735161453715349E-4</v>
      </c>
      <c r="F50" s="9">
        <f t="shared" si="1"/>
        <v>2.2943554815731808E-8</v>
      </c>
      <c r="G50" s="10"/>
    </row>
    <row r="51" spans="1:7">
      <c r="A51" s="3">
        <v>44</v>
      </c>
      <c r="B51" s="8">
        <v>1.7368082177096178E-2</v>
      </c>
      <c r="C51" s="9">
        <f t="shared" si="1"/>
        <v>7.7857033551047022E-144</v>
      </c>
      <c r="D51" s="9">
        <f t="shared" si="1"/>
        <v>2.2200608681182757E-106</v>
      </c>
      <c r="E51" s="9">
        <f t="shared" si="1"/>
        <v>3.7645859428151265E-4</v>
      </c>
      <c r="F51" s="9">
        <f t="shared" si="1"/>
        <v>3.0082977683830433E-9</v>
      </c>
      <c r="G51" s="10"/>
    </row>
    <row r="52" spans="1:7">
      <c r="A52" s="3">
        <v>45</v>
      </c>
      <c r="B52" s="8">
        <v>1.4473401814246806E-2</v>
      </c>
      <c r="C52" s="9">
        <f t="shared" si="1"/>
        <v>1.1317461231213568E-169</v>
      </c>
      <c r="D52" s="9">
        <f t="shared" si="1"/>
        <v>8.0326255527463641E-126</v>
      </c>
      <c r="E52" s="9">
        <f t="shared" si="1"/>
        <v>1.5297940230222861E-4</v>
      </c>
      <c r="F52" s="9">
        <f t="shared" si="1"/>
        <v>3.2640653991299126E-10</v>
      </c>
      <c r="G52" s="10"/>
    </row>
    <row r="53" spans="1:7">
      <c r="A53" s="3">
        <v>46</v>
      </c>
      <c r="B53" s="8">
        <v>1.1578721451397461E-2</v>
      </c>
      <c r="C53" s="9">
        <f t="shared" si="1"/>
        <v>2.3553725390051792E-199</v>
      </c>
      <c r="D53" s="9">
        <f t="shared" si="1"/>
        <v>3.2314603706218274E-148</v>
      </c>
      <c r="E53" s="9">
        <f t="shared" si="1"/>
        <v>5.7326093124505313E-5</v>
      </c>
      <c r="F53" s="9">
        <f t="shared" si="1"/>
        <v>2.9055861024017896E-11</v>
      </c>
      <c r="G53" s="10"/>
    </row>
    <row r="54" spans="1:7">
      <c r="A54" s="3">
        <v>47</v>
      </c>
      <c r="B54" s="8">
        <v>8.684041088548089E-3</v>
      </c>
      <c r="C54" s="9">
        <f t="shared" si="1"/>
        <v>3.4295773308878646E-233</v>
      </c>
      <c r="D54" s="9">
        <f t="shared" si="1"/>
        <v>8.1973661011261091E-174</v>
      </c>
      <c r="E54" s="9">
        <f t="shared" si="1"/>
        <v>1.9748423645454795E-5</v>
      </c>
      <c r="F54" s="9">
        <f t="shared" si="1"/>
        <v>2.1062739537756836E-12</v>
      </c>
      <c r="G54" s="10"/>
    </row>
    <row r="55" spans="1:7">
      <c r="A55" s="3">
        <v>48</v>
      </c>
      <c r="B55" s="8">
        <v>5.7893607256987167E-3</v>
      </c>
      <c r="C55" s="9">
        <f t="shared" si="1"/>
        <v>1.8967043849680431E-271</v>
      </c>
      <c r="D55" s="9">
        <f t="shared" si="1"/>
        <v>8.0721256727829729E-203</v>
      </c>
      <c r="E55" s="9">
        <f t="shared" si="1"/>
        <v>6.2385157579983215E-6</v>
      </c>
      <c r="F55" s="9">
        <f t="shared" si="1"/>
        <v>1.2358820355067601E-13</v>
      </c>
      <c r="G55" s="10"/>
    </row>
    <row r="56" spans="1:7">
      <c r="A56" s="3">
        <v>49</v>
      </c>
      <c r="B56" s="8">
        <v>2.8946803628493445E-3</v>
      </c>
      <c r="C56" s="9">
        <f t="shared" si="1"/>
        <v>0</v>
      </c>
      <c r="D56" s="9">
        <f t="shared" si="1"/>
        <v>2.1254475179657738E-235</v>
      </c>
      <c r="E56" s="9">
        <f t="shared" si="1"/>
        <v>1.8038158096210059E-6</v>
      </c>
      <c r="F56" s="9">
        <f t="shared" si="1"/>
        <v>5.8436188525741118E-15</v>
      </c>
      <c r="G56" s="10"/>
    </row>
    <row r="57" spans="1:7">
      <c r="A57" s="3">
        <v>50</v>
      </c>
      <c r="B57" s="8">
        <v>0</v>
      </c>
      <c r="C57" s="9">
        <f t="shared" si="1"/>
        <v>0</v>
      </c>
      <c r="D57" s="9">
        <f t="shared" si="1"/>
        <v>1.1830521861667747E-271</v>
      </c>
      <c r="E57" s="9">
        <f t="shared" si="1"/>
        <v>4.76837158203125E-7</v>
      </c>
      <c r="F57" s="9">
        <f t="shared" si="1"/>
        <v>2.2204460492503131E-16</v>
      </c>
      <c r="G57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5BF2-23B8-46EE-9250-1196FF234EA1}">
  <dimension ref="B3:I31"/>
  <sheetViews>
    <sheetView workbookViewId="0"/>
  </sheetViews>
  <sheetFormatPr defaultRowHeight="12.75"/>
  <cols>
    <col min="2" max="2" width="20.42578125" customWidth="1"/>
    <col min="3" max="3" width="14.28515625" bestFit="1" customWidth="1"/>
    <col min="4" max="4" width="14.85546875" bestFit="1" customWidth="1"/>
    <col min="5" max="5" width="5.7109375" bestFit="1" customWidth="1"/>
    <col min="6" max="6" width="2" bestFit="1" customWidth="1"/>
  </cols>
  <sheetData>
    <row r="3" spans="2:9">
      <c r="B3" t="s">
        <v>23</v>
      </c>
    </row>
    <row r="4" spans="2:9">
      <c r="B4" t="s">
        <v>40</v>
      </c>
      <c r="C4" t="s">
        <v>45</v>
      </c>
      <c r="D4" t="s">
        <v>55</v>
      </c>
      <c r="E4" t="s">
        <v>46</v>
      </c>
    </row>
    <row r="5" spans="2:9">
      <c r="B5" t="s">
        <v>56</v>
      </c>
      <c r="C5">
        <v>2018</v>
      </c>
      <c r="D5" t="s">
        <v>57</v>
      </c>
      <c r="E5">
        <v>99999</v>
      </c>
    </row>
    <row r="8" spans="2:9">
      <c r="B8" t="s">
        <v>58</v>
      </c>
    </row>
    <row r="9" spans="2:9">
      <c r="B9" t="s">
        <v>42</v>
      </c>
      <c r="C9" t="s">
        <v>46</v>
      </c>
      <c r="D9" t="s">
        <v>59</v>
      </c>
    </row>
    <row r="10" spans="2:9">
      <c r="B10">
        <v>2100</v>
      </c>
      <c r="C10" t="s">
        <v>60</v>
      </c>
      <c r="D10" t="s">
        <v>61</v>
      </c>
    </row>
    <row r="14" spans="2:9" ht="15">
      <c r="C14" s="26"/>
      <c r="D14" s="3"/>
      <c r="E14" s="3"/>
      <c r="F14" s="3"/>
    </row>
    <row r="15" spans="2:9" ht="15">
      <c r="C15" s="26"/>
      <c r="D15" s="26"/>
      <c r="E15" s="3"/>
      <c r="F15" s="3"/>
      <c r="I15" s="17"/>
    </row>
    <row r="16" spans="2:9" ht="15">
      <c r="B16" t="s">
        <v>62</v>
      </c>
      <c r="C16" s="26"/>
      <c r="D16" s="26"/>
      <c r="E16" s="3"/>
      <c r="F16" s="3"/>
      <c r="I16" s="17"/>
    </row>
    <row r="17" spans="2:8">
      <c r="B17" t="s">
        <v>55</v>
      </c>
      <c r="C17" t="s">
        <v>63</v>
      </c>
      <c r="D17" t="s">
        <v>64</v>
      </c>
    </row>
    <row r="18" spans="2:8">
      <c r="B18" t="s">
        <v>65</v>
      </c>
      <c r="C18" t="s">
        <v>66</v>
      </c>
      <c r="D18" t="s">
        <v>67</v>
      </c>
    </row>
    <row r="19" spans="2:8">
      <c r="B19" t="s">
        <v>68</v>
      </c>
      <c r="C19" t="s">
        <v>66</v>
      </c>
      <c r="D19" t="s">
        <v>69</v>
      </c>
    </row>
    <row r="22" spans="2:8">
      <c r="B22" t="s">
        <v>2</v>
      </c>
    </row>
    <row r="23" spans="2:8">
      <c r="B23" t="s">
        <v>40</v>
      </c>
      <c r="C23" t="s">
        <v>55</v>
      </c>
      <c r="D23" t="s">
        <v>59</v>
      </c>
      <c r="E23" t="s">
        <v>46</v>
      </c>
    </row>
    <row r="24" spans="2:8">
      <c r="B24" t="s">
        <v>70</v>
      </c>
      <c r="C24" t="s">
        <v>65</v>
      </c>
      <c r="D24" t="s">
        <v>71</v>
      </c>
      <c r="E24">
        <v>2150</v>
      </c>
    </row>
    <row r="25" spans="2:8">
      <c r="B25" t="s">
        <v>70</v>
      </c>
      <c r="C25" t="str">
        <f>B19</f>
        <v>SUP_OilSupply</v>
      </c>
      <c r="D25" t="s">
        <v>72</v>
      </c>
      <c r="E25">
        <v>2150</v>
      </c>
    </row>
    <row r="29" spans="2:8">
      <c r="B29" t="s">
        <v>38</v>
      </c>
    </row>
    <row r="30" spans="2:8">
      <c r="B30" t="s">
        <v>40</v>
      </c>
      <c r="C30" t="s">
        <v>55</v>
      </c>
      <c r="D30" t="s">
        <v>45</v>
      </c>
      <c r="E30" t="s">
        <v>42</v>
      </c>
      <c r="F30" t="s">
        <v>46</v>
      </c>
    </row>
    <row r="31" spans="2:8">
      <c r="B31" t="s">
        <v>73</v>
      </c>
      <c r="C31" t="s">
        <v>74</v>
      </c>
      <c r="D31">
        <v>2020</v>
      </c>
      <c r="E31">
        <v>2019</v>
      </c>
      <c r="F31" t="s">
        <v>60</v>
      </c>
      <c r="H31" s="22" t="s">
        <v>75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5A000-B663-4CCB-B7CD-D7C7D23A015C}">
  <dimension ref="A1:L18"/>
  <sheetViews>
    <sheetView workbookViewId="0"/>
  </sheetViews>
  <sheetFormatPr defaultColWidth="9.140625" defaultRowHeight="15"/>
  <cols>
    <col min="1" max="2" width="9.140625" style="18"/>
    <col min="3" max="3" width="26" style="18" bestFit="1" customWidth="1"/>
    <col min="4" max="4" width="11.85546875" style="18" bestFit="1" customWidth="1"/>
    <col min="5" max="5" width="7.7109375" style="18" bestFit="1" customWidth="1"/>
    <col min="6" max="6" width="8.28515625" style="18" bestFit="1" customWidth="1"/>
    <col min="7" max="7" width="26" style="18" bestFit="1" customWidth="1"/>
    <col min="8" max="8" width="9.5703125" style="18" bestFit="1" customWidth="1"/>
    <col min="9" max="9" width="9.140625" style="18"/>
    <col min="10" max="10" width="6.85546875" style="18" bestFit="1" customWidth="1"/>
    <col min="11" max="16384" width="9.140625" style="18"/>
  </cols>
  <sheetData>
    <row r="1" spans="1:12">
      <c r="A1" s="21" t="s">
        <v>76</v>
      </c>
    </row>
    <row r="3" spans="1:12">
      <c r="C3" s="18" t="s">
        <v>2</v>
      </c>
    </row>
    <row r="4" spans="1:12">
      <c r="C4" s="18" t="s">
        <v>40</v>
      </c>
      <c r="D4" s="18" t="s">
        <v>44</v>
      </c>
      <c r="E4" s="18" t="s">
        <v>77</v>
      </c>
      <c r="F4" s="18" t="s">
        <v>43</v>
      </c>
      <c r="G4" s="18" t="s">
        <v>55</v>
      </c>
      <c r="H4" s="18" t="s">
        <v>64</v>
      </c>
      <c r="I4" s="27" t="s">
        <v>78</v>
      </c>
      <c r="J4" s="27" t="s">
        <v>79</v>
      </c>
      <c r="L4" s="18" t="s">
        <v>80</v>
      </c>
    </row>
    <row r="5" spans="1:12">
      <c r="C5" s="18" t="s">
        <v>81</v>
      </c>
      <c r="D5" s="18" t="s">
        <v>82</v>
      </c>
      <c r="F5" s="19">
        <f>6/24</f>
        <v>0.25</v>
      </c>
      <c r="G5" s="27" t="s">
        <v>83</v>
      </c>
      <c r="J5" s="18" t="str">
        <f>D5</f>
        <v>ELC</v>
      </c>
    </row>
    <row r="6" spans="1:12">
      <c r="C6" s="18" t="s">
        <v>84</v>
      </c>
      <c r="D6" s="18" t="s">
        <v>85</v>
      </c>
      <c r="E6" s="18" t="s">
        <v>86</v>
      </c>
      <c r="F6" s="19">
        <f>6/24/F9</f>
        <v>0.3125</v>
      </c>
      <c r="G6" s="27" t="s">
        <v>83</v>
      </c>
    </row>
    <row r="7" spans="1:12">
      <c r="C7" s="18" t="s">
        <v>84</v>
      </c>
      <c r="D7" s="18" t="s">
        <v>82</v>
      </c>
      <c r="E7" s="18" t="s">
        <v>86</v>
      </c>
      <c r="F7" s="19">
        <v>1</v>
      </c>
      <c r="G7" s="27" t="s">
        <v>83</v>
      </c>
      <c r="J7" s="18" t="str">
        <f>D7</f>
        <v>ELC</v>
      </c>
    </row>
    <row r="8" spans="1:12">
      <c r="C8" s="18" t="s">
        <v>84</v>
      </c>
      <c r="D8" s="18" t="s">
        <v>87</v>
      </c>
      <c r="E8" s="18" t="s">
        <v>86</v>
      </c>
      <c r="F8" s="19">
        <f>6/9</f>
        <v>0.66666666666666663</v>
      </c>
      <c r="G8" s="27" t="s">
        <v>83</v>
      </c>
      <c r="L8" s="18" t="s">
        <v>88</v>
      </c>
    </row>
    <row r="9" spans="1:12">
      <c r="C9" s="18" t="s">
        <v>89</v>
      </c>
      <c r="F9" s="19">
        <v>0.8</v>
      </c>
      <c r="G9" s="27" t="s">
        <v>83</v>
      </c>
    </row>
    <row r="10" spans="1:12">
      <c r="C10" s="18" t="s">
        <v>90</v>
      </c>
      <c r="D10" s="18" t="s">
        <v>91</v>
      </c>
      <c r="F10" s="18">
        <f>1/F9</f>
        <v>1.25</v>
      </c>
      <c r="G10" s="27" t="s">
        <v>83</v>
      </c>
      <c r="H10" s="18" t="s">
        <v>82</v>
      </c>
      <c r="J10" s="18" t="str">
        <f>H10</f>
        <v>ELC</v>
      </c>
    </row>
    <row r="11" spans="1:12">
      <c r="C11" s="18" t="s">
        <v>81</v>
      </c>
      <c r="D11" s="27" t="s">
        <v>92</v>
      </c>
      <c r="F11" s="19">
        <f>6/24</f>
        <v>0.25</v>
      </c>
      <c r="G11" s="27" t="s">
        <v>83</v>
      </c>
      <c r="I11" s="27" t="s">
        <v>93</v>
      </c>
      <c r="J11" s="18" t="str">
        <f>D11</f>
        <v>INDELC</v>
      </c>
    </row>
    <row r="12" spans="1:12">
      <c r="C12" s="18" t="s">
        <v>84</v>
      </c>
      <c r="D12" s="27" t="s">
        <v>92</v>
      </c>
      <c r="E12" s="18" t="s">
        <v>86</v>
      </c>
      <c r="F12" s="19">
        <v>1</v>
      </c>
      <c r="G12" s="27" t="s">
        <v>83</v>
      </c>
      <c r="I12" s="27" t="s">
        <v>93</v>
      </c>
      <c r="J12" s="18" t="str">
        <f>D12</f>
        <v>INDELC</v>
      </c>
    </row>
    <row r="13" spans="1:12">
      <c r="C13" s="18" t="s">
        <v>90</v>
      </c>
      <c r="D13" s="18" t="s">
        <v>91</v>
      </c>
      <c r="F13" s="18">
        <f>F10</f>
        <v>1.25</v>
      </c>
      <c r="G13" s="27" t="s">
        <v>83</v>
      </c>
      <c r="H13" s="27" t="s">
        <v>92</v>
      </c>
      <c r="I13" s="27" t="str">
        <f>I12</f>
        <v>AutoP*</v>
      </c>
      <c r="J13" s="27" t="str">
        <f>J12</f>
        <v>INDELC</v>
      </c>
    </row>
    <row r="16" spans="1:12">
      <c r="C16" s="18" t="s">
        <v>94</v>
      </c>
    </row>
    <row r="17" spans="3:5">
      <c r="C17" s="18" t="s">
        <v>55</v>
      </c>
      <c r="D17" s="18" t="s">
        <v>64</v>
      </c>
      <c r="E17" s="18" t="s">
        <v>46</v>
      </c>
    </row>
    <row r="18" spans="3:5">
      <c r="C18" s="18" t="str">
        <f>G10</f>
        <v>E?_HYD_PS-HY*,E?_ELC-HY_PS*</v>
      </c>
      <c r="D18" s="18" t="str">
        <f>D10</f>
        <v>AuxStoOUT</v>
      </c>
      <c r="E18" s="18" t="s">
        <v>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C5748-51A3-47F0-B1D9-5AA712A09B00}">
  <dimension ref="C3:M39"/>
  <sheetViews>
    <sheetView tabSelected="1" workbookViewId="0">
      <selection activeCell="C3" sqref="C3"/>
    </sheetView>
  </sheetViews>
  <sheetFormatPr defaultRowHeight="12.75"/>
  <cols>
    <col min="3" max="3" width="14.42578125" bestFit="1" customWidth="1"/>
    <col min="5" max="13" width="9.5703125" bestFit="1" customWidth="1"/>
  </cols>
  <sheetData>
    <row r="3" spans="3:13">
      <c r="C3" t="s">
        <v>96</v>
      </c>
    </row>
    <row r="4" spans="3:13" ht="15.75">
      <c r="C4" s="24" t="s">
        <v>97</v>
      </c>
      <c r="D4" s="24" t="s">
        <v>98</v>
      </c>
      <c r="E4" s="24">
        <v>2019</v>
      </c>
      <c r="F4" s="24">
        <v>2020</v>
      </c>
      <c r="G4" s="24">
        <v>2023</v>
      </c>
      <c r="H4" s="24">
        <v>2025</v>
      </c>
      <c r="I4" s="24">
        <v>2030</v>
      </c>
      <c r="J4" s="24">
        <v>2035</v>
      </c>
      <c r="K4" s="24">
        <v>2040</v>
      </c>
      <c r="L4" s="24">
        <v>2045</v>
      </c>
      <c r="M4" s="24">
        <v>2050</v>
      </c>
    </row>
    <row r="5" spans="3:13" ht="15.75">
      <c r="C5" s="24" t="s">
        <v>99</v>
      </c>
      <c r="D5" s="24" t="s">
        <v>100</v>
      </c>
      <c r="E5" s="25">
        <v>1015.5778521971276</v>
      </c>
      <c r="F5" s="25">
        <v>1037.014736980615</v>
      </c>
      <c r="G5" s="25">
        <v>1127.6186676989064</v>
      </c>
      <c r="H5" s="25">
        <v>1192.8945186459694</v>
      </c>
      <c r="I5" s="25">
        <v>1370.0567717361366</v>
      </c>
      <c r="J5" s="25">
        <v>1665.8841362805642</v>
      </c>
      <c r="K5" s="25">
        <v>2199.3436201368027</v>
      </c>
      <c r="L5" s="25">
        <v>2925.8763722626745</v>
      </c>
      <c r="M5" s="25">
        <v>3795.927703803337</v>
      </c>
    </row>
    <row r="6" spans="3:13" ht="15.75">
      <c r="C6" s="24" t="s">
        <v>101</v>
      </c>
      <c r="D6" s="24" t="s">
        <v>100</v>
      </c>
      <c r="E6" s="25">
        <v>700.50639018911227</v>
      </c>
      <c r="F6" s="25">
        <v>708.18742329287818</v>
      </c>
      <c r="G6" s="25">
        <v>763.45629108954472</v>
      </c>
      <c r="H6" s="25">
        <v>809.88023468647168</v>
      </c>
      <c r="I6" s="25">
        <v>984.30001310220393</v>
      </c>
      <c r="J6" s="25">
        <v>1267.9045873095483</v>
      </c>
      <c r="K6" s="25">
        <v>1745.4710844508595</v>
      </c>
      <c r="L6" s="25">
        <v>2427.9606817478152</v>
      </c>
      <c r="M6" s="25">
        <v>3278.0224960696114</v>
      </c>
    </row>
    <row r="7" spans="3:13" ht="15.75">
      <c r="C7" s="24" t="s">
        <v>102</v>
      </c>
      <c r="D7" s="24" t="s">
        <v>100</v>
      </c>
      <c r="E7" s="25">
        <v>811.76071002500203</v>
      </c>
      <c r="F7" s="25">
        <v>803.64438125403058</v>
      </c>
      <c r="G7" s="25">
        <v>816.73514471249246</v>
      </c>
      <c r="H7" s="25">
        <v>828.38482385545979</v>
      </c>
      <c r="I7" s="25">
        <v>866.15624018891037</v>
      </c>
      <c r="J7" s="25">
        <v>932.44705958416796</v>
      </c>
      <c r="K7" s="25">
        <v>1036.6708384092494</v>
      </c>
      <c r="L7" s="25">
        <v>1169.7692484641191</v>
      </c>
      <c r="M7" s="25">
        <v>1316.3397571060802</v>
      </c>
    </row>
    <row r="8" spans="3:13" ht="15.75">
      <c r="C8" s="24" t="s">
        <v>103</v>
      </c>
      <c r="D8" s="24" t="s">
        <v>100</v>
      </c>
      <c r="E8" s="25">
        <v>224.68456877269512</v>
      </c>
      <c r="F8" s="25">
        <v>221.65882161899953</v>
      </c>
      <c r="G8" s="25">
        <v>229.21145854264432</v>
      </c>
      <c r="H8" s="25">
        <v>230.39403715374203</v>
      </c>
      <c r="I8" s="25">
        <v>232.43860601888574</v>
      </c>
      <c r="J8" s="25">
        <v>238.37880229281316</v>
      </c>
      <c r="K8" s="25">
        <v>247.64092606372165</v>
      </c>
      <c r="L8" s="25">
        <v>265.37343028948482</v>
      </c>
      <c r="M8" s="25">
        <v>282.41626856114499</v>
      </c>
    </row>
    <row r="9" spans="3:13" ht="15.75">
      <c r="C9" s="24" t="s">
        <v>104</v>
      </c>
      <c r="D9" s="24" t="s">
        <v>100</v>
      </c>
      <c r="E9" s="25">
        <v>91.321320636454715</v>
      </c>
      <c r="F9" s="25">
        <v>92.640484093776735</v>
      </c>
      <c r="G9" s="25">
        <v>92.598442052458878</v>
      </c>
      <c r="H9" s="25">
        <v>91.489815842260143</v>
      </c>
      <c r="I9" s="25">
        <v>93.55527409481779</v>
      </c>
      <c r="J9" s="25">
        <v>95.955938066183123</v>
      </c>
      <c r="K9" s="25">
        <v>101.20916661948286</v>
      </c>
      <c r="L9" s="25">
        <v>109.27139702813284</v>
      </c>
      <c r="M9" s="25">
        <v>115.39242587002472</v>
      </c>
    </row>
    <row r="10" spans="3:13" ht="15.75">
      <c r="C10" s="24" t="s">
        <v>105</v>
      </c>
      <c r="D10" s="24" t="s">
        <v>100</v>
      </c>
      <c r="E10" s="25">
        <v>720.05690688478478</v>
      </c>
      <c r="F10" s="25">
        <v>719.55662707801343</v>
      </c>
      <c r="G10" s="25">
        <v>733.37395642764295</v>
      </c>
      <c r="H10" s="25">
        <v>742.08853382134771</v>
      </c>
      <c r="I10" s="25">
        <v>755.51097475529457</v>
      </c>
      <c r="J10" s="25">
        <v>772.1434831515262</v>
      </c>
      <c r="K10" s="25">
        <v>808.86083588247675</v>
      </c>
      <c r="L10" s="25">
        <v>859.57858059460079</v>
      </c>
      <c r="M10" s="25">
        <v>917.8622085991841</v>
      </c>
    </row>
    <row r="11" spans="3:13" ht="15.75">
      <c r="C11" s="24" t="s">
        <v>106</v>
      </c>
      <c r="D11" s="24" t="s">
        <v>100</v>
      </c>
      <c r="E11" s="25">
        <v>1889.6294955429962</v>
      </c>
      <c r="F11" s="25">
        <v>1859.9687751163956</v>
      </c>
      <c r="G11" s="25">
        <v>1981.7803329199098</v>
      </c>
      <c r="H11" s="25">
        <v>2049.7911244766378</v>
      </c>
      <c r="I11" s="25">
        <v>2098.7810592473361</v>
      </c>
      <c r="J11" s="25">
        <v>2290.1173406322778</v>
      </c>
      <c r="K11" s="25">
        <v>2754.8077138289591</v>
      </c>
      <c r="L11" s="25">
        <v>3444.8998046383404</v>
      </c>
      <c r="M11" s="25">
        <v>4246.9743952864465</v>
      </c>
    </row>
    <row r="12" spans="3:13" ht="15.75">
      <c r="C12" s="24" t="s">
        <v>107</v>
      </c>
      <c r="D12" s="24" t="s">
        <v>100</v>
      </c>
      <c r="E12" s="25">
        <v>22744.233908352184</v>
      </c>
      <c r="F12" s="25">
        <v>23606.966500548649</v>
      </c>
      <c r="G12" s="25">
        <v>24450.255093409709</v>
      </c>
      <c r="H12" s="25">
        <v>25084.42249670966</v>
      </c>
      <c r="I12" s="25">
        <v>26155.04169140146</v>
      </c>
      <c r="J12" s="25">
        <v>26842.478716291665</v>
      </c>
      <c r="K12" s="25">
        <v>27770.807802552692</v>
      </c>
      <c r="L12" s="25">
        <v>28938.699660285718</v>
      </c>
      <c r="M12" s="25">
        <v>29909.149581400656</v>
      </c>
    </row>
    <row r="13" spans="3:13" ht="15.75">
      <c r="C13" s="24" t="s">
        <v>108</v>
      </c>
      <c r="D13" s="24" t="s">
        <v>100</v>
      </c>
      <c r="E13" s="25">
        <v>106.71394978007027</v>
      </c>
      <c r="F13" s="25">
        <v>105.86114713288038</v>
      </c>
      <c r="G13" s="25">
        <v>111.76960471054292</v>
      </c>
      <c r="H13" s="25">
        <v>115.43662316554607</v>
      </c>
      <c r="I13" s="25">
        <v>120.4333698537162</v>
      </c>
      <c r="J13" s="25">
        <v>125.53400071485034</v>
      </c>
      <c r="K13" s="25">
        <v>133.21591848104546</v>
      </c>
      <c r="L13" s="25">
        <v>140.23184696456153</v>
      </c>
      <c r="M13" s="25">
        <v>145.79172464431582</v>
      </c>
    </row>
    <row r="14" spans="3:13" ht="15.75">
      <c r="C14" s="24" t="s">
        <v>109</v>
      </c>
      <c r="D14" s="24" t="s">
        <v>100</v>
      </c>
      <c r="E14" s="25">
        <v>298.43161012117599</v>
      </c>
      <c r="F14" s="25">
        <v>302.89153677225721</v>
      </c>
      <c r="G14" s="25">
        <v>303.59097220218871</v>
      </c>
      <c r="H14" s="25">
        <v>306.28757665296195</v>
      </c>
      <c r="I14" s="25">
        <v>309.52117854463438</v>
      </c>
      <c r="J14" s="25">
        <v>317.51446567527375</v>
      </c>
      <c r="K14" s="25">
        <v>349.88429790285545</v>
      </c>
      <c r="L14" s="25">
        <v>374.42806955483837</v>
      </c>
      <c r="M14" s="25">
        <v>402.87369420741277</v>
      </c>
    </row>
    <row r="15" spans="3:13" ht="15.75">
      <c r="C15" s="24" t="s">
        <v>110</v>
      </c>
      <c r="D15" s="24" t="s">
        <v>100</v>
      </c>
      <c r="E15" s="25">
        <v>1523.3183094251776</v>
      </c>
      <c r="F15" s="25">
        <v>1518.0330600255188</v>
      </c>
      <c r="G15" s="25">
        <v>1551.1040718843719</v>
      </c>
      <c r="H15" s="25">
        <v>1590.2874016479886</v>
      </c>
      <c r="I15" s="25">
        <v>1565.0360985444559</v>
      </c>
      <c r="J15" s="25">
        <v>1579.3312473102258</v>
      </c>
      <c r="K15" s="25">
        <v>1626.5637138541779</v>
      </c>
      <c r="L15" s="25">
        <v>1782.145551160261</v>
      </c>
      <c r="M15" s="25">
        <v>1964.2988303777586</v>
      </c>
    </row>
    <row r="16" spans="3:13" ht="15.75">
      <c r="C16" s="24" t="s">
        <v>111</v>
      </c>
      <c r="D16" s="24" t="s">
        <v>100</v>
      </c>
      <c r="E16" s="25">
        <v>1751.8277005767352</v>
      </c>
      <c r="F16" s="25">
        <v>1741.2249177167487</v>
      </c>
      <c r="G16" s="25">
        <v>1748.5898670648537</v>
      </c>
      <c r="H16" s="25">
        <v>1773.6772374557461</v>
      </c>
      <c r="I16" s="25">
        <v>1746.7848473139816</v>
      </c>
      <c r="J16" s="25">
        <v>1764.4405183308197</v>
      </c>
      <c r="K16" s="25">
        <v>1885.7519826550686</v>
      </c>
      <c r="L16" s="25">
        <v>2091.1458873942261</v>
      </c>
      <c r="M16" s="25">
        <v>2203.626193933072</v>
      </c>
    </row>
    <row r="17" spans="3:13" ht="15.75">
      <c r="C17" s="24" t="s">
        <v>112</v>
      </c>
      <c r="D17" s="24" t="s">
        <v>100</v>
      </c>
      <c r="E17" s="25">
        <v>202.96571942318286</v>
      </c>
      <c r="F17" s="25">
        <v>200.79651358447089</v>
      </c>
      <c r="G17" s="25">
        <v>211.69815104408869</v>
      </c>
      <c r="H17" s="25">
        <v>219.36178837713379</v>
      </c>
      <c r="I17" s="25">
        <v>223.69518922757689</v>
      </c>
      <c r="J17" s="25">
        <v>232.49884923211803</v>
      </c>
      <c r="K17" s="25">
        <v>250.21104449379808</v>
      </c>
      <c r="L17" s="25">
        <v>271.69384039195836</v>
      </c>
      <c r="M17" s="25">
        <v>292.16744740905256</v>
      </c>
    </row>
    <row r="18" spans="3:13" ht="15.75">
      <c r="C18" s="24" t="s">
        <v>113</v>
      </c>
      <c r="D18" s="24" t="s">
        <v>100</v>
      </c>
      <c r="E18" s="25">
        <v>422.15486345591631</v>
      </c>
      <c r="F18" s="25">
        <v>424.20792463817554</v>
      </c>
      <c r="G18" s="25">
        <v>438.13237778477918</v>
      </c>
      <c r="H18" s="25">
        <v>448.44058500308654</v>
      </c>
      <c r="I18" s="25">
        <v>467.98648310157478</v>
      </c>
      <c r="J18" s="25">
        <v>493.92795822648162</v>
      </c>
      <c r="K18" s="25">
        <v>531.22260593379065</v>
      </c>
      <c r="L18" s="25">
        <v>570.40947401297194</v>
      </c>
      <c r="M18" s="25">
        <v>601.32479506483764</v>
      </c>
    </row>
    <row r="19" spans="3:13" ht="15.75">
      <c r="C19" s="24" t="s">
        <v>114</v>
      </c>
      <c r="D19" s="24" t="s">
        <v>100</v>
      </c>
      <c r="E19" s="25">
        <v>60.453957297471518</v>
      </c>
      <c r="F19" s="25">
        <v>60.592462959259962</v>
      </c>
      <c r="G19" s="25">
        <v>65.381641659210871</v>
      </c>
      <c r="H19" s="25">
        <v>68.713111596703456</v>
      </c>
      <c r="I19" s="25">
        <v>76.382605194331532</v>
      </c>
      <c r="J19" s="25">
        <v>84.846336603125053</v>
      </c>
      <c r="K19" s="25">
        <v>94.102759106965252</v>
      </c>
      <c r="L19" s="25">
        <v>103.01688704252507</v>
      </c>
      <c r="M19" s="25">
        <v>112.218052947304</v>
      </c>
    </row>
    <row r="20" spans="3:13" ht="15.75">
      <c r="C20" s="24" t="s">
        <v>115</v>
      </c>
      <c r="D20" s="24" t="s">
        <v>100</v>
      </c>
      <c r="E20" s="25">
        <v>4502.3802020512258</v>
      </c>
      <c r="F20" s="25">
        <v>4572.6050712765209</v>
      </c>
      <c r="G20" s="25">
        <v>5494.7164607516879</v>
      </c>
      <c r="H20" s="25">
        <v>6074.711257529636</v>
      </c>
      <c r="I20" s="25">
        <v>7626.5520416464014</v>
      </c>
      <c r="J20" s="25">
        <v>9561.4403506467952</v>
      </c>
      <c r="K20" s="25">
        <v>12130.927922905901</v>
      </c>
      <c r="L20" s="25">
        <v>15065.525769793749</v>
      </c>
      <c r="M20" s="25">
        <v>18404.055717985004</v>
      </c>
    </row>
    <row r="21" spans="3:13" ht="15.75">
      <c r="C21" s="24" t="s">
        <v>116</v>
      </c>
      <c r="D21" s="24" t="s">
        <v>100</v>
      </c>
      <c r="E21" s="25">
        <v>101.5141995121252</v>
      </c>
      <c r="F21" s="25">
        <v>107.04018891048096</v>
      </c>
      <c r="G21" s="25">
        <v>110.33674817539078</v>
      </c>
      <c r="H21" s="25">
        <v>114.96915766046013</v>
      </c>
      <c r="I21" s="25">
        <v>117.76876821500565</v>
      </c>
      <c r="J21" s="25">
        <v>122.60522965965828</v>
      </c>
      <c r="K21" s="25">
        <v>134.14950775687768</v>
      </c>
      <c r="L21" s="25">
        <v>151.57831027394735</v>
      </c>
      <c r="M21" s="25">
        <v>168.94452047206218</v>
      </c>
    </row>
    <row r="22" spans="3:13" ht="15.75">
      <c r="C22" s="24" t="s">
        <v>117</v>
      </c>
      <c r="D22" s="24" t="s">
        <v>100</v>
      </c>
      <c r="E22" s="25">
        <v>1015.3084151432117</v>
      </c>
      <c r="F22" s="25">
        <v>1002.5626024235855</v>
      </c>
      <c r="G22" s="25">
        <v>1019.5294315774552</v>
      </c>
      <c r="H22" s="25">
        <v>1031.9562958696542</v>
      </c>
      <c r="I22" s="25">
        <v>1002.4260062198492</v>
      </c>
      <c r="J22" s="25">
        <v>1029.7275688251482</v>
      </c>
      <c r="K22" s="25">
        <v>1088.3009665028339</v>
      </c>
      <c r="L22" s="25">
        <v>1164.2516051674943</v>
      </c>
      <c r="M22" s="25">
        <v>1249.221215374082</v>
      </c>
    </row>
    <row r="23" spans="3:13" ht="15.75">
      <c r="C23" s="24" t="s">
        <v>118</v>
      </c>
      <c r="D23" s="24" t="s">
        <v>100</v>
      </c>
      <c r="E23" s="25">
        <v>3272.7165337572983</v>
      </c>
      <c r="F23" s="25">
        <v>3211.5971023348725</v>
      </c>
      <c r="G23" s="25">
        <v>3239.8291514612752</v>
      </c>
      <c r="H23" s="25">
        <v>3238.6208781162736</v>
      </c>
      <c r="I23" s="25">
        <v>3213.9089166209469</v>
      </c>
      <c r="J23" s="25">
        <v>3256.1271080757706</v>
      </c>
      <c r="K23" s="25">
        <v>3456.4015716033955</v>
      </c>
      <c r="L23" s="25">
        <v>3742.0336776993768</v>
      </c>
      <c r="M23" s="25">
        <v>4027.394544797934</v>
      </c>
    </row>
    <row r="24" spans="3:13" ht="15.75">
      <c r="C24" s="24" t="s">
        <v>119</v>
      </c>
      <c r="D24" s="24" t="s">
        <v>100</v>
      </c>
      <c r="E24" s="25">
        <v>1881.501357308103</v>
      </c>
      <c r="F24" s="25">
        <v>1905.6331219769049</v>
      </c>
      <c r="G24" s="25">
        <v>1996.3434397169906</v>
      </c>
      <c r="H24" s="25">
        <v>2105.6564943234371</v>
      </c>
      <c r="I24" s="25">
        <v>2347.3774265895627</v>
      </c>
      <c r="J24" s="25">
        <v>2732.7680573898037</v>
      </c>
      <c r="K24" s="25">
        <v>3313.664055620392</v>
      </c>
      <c r="L24" s="25">
        <v>4015.7235602304545</v>
      </c>
      <c r="M24" s="25">
        <v>4820.8975175147025</v>
      </c>
    </row>
    <row r="25" spans="3:13" ht="15.75">
      <c r="C25" s="24" t="s">
        <v>120</v>
      </c>
      <c r="D25" s="24" t="s">
        <v>100</v>
      </c>
      <c r="E25" s="25">
        <v>2675.2580995881326</v>
      </c>
      <c r="F25" s="25">
        <v>2679.6316721042108</v>
      </c>
      <c r="G25" s="25">
        <v>2853.9931298677743</v>
      </c>
      <c r="H25" s="25">
        <v>3015.0394541095702</v>
      </c>
      <c r="I25" s="25">
        <v>3321.7260765402652</v>
      </c>
      <c r="J25" s="25">
        <v>3774.2478715123148</v>
      </c>
      <c r="K25" s="25">
        <v>4537.4452815488203</v>
      </c>
      <c r="L25" s="25">
        <v>5464.7940339166444</v>
      </c>
      <c r="M25" s="25">
        <v>6304.3460358293869</v>
      </c>
    </row>
    <row r="26" spans="3:13" ht="15.75">
      <c r="C26" s="24" t="s">
        <v>121</v>
      </c>
      <c r="D26" s="24" t="s">
        <v>100</v>
      </c>
      <c r="E26" s="25">
        <v>17145.405261099833</v>
      </c>
      <c r="F26" s="25">
        <v>17104.193509052409</v>
      </c>
      <c r="G26" s="25">
        <v>17311.070724486741</v>
      </c>
      <c r="H26" s="25">
        <v>17524.916290063335</v>
      </c>
      <c r="I26" s="25">
        <v>17486.590657990007</v>
      </c>
      <c r="J26" s="25">
        <v>17861.516204535394</v>
      </c>
      <c r="K26" s="25">
        <v>19209.18258733529</v>
      </c>
      <c r="L26" s="25">
        <v>20872.595036384395</v>
      </c>
      <c r="M26" s="25">
        <v>22450.162330151325</v>
      </c>
    </row>
    <row r="27" spans="3:13" ht="15.75">
      <c r="C27" s="24" t="s">
        <v>122</v>
      </c>
      <c r="D27" s="24" t="s">
        <v>100</v>
      </c>
      <c r="E27" s="25">
        <v>424.95130472783899</v>
      </c>
      <c r="F27" s="25">
        <v>427.74022857287895</v>
      </c>
      <c r="G27" s="25">
        <v>439.15459499397741</v>
      </c>
      <c r="H27" s="25">
        <v>450.03121517399376</v>
      </c>
      <c r="I27" s="25">
        <v>455.98010156530995</v>
      </c>
      <c r="J27" s="25">
        <v>466.07629584265476</v>
      </c>
      <c r="K27" s="25">
        <v>496.08036550802018</v>
      </c>
      <c r="L27" s="25">
        <v>539.52940512733824</v>
      </c>
      <c r="M27" s="25">
        <v>582.17574012868954</v>
      </c>
    </row>
    <row r="28" spans="3:13" ht="15.75">
      <c r="C28" s="24" t="s">
        <v>123</v>
      </c>
      <c r="D28" s="24" t="s">
        <v>100</v>
      </c>
      <c r="E28" s="25">
        <v>518.43406512570868</v>
      </c>
      <c r="F28" s="25">
        <v>528.07535776992859</v>
      </c>
      <c r="G28" s="25">
        <v>557.20106448667832</v>
      </c>
      <c r="H28" s="25">
        <v>571.33240616188664</v>
      </c>
      <c r="I28" s="25">
        <v>608.93531714370909</v>
      </c>
      <c r="J28" s="25">
        <v>641.11080892305472</v>
      </c>
      <c r="K28" s="25">
        <v>667.68208063794214</v>
      </c>
      <c r="L28" s="25">
        <v>700.02392561793147</v>
      </c>
      <c r="M28" s="25">
        <v>789.49197589240487</v>
      </c>
    </row>
    <row r="29" spans="3:13" ht="15.75">
      <c r="C29" s="24" t="s">
        <v>124</v>
      </c>
      <c r="D29" s="24" t="s">
        <v>100</v>
      </c>
      <c r="E29" s="25">
        <v>9220.1745491436777</v>
      </c>
      <c r="F29" s="25">
        <v>9416.0670669519295</v>
      </c>
      <c r="G29" s="25">
        <v>10119.674320803471</v>
      </c>
      <c r="H29" s="25">
        <v>10633.445140084832</v>
      </c>
      <c r="I29" s="25">
        <v>12101.450518908092</v>
      </c>
      <c r="J29" s="25">
        <v>13902.252525127782</v>
      </c>
      <c r="K29" s="25">
        <v>16778.884907329808</v>
      </c>
      <c r="L29" s="25">
        <v>20034.487499665211</v>
      </c>
      <c r="M29" s="25">
        <v>23441.765290077503</v>
      </c>
    </row>
    <row r="30" spans="3:13" ht="15.75">
      <c r="C30" s="24" t="s">
        <v>125</v>
      </c>
      <c r="D30" s="24" t="s">
        <v>100</v>
      </c>
      <c r="E30" s="25">
        <v>3015.830857597492</v>
      </c>
      <c r="F30" s="25">
        <v>3010.9891684557342</v>
      </c>
      <c r="G30" s="25">
        <v>2850.6202643641218</v>
      </c>
      <c r="H30" s="25">
        <v>2846.2708498530001</v>
      </c>
      <c r="I30" s="25">
        <v>3011.2100040154619</v>
      </c>
      <c r="J30" s="25">
        <v>3097.4833217720575</v>
      </c>
      <c r="K30" s="25">
        <v>3330.4225788176122</v>
      </c>
      <c r="L30" s="25">
        <v>3597.2575730080712</v>
      </c>
      <c r="M30" s="25">
        <v>3875.8955806692529</v>
      </c>
    </row>
    <row r="31" spans="3:13" ht="15.75">
      <c r="C31" s="24" t="s">
        <v>126</v>
      </c>
      <c r="D31" s="24" t="s">
        <v>100</v>
      </c>
      <c r="E31" s="25">
        <v>1127.9375661538616</v>
      </c>
      <c r="F31" s="25">
        <v>1115.0437921483363</v>
      </c>
      <c r="G31" s="25">
        <v>1142.4834728255896</v>
      </c>
      <c r="H31" s="25">
        <v>1155.2829574588172</v>
      </c>
      <c r="I31" s="25">
        <v>1228.7833518137388</v>
      </c>
      <c r="J31" s="25">
        <v>1300.780060603998</v>
      </c>
      <c r="K31" s="25">
        <v>1457.9901355782697</v>
      </c>
      <c r="L31" s="25">
        <v>1580.2308182605771</v>
      </c>
      <c r="M31" s="25">
        <v>1753.5396742825753</v>
      </c>
    </row>
    <row r="32" spans="3:13" ht="15.75">
      <c r="C32" s="24" t="s">
        <v>127</v>
      </c>
      <c r="D32" s="24" t="s">
        <v>100</v>
      </c>
      <c r="E32" s="25">
        <v>688.37087468549555</v>
      </c>
      <c r="F32" s="25">
        <v>681.37789359066539</v>
      </c>
      <c r="G32" s="25">
        <v>671.37804773866151</v>
      </c>
      <c r="H32" s="25">
        <v>669.85305671208903</v>
      </c>
      <c r="I32" s="25">
        <v>681.89120634372534</v>
      </c>
      <c r="J32" s="25">
        <v>744.25171544029729</v>
      </c>
      <c r="K32" s="25">
        <v>884.70675365868101</v>
      </c>
      <c r="L32" s="25">
        <v>1071.0443987258536</v>
      </c>
      <c r="M32" s="25">
        <v>1295.8482577436666</v>
      </c>
    </row>
    <row r="33" spans="3:13" ht="15.75">
      <c r="C33" s="24" t="s">
        <v>128</v>
      </c>
      <c r="D33" s="24" t="s">
        <v>100</v>
      </c>
      <c r="E33" s="25">
        <v>1011.5972956086001</v>
      </c>
      <c r="F33" s="25">
        <v>1008.7348225459173</v>
      </c>
      <c r="G33" s="25">
        <v>1037.5508477478811</v>
      </c>
      <c r="H33" s="25">
        <v>1064.0458184017075</v>
      </c>
      <c r="I33" s="25">
        <v>1039.2219571600085</v>
      </c>
      <c r="J33" s="25">
        <v>1075.2741086422773</v>
      </c>
      <c r="K33" s="25">
        <v>1166.7719370751688</v>
      </c>
      <c r="L33" s="25">
        <v>1289.6281077099202</v>
      </c>
      <c r="M33" s="25">
        <v>1423.2936999667922</v>
      </c>
    </row>
    <row r="34" spans="3:13" ht="15.75">
      <c r="C34" s="24" t="s">
        <v>129</v>
      </c>
      <c r="D34" s="24" t="s">
        <v>100</v>
      </c>
      <c r="E34" s="25">
        <v>837.06165177959838</v>
      </c>
      <c r="F34" s="25">
        <v>838.9701740520668</v>
      </c>
      <c r="G34" s="25">
        <v>838.14438128342704</v>
      </c>
      <c r="H34" s="25">
        <v>843.16025634437585</v>
      </c>
      <c r="I34" s="25">
        <v>871.47860501562286</v>
      </c>
      <c r="J34" s="25">
        <v>914.81170370444579</v>
      </c>
      <c r="K34" s="25">
        <v>974.56433098998912</v>
      </c>
      <c r="L34" s="25">
        <v>1043.3053078417299</v>
      </c>
      <c r="M34" s="25">
        <v>1111.7695348668212</v>
      </c>
    </row>
    <row r="35" spans="3:13" ht="15.75">
      <c r="C35" s="24" t="s">
        <v>130</v>
      </c>
      <c r="D35" s="24" t="s">
        <v>100</v>
      </c>
      <c r="E35" s="25">
        <v>191.44130079511348</v>
      </c>
      <c r="F35" s="25">
        <v>190.44347230387802</v>
      </c>
      <c r="G35" s="25">
        <v>191.15088620439039</v>
      </c>
      <c r="H35" s="25">
        <v>192.50918111596147</v>
      </c>
      <c r="I35" s="25">
        <v>190.99030672566792</v>
      </c>
      <c r="J35" s="25">
        <v>202.70954610439742</v>
      </c>
      <c r="K35" s="25">
        <v>208.47554310835133</v>
      </c>
      <c r="L35" s="25">
        <v>221.81687910390701</v>
      </c>
      <c r="M35" s="25">
        <v>239.79020951356867</v>
      </c>
    </row>
    <row r="36" spans="3:13" ht="15.75">
      <c r="C36" s="24" t="s">
        <v>131</v>
      </c>
      <c r="D36" s="24" t="s">
        <v>100</v>
      </c>
      <c r="E36" s="25">
        <v>902.99225707081837</v>
      </c>
      <c r="F36" s="25">
        <v>920.48579969381581</v>
      </c>
      <c r="G36" s="25">
        <v>996.24993848302472</v>
      </c>
      <c r="H36" s="25">
        <v>1045.0453296980902</v>
      </c>
      <c r="I36" s="25">
        <v>1105.4257870034721</v>
      </c>
      <c r="J36" s="25">
        <v>1177.6842510906959</v>
      </c>
      <c r="K36" s="25">
        <v>1289.7751872940789</v>
      </c>
      <c r="L36" s="25">
        <v>1395.3747172466587</v>
      </c>
      <c r="M36" s="25">
        <v>1497.0814520140805</v>
      </c>
    </row>
    <row r="37" spans="3:13" ht="15.75">
      <c r="C37" s="24" t="s">
        <v>132</v>
      </c>
      <c r="D37" s="24" t="s">
        <v>100</v>
      </c>
      <c r="E37" s="25">
        <v>1059.4924708932501</v>
      </c>
      <c r="F37" s="25">
        <v>1053.1386696249981</v>
      </c>
      <c r="G37" s="25">
        <v>1069.5136230658643</v>
      </c>
      <c r="H37" s="25">
        <v>1102.8233576795149</v>
      </c>
      <c r="I37" s="25">
        <v>1110.9877935942955</v>
      </c>
      <c r="J37" s="25">
        <v>1142.0942630254028</v>
      </c>
      <c r="K37" s="25">
        <v>1242.4096537920775</v>
      </c>
      <c r="L37" s="25">
        <v>1399.1631471812057</v>
      </c>
      <c r="M37" s="25">
        <v>1567.335319626412</v>
      </c>
    </row>
    <row r="38" spans="3:13" ht="15.75">
      <c r="C38" s="24" t="s">
        <v>133</v>
      </c>
      <c r="D38" s="24" t="s">
        <v>100</v>
      </c>
      <c r="E38" s="25">
        <v>422.37829471301865</v>
      </c>
      <c r="F38" s="25">
        <v>431.38548824142845</v>
      </c>
      <c r="G38" s="25">
        <v>382.60099247369141</v>
      </c>
      <c r="H38" s="25">
        <v>354.78506334834918</v>
      </c>
      <c r="I38" s="25">
        <v>412.31956693474024</v>
      </c>
      <c r="J38" s="25">
        <v>504.2244343224441</v>
      </c>
      <c r="K38" s="25">
        <v>637.78278487581883</v>
      </c>
      <c r="L38" s="25">
        <v>755.08712841736769</v>
      </c>
      <c r="M38" s="25">
        <v>893.52071666851668</v>
      </c>
    </row>
    <row r="39" spans="3:13" ht="15.75">
      <c r="C39" s="24" t="s">
        <v>134</v>
      </c>
      <c r="D39" s="24" t="s">
        <v>100</v>
      </c>
      <c r="E39" s="25">
        <v>220.41235503124381</v>
      </c>
      <c r="F39" s="25">
        <v>217.19954084768659</v>
      </c>
      <c r="G39" s="25">
        <v>237.80764782906621</v>
      </c>
      <c r="H39" s="25">
        <v>249.74522453868417</v>
      </c>
      <c r="I39" s="25">
        <v>288.63181974143407</v>
      </c>
      <c r="J39" s="25">
        <v>340.34925938833698</v>
      </c>
      <c r="K39" s="25">
        <v>406.33291541286087</v>
      </c>
      <c r="L39" s="25">
        <v>473.61493993757477</v>
      </c>
      <c r="M39" s="25">
        <v>535.00954887193438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Dell Computer Corporation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Xiao Li</cp:lastModifiedBy>
  <cp:revision/>
  <dcterms:created xsi:type="dcterms:W3CDTF">2001-09-28T18:48:17Z</dcterms:created>
  <dcterms:modified xsi:type="dcterms:W3CDTF">2026-06-12T15:50:00Z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184978663921356</vt:r8>
  </property>
  <property fmtid="{D5CDD505-2E9C-101B-9397-08002B2CF9AE}" pid="3" name="{A44787D4-0540-4523-9961-78E4036D8C6D}">
    <vt:lpwstr>{E5E86C4F-4557-4DD9-B272-72199BE960CF}</vt:lpwstr>
  </property>
</Properties>
</file>