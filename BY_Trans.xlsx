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2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5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17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  <comment ref="E35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  <comment ref="E53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<sst xmlns="http://schemas.openxmlformats.org/spreadsheetml/2006/main" count="403" uniqueCount="142">
  <si>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</si>
  <si>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</si>
  <si>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</si>
  <si>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</si>
  <si>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</si>
  <si>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</si>
  <si>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</si>
  <si>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</si>
  <si>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</si>
  <si>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</si>
  <si>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</si>
  <si>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</si>
  <si>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</si>
  <si>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</si>
  <si>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</si>
  <si>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</si>
  <si>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</si>
  <si>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</si>
  <si>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</si>
  <si>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</si>
  <si>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</si>
  <si>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</si>
  <si>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</si>
  <si>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</si>
  <si>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</si>
  <si>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</si>
  <si>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</si>
  <si>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</si>
  <si>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</si>
  <si>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</si>
  <si>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</si>
  <si>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</si>
  <si>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</si>
  <si>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</si>
  <si>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</si>
  <si>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</si>
  <si>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</si>
  <si>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</si>
  <si>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</si>
  <si>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</si>
  <si>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</si>
  <si>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</si>
  <si>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</si>
  <si>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</si>
  <si>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</si>
  <si>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</si>
  <si>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</si>
  <si>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</si>
  <si>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</si>
  <si>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</si>
  <si>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</si>
  <si>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</si>
  <si>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Distributing the base-year storage stock over the last 10 years - based on the probabilistic retirement profile</t>
  </si>
  <si>
    <t>EN_STG_4hBatt*</t>
  </si>
  <si>
    <t>*virgin*, -Tra_EV_Batt-Sodium*</t>
  </si>
  <si>
    <t>MINBatMaterials*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</si>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</sst>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3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8" fillId="0" borderId="0"/>
  </cellStyleXfs>
  <cellXfs count="32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0" fontId="0" fillId="7" borderId="0" xfId="0" applyFill="1"/>
    <xf numFmtId="2" fontId="0" fillId="0" borderId="0" xfId="0" applyNumberFormat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2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2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2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3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3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1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1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1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topLeftCell="C1" workbookViewId="0">
      <selection activeCell="K1" sqref="K1"/>
    </sheetView>
  </sheetViews>
  <sheetFormatPr defaultColWidth="9" defaultRowHeight="12.5"/>
  <cols>
    <col min="4" max="4" width="5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28">
        <v>2020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53"/>
  <sheetViews>
    <sheetView tabSelected="1" zoomScale="74" zoomScaleNormal="74" topLeftCell="A18" workbookViewId="0">
      <selection activeCell="I54" sqref="I54"/>
    </sheetView>
  </sheetViews>
  <sheetFormatPr defaultColWidth="8.72727272727273" defaultRowHeight="12.5"/>
  <cols>
    <col min="4" max="4" width="28.5454545454545" customWidth="1"/>
  </cols>
  <sheetData>
    <row r="1" spans="3:11">
      <c r="J1" s="27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spans="3:11">
      <c r="C8" t="s">
        <v>13</v>
      </c>
      <c r="D8" t="s">
        <v>53</v>
      </c>
      <c r="E8">
        <v>2019</v>
      </c>
      <c r="F8" t="str">
        <f>"*"&amp;1/10/$J$2</f>
        <v>*0.1</v>
      </c>
    </row>
    <row r="9" spans="3:11">
      <c r="C9" t="s">
        <v>13</v>
      </c>
      <c r="D9" t="str">
        <f>D8</f>
        <v>EN_STG_4hBatt*</v>
      </c>
      <c r="E9">
        <f t="shared" ref="E9:E16" si="0">E8-1</f>
        <v>2018</v>
      </c>
      <c r="F9" t="str">
        <f t="shared" ref="F9:F17" si="1">"*"&amp;1/10/$J$2</f>
        <v>*0.1</v>
      </c>
    </row>
    <row r="10" spans="3:11">
      <c r="C10" t="s">
        <v>13</v>
      </c>
      <c r="D10" t="str">
        <f t="shared" ref="D10:D17" si="2">D9</f>
        <v>EN_STG_4hBatt*</v>
      </c>
      <c r="E10">
        <f t="shared" si="0"/>
        <v>2017</v>
      </c>
      <c r="F10" t="str">
        <f t="shared" si="1"/>
        <v>*0.1</v>
      </c>
    </row>
    <row r="11" spans="3:11">
      <c r="C11" t="s">
        <v>13</v>
      </c>
      <c r="D11" t="str">
        <f t="shared" si="2"/>
        <v>EN_STG_4hBatt*</v>
      </c>
      <c r="E11">
        <f t="shared" si="0"/>
        <v>2016</v>
      </c>
      <c r="F11" t="str">
        <f t="shared" si="1"/>
        <v>*0.1</v>
      </c>
    </row>
    <row r="12" spans="3:11">
      <c r="C12" t="s">
        <v>13</v>
      </c>
      <c r="D12" t="str">
        <f t="shared" si="2"/>
        <v>EN_STG_4hBatt*</v>
      </c>
      <c r="E12">
        <f t="shared" si="0"/>
        <v>2015</v>
      </c>
      <c r="F12" t="str">
        <f t="shared" si="1"/>
        <v>*0.1</v>
      </c>
    </row>
    <row r="13" spans="3:11">
      <c r="C13" t="s">
        <v>13</v>
      </c>
      <c r="D13" t="str">
        <f t="shared" si="2"/>
        <v>EN_STG_4hBatt*</v>
      </c>
      <c r="E13">
        <f t="shared" si="0"/>
        <v>2014</v>
      </c>
      <c r="F13" t="str">
        <f t="shared" si="1"/>
        <v>*0.1</v>
      </c>
    </row>
    <row r="14" spans="3:11">
      <c r="C14" t="s">
        <v>13</v>
      </c>
      <c r="D14" t="str">
        <f t="shared" si="2"/>
        <v>EN_STG_4hBatt*</v>
      </c>
      <c r="E14">
        <f t="shared" si="0"/>
        <v>2013</v>
      </c>
      <c r="F14" t="str">
        <f t="shared" si="1"/>
        <v>*0.1</v>
      </c>
    </row>
    <row r="15" spans="3:11">
      <c r="C15" t="s">
        <v>13</v>
      </c>
      <c r="D15" t="str">
        <f t="shared" si="2"/>
        <v>EN_STG_4hBatt*</v>
      </c>
      <c r="E15">
        <f t="shared" si="0"/>
        <v>2012</v>
      </c>
      <c r="F15" t="str">
        <f t="shared" si="1"/>
        <v>*0.1</v>
      </c>
    </row>
    <row r="16" spans="3:11">
      <c r="C16" t="s">
        <v>13</v>
      </c>
      <c r="D16" t="str">
        <f t="shared" si="2"/>
        <v>EN_STG_4hBatt*</v>
      </c>
      <c r="E16">
        <f t="shared" si="0"/>
        <v>2011</v>
      </c>
      <c r="F16" t="str">
        <f t="shared" si="1"/>
        <v>*0.1</v>
      </c>
    </row>
    <row r="17" spans="3:6">
      <c r="C17" t="s">
        <v>13</v>
      </c>
      <c r="D17" t="str">
        <f t="shared" si="2"/>
        <v>EN_STG_4hBatt*</v>
      </c>
      <c r="E17" s="28">
        <v>2020</v>
      </c>
      <c r="F17" t="str">
        <f t="shared" si="1"/>
        <v>*0.1</v>
      </c>
    </row>
    <row r="24" spans="3:6">
      <c r="C24" t="s">
        <v>41</v>
      </c>
    </row>
    <row r="25" spans="3:6">
      <c r="C25" t="s">
        <v>43</v>
      </c>
      <c r="D25" t="s">
        <v>44</v>
      </c>
      <c r="E25" t="s">
        <v>45</v>
      </c>
      <c r="F25" t="s">
        <v>46</v>
      </c>
    </row>
    <row r="26" spans="3:6">
      <c r="C26" t="s">
        <v>13</v>
      </c>
      <c r="D26" t="s">
        <v>54</v>
      </c>
      <c r="E26">
        <v>2019</v>
      </c>
      <c r="F26" t="str">
        <f t="shared" ref="F26:F35" si="3">"*"&amp;1/10/$J$2</f>
        <v>*0.1</v>
      </c>
    </row>
    <row r="27" spans="3:6">
      <c r="C27" t="s">
        <v>13</v>
      </c>
      <c r="D27" t="str">
        <f t="shared" ref="D27:D35" si="4">D26</f>
        <v>*virgin*, -Tra_EV_Batt-Sodium*</v>
      </c>
      <c r="E27">
        <f t="shared" ref="E27:E34" si="5">E26-1</f>
        <v>2018</v>
      </c>
      <c r="F27" t="str">
        <f t="shared" si="3"/>
        <v>*0.1</v>
      </c>
    </row>
    <row r="28" spans="3:6">
      <c r="C28" t="s">
        <v>13</v>
      </c>
      <c r="D28" t="str">
        <f t="shared" si="4"/>
        <v>*virgin*, -Tra_EV_Batt-Sodium*</v>
      </c>
      <c r="E28">
        <f t="shared" si="5"/>
        <v>2017</v>
      </c>
      <c r="F28" t="str">
        <f t="shared" si="3"/>
        <v>*0.1</v>
      </c>
    </row>
    <row r="29" spans="3:6">
      <c r="C29" t="s">
        <v>13</v>
      </c>
      <c r="D29" t="str">
        <f t="shared" si="4"/>
        <v>*virgin*, -Tra_EV_Batt-Sodium*</v>
      </c>
      <c r="E29">
        <f t="shared" si="5"/>
        <v>2016</v>
      </c>
      <c r="F29" t="str">
        <f t="shared" si="3"/>
        <v>*0.1</v>
      </c>
    </row>
    <row r="30" spans="3:6">
      <c r="C30" t="s">
        <v>13</v>
      </c>
      <c r="D30" t="str">
        <f t="shared" si="4"/>
        <v>*virgin*, -Tra_EV_Batt-Sodium*</v>
      </c>
      <c r="E30">
        <f t="shared" si="5"/>
        <v>2015</v>
      </c>
      <c r="F30" t="str">
        <f t="shared" si="3"/>
        <v>*0.1</v>
      </c>
    </row>
    <row r="31" spans="3:6">
      <c r="C31" t="s">
        <v>13</v>
      </c>
      <c r="D31" t="str">
        <f t="shared" si="4"/>
        <v>*virgin*, -Tra_EV_Batt-Sodium*</v>
      </c>
      <c r="E31">
        <f t="shared" si="5"/>
        <v>2014</v>
      </c>
      <c r="F31" t="str">
        <f t="shared" si="3"/>
        <v>*0.1</v>
      </c>
    </row>
    <row r="32" spans="3:6">
      <c r="C32" t="s">
        <v>13</v>
      </c>
      <c r="D32" t="str">
        <f t="shared" si="4"/>
        <v>*virgin*, -Tra_EV_Batt-Sodium*</v>
      </c>
      <c r="E32">
        <f t="shared" si="5"/>
        <v>2013</v>
      </c>
      <c r="F32" t="str">
        <f t="shared" si="3"/>
        <v>*0.1</v>
      </c>
    </row>
    <row r="33" spans="3:6">
      <c r="C33" t="s">
        <v>13</v>
      </c>
      <c r="D33" t="str">
        <f t="shared" si="4"/>
        <v>*virgin*, -Tra_EV_Batt-Sodium*</v>
      </c>
      <c r="E33">
        <f t="shared" si="5"/>
        <v>2012</v>
      </c>
      <c r="F33" t="str">
        <f t="shared" si="3"/>
        <v>*0.1</v>
      </c>
    </row>
    <row r="34" spans="3:6">
      <c r="C34" t="s">
        <v>13</v>
      </c>
      <c r="D34" t="str">
        <f t="shared" si="4"/>
        <v>*virgin*, -Tra_EV_Batt-Sodium*</v>
      </c>
      <c r="E34">
        <f t="shared" si="5"/>
        <v>2011</v>
      </c>
      <c r="F34" t="str">
        <f t="shared" si="3"/>
        <v>*0.1</v>
      </c>
    </row>
    <row r="35" spans="3:6">
      <c r="C35" t="s">
        <v>13</v>
      </c>
      <c r="D35" t="str">
        <f t="shared" si="4"/>
        <v>*virgin*, -Tra_EV_Batt-Sodium*</v>
      </c>
      <c r="E35" s="28">
        <v>2020</v>
      </c>
      <c r="F35" t="str">
        <f t="shared" si="3"/>
        <v>*0.1</v>
      </c>
    </row>
    <row r="42" spans="3:6">
      <c r="C42" t="s">
        <v>41</v>
      </c>
    </row>
    <row r="43" spans="3:6">
      <c r="C43" t="s">
        <v>43</v>
      </c>
      <c r="D43" t="s">
        <v>44</v>
      </c>
      <c r="E43" t="s">
        <v>45</v>
      </c>
      <c r="F43" t="s">
        <v>46</v>
      </c>
    </row>
    <row r="44" spans="3:6">
      <c r="C44" t="s">
        <v>13</v>
      </c>
      <c r="D44" t="s">
        <v>55</v>
      </c>
      <c r="E44">
        <v>2019</v>
      </c>
      <c r="F44" t="str">
        <f t="shared" ref="F44:F53" si="6">"*"&amp;1/10/$J$2</f>
        <v>*0.1</v>
      </c>
    </row>
    <row r="45" spans="3:6">
      <c r="C45" t="s">
        <v>13</v>
      </c>
      <c r="D45" t="str">
        <f t="shared" ref="D45:D53" si="7">D44</f>
        <v>MINBatMaterials*</v>
      </c>
      <c r="E45">
        <f t="shared" ref="E45:E52" si="8">E44-1</f>
        <v>2018</v>
      </c>
      <c r="F45" t="str">
        <f t="shared" si="6"/>
        <v>*0.1</v>
      </c>
    </row>
    <row r="46" spans="3:6">
      <c r="C46" t="s">
        <v>13</v>
      </c>
      <c r="D46" t="str">
        <f t="shared" si="7"/>
        <v>MINBatMaterials*</v>
      </c>
      <c r="E46">
        <f t="shared" si="8"/>
        <v>2017</v>
      </c>
      <c r="F46" t="str">
        <f t="shared" si="6"/>
        <v>*0.1</v>
      </c>
    </row>
    <row r="47" spans="3:6">
      <c r="C47" t="s">
        <v>13</v>
      </c>
      <c r="D47" t="str">
        <f t="shared" si="7"/>
        <v>MINBatMaterials*</v>
      </c>
      <c r="E47">
        <f t="shared" si="8"/>
        <v>2016</v>
      </c>
      <c r="F47" t="str">
        <f t="shared" si="6"/>
        <v>*0.1</v>
      </c>
    </row>
    <row r="48" spans="3:6">
      <c r="C48" t="s">
        <v>13</v>
      </c>
      <c r="D48" t="str">
        <f t="shared" si="7"/>
        <v>MINBatMaterials*</v>
      </c>
      <c r="E48">
        <f t="shared" si="8"/>
        <v>2015</v>
      </c>
      <c r="F48" t="str">
        <f t="shared" si="6"/>
        <v>*0.1</v>
      </c>
    </row>
    <row r="49" spans="3:6">
      <c r="C49" t="s">
        <v>13</v>
      </c>
      <c r="D49" t="str">
        <f t="shared" si="7"/>
        <v>MINBatMaterials*</v>
      </c>
      <c r="E49">
        <f t="shared" si="8"/>
        <v>2014</v>
      </c>
      <c r="F49" t="str">
        <f t="shared" si="6"/>
        <v>*0.1</v>
      </c>
    </row>
    <row r="50" spans="3:6">
      <c r="C50" t="s">
        <v>13</v>
      </c>
      <c r="D50" t="str">
        <f t="shared" si="7"/>
        <v>MINBatMaterials*</v>
      </c>
      <c r="E50">
        <f t="shared" si="8"/>
        <v>2013</v>
      </c>
      <c r="F50" t="str">
        <f t="shared" si="6"/>
        <v>*0.1</v>
      </c>
    </row>
    <row r="51" spans="3:6">
      <c r="C51" t="s">
        <v>13</v>
      </c>
      <c r="D51" t="str">
        <f t="shared" si="7"/>
        <v>MINBatMaterials*</v>
      </c>
      <c r="E51">
        <f t="shared" si="8"/>
        <v>2012</v>
      </c>
      <c r="F51" t="str">
        <f t="shared" si="6"/>
        <v>*0.1</v>
      </c>
    </row>
    <row r="52" spans="3:6">
      <c r="C52" t="s">
        <v>13</v>
      </c>
      <c r="D52" t="str">
        <f t="shared" si="7"/>
        <v>MINBatMaterials*</v>
      </c>
      <c r="E52">
        <f t="shared" si="8"/>
        <v>2011</v>
      </c>
      <c r="F52" t="str">
        <f t="shared" si="6"/>
        <v>*0.1</v>
      </c>
    </row>
    <row r="53" spans="3:6">
      <c r="C53" t="s">
        <v>13</v>
      </c>
      <c r="D53" t="str">
        <f t="shared" si="7"/>
        <v>MINBatMaterials*</v>
      </c>
      <c r="E53" s="28">
        <v>2020</v>
      </c>
      <c r="F53" t="str">
        <f t="shared" si="6"/>
        <v>*0.1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56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57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58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59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60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61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topLeftCell="A10"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62</v>
      </c>
      <c r="E4" t="s">
        <v>49</v>
      </c>
    </row>
    <row r="5" spans="2:9">
      <c r="B5" t="s">
        <v>63</v>
      </c>
      <c r="C5">
        <v>2018</v>
      </c>
      <c r="D5" t="s">
        <v>64</v>
      </c>
      <c r="E5">
        <v>99999</v>
      </c>
    </row>
    <row r="8" spans="2:9">
      <c r="B8" t="s">
        <v>65</v>
      </c>
    </row>
    <row r="9" spans="2:9">
      <c r="B9" t="s">
        <v>45</v>
      </c>
      <c r="C9" t="s">
        <v>49</v>
      </c>
      <c r="D9" t="s">
        <v>66</v>
      </c>
    </row>
    <row r="10" spans="2:9">
      <c r="B10">
        <v>2100</v>
      </c>
      <c r="C10" t="s">
        <v>67</v>
      </c>
      <c r="D10" t="s">
        <v>68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69</v>
      </c>
      <c r="C16" s="10"/>
      <c r="D16" s="10"/>
      <c r="E16" s="11"/>
      <c r="F16" s="11"/>
      <c r="I16" s="12"/>
    </row>
    <row r="17" spans="2:8">
      <c r="B17" t="s">
        <v>62</v>
      </c>
      <c r="C17" t="s">
        <v>70</v>
      </c>
      <c r="D17" t="s">
        <v>71</v>
      </c>
    </row>
    <row r="18" spans="2:8">
      <c r="B18" t="s">
        <v>72</v>
      </c>
      <c r="C18" t="s">
        <v>73</v>
      </c>
      <c r="D18" t="s">
        <v>74</v>
      </c>
    </row>
    <row r="19" spans="2:8">
      <c r="B19" t="s">
        <v>75</v>
      </c>
      <c r="C19" t="s">
        <v>73</v>
      </c>
      <c r="D19" t="s">
        <v>76</v>
      </c>
    </row>
    <row r="22" spans="2:8">
      <c r="B22" t="s">
        <v>2</v>
      </c>
    </row>
    <row r="23" spans="2:8">
      <c r="B23" t="s">
        <v>43</v>
      </c>
      <c r="C23" t="s">
        <v>62</v>
      </c>
      <c r="D23" t="s">
        <v>66</v>
      </c>
      <c r="E23" t="s">
        <v>49</v>
      </c>
    </row>
    <row r="24" spans="2:8">
      <c r="B24" t="s">
        <v>77</v>
      </c>
      <c r="C24" t="s">
        <v>72</v>
      </c>
      <c r="D24" t="s">
        <v>78</v>
      </c>
      <c r="E24">
        <v>2150</v>
      </c>
    </row>
    <row r="25" spans="2:8">
      <c r="B25" t="s">
        <v>77</v>
      </c>
      <c r="C25" t="str">
        <f>B19</f>
        <v>SUP_OilSupply</v>
      </c>
      <c r="D25" t="s">
        <v>79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62</v>
      </c>
      <c r="D30" t="s">
        <v>48</v>
      </c>
      <c r="E30" t="s">
        <v>45</v>
      </c>
      <c r="F30" t="s">
        <v>49</v>
      </c>
    </row>
    <row r="31" ht="13" spans="2:8">
      <c r="B31" t="s">
        <v>80</v>
      </c>
      <c r="C31" t="s">
        <v>81</v>
      </c>
      <c r="D31">
        <v>2020</v>
      </c>
      <c r="E31">
        <v>2019</v>
      </c>
      <c r="F31" t="s">
        <v>67</v>
      </c>
      <c r="H31" s="13" t="s">
        <v>82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83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43</v>
      </c>
      <c r="D4" s="4" t="s">
        <v>47</v>
      </c>
      <c r="E4" s="4" t="s">
        <v>84</v>
      </c>
      <c r="F4" s="4" t="s">
        <v>46</v>
      </c>
      <c r="G4" s="4" t="s">
        <v>62</v>
      </c>
      <c r="H4" s="4" t="s">
        <v>71</v>
      </c>
      <c r="I4" s="4" t="s">
        <v>85</v>
      </c>
      <c r="J4" s="4"/>
      <c r="K4" s="4"/>
      <c r="L4" s="4" t="s">
        <v>86</v>
      </c>
    </row>
    <row r="5" spans="1:12">
      <c r="A5" s="4"/>
      <c r="B5" s="4"/>
      <c r="C5" s="6" t="s">
        <v>87</v>
      </c>
      <c r="D5" s="6" t="s">
        <v>88</v>
      </c>
      <c r="E5" s="6"/>
      <c r="F5" s="7">
        <v>0.25</v>
      </c>
      <c r="G5" s="6" t="s">
        <v>89</v>
      </c>
      <c r="H5" s="6"/>
      <c r="I5" s="6" t="s">
        <v>88</v>
      </c>
      <c r="J5" s="4"/>
      <c r="K5" s="4"/>
      <c r="L5" s="4"/>
    </row>
    <row r="6" spans="1:12">
      <c r="A6" s="4"/>
      <c r="B6" s="4"/>
      <c r="C6" s="4" t="s">
        <v>87</v>
      </c>
      <c r="D6" s="4" t="s">
        <v>90</v>
      </c>
      <c r="E6" s="4"/>
      <c r="F6" s="8">
        <v>0.25</v>
      </c>
      <c r="G6" s="4" t="s">
        <v>91</v>
      </c>
      <c r="H6" s="4"/>
      <c r="I6" s="4" t="s">
        <v>90</v>
      </c>
      <c r="J6" s="4"/>
      <c r="K6" s="4"/>
      <c r="L6" s="4"/>
    </row>
    <row r="7" spans="1:12">
      <c r="A7" s="4"/>
      <c r="B7" s="4"/>
      <c r="C7" s="4" t="s">
        <v>92</v>
      </c>
      <c r="D7" s="4" t="s">
        <v>93</v>
      </c>
      <c r="E7" s="4" t="s">
        <v>94</v>
      </c>
      <c r="F7" s="8">
        <v>0.31</v>
      </c>
      <c r="G7" s="4" t="s">
        <v>95</v>
      </c>
      <c r="H7" s="4"/>
      <c r="I7" s="4"/>
      <c r="J7" s="4"/>
      <c r="K7" s="4"/>
      <c r="L7" s="4"/>
    </row>
    <row r="8" spans="1:12">
      <c r="A8" s="4"/>
      <c r="B8" s="4"/>
      <c r="C8" s="4" t="s">
        <v>92</v>
      </c>
      <c r="D8" s="4" t="s">
        <v>88</v>
      </c>
      <c r="E8" s="4" t="s">
        <v>94</v>
      </c>
      <c r="F8" s="8">
        <v>1</v>
      </c>
      <c r="G8" s="4" t="s">
        <v>89</v>
      </c>
      <c r="H8" s="4"/>
      <c r="I8" s="4" t="s">
        <v>88</v>
      </c>
      <c r="J8" s="4"/>
      <c r="K8" s="4"/>
      <c r="L8" s="4"/>
    </row>
    <row r="9" spans="1:12">
      <c r="A9" s="4"/>
      <c r="B9" s="4"/>
      <c r="C9" s="4" t="s">
        <v>92</v>
      </c>
      <c r="D9" s="4" t="s">
        <v>90</v>
      </c>
      <c r="E9" s="4" t="s">
        <v>94</v>
      </c>
      <c r="F9" s="8">
        <v>1</v>
      </c>
      <c r="G9" s="4" t="s">
        <v>91</v>
      </c>
      <c r="H9" s="4"/>
      <c r="I9" s="4" t="s">
        <v>90</v>
      </c>
      <c r="J9" s="4"/>
      <c r="K9" s="4"/>
      <c r="L9" s="4"/>
    </row>
    <row r="10" spans="1:12">
      <c r="A10" s="4"/>
      <c r="B10" s="4"/>
      <c r="C10" s="4" t="s">
        <v>92</v>
      </c>
      <c r="D10" s="4" t="s">
        <v>96</v>
      </c>
      <c r="E10" s="4" t="s">
        <v>94</v>
      </c>
      <c r="F10" s="8">
        <v>0.67</v>
      </c>
      <c r="G10" s="4" t="s">
        <v>95</v>
      </c>
      <c r="H10" s="4"/>
      <c r="I10" s="4"/>
      <c r="J10" s="4"/>
      <c r="K10" s="4"/>
      <c r="L10" s="4" t="s">
        <v>97</v>
      </c>
    </row>
    <row r="11" spans="1:12">
      <c r="A11" s="4"/>
      <c r="B11" s="4"/>
      <c r="C11" s="4" t="s">
        <v>98</v>
      </c>
      <c r="D11" s="4"/>
      <c r="E11" s="4"/>
      <c r="F11" s="8">
        <v>0.8</v>
      </c>
      <c r="G11" s="4" t="s">
        <v>95</v>
      </c>
      <c r="H11" s="4"/>
      <c r="I11" s="4"/>
      <c r="J11" s="4"/>
      <c r="K11" s="4"/>
      <c r="L11" s="4"/>
    </row>
    <row r="12" spans="1:12">
      <c r="A12" s="4"/>
      <c r="B12" s="4"/>
      <c r="C12" s="4" t="s">
        <v>99</v>
      </c>
      <c r="D12" s="4" t="s">
        <v>100</v>
      </c>
      <c r="E12" s="4"/>
      <c r="F12" s="4">
        <v>1.25</v>
      </c>
      <c r="G12" s="4" t="s">
        <v>89</v>
      </c>
      <c r="H12" s="4" t="s">
        <v>88</v>
      </c>
      <c r="I12" s="4"/>
      <c r="J12" s="4"/>
      <c r="K12" s="4"/>
      <c r="L12" s="4"/>
    </row>
    <row r="13" spans="1:12">
      <c r="A13" s="4"/>
      <c r="B13" s="4"/>
      <c r="C13" s="9" t="s">
        <v>99</v>
      </c>
      <c r="D13" s="9" t="s">
        <v>100</v>
      </c>
      <c r="E13" s="9"/>
      <c r="F13" s="9">
        <v>0.8</v>
      </c>
      <c r="G13" s="9" t="s">
        <v>91</v>
      </c>
      <c r="H13" s="9" t="s">
        <v>90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101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62</v>
      </c>
      <c r="D17" s="4" t="s">
        <v>71</v>
      </c>
      <c r="E17" s="4" t="s">
        <v>49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89</v>
      </c>
      <c r="D18" s="4" t="s">
        <v>100</v>
      </c>
      <c r="E18" s="4" t="s">
        <v>102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workbookViewId="0">
      <selection activeCell="P10" sqref="P10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103</v>
      </c>
    </row>
    <row r="4" ht="15.5" spans="3:13">
      <c r="C4" s="1" t="s">
        <v>104</v>
      </c>
      <c r="D4" s="1" t="s">
        <v>105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106</v>
      </c>
      <c r="D5" s="1" t="s">
        <v>107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108</v>
      </c>
      <c r="D6" s="1" t="s">
        <v>107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109</v>
      </c>
      <c r="D7" s="1" t="s">
        <v>107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110</v>
      </c>
      <c r="D8" s="1" t="s">
        <v>107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111</v>
      </c>
      <c r="D9" s="1" t="s">
        <v>107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112</v>
      </c>
      <c r="D10" s="1" t="s">
        <v>107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113</v>
      </c>
      <c r="D11" s="1" t="s">
        <v>107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114</v>
      </c>
      <c r="D12" s="1" t="s">
        <v>107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115</v>
      </c>
      <c r="D13" s="1" t="s">
        <v>107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116</v>
      </c>
      <c r="D14" s="1" t="s">
        <v>107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117</v>
      </c>
      <c r="D15" s="1" t="s">
        <v>107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118</v>
      </c>
      <c r="D16" s="1" t="s">
        <v>107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119</v>
      </c>
      <c r="D17" s="1" t="s">
        <v>107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120</v>
      </c>
      <c r="D18" s="1" t="s">
        <v>107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121</v>
      </c>
      <c r="D19" s="1" t="s">
        <v>107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122</v>
      </c>
      <c r="D20" s="1" t="s">
        <v>107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123</v>
      </c>
      <c r="D21" s="1" t="s">
        <v>107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124</v>
      </c>
      <c r="D22" s="1" t="s">
        <v>107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125</v>
      </c>
      <c r="D23" s="1" t="s">
        <v>107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126</v>
      </c>
      <c r="D24" s="1" t="s">
        <v>107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127</v>
      </c>
      <c r="D25" s="1" t="s">
        <v>107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128</v>
      </c>
      <c r="D26" s="1" t="s">
        <v>107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129</v>
      </c>
      <c r="D27" s="1" t="s">
        <v>107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130</v>
      </c>
      <c r="D28" s="1" t="s">
        <v>107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131</v>
      </c>
      <c r="D29" s="1" t="s">
        <v>107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132</v>
      </c>
      <c r="D30" s="1" t="s">
        <v>107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133</v>
      </c>
      <c r="D31" s="1" t="s">
        <v>107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134</v>
      </c>
      <c r="D32" s="1" t="s">
        <v>107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135</v>
      </c>
      <c r="D33" s="1" t="s">
        <v>107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136</v>
      </c>
      <c r="D34" s="1" t="s">
        <v>107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137</v>
      </c>
      <c r="D35" s="1" t="s">
        <v>107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138</v>
      </c>
      <c r="D36" s="1" t="s">
        <v>107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139</v>
      </c>
      <c r="D37" s="1" t="s">
        <v>107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140</v>
      </c>
      <c r="D38" s="1" t="s">
        <v>107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141</v>
      </c>
      <c r="D39" s="1" t="s">
        <v>107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Elec</vt:lpstr>
      <vt:lpstr>Transport</vt:lpstr>
      <vt:lpstr>storage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2026-08-03T22:49:52Z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