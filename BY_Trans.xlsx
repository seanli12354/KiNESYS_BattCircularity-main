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18350" windowHeight="8710" activeTab="2"/>
  </bookViews>
  <sheets>
    <sheet name="Elec" sheetId="22" r:id="rId1"/>
    <sheet name="Transport" sheetId="23" r:id="rId2"/>
    <sheet name="storage" sheetId="30" r:id="rId3"/>
    <sheet name="SHAPES" sheetId="24" r:id="rId4"/>
    <sheet name="Misc" sheetId="26" r:id="rId5"/>
    <sheet name="pumped hydro" sheetId="27" r:id="rId6"/>
    <sheet name="non-TRA elec dem" sheetId="2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22-02-2022
relaxing base-year bound. IEA balances report 47EJ pri bio, but 3.5EJ biofuels are also reported as primary production.</t>
        </r>
      </text>
    </comment>
  </commentList>
</comments>
</file>

<file path=xl/sharedStrings.xml><?xml version="1.0" encoding="utf-8"?>
<sst xmlns="http://schemas.openxmlformats.org/spreadsheetml/2006/main" count="371" uniqueCount="140">
  <si>
    <t>~md-v_s:</t>
  </si>
  <si>
    <t>default parameters for electricity generation technologies</t>
  </si>
  <si>
    <t>~TFM_INS</t>
  </si>
  <si>
    <t>Attribute</t>
  </si>
  <si>
    <t>Curr</t>
  </si>
  <si>
    <t>Attrib_Cond</t>
  </si>
  <si>
    <t>LimType</t>
  </si>
  <si>
    <t>Year</t>
  </si>
  <si>
    <t>AllRegions</t>
  </si>
  <si>
    <t>PSET_SET</t>
  </si>
  <si>
    <t>PSET_PN</t>
  </si>
  <si>
    <t>PSET_CI</t>
  </si>
  <si>
    <t>NCAP_BND</t>
  </si>
  <si>
    <t>PASTI</t>
  </si>
  <si>
    <t>FX</t>
  </si>
  <si>
    <t>ELE,CHP,STS,STG</t>
  </si>
  <si>
    <t>-EN_STG_4hBatt*</t>
  </si>
  <si>
    <t>PRC_CAPACT</t>
  </si>
  <si>
    <t>RCAP_BND</t>
  </si>
  <si>
    <t>UP</t>
  </si>
  <si>
    <t>ELE,CHP</t>
  </si>
  <si>
    <t>-ELCHYD,-ELCBIO,-ELCWAS,-ELCSPV,-ELCWIN</t>
  </si>
  <si>
    <t>ELCNGA</t>
  </si>
  <si>
    <t>PEAK</t>
  </si>
  <si>
    <t>ELCSPV</t>
  </si>
  <si>
    <t>ELCWIN</t>
  </si>
  <si>
    <t>~TFM_UPD</t>
  </si>
  <si>
    <t>EFF</t>
  </si>
  <si>
    <t>ELCNUC</t>
  </si>
  <si>
    <t>*HYD,*SPV,*WIN</t>
  </si>
  <si>
    <t>INVCOST</t>
  </si>
  <si>
    <t>USD11</t>
  </si>
  <si>
    <t>ELE</t>
  </si>
  <si>
    <t>EP*Coa*</t>
  </si>
  <si>
    <t>EP*NGA*,EP*Oil*</t>
  </si>
  <si>
    <t>ELE,STS</t>
  </si>
  <si>
    <t>EP*Hyd*</t>
  </si>
  <si>
    <t>ELIFE</t>
  </si>
  <si>
    <t>EP*</t>
  </si>
  <si>
    <t>~md-v_c:</t>
  </si>
  <si>
    <t>Distributing the base-year Vehicle stock over the last 20 years - based on the probabilistic retirement profile</t>
  </si>
  <si>
    <t>~TFM_MIG</t>
  </si>
  <si>
    <t>~TFM_INS: Limtype=FX</t>
  </si>
  <si>
    <t>attribute</t>
  </si>
  <si>
    <t>pset_pn</t>
  </si>
  <si>
    <t>year2</t>
  </si>
  <si>
    <t>allregions</t>
  </si>
  <si>
    <t>other_indexes</t>
  </si>
  <si>
    <t>year</t>
  </si>
  <si>
    <t>value</t>
  </si>
  <si>
    <t>Trd[_]*</t>
  </si>
  <si>
    <t>SHAPE</t>
  </si>
  <si>
    <t>Distributing the base-year storage stock over the last 10 years - based on the probabilistic retirement profile</t>
  </si>
  <si>
    <t>EN_STG_4hBatt*</t>
  </si>
  <si>
    <t>k</t>
  </si>
  <si>
    <t>a</t>
  </si>
  <si>
    <t>Data (18.5)</t>
  </si>
  <si>
    <t>Mean AGE (TLIFE = 25)</t>
  </si>
  <si>
    <t>trucks and buses</t>
  </si>
  <si>
    <t>lcv, pas and mot</t>
  </si>
  <si>
    <t>process</t>
  </si>
  <si>
    <t>ACT_BND</t>
  </si>
  <si>
    <t>MinBIOBSL-07</t>
  </si>
  <si>
    <t>~TFM_MIG: attribute=stock</t>
  </si>
  <si>
    <t>pset_ci</t>
  </si>
  <si>
    <t>*1</t>
  </si>
  <si>
    <t>???GEO,???STH</t>
  </si>
  <si>
    <t>~TFM_TOPINS</t>
  </si>
  <si>
    <t>io</t>
  </si>
  <si>
    <t>commodity</t>
  </si>
  <si>
    <t>SUP_GasSupply</t>
  </si>
  <si>
    <t>IN</t>
  </si>
  <si>
    <t>GAS[_]*</t>
  </si>
  <si>
    <t>SUP_OilSupply</t>
  </si>
  <si>
    <t>OIL[_]*</t>
  </si>
  <si>
    <t>START</t>
  </si>
  <si>
    <t>-Gas[_]*</t>
  </si>
  <si>
    <t>-Oil[_]*</t>
  </si>
  <si>
    <t>flo_shar</t>
  </si>
  <si>
    <t>FT_ELC*,FT_SUP*,FT_IND*</t>
  </si>
  <si>
    <t>~md-v_r: relaxing flo_share in 2019 as BFG etc not functional anymore</t>
  </si>
  <si>
    <t>~md-v_s: default parameters for pumped hydro - assuming 6h storage</t>
  </si>
  <si>
    <t>timeslice</t>
  </si>
  <si>
    <t>pset_co</t>
  </si>
  <si>
    <t>assuming 6h storage capacity for day-night operation of pumped hydro</t>
  </si>
  <si>
    <t>NCAP_AFAC</t>
  </si>
  <si>
    <t>ELC</t>
  </si>
  <si>
    <t>EP_HPS*</t>
  </si>
  <si>
    <t>INDELC</t>
  </si>
  <si>
    <t>EA_HPS*</t>
  </si>
  <si>
    <t>NCAP_AFC</t>
  </si>
  <si>
    <t>ACT</t>
  </si>
  <si>
    <t>DAYNITE</t>
  </si>
  <si>
    <t>E?_HPS*</t>
  </si>
  <si>
    <t>NRG</t>
  </si>
  <si>
    <t>takes 9h to full charge (pump has a smaller capacity than the hydro turbine)</t>
  </si>
  <si>
    <t>STG_EFF</t>
  </si>
  <si>
    <t>FLO_FUNC</t>
  </si>
  <si>
    <t>AuxStoOUT</t>
  </si>
  <si>
    <t>~TFM_TOPINS-A</t>
  </si>
  <si>
    <t>OUT</t>
  </si>
  <si>
    <t>~TFM_DINS-TS: attribute=Demand; commodity=ELCDem</t>
  </si>
  <si>
    <t>region</t>
  </si>
  <si>
    <t>unit</t>
  </si>
  <si>
    <t>Africa_North</t>
  </si>
  <si>
    <t>PJ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</si>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</sst>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31">
    <font>
      <sz val="10"/>
      <name val="Arial"/>
      <charset val="134"/>
    </font>
    <font>
      <sz val="12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theme="1"/>
      <name val="Arial"/>
      <charset val="134"/>
    </font>
    <font>
      <b/>
      <i/>
      <sz val="10"/>
      <name val="Arial"/>
      <charset val="134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9"/>
      <name val="Tahoma"/>
      <charset val="134"/>
    </font>
    <font>
      <b/>
      <sz val="9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/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4" borderId="4" applyNumberFormat="0" applyAlignment="0" applyProtection="0"/>
    <xf numFmtId="0" fontId="18" fillId="8" borderId="13" applyNumberFormat="0" applyAlignment="0" applyProtection="0">
      <alignment vertical="center"/>
    </xf>
    <xf numFmtId="0" fontId="19" fillId="8" borderId="4" applyNumberFormat="0" applyAlignment="0" applyProtection="0">
      <alignment vertical="center"/>
    </xf>
    <xf numFmtId="0" fontId="20" fillId="9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5" borderId="0" applyNumberFormat="0" applyBorder="0" applyAlignment="0" applyProtection="0"/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8" fillId="0" borderId="0"/>
  </cellStyleXfs>
  <cellXfs count="32">
    <xf numFmtId="0" fontId="0" fillId="0" borderId="0" xfId="0"/>
    <xf numFmtId="0" fontId="1" fillId="0" borderId="0" xfId="55"/>
    <xf numFmtId="2" fontId="1" fillId="0" borderId="0" xfId="55" applyNumberFormat="1"/>
    <xf numFmtId="0" fontId="2" fillId="0" borderId="0" xfId="53"/>
    <xf numFmtId="0" fontId="3" fillId="0" borderId="0" xfId="53" applyFont="1"/>
    <xf numFmtId="0" fontId="3" fillId="2" borderId="0" xfId="53" applyFont="1" applyFill="1"/>
    <xf numFmtId="0" fontId="3" fillId="0" borderId="1" xfId="53" applyFont="1" applyBorder="1"/>
    <xf numFmtId="2" fontId="3" fillId="0" borderId="1" xfId="53" applyNumberFormat="1" applyFont="1" applyBorder="1"/>
    <xf numFmtId="2" fontId="3" fillId="0" borderId="0" xfId="53" applyNumberFormat="1" applyFont="1"/>
    <xf numFmtId="0" fontId="3" fillId="0" borderId="2" xfId="53" applyFont="1" applyBorder="1"/>
    <xf numFmtId="0" fontId="2" fillId="0" borderId="0" xfId="52" applyFont="1"/>
    <xf numFmtId="0" fontId="2" fillId="0" borderId="0" xfId="52"/>
    <xf numFmtId="0" fontId="0" fillId="0" borderId="0" xfId="0" applyFont="1"/>
    <xf numFmtId="0" fontId="4" fillId="3" borderId="3" xfId="8" applyFont="1"/>
    <xf numFmtId="0" fontId="5" fillId="0" borderId="0" xfId="52" applyFont="1" applyAlignment="1">
      <alignment horizontal="center"/>
    </xf>
    <xf numFmtId="0" fontId="6" fillId="4" borderId="4" xfId="16"/>
    <xf numFmtId="178" fontId="7" fillId="5" borderId="0" xfId="22" applyNumberFormat="1" applyFont="1"/>
    <xf numFmtId="0" fontId="8" fillId="0" borderId="0" xfId="52" applyFont="1"/>
    <xf numFmtId="179" fontId="2" fillId="6" borderId="0" xfId="52" applyNumberFormat="1" applyFill="1"/>
    <xf numFmtId="179" fontId="2" fillId="0" borderId="0" xfId="52" applyNumberFormat="1"/>
    <xf numFmtId="2" fontId="2" fillId="0" borderId="0" xfId="52" applyNumberFormat="1"/>
    <xf numFmtId="0" fontId="9" fillId="0" borderId="5" xfId="52" applyFont="1" applyBorder="1"/>
    <xf numFmtId="0" fontId="9" fillId="0" borderId="6" xfId="52" applyFont="1" applyBorder="1"/>
    <xf numFmtId="0" fontId="9" fillId="0" borderId="7" xfId="52" applyFont="1" applyBorder="1"/>
    <xf numFmtId="0" fontId="9" fillId="0" borderId="8" xfId="52" applyFont="1" applyBorder="1"/>
    <xf numFmtId="0" fontId="9" fillId="0" borderId="9" xfId="52" applyFont="1" applyBorder="1"/>
    <xf numFmtId="0" fontId="9" fillId="0" borderId="10" xfId="52" applyFont="1" applyBorder="1"/>
    <xf numFmtId="0" fontId="0" fillId="3" borderId="3" xfId="8" applyFont="1"/>
    <xf numFmtId="2" fontId="0" fillId="0" borderId="0" xfId="0" applyNumberFormat="1"/>
    <xf numFmtId="0" fontId="0" fillId="7" borderId="0" xfId="0" applyFill="1"/>
    <xf numFmtId="0" fontId="0" fillId="0" borderId="0" xfId="0" applyNumberFormat="1"/>
    <xf numFmtId="1" fontId="0" fillId="0" borderId="0" xfId="0" applyNumberFormat="1"/>
    <xf numFmtId="0" fontId="0" fillId="0" borderId="0" xfId="0" applyNumberFormat="1" quotePrefix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  <cellStyle name="Normal 2 2" xfId="51"/>
    <cellStyle name="Normal 3" xfId="52"/>
    <cellStyle name="Normal 4" xfId="53"/>
    <cellStyle name="Normal 5" xfId="54"/>
    <cellStyle name="Normal 6" xfId="55"/>
    <cellStyle name="Normale_Scen_UC_IND-StrucConst" xfId="56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SHAPES!$B$7</c:f>
              <c:strCache>
                <c:ptCount val="1"/>
                <c:pt idx="0">
                  <c:v>Data (18.5)</c:v>
                </c:pt>
              </c:strCache>
            </c:strRef>
          </c:tx>
          <c:spPr>
            <a:ln w="25400" cap="rnd" cmpd="dbl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SHAPES!$B$8:$B$57</c:f>
              <c:numCache>
                <c:formatCode>0.000</c:formatCode>
                <c:ptCount val="50"/>
                <c:pt idx="0">
                  <c:v>0.98</c:v>
                </c:pt>
                <c:pt idx="1">
                  <c:v>0.970622580135159</c:v>
                </c:pt>
                <c:pt idx="2">
                  <c:v>0.962396435716511</c:v>
                </c:pt>
                <c:pt idx="3">
                  <c:v>0.962396435716511</c:v>
                </c:pt>
                <c:pt idx="4">
                  <c:v>0.953348946865523</c:v>
                </c:pt>
                <c:pt idx="5">
                  <c:v>0.946947220933845</c:v>
                </c:pt>
                <c:pt idx="6">
                  <c:v>0.946947220933845</c:v>
                </c:pt>
                <c:pt idx="7">
                  <c:v>0.926261114788064</c:v>
                </c:pt>
                <c:pt idx="8">
                  <c:v>0.898162758045296</c:v>
                </c:pt>
                <c:pt idx="9">
                  <c:v>0.898162758045296</c:v>
                </c:pt>
                <c:pt idx="10">
                  <c:v>0.846189380878412</c:v>
                </c:pt>
                <c:pt idx="11">
                  <c:v>0.836089965568855</c:v>
                </c:pt>
                <c:pt idx="12">
                  <c:v>0.785347748818551</c:v>
                </c:pt>
                <c:pt idx="13">
                  <c:v>0.765158424624948</c:v>
                </c:pt>
                <c:pt idx="14">
                  <c:v>0.722888201491699</c:v>
                </c:pt>
                <c:pt idx="15">
                  <c:v>0.662206654111213</c:v>
                </c:pt>
                <c:pt idx="16">
                  <c:v>0.623093147917535</c:v>
                </c:pt>
                <c:pt idx="17">
                  <c:v>0.537592092285781</c:v>
                </c:pt>
                <c:pt idx="18">
                  <c:v>0.474189219095591</c:v>
                </c:pt>
                <c:pt idx="19">
                  <c:v>0.422091220937619</c:v>
                </c:pt>
                <c:pt idx="20">
                  <c:v>0.346971016058413</c:v>
                </c:pt>
                <c:pt idx="21">
                  <c:v>0.293064361762058</c:v>
                </c:pt>
                <c:pt idx="22">
                  <c:v>0.232858040357466</c:v>
                </c:pt>
                <c:pt idx="23">
                  <c:v>0.190942528947818</c:v>
                </c:pt>
                <c:pt idx="24">
                  <c:v>0.164653096923697</c:v>
                </c:pt>
                <c:pt idx="25">
                  <c:v>0.148868327448333</c:v>
                </c:pt>
                <c:pt idx="26">
                  <c:v>0.11454490726822</c:v>
                </c:pt>
                <c:pt idx="27">
                  <c:v>0.103054577939045</c:v>
                </c:pt>
                <c:pt idx="28">
                  <c:v>0.0950979000353695</c:v>
                </c:pt>
                <c:pt idx="29">
                  <c:v>0.0950979000353695</c:v>
                </c:pt>
                <c:pt idx="30">
                  <c:v>0.0794965091942965</c:v>
                </c:pt>
                <c:pt idx="31">
                  <c:v>0.0568420433598065</c:v>
                </c:pt>
                <c:pt idx="32">
                  <c:v>0.0542540888865057</c:v>
                </c:pt>
                <c:pt idx="33">
                  <c:v>0.0542540888865057</c:v>
                </c:pt>
                <c:pt idx="34">
                  <c:v>0.0542540888865057</c:v>
                </c:pt>
                <c:pt idx="35">
                  <c:v>0.0453752228971555</c:v>
                </c:pt>
                <c:pt idx="36">
                  <c:v>0.0330173163442898</c:v>
                </c:pt>
                <c:pt idx="37">
                  <c:v>0.0330173163442898</c:v>
                </c:pt>
                <c:pt idx="38">
                  <c:v>0.031841483991343</c:v>
                </c:pt>
                <c:pt idx="39">
                  <c:v>0.0289468036284937</c:v>
                </c:pt>
                <c:pt idx="40">
                  <c:v>0.0260521232656443</c:v>
                </c:pt>
                <c:pt idx="41">
                  <c:v>0.0231574429027949</c:v>
                </c:pt>
                <c:pt idx="42">
                  <c:v>0.0202627625399456</c:v>
                </c:pt>
                <c:pt idx="43">
                  <c:v>0.0173680821770962</c:v>
                </c:pt>
                <c:pt idx="44">
                  <c:v>0.0144734018142468</c:v>
                </c:pt>
                <c:pt idx="45">
                  <c:v>0.0115787214513975</c:v>
                </c:pt>
                <c:pt idx="46">
                  <c:v>0.00868404108854809</c:v>
                </c:pt>
                <c:pt idx="47">
                  <c:v>0.00578936072569872</c:v>
                </c:pt>
                <c:pt idx="48">
                  <c:v>0.00289468036284934</c:v>
                </c:pt>
                <c:pt idx="49">
                  <c:v>0</c:v>
                </c:pt>
              </c:numCache>
            </c:numRef>
          </c:yVal>
          <c:smooth val="1"/>
        </c:ser>
        <c:ser>
          <c:idx val="3"/>
          <c:order val="1"/>
          <c:tx>
            <c:strRef>
              <c:f>SHAPES!$C$7</c:f>
              <c:strCache>
                <c:ptCount val="1"/>
                <c:pt idx="0">
                  <c:v>10.0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SHAPES!$C$8:$C$57</c:f>
              <c:numCache>
                <c:formatCode>0.000</c:formatCode>
                <c:ptCount val="50"/>
                <c:pt idx="0">
                  <c:v>0.906219385211314</c:v>
                </c:pt>
                <c:pt idx="1">
                  <c:v>0.887526560438355</c:v>
                </c:pt>
                <c:pt idx="2">
                  <c:v>0.865393324683414</c:v>
                </c:pt>
                <c:pt idx="3">
                  <c:v>0.839314002453786</c:v>
                </c:pt>
                <c:pt idx="4">
                  <c:v>0.808766111793418</c:v>
                </c:pt>
                <c:pt idx="5">
                  <c:v>0.773239215092304</c:v>
                </c:pt>
                <c:pt idx="6">
                  <c:v>0.732278494099783</c:v>
                </c:pt>
                <c:pt idx="7">
                  <c:v>0.685546224575631</c:v>
                </c:pt>
                <c:pt idx="8">
                  <c:v>0.632903023475913</c:v>
                </c:pt>
                <c:pt idx="9">
                  <c:v>0.574507650216493</c:v>
                </c:pt>
                <c:pt idx="10">
                  <c:v>0.510928455302216</c:v>
                </c:pt>
                <c:pt idx="11">
                  <c:v>0.443250713618776</c:v>
                </c:pt>
                <c:pt idx="12">
                  <c:v>0.373152419091481</c:v>
                </c:pt>
                <c:pt idx="13">
                  <c:v>0.302909076264049</c:v>
                </c:pt>
                <c:pt idx="14">
                  <c:v>0.23528138033045</c:v>
                </c:pt>
                <c:pt idx="15">
                  <c:v>0.1732480236977</c:v>
                </c:pt>
                <c:pt idx="16">
                  <c:v>0.11958021751459</c:v>
                </c:pt>
                <c:pt idx="17">
                  <c:v>0.0763196147056263</c:v>
                </c:pt>
                <c:pt idx="18">
                  <c:v>0.0443026892620923</c:v>
                </c:pt>
                <c:pt idx="19">
                  <c:v>0.0229281766898145</c:v>
                </c:pt>
                <c:pt idx="20">
                  <c:v>0.0103268678591589</c:v>
                </c:pt>
                <c:pt idx="21">
                  <c:v>0.00393145344541023</c:v>
                </c:pt>
                <c:pt idx="22">
                  <c:v>0.00122126980138214</c:v>
                </c:pt>
                <c:pt idx="23">
                  <c:v>0.000296659508114373</c:v>
                </c:pt>
                <c:pt idx="24">
                  <c:v>5.35293312880216e-5</c:v>
                </c:pt>
                <c:pt idx="25">
                  <c:v>6.74423475754726e-6</c:v>
                </c:pt>
                <c:pt idx="26">
                  <c:v>5.50705105352367e-7</c:v>
                </c:pt>
                <c:pt idx="27">
                  <c:v>2.6646577225688e-8</c:v>
                </c:pt>
                <c:pt idx="28">
                  <c:v>6.86109253935805e-10</c:v>
                </c:pt>
                <c:pt idx="29">
                  <c:v>8.2645524853028e-12</c:v>
                </c:pt>
                <c:pt idx="30">
                  <c:v>3.99248227801898e-14</c:v>
                </c:pt>
                <c:pt idx="31">
                  <c:v>6.43818749795908e-17</c:v>
                </c:pt>
                <c:pt idx="32">
                  <c:v>2.78692808868817e-20</c:v>
                </c:pt>
                <c:pt idx="33">
                  <c:v>2.50254185482109e-24</c:v>
                </c:pt>
                <c:pt idx="34">
                  <c:v>3.44187211361019e-29</c:v>
                </c:pt>
                <c:pt idx="35">
                  <c:v>5.08488119352033e-35</c:v>
                </c:pt>
                <c:pt idx="36">
                  <c:v>5.34466962894203e-42</c:v>
                </c:pt>
                <c:pt idx="37">
                  <c:v>2.48753719707069e-50</c:v>
                </c:pt>
                <c:pt idx="38">
                  <c:v>2.98709273777631e-60</c:v>
                </c:pt>
                <c:pt idx="39">
                  <c:v>5.04092981981214e-72</c:v>
                </c:pt>
                <c:pt idx="40">
                  <c:v>6.09869056937694e-86</c:v>
                </c:pt>
                <c:pt idx="41">
                  <c:v>2.54322977557799e-102</c:v>
                </c:pt>
                <c:pt idx="42">
                  <c:v>1.67650027026223e-121</c:v>
                </c:pt>
                <c:pt idx="43">
                  <c:v>7.78570335510438e-144</c:v>
                </c:pt>
                <c:pt idx="44">
                  <c:v>1.13174612312143e-169</c:v>
                </c:pt>
                <c:pt idx="45">
                  <c:v>2.35537253900522e-199</c:v>
                </c:pt>
                <c:pt idx="46">
                  <c:v>3.42957733088786e-233</c:v>
                </c:pt>
                <c:pt idx="47">
                  <c:v>1.89670438496799e-271</c:v>
                </c:pt>
                <c:pt idx="48">
                  <c:v>2.49421781354134e-314</c:v>
                </c:pt>
                <c:pt idx="49">
                  <c:v>0</c:v>
                </c:pt>
              </c:numCache>
            </c:numRef>
          </c:yVal>
          <c:smooth val="1"/>
        </c:ser>
        <c:ser>
          <c:idx val="1"/>
          <c:order val="2"/>
          <c:tx>
            <c:strRef>
              <c:f>SHAPES!$D$7</c:f>
              <c:strCache>
                <c:ptCount val="1"/>
                <c:pt idx="0">
                  <c:v>12.0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SHAPES!$D$8:$D$57</c:f>
              <c:numCache>
                <c:formatCode>0.000</c:formatCode>
                <c:ptCount val="50"/>
                <c:pt idx="0">
                  <c:v>0.938230830558969</c:v>
                </c:pt>
                <c:pt idx="1">
                  <c:v>0.925439283531944</c:v>
                </c:pt>
                <c:pt idx="2">
                  <c:v>0.910128364505219</c:v>
                </c:pt>
                <c:pt idx="3">
                  <c:v>0.891861795425706</c:v>
                </c:pt>
                <c:pt idx="4">
                  <c:v>0.870155573115599</c:v>
                </c:pt>
                <c:pt idx="5">
                  <c:v>0.844486434298216</c:v>
                </c:pt>
                <c:pt idx="6">
                  <c:v>0.814308706204866</c:v>
                </c:pt>
                <c:pt idx="7">
                  <c:v>0.779082860560271</c:v>
                </c:pt>
                <c:pt idx="8">
                  <c:v>0.7383195238711</c:v>
                </c:pt>
                <c:pt idx="9">
                  <c:v>0.691642583607144</c:v>
                </c:pt>
                <c:pt idx="10">
                  <c:v>0.638873803601385</c:v>
                </c:pt>
                <c:pt idx="11">
                  <c:v>0.580138223569736</c:v>
                </c:pt>
                <c:pt idx="12">
                  <c:v>0.515983628855313</c:v>
                </c:pt>
                <c:pt idx="13">
                  <c:v>0.447497806996866</c:v>
                </c:pt>
                <c:pt idx="14">
                  <c:v>0.376394405858965</c:v>
                </c:pt>
                <c:pt idx="15">
                  <c:v>0.305024495274644</c:v>
                </c:pt>
                <c:pt idx="16">
                  <c:v>0.236262757898913</c:v>
                </c:pt>
                <c:pt idx="17">
                  <c:v>0.173225455866289</c:v>
                </c:pt>
                <c:pt idx="18">
                  <c:v>0.118814738805559</c:v>
                </c:pt>
                <c:pt idx="19">
                  <c:v>0.0751563871916662</c:v>
                </c:pt>
                <c:pt idx="20">
                  <c:v>0.0430894887796983</c:v>
                </c:pt>
                <c:pt idx="21">
                  <c:v>0.0219260148806106</c:v>
                </c:pt>
                <c:pt idx="22">
                  <c:v>0.00965316125123916</c:v>
                </c:pt>
                <c:pt idx="23">
                  <c:v>0.00356535659104143</c:v>
                </c:pt>
                <c:pt idx="24">
                  <c:v>0.00106424998867156</c:v>
                </c:pt>
                <c:pt idx="25">
                  <c:v>0.000245403816057935</c:v>
                </c:pt>
                <c:pt idx="26">
                  <c:v>4.13929618796038e-5</c:v>
                </c:pt>
                <c:pt idx="27">
                  <c:v>4.78188415507316e-6</c:v>
                </c:pt>
                <c:pt idx="28">
                  <c:v>3.49520200309893e-7</c:v>
                </c:pt>
                <c:pt idx="29">
                  <c:v>1.46945298074594e-8</c:v>
                </c:pt>
                <c:pt idx="30">
                  <c:v>3.16957251470982e-10</c:v>
                </c:pt>
                <c:pt idx="31">
                  <c:v>3.05927625547114e-12</c:v>
                </c:pt>
                <c:pt idx="32">
                  <c:v>1.12256021557371e-14</c:v>
                </c:pt>
                <c:pt idx="33">
                  <c:v>1.29036644913749e-17</c:v>
                </c:pt>
                <c:pt idx="34">
                  <c:v>3.69671135557014e-21</c:v>
                </c:pt>
                <c:pt idx="35">
                  <c:v>2.01780834205926e-25</c:v>
                </c:pt>
                <c:pt idx="36">
                  <c:v>1.5342782793287e-30</c:v>
                </c:pt>
                <c:pt idx="37">
                  <c:v>1.13154945051616e-36</c:v>
                </c:pt>
                <c:pt idx="38">
                  <c:v>5.34979488148274e-44</c:v>
                </c:pt>
                <c:pt idx="39">
                  <c:v>1.0155773516225e-52</c:v>
                </c:pt>
                <c:pt idx="40">
                  <c:v>4.59937564837077e-63</c:v>
                </c:pt>
                <c:pt idx="41">
                  <c:v>2.81328835742251e-75</c:v>
                </c:pt>
                <c:pt idx="42">
                  <c:v>1.26504110236933e-89</c:v>
                </c:pt>
                <c:pt idx="43">
                  <c:v>2.22006086811815e-106</c:v>
                </c:pt>
                <c:pt idx="44">
                  <c:v>8.03262555274651e-126</c:v>
                </c:pt>
                <c:pt idx="45">
                  <c:v>3.23146037062183e-148</c:v>
                </c:pt>
                <c:pt idx="46">
                  <c:v>8.19736610112632e-174</c:v>
                </c:pt>
                <c:pt idx="47">
                  <c:v>8.07212567278304e-203</c:v>
                </c:pt>
                <c:pt idx="48">
                  <c:v>2.12544751796573e-235</c:v>
                </c:pt>
                <c:pt idx="49">
                  <c:v>1.18305218616677e-271</c:v>
                </c:pt>
              </c:numCache>
            </c:numRef>
          </c:yVal>
          <c:smooth val="1"/>
        </c:ser>
        <c:ser>
          <c:idx val="2"/>
          <c:order val="3"/>
          <c:tx>
            <c:strRef>
              <c:f>SHAPES!$E$7</c:f>
              <c:strCache>
                <c:ptCount val="1"/>
                <c:pt idx="0">
                  <c:v>20.0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SHAPES!$E$8:$E$57</c:f>
              <c:numCache>
                <c:formatCode>0.000</c:formatCode>
                <c:ptCount val="50"/>
                <c:pt idx="0">
                  <c:v>0.966370359922775</c:v>
                </c:pt>
                <c:pt idx="1">
                  <c:v>0.961758676863334</c:v>
                </c:pt>
                <c:pt idx="2">
                  <c:v>0.956529615654335</c:v>
                </c:pt>
                <c:pt idx="3">
                  <c:v>0.950604963935119</c:v>
                </c:pt>
                <c:pt idx="4">
                  <c:v>0.943897915356145</c:v>
                </c:pt>
                <c:pt idx="5">
                  <c:v>0.936312523381613</c:v>
                </c:pt>
                <c:pt idx="6">
                  <c:v>0.927743253132952</c:v>
                </c:pt>
                <c:pt idx="7">
                  <c:v>0.918074687227548</c:v>
                </c:pt>
                <c:pt idx="8">
                  <c:v>0.907181457650145</c:v>
                </c:pt>
                <c:pt idx="9">
                  <c:v>0.894928494661952</c:v>
                </c:pt>
                <c:pt idx="10">
                  <c:v>0.881171705489785</c:v>
                </c:pt>
                <c:pt idx="11">
                  <c:v>0.865759219524715</c:v>
                </c:pt>
                <c:pt idx="12">
                  <c:v>0.848533361850074</c:v>
                </c:pt>
                <c:pt idx="13">
                  <c:v>0.829333541043553</c:v>
                </c:pt>
                <c:pt idx="14">
                  <c:v>0.808000257000151</c:v>
                </c:pt>
                <c:pt idx="15">
                  <c:v>0.784380444928941</c:v>
                </c:pt>
                <c:pt idx="16">
                  <c:v>0.75833436545842</c:v>
                </c:pt>
                <c:pt idx="17">
                  <c:v>0.729744218200363</c:v>
                </c:pt>
                <c:pt idx="18">
                  <c:v>0.698524584808679</c:v>
                </c:pt>
                <c:pt idx="19">
                  <c:v>0.664634682968127</c:v>
                </c:pt>
                <c:pt idx="20">
                  <c:v>0.628092219448125</c:v>
                </c:pt>
                <c:pt idx="21">
                  <c:v>0.588988354885599</c:v>
                </c:pt>
                <c:pt idx="22">
                  <c:v>0.547502928572496</c:v>
                </c:pt>
                <c:pt idx="23">
                  <c:v>0.503918645433383</c:v>
                </c:pt>
                <c:pt idx="24">
                  <c:v>0.458632430400759</c:v>
                </c:pt>
                <c:pt idx="25">
                  <c:v>0.412161672924921</c:v>
                </c:pt>
                <c:pt idx="26">
                  <c:v>0.365142725874107</c:v>
                </c:pt>
                <c:pt idx="27">
                  <c:v>0.318318944915169</c:v>
                </c:pt>
                <c:pt idx="28">
                  <c:v>0.272515947885678</c:v>
                </c:pt>
                <c:pt idx="29">
                  <c:v>0.228602829015039</c:v>
                </c:pt>
                <c:pt idx="30">
                  <c:v>0.1874399026682</c:v>
                </c:pt>
                <c:pt idx="31">
                  <c:v>0.149816134662246</c:v>
                </c:pt>
                <c:pt idx="32">
                  <c:v>0.116382437982868</c:v>
                </c:pt>
                <c:pt idx="33">
                  <c:v>0.0875898228328662</c:v>
                </c:pt>
                <c:pt idx="34">
                  <c:v>0.0636430653415445</c:v>
                </c:pt>
                <c:pt idx="35">
                  <c:v>0.0444800833434214</c:v>
                </c:pt>
                <c:pt idx="36">
                  <c:v>0.0297838898972336</c:v>
                </c:pt>
                <c:pt idx="37">
                  <c:v>0.0190279481314734</c:v>
                </c:pt>
                <c:pt idx="38">
                  <c:v>0.011548223188478</c:v>
                </c:pt>
                <c:pt idx="39">
                  <c:v>0.00662848337086842</c:v>
                </c:pt>
                <c:pt idx="40">
                  <c:v>0.00358198121587089</c:v>
                </c:pt>
                <c:pt idx="41">
                  <c:v>0.00181417657127675</c:v>
                </c:pt>
                <c:pt idx="42">
                  <c:v>0.000857351614537152</c:v>
                </c:pt>
                <c:pt idx="43">
                  <c:v>0.000376458594281512</c:v>
                </c:pt>
                <c:pt idx="44">
                  <c:v>0.000152979402302229</c:v>
                </c:pt>
                <c:pt idx="45">
                  <c:v>5.73260931245053e-5</c:v>
                </c:pt>
                <c:pt idx="46">
                  <c:v>1.97484236454548e-5</c:v>
                </c:pt>
                <c:pt idx="47">
                  <c:v>6.23851575799832e-6</c:v>
                </c:pt>
                <c:pt idx="48">
                  <c:v>1.80381580962101e-6</c:v>
                </c:pt>
                <c:pt idx="49">
                  <c:v>4.76837158203125e-7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SHAPES!$F$7</c:f>
              <c:strCache>
                <c:ptCount val="1"/>
                <c:pt idx="0">
                  <c:v>15.0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SHAPES!$F$8:$F$57</c:f>
              <c:numCache>
                <c:formatCode>0.000</c:formatCode>
                <c:ptCount val="50"/>
                <c:pt idx="0">
                  <c:v>0.914885692356098</c:v>
                </c:pt>
                <c:pt idx="1">
                  <c:v>0.903667527866718</c:v>
                </c:pt>
                <c:pt idx="2">
                  <c:v>0.891062569793048</c:v>
                </c:pt>
                <c:pt idx="3">
                  <c:v>0.876925728837395</c:v>
                </c:pt>
                <c:pt idx="4">
                  <c:v>0.861104397852864</c:v>
                </c:pt>
                <c:pt idx="5">
                  <c:v>0.843440509350422</c:v>
                </c:pt>
                <c:pt idx="6">
                  <c:v>0.823773522375577</c:v>
                </c:pt>
                <c:pt idx="7">
                  <c:v>0.801944546687233</c:v>
                </c:pt>
                <c:pt idx="8">
                  <c:v>0.777801823096523</c:v>
                </c:pt>
                <c:pt idx="9">
                  <c:v>0.751207773296982</c:v>
                </c:pt>
                <c:pt idx="10">
                  <c:v>0.722047800743682</c:v>
                </c:pt>
                <c:pt idx="11">
                  <c:v>0.690240953567927</c:v>
                </c:pt>
                <c:pt idx="12">
                  <c:v>0.655752436144864</c:v>
                </c:pt>
                <c:pt idx="13">
                  <c:v>0.61860776150924</c:v>
                </c:pt>
                <c:pt idx="14">
                  <c:v>0.578908057444174</c:v>
                </c:pt>
                <c:pt idx="15">
                  <c:v>0.536845665869112</c:v>
                </c:pt>
                <c:pt idx="16">
                  <c:v>0.492718712520419</c:v>
                </c:pt>
                <c:pt idx="17">
                  <c:v>0.446942799578822</c:v>
                </c:pt>
                <c:pt idx="18">
                  <c:v>0.400057451000559</c:v>
                </c:pt>
                <c:pt idx="19">
                  <c:v>0.352724529092067</c:v>
                </c:pt>
                <c:pt idx="20">
                  <c:v>0.305715704765527</c:v>
                </c:pt>
                <c:pt idx="21">
                  <c:v>0.25988641177864</c:v>
                </c:pt>
                <c:pt idx="22">
                  <c:v>0.216134768758909</c:v>
                </c:pt>
                <c:pt idx="23">
                  <c:v>0.17534587855983</c:v>
                </c:pt>
                <c:pt idx="24">
                  <c:v>0.138324718153866</c:v>
                </c:pt>
                <c:pt idx="25">
                  <c:v>0.105724230407663</c:v>
                </c:pt>
                <c:pt idx="26">
                  <c:v>0.0779785453058308</c:v>
                </c:pt>
                <c:pt idx="27">
                  <c:v>0.0552534242125428</c:v>
                </c:pt>
                <c:pt idx="28">
                  <c:v>0.0374257781970897</c:v>
                </c:pt>
                <c:pt idx="29">
                  <c:v>0.024100468898179</c:v>
                </c:pt>
                <c:pt idx="30">
                  <c:v>0.0146654724946527</c:v>
                </c:pt>
                <c:pt idx="31">
                  <c:v>0.00837724347223734</c:v>
                </c:pt>
                <c:pt idx="32">
                  <c:v>0.00445960432889931</c:v>
                </c:pt>
                <c:pt idx="33">
                  <c:v>0.00219517829753202</c:v>
                </c:pt>
                <c:pt idx="34">
                  <c:v>0.000990702863321507</c:v>
                </c:pt>
                <c:pt idx="35">
                  <c:v>0.000406238313725398</c:v>
                </c:pt>
                <c:pt idx="36">
                  <c:v>0.000149900948741295</c:v>
                </c:pt>
                <c:pt idx="37">
                  <c:v>4.92743912646851e-5</c:v>
                </c:pt>
                <c:pt idx="38">
                  <c:v>1.42778241771178e-5</c:v>
                </c:pt>
                <c:pt idx="39">
                  <c:v>3.60770183438638e-6</c:v>
                </c:pt>
                <c:pt idx="40">
                  <c:v>7.86262836388685e-7</c:v>
                </c:pt>
                <c:pt idx="41">
                  <c:v>1.46193015454287e-7</c:v>
                </c:pt>
                <c:pt idx="42">
                  <c:v>2.29435548157318e-8</c:v>
                </c:pt>
                <c:pt idx="43">
                  <c:v>3.00829776838304e-9</c:v>
                </c:pt>
                <c:pt idx="44">
                  <c:v>3.26406539912992e-10</c:v>
                </c:pt>
                <c:pt idx="45">
                  <c:v>2.90558610240178e-11</c:v>
                </c:pt>
                <c:pt idx="46">
                  <c:v>2.10627395377568e-12</c:v>
                </c:pt>
                <c:pt idx="47">
                  <c:v>1.23588203550676e-13</c:v>
                </c:pt>
                <c:pt idx="48">
                  <c:v>5.84361885257411e-15</c:v>
                </c:pt>
                <c:pt idx="49">
                  <c:v>2.22044604925031e-16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948880"/>
        <c:axId val="647947632"/>
      </c:scatterChart>
      <c:valAx>
        <c:axId val="64794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7947632"/>
        <c:crosses val="autoZero"/>
        <c:crossBetween val="midCat"/>
      </c:valAx>
      <c:valAx>
        <c:axId val="64794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794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90e4a9e-01c1-42f1-a63c-aad21976dca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9525</xdr:colOff>
      <xdr:row>8</xdr:row>
      <xdr:rowOff>133350</xdr:rowOff>
    </xdr:from>
    <xdr:to>
      <xdr:col>19</xdr:col>
      <xdr:colOff>161925</xdr:colOff>
      <xdr:row>32</xdr:row>
      <xdr:rowOff>19050</xdr:rowOff>
    </xdr:to>
    <xdr:graphicFrame>
      <xdr:nvGraphicFramePr>
        <xdr:cNvPr id="2" name="Chart 1"/>
        <xdr:cNvGraphicFramePr/>
      </xdr:nvGraphicFramePr>
      <xdr:xfrm>
        <a:off x="5114925" y="1606550"/>
        <a:ext cx="7172325" cy="43053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11</xdr:col>
      <xdr:colOff>307942</xdr:colOff>
      <xdr:row>2</xdr:row>
      <xdr:rowOff>137001</xdr:rowOff>
    </xdr:from>
    <xdr:ext cx="2930557" cy="809426"/>
    <mc:AlternateContent xmlns:mc="http://schemas.openxmlformats.org/markup-compatibility/2006">
      <mc:Choice xmlns:a14="http://schemas.microsoft.com/office/drawing/2010/main" Requires="a14">
        <xdr:sp>
          <xdr:nvSpPr>
            <xdr:cNvPr id="3" name="TextBox 2"/>
            <xdr:cNvSpPr txBox="1"/>
          </xdr:nvSpPr>
          <xdr:spPr>
            <a:xfrm>
              <a:off x="7327265" y="504825"/>
              <a:ext cx="2930525" cy="80962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400" b="0" i="1">
                        <a:latin typeface="Cambria Math" panose="02040503050406030204" pitchFamily="18" charset="0"/>
                      </a:rPr>
                      <m:t>𝑆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𝑥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)=</m:t>
                    </m:r>
                    <m:sSup>
                      <m:sSupPr>
                        <m:ctrlPr>
                          <a:rPr lang="en-IN" sz="24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begChr m:val="{"/>
                            <m:endChr m:val="}"/>
                            <m:ctrlPr>
                              <a:rPr lang="en-IN" sz="24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IN" sz="24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24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</m:t>
                                </m:r>
                              </m:num>
                              <m:den>
                                <m:d>
                                  <m:dPr>
                                    <m:ctrlPr>
                                      <a:rPr lang="en-IN" sz="24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</m:t>
                                    </m:r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+</m:t>
                                    </m:r>
                                    <m:sSup>
                                      <m:sSupPr>
                                        <m:ctrlP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𝑒</m:t>
                                        </m:r>
                                      </m:e>
                                      <m:sup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−</m:t>
                                        </m:r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𝑘𝑥</m:t>
                                        </m:r>
                                      </m:sup>
                                    </m:sSup>
                                  </m:e>
                                </m:d>
                              </m:den>
                            </m:f>
                          </m:e>
                        </m:d>
                      </m:e>
                      <m:sup>
                        <m:r>
                          <a:rPr lang="en-US" sz="2400" b="0" i="1">
                            <a:latin typeface="Cambria Math" panose="02040503050406030204" pitchFamily="18" charset="0"/>
                          </a:rPr>
                          <m:t>𝑎</m:t>
                        </m:r>
                      </m:sup>
                    </m:sSup>
                  </m:oMath>
                </m:oMathPara>
              </a14:m>
              <a:endParaRPr lang="en-IN" sz="2400"/>
            </a:p>
          </xdr:txBody>
        </xdr:sp>
      </mc:Choice>
      <mc:Fallback>
        <xdr:sp>
          <xdr:nvSpPr>
            <xdr:cNvPr id="3" name="TextBox 2"/>
            <xdr:cNvSpPr txBox="1"/>
          </xdr:nvSpPr>
          <xdr:spPr>
            <a:xfrm>
              <a:off x="7327265" y="504825"/>
              <a:ext cx="2930525" cy="80962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2400" b="0">
                  <a:latin typeface="Cambria Math" panose="02040503050406030204" pitchFamily="18" charset="0"/>
                </a:rPr>
                <a:t>𝑆</a:t>
              </a:r>
              <a:r>
                <a:rPr lang="en-US" sz="2400" b="0">
                  <a:latin typeface="Cambria Math" panose="02040503050406030204" pitchFamily="18" charset="0"/>
                </a:rPr>
                <a:t>(</a:t>
              </a:r>
              <a:r>
                <a:rPr lang="en-US" sz="2400" b="0">
                  <a:latin typeface="Cambria Math" panose="02040503050406030204" pitchFamily="18" charset="0"/>
                </a:rPr>
                <a:t>𝑥</a:t>
              </a:r>
              <a:r>
                <a:rPr lang="en-US" sz="2400" b="0">
                  <a:latin typeface="Cambria Math" panose="02040503050406030204" pitchFamily="18" charset="0"/>
                </a:rPr>
                <a:t>)=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{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𝑒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𝑘𝑥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}</a:t>
              </a:r>
              <a:r>
                <a:rPr lang="en-IN" sz="2400">
                  <a:latin typeface="Cambria Math" panose="02040503050406030204" pitchFamily="18" charset="0"/>
                </a:rPr>
                <a:t>^</a:t>
              </a:r>
              <a:r>
                <a:rPr lang="en-US" sz="2400" b="0">
                  <a:latin typeface="Cambria Math" panose="02040503050406030204" pitchFamily="18" charset="0"/>
                </a:rPr>
                <a:t>𝑎</a:t>
              </a:r>
              <a:endParaRPr lang="en-IN" sz="24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9"/>
  <sheetViews>
    <sheetView zoomScale="53" zoomScaleNormal="53" workbookViewId="0">
      <selection activeCell="H16" sqref="H16"/>
    </sheetView>
  </sheetViews>
  <sheetFormatPr defaultColWidth="9" defaultRowHeight="12.5"/>
  <cols>
    <col min="2" max="2" width="13.4" customWidth="1"/>
    <col min="3" max="3" width="6.6" customWidth="1"/>
    <col min="4" max="4" width="10.2636363636364" customWidth="1"/>
    <col min="5" max="5" width="7.6" customWidth="1"/>
    <col min="6" max="6" width="4.72727272727273" customWidth="1"/>
    <col min="7" max="7" width="9.4" customWidth="1"/>
    <col min="8" max="8" width="18.3636363636364" customWidth="1"/>
    <col min="9" max="9" width="24.9090909090909" customWidth="1"/>
    <col min="10" max="10" width="25.7272727272727" customWidth="1"/>
  </cols>
  <sheetData>
    <row r="1" spans="1:10">
      <c r="A1" s="27" t="s">
        <v>0</v>
      </c>
      <c r="B1" t="s">
        <v>1</v>
      </c>
    </row>
    <row r="3" spans="1:10">
      <c r="B3" t="s">
        <v>2</v>
      </c>
    </row>
    <row r="4" spans="1:10"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</row>
    <row r="5" spans="1:10">
      <c r="B5" t="s">
        <v>12</v>
      </c>
      <c r="D5" t="s">
        <v>13</v>
      </c>
      <c r="E5" t="s">
        <v>14</v>
      </c>
      <c r="F5">
        <v>0</v>
      </c>
      <c r="G5">
        <v>2</v>
      </c>
      <c r="H5" t="s">
        <v>15</v>
      </c>
      <c r="I5" s="32" t="s">
        <v>16</v>
      </c>
    </row>
    <row r="6" spans="1:10">
      <c r="B6" t="s">
        <v>17</v>
      </c>
      <c r="D6" t="s">
        <v>13</v>
      </c>
      <c r="G6" s="28">
        <v>31.536</v>
      </c>
      <c r="H6" t="s">
        <v>15</v>
      </c>
      <c r="I6" s="32" t="s">
        <v>16</v>
      </c>
    </row>
    <row r="7" spans="1:10">
      <c r="B7" t="s">
        <v>13</v>
      </c>
      <c r="D7" t="s">
        <v>13</v>
      </c>
      <c r="F7">
        <v>0</v>
      </c>
      <c r="G7">
        <v>1</v>
      </c>
      <c r="H7" t="s">
        <v>15</v>
      </c>
      <c r="I7" s="32" t="s">
        <v>16</v>
      </c>
    </row>
    <row r="8" spans="1:10">
      <c r="B8" t="s">
        <v>18</v>
      </c>
      <c r="D8" t="s">
        <v>13</v>
      </c>
      <c r="E8" t="s">
        <v>19</v>
      </c>
      <c r="F8">
        <v>2025</v>
      </c>
      <c r="G8">
        <v>0</v>
      </c>
      <c r="H8" t="s">
        <v>20</v>
      </c>
      <c r="J8" s="33" t="s">
        <v>21</v>
      </c>
    </row>
    <row r="9" spans="1:10">
      <c r="B9" t="s">
        <v>18</v>
      </c>
      <c r="D9" t="s">
        <v>13</v>
      </c>
      <c r="E9" t="s">
        <v>19</v>
      </c>
      <c r="F9">
        <v>2030</v>
      </c>
      <c r="G9">
        <v>0</v>
      </c>
      <c r="H9" t="s">
        <v>20</v>
      </c>
      <c r="J9" t="s">
        <v>22</v>
      </c>
    </row>
    <row r="10" spans="1:10">
      <c r="B10" t="s">
        <v>18</v>
      </c>
      <c r="D10" t="s">
        <v>13</v>
      </c>
      <c r="E10" t="s">
        <v>19</v>
      </c>
      <c r="F10">
        <v>0</v>
      </c>
      <c r="G10">
        <v>4</v>
      </c>
      <c r="H10" t="s">
        <v>20</v>
      </c>
      <c r="J10" s="33" t="str">
        <f>J8</f>
        <v>-ELCHYD,-ELCBIO,-ELCWAS,-ELCSPV,-ELCWIN</v>
      </c>
    </row>
    <row r="11" spans="1:10">
      <c r="B11" t="s">
        <v>23</v>
      </c>
      <c r="G11">
        <v>1</v>
      </c>
      <c r="H11" t="s">
        <v>15</v>
      </c>
    </row>
    <row r="12" spans="1:10">
      <c r="B12" t="s">
        <v>23</v>
      </c>
      <c r="G12">
        <v>0.15</v>
      </c>
      <c r="J12" t="s">
        <v>24</v>
      </c>
    </row>
    <row r="13" spans="1:10">
      <c r="B13" t="s">
        <v>23</v>
      </c>
      <c r="G13">
        <v>0.25</v>
      </c>
      <c r="J13" t="s">
        <v>25</v>
      </c>
    </row>
    <row r="16" spans="1:10">
      <c r="B16" t="s">
        <v>26</v>
      </c>
    </row>
    <row r="17" spans="2:10">
      <c r="B17" t="s">
        <v>3</v>
      </c>
      <c r="C17" t="s">
        <v>4</v>
      </c>
      <c r="D17" t="s">
        <v>5</v>
      </c>
      <c r="E17" t="s">
        <v>6</v>
      </c>
      <c r="F17" t="s">
        <v>7</v>
      </c>
      <c r="G17" t="s">
        <v>8</v>
      </c>
      <c r="H17" t="s">
        <v>9</v>
      </c>
      <c r="I17" t="s">
        <v>11</v>
      </c>
    </row>
    <row r="18" spans="2:10">
      <c r="B18" t="s">
        <v>27</v>
      </c>
      <c r="G18">
        <v>0.32</v>
      </c>
      <c r="I18" t="s">
        <v>28</v>
      </c>
    </row>
    <row r="19" spans="2:10">
      <c r="B19" t="s">
        <v>27</v>
      </c>
      <c r="G19">
        <v>1</v>
      </c>
      <c r="I19" t="s">
        <v>29</v>
      </c>
    </row>
    <row r="24" spans="2:10">
      <c r="B24" t="s">
        <v>2</v>
      </c>
    </row>
    <row r="25" spans="2:10">
      <c r="B25" t="s">
        <v>3</v>
      </c>
      <c r="C25" t="s">
        <v>4</v>
      </c>
      <c r="D25" t="s">
        <v>5</v>
      </c>
      <c r="E25" t="s">
        <v>6</v>
      </c>
      <c r="F25" t="s">
        <v>7</v>
      </c>
      <c r="G25" t="s">
        <v>8</v>
      </c>
      <c r="H25" t="s">
        <v>9</v>
      </c>
      <c r="I25" t="s">
        <v>11</v>
      </c>
      <c r="J25" t="s">
        <v>10</v>
      </c>
    </row>
    <row r="26" spans="2:10">
      <c r="B26" t="s">
        <v>30</v>
      </c>
      <c r="C26" t="s">
        <v>31</v>
      </c>
      <c r="G26" s="31">
        <v>2882.65777101602</v>
      </c>
      <c r="H26" t="s">
        <v>32</v>
      </c>
      <c r="J26" t="s">
        <v>33</v>
      </c>
    </row>
    <row r="27" spans="2:10">
      <c r="B27" t="s">
        <v>30</v>
      </c>
      <c r="C27" t="s">
        <v>31</v>
      </c>
      <c r="G27" s="31">
        <v>893.709136548464</v>
      </c>
      <c r="H27" t="s">
        <v>32</v>
      </c>
      <c r="J27" t="s">
        <v>34</v>
      </c>
    </row>
    <row r="28" spans="2:10">
      <c r="B28" t="s">
        <v>30</v>
      </c>
      <c r="C28" t="s">
        <v>31</v>
      </c>
      <c r="G28" s="31">
        <v>3000</v>
      </c>
      <c r="H28" t="s">
        <v>35</v>
      </c>
      <c r="J28" t="s">
        <v>36</v>
      </c>
    </row>
    <row r="29" spans="2:10">
      <c r="B29" t="s">
        <v>37</v>
      </c>
      <c r="G29">
        <v>30</v>
      </c>
      <c r="J29" t="s">
        <v>38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O41"/>
  <sheetViews>
    <sheetView zoomScale="64" zoomScaleNormal="64" workbookViewId="0">
      <selection activeCell="G37" sqref="G37"/>
    </sheetView>
  </sheetViews>
  <sheetFormatPr defaultColWidth="9" defaultRowHeight="12.5"/>
  <cols>
    <col min="4" max="4" width="5" customWidth="1"/>
    <col min="7" max="7" width="9.86363636363636" customWidth="1"/>
    <col min="8" max="8" width="12.6" customWidth="1"/>
    <col min="9" max="9" width="4.6" customWidth="1"/>
    <col min="10" max="10" width="8.13636363636364" customWidth="1"/>
    <col min="12" max="12" width="20.4" customWidth="1"/>
    <col min="13" max="13" width="7.13636363636364" customWidth="1"/>
    <col min="14" max="14" width="4.26363636363636" customWidth="1"/>
    <col min="15" max="15" width="5" customWidth="1"/>
  </cols>
  <sheetData>
    <row r="1" spans="2:15">
      <c r="J1" s="27" t="s">
        <v>39</v>
      </c>
      <c r="K1" t="s">
        <v>40</v>
      </c>
    </row>
    <row r="2" spans="2:15">
      <c r="J2" s="28">
        <f>AVERAGE(J6:J25)</f>
        <v>0.593551382979919</v>
      </c>
    </row>
    <row r="4" spans="2:15">
      <c r="B4" t="s">
        <v>41</v>
      </c>
      <c r="G4" t="s">
        <v>2</v>
      </c>
      <c r="L4" t="s">
        <v>42</v>
      </c>
    </row>
    <row r="5" spans="2:15">
      <c r="B5" t="s">
        <v>43</v>
      </c>
      <c r="C5" t="s">
        <v>44</v>
      </c>
      <c r="D5" t="s">
        <v>45</v>
      </c>
      <c r="E5" t="s">
        <v>46</v>
      </c>
      <c r="G5" t="s">
        <v>43</v>
      </c>
      <c r="H5" t="s">
        <v>47</v>
      </c>
      <c r="I5" t="s">
        <v>48</v>
      </c>
      <c r="J5" t="s">
        <v>49</v>
      </c>
      <c r="L5" t="s">
        <v>43</v>
      </c>
      <c r="M5" t="s">
        <v>44</v>
      </c>
      <c r="N5" t="s">
        <v>48</v>
      </c>
      <c r="O5" t="s">
        <v>49</v>
      </c>
    </row>
    <row r="6" spans="2:15">
      <c r="B6" t="s">
        <v>13</v>
      </c>
      <c r="C6" t="s">
        <v>50</v>
      </c>
      <c r="D6">
        <v>2019</v>
      </c>
      <c r="E6" t="str">
        <f>"*"&amp;1/20/$J$2</f>
        <v>*0.0842387052473461</v>
      </c>
      <c r="G6" t="s">
        <v>51</v>
      </c>
      <c r="H6">
        <v>15</v>
      </c>
      <c r="I6">
        <f>SHAPES!A8</f>
        <v>1</v>
      </c>
      <c r="J6" s="28">
        <f>SHAPES!D8</f>
        <v>0.938230830558969</v>
      </c>
      <c r="L6" t="s">
        <v>12</v>
      </c>
      <c r="M6" t="s">
        <v>50</v>
      </c>
      <c r="N6">
        <v>0</v>
      </c>
      <c r="O6">
        <v>2</v>
      </c>
    </row>
    <row r="7" spans="2:15">
      <c r="B7" t="s">
        <v>13</v>
      </c>
      <c r="C7" t="s">
        <v>50</v>
      </c>
      <c r="D7">
        <f>D6-1</f>
        <v>2018</v>
      </c>
      <c r="E7" t="str">
        <f t="shared" ref="E7:E25" si="0">"*"&amp;1/20/$J$2</f>
        <v>*0.0842387052473461</v>
      </c>
      <c r="G7" t="s">
        <v>51</v>
      </c>
      <c r="H7">
        <v>15</v>
      </c>
      <c r="I7">
        <f>SHAPES!A9</f>
        <v>2</v>
      </c>
      <c r="J7" s="28">
        <f>SHAPES!D9</f>
        <v>0.925439283531944</v>
      </c>
    </row>
    <row r="8" spans="2:15">
      <c r="B8" t="s">
        <v>13</v>
      </c>
      <c r="C8" t="s">
        <v>50</v>
      </c>
      <c r="D8">
        <f t="shared" ref="D8:D25" si="1">D7-1</f>
        <v>2017</v>
      </c>
      <c r="E8" t="str">
        <f t="shared" si="0"/>
        <v>*0.0842387052473461</v>
      </c>
      <c r="G8" t="s">
        <v>51</v>
      </c>
      <c r="H8">
        <v>15</v>
      </c>
      <c r="I8">
        <f>SHAPES!A10</f>
        <v>3</v>
      </c>
      <c r="J8" s="28">
        <f>SHAPES!D10</f>
        <v>0.910128364505219</v>
      </c>
    </row>
    <row r="9" spans="2:15">
      <c r="B9" t="s">
        <v>13</v>
      </c>
      <c r="C9" t="s">
        <v>50</v>
      </c>
      <c r="D9">
        <f t="shared" si="1"/>
        <v>2016</v>
      </c>
      <c r="E9" t="str">
        <f t="shared" si="0"/>
        <v>*0.0842387052473461</v>
      </c>
      <c r="G9" t="s">
        <v>51</v>
      </c>
      <c r="H9">
        <v>15</v>
      </c>
      <c r="I9">
        <f>SHAPES!A11</f>
        <v>4</v>
      </c>
      <c r="J9" s="28">
        <f>SHAPES!D11</f>
        <v>0.891861795425706</v>
      </c>
    </row>
    <row r="10" spans="2:15">
      <c r="B10" t="s">
        <v>13</v>
      </c>
      <c r="C10" t="s">
        <v>50</v>
      </c>
      <c r="D10">
        <f t="shared" si="1"/>
        <v>2015</v>
      </c>
      <c r="E10" t="str">
        <f t="shared" si="0"/>
        <v>*0.0842387052473461</v>
      </c>
      <c r="G10" t="s">
        <v>51</v>
      </c>
      <c r="H10">
        <v>15</v>
      </c>
      <c r="I10">
        <f>SHAPES!A12</f>
        <v>5</v>
      </c>
      <c r="J10" s="28">
        <f>SHAPES!D12</f>
        <v>0.870155573115599</v>
      </c>
    </row>
    <row r="11" spans="2:15">
      <c r="B11" t="s">
        <v>13</v>
      </c>
      <c r="C11" t="s">
        <v>50</v>
      </c>
      <c r="D11">
        <f t="shared" si="1"/>
        <v>2014</v>
      </c>
      <c r="E11" t="str">
        <f t="shared" si="0"/>
        <v>*0.0842387052473461</v>
      </c>
      <c r="G11" t="s">
        <v>51</v>
      </c>
      <c r="H11">
        <v>15</v>
      </c>
      <c r="I11">
        <f>SHAPES!A13</f>
        <v>6</v>
      </c>
      <c r="J11" s="28">
        <f>SHAPES!D13</f>
        <v>0.844486434298216</v>
      </c>
    </row>
    <row r="12" spans="2:15">
      <c r="B12" t="s">
        <v>13</v>
      </c>
      <c r="C12" t="s">
        <v>50</v>
      </c>
      <c r="D12">
        <f t="shared" si="1"/>
        <v>2013</v>
      </c>
      <c r="E12" t="str">
        <f t="shared" si="0"/>
        <v>*0.0842387052473461</v>
      </c>
      <c r="G12" t="s">
        <v>51</v>
      </c>
      <c r="H12">
        <v>15</v>
      </c>
      <c r="I12">
        <f>SHAPES!A14</f>
        <v>7</v>
      </c>
      <c r="J12" s="28">
        <f>SHAPES!D14</f>
        <v>0.814308706204866</v>
      </c>
    </row>
    <row r="13" spans="2:15">
      <c r="B13" t="s">
        <v>13</v>
      </c>
      <c r="C13" t="s">
        <v>50</v>
      </c>
      <c r="D13">
        <f t="shared" si="1"/>
        <v>2012</v>
      </c>
      <c r="E13" t="str">
        <f t="shared" si="0"/>
        <v>*0.0842387052473461</v>
      </c>
      <c r="G13" t="s">
        <v>51</v>
      </c>
      <c r="H13">
        <v>15</v>
      </c>
      <c r="I13">
        <f>SHAPES!A15</f>
        <v>8</v>
      </c>
      <c r="J13" s="28">
        <f>SHAPES!D15</f>
        <v>0.779082860560271</v>
      </c>
    </row>
    <row r="14" spans="2:15">
      <c r="B14" t="s">
        <v>13</v>
      </c>
      <c r="C14" t="s">
        <v>50</v>
      </c>
      <c r="D14">
        <f t="shared" si="1"/>
        <v>2011</v>
      </c>
      <c r="E14" t="str">
        <f t="shared" si="0"/>
        <v>*0.0842387052473461</v>
      </c>
      <c r="G14" t="s">
        <v>51</v>
      </c>
      <c r="H14">
        <v>15</v>
      </c>
      <c r="I14">
        <f>SHAPES!A16</f>
        <v>9</v>
      </c>
      <c r="J14" s="28">
        <f>SHAPES!D16</f>
        <v>0.7383195238711</v>
      </c>
    </row>
    <row r="15" spans="2:15">
      <c r="B15" t="s">
        <v>13</v>
      </c>
      <c r="C15" t="s">
        <v>50</v>
      </c>
      <c r="D15">
        <f t="shared" si="1"/>
        <v>2010</v>
      </c>
      <c r="E15" t="str">
        <f t="shared" si="0"/>
        <v>*0.0842387052473461</v>
      </c>
      <c r="G15" t="s">
        <v>51</v>
      </c>
      <c r="H15">
        <v>15</v>
      </c>
      <c r="I15">
        <f>SHAPES!A17</f>
        <v>10</v>
      </c>
      <c r="J15" s="28">
        <f>SHAPES!D17</f>
        <v>0.691642583607144</v>
      </c>
    </row>
    <row r="16" spans="2:15">
      <c r="B16" t="s">
        <v>13</v>
      </c>
      <c r="C16" t="s">
        <v>50</v>
      </c>
      <c r="D16">
        <f t="shared" si="1"/>
        <v>2009</v>
      </c>
      <c r="E16" t="str">
        <f t="shared" si="0"/>
        <v>*0.0842387052473461</v>
      </c>
      <c r="G16" t="s">
        <v>51</v>
      </c>
      <c r="H16">
        <v>15</v>
      </c>
      <c r="I16">
        <f>SHAPES!A18</f>
        <v>11</v>
      </c>
      <c r="J16" s="28">
        <f>SHAPES!D18</f>
        <v>0.638873803601385</v>
      </c>
    </row>
    <row r="17" spans="2:10">
      <c r="B17" t="s">
        <v>13</v>
      </c>
      <c r="C17" t="s">
        <v>50</v>
      </c>
      <c r="D17">
        <f t="shared" si="1"/>
        <v>2008</v>
      </c>
      <c r="E17" t="str">
        <f t="shared" si="0"/>
        <v>*0.0842387052473461</v>
      </c>
      <c r="G17" t="s">
        <v>51</v>
      </c>
      <c r="H17">
        <v>15</v>
      </c>
      <c r="I17">
        <f>SHAPES!A19</f>
        <v>12</v>
      </c>
      <c r="J17" s="28">
        <f>SHAPES!D19</f>
        <v>0.580138223569736</v>
      </c>
    </row>
    <row r="18" spans="2:10">
      <c r="B18" t="s">
        <v>13</v>
      </c>
      <c r="C18" t="s">
        <v>50</v>
      </c>
      <c r="D18">
        <f t="shared" si="1"/>
        <v>2007</v>
      </c>
      <c r="E18" t="str">
        <f t="shared" si="0"/>
        <v>*0.0842387052473461</v>
      </c>
      <c r="G18" t="s">
        <v>51</v>
      </c>
      <c r="H18">
        <v>15</v>
      </c>
      <c r="I18">
        <f>SHAPES!A20</f>
        <v>13</v>
      </c>
      <c r="J18" s="28">
        <f>SHAPES!D20</f>
        <v>0.515983628855313</v>
      </c>
    </row>
    <row r="19" spans="2:10">
      <c r="B19" t="s">
        <v>13</v>
      </c>
      <c r="C19" t="s">
        <v>50</v>
      </c>
      <c r="D19">
        <f t="shared" si="1"/>
        <v>2006</v>
      </c>
      <c r="E19" t="str">
        <f t="shared" si="0"/>
        <v>*0.0842387052473461</v>
      </c>
      <c r="G19" t="s">
        <v>51</v>
      </c>
      <c r="H19">
        <v>15</v>
      </c>
      <c r="I19">
        <f>SHAPES!A21</f>
        <v>14</v>
      </c>
      <c r="J19" s="28">
        <f>SHAPES!D21</f>
        <v>0.447497806996866</v>
      </c>
    </row>
    <row r="20" spans="2:10">
      <c r="B20" t="s">
        <v>13</v>
      </c>
      <c r="C20" t="s">
        <v>50</v>
      </c>
      <c r="D20">
        <f t="shared" si="1"/>
        <v>2005</v>
      </c>
      <c r="E20" t="str">
        <f t="shared" si="0"/>
        <v>*0.0842387052473461</v>
      </c>
      <c r="G20" t="s">
        <v>51</v>
      </c>
      <c r="H20">
        <v>15</v>
      </c>
      <c r="I20">
        <f>SHAPES!A22</f>
        <v>15</v>
      </c>
      <c r="J20" s="28">
        <f>SHAPES!D22</f>
        <v>0.376394405858965</v>
      </c>
    </row>
    <row r="21" spans="2:10">
      <c r="B21" t="s">
        <v>13</v>
      </c>
      <c r="C21" t="s">
        <v>50</v>
      </c>
      <c r="D21">
        <f t="shared" si="1"/>
        <v>2004</v>
      </c>
      <c r="E21" t="str">
        <f t="shared" si="0"/>
        <v>*0.0842387052473461</v>
      </c>
      <c r="G21" t="s">
        <v>51</v>
      </c>
      <c r="H21">
        <v>15</v>
      </c>
      <c r="I21">
        <f>SHAPES!A23</f>
        <v>16</v>
      </c>
      <c r="J21" s="28">
        <f>SHAPES!D23</f>
        <v>0.305024495274644</v>
      </c>
    </row>
    <row r="22" spans="2:10">
      <c r="B22" t="s">
        <v>13</v>
      </c>
      <c r="C22" t="s">
        <v>50</v>
      </c>
      <c r="D22">
        <f t="shared" si="1"/>
        <v>2003</v>
      </c>
      <c r="E22" t="str">
        <f t="shared" si="0"/>
        <v>*0.0842387052473461</v>
      </c>
      <c r="G22" t="s">
        <v>51</v>
      </c>
      <c r="H22">
        <v>15</v>
      </c>
      <c r="I22">
        <f>SHAPES!A24</f>
        <v>17</v>
      </c>
      <c r="J22" s="28">
        <f>SHAPES!D24</f>
        <v>0.236262757898913</v>
      </c>
    </row>
    <row r="23" spans="2:10">
      <c r="B23" t="s">
        <v>13</v>
      </c>
      <c r="C23" t="s">
        <v>50</v>
      </c>
      <c r="D23">
        <f t="shared" si="1"/>
        <v>2002</v>
      </c>
      <c r="E23" t="str">
        <f t="shared" si="0"/>
        <v>*0.0842387052473461</v>
      </c>
      <c r="G23" t="s">
        <v>51</v>
      </c>
      <c r="H23">
        <v>15</v>
      </c>
      <c r="I23">
        <f>SHAPES!A25</f>
        <v>18</v>
      </c>
      <c r="J23" s="28">
        <f>SHAPES!D25</f>
        <v>0.173225455866289</v>
      </c>
    </row>
    <row r="24" spans="2:10">
      <c r="B24" t="s">
        <v>13</v>
      </c>
      <c r="C24" t="s">
        <v>50</v>
      </c>
      <c r="D24">
        <f t="shared" si="1"/>
        <v>2001</v>
      </c>
      <c r="E24" t="str">
        <f t="shared" si="0"/>
        <v>*0.0842387052473461</v>
      </c>
      <c r="G24" t="s">
        <v>51</v>
      </c>
      <c r="H24">
        <v>15</v>
      </c>
      <c r="I24">
        <f>SHAPES!A26</f>
        <v>19</v>
      </c>
      <c r="J24" s="28">
        <f>SHAPES!D26</f>
        <v>0.118814738805559</v>
      </c>
    </row>
    <row r="25" spans="2:10">
      <c r="B25" t="s">
        <v>13</v>
      </c>
      <c r="C25" t="s">
        <v>50</v>
      </c>
      <c r="D25" s="29">
        <v>2000</v>
      </c>
      <c r="E25" t="str">
        <f t="shared" si="0"/>
        <v>*0.0842387052473461</v>
      </c>
      <c r="G25" t="s">
        <v>51</v>
      </c>
      <c r="H25">
        <v>15</v>
      </c>
      <c r="I25">
        <f>SHAPES!A27</f>
        <v>20</v>
      </c>
      <c r="J25" s="28">
        <f>SHAPES!D27</f>
        <v>0.0751563871916662</v>
      </c>
    </row>
    <row r="26" spans="2:10">
      <c r="G26" t="s">
        <v>51</v>
      </c>
      <c r="H26">
        <v>15</v>
      </c>
      <c r="I26">
        <f>SHAPES!A28</f>
        <v>21</v>
      </c>
      <c r="J26" s="28">
        <f>SHAPES!D28</f>
        <v>0.0430894887796983</v>
      </c>
    </row>
    <row r="27" spans="2:10">
      <c r="G27" t="s">
        <v>51</v>
      </c>
      <c r="H27">
        <v>15</v>
      </c>
      <c r="I27">
        <f>SHAPES!A29</f>
        <v>22</v>
      </c>
      <c r="J27" s="28">
        <f>SHAPES!D29</f>
        <v>0.0219260148806106</v>
      </c>
    </row>
    <row r="28" spans="2:10">
      <c r="G28" t="s">
        <v>51</v>
      </c>
      <c r="H28">
        <v>15</v>
      </c>
      <c r="I28">
        <f>SHAPES!A30</f>
        <v>23</v>
      </c>
      <c r="J28" s="28">
        <f>SHAPES!D30</f>
        <v>0.00965316125123916</v>
      </c>
    </row>
    <row r="29" spans="2:10">
      <c r="G29" t="s">
        <v>51</v>
      </c>
      <c r="H29">
        <v>15</v>
      </c>
      <c r="I29">
        <f>SHAPES!A31</f>
        <v>24</v>
      </c>
      <c r="J29" s="28">
        <v>0</v>
      </c>
    </row>
    <row r="30" spans="2:10">
      <c r="G30" t="s">
        <v>51</v>
      </c>
      <c r="H30">
        <v>15</v>
      </c>
      <c r="I30">
        <f>SHAPES!A32</f>
        <v>25</v>
      </c>
      <c r="J30" s="28">
        <v>0</v>
      </c>
    </row>
    <row r="31" spans="2:10">
      <c r="G31" t="s">
        <v>51</v>
      </c>
      <c r="H31">
        <v>15</v>
      </c>
      <c r="I31">
        <f>SHAPES!A33</f>
        <v>26</v>
      </c>
      <c r="J31" s="28">
        <v>0</v>
      </c>
    </row>
    <row r="32" spans="2:10">
      <c r="G32" t="s">
        <v>51</v>
      </c>
      <c r="H32">
        <v>15</v>
      </c>
      <c r="I32">
        <f>SHAPES!A34</f>
        <v>27</v>
      </c>
      <c r="J32" s="28">
        <v>0</v>
      </c>
    </row>
    <row r="33" spans="7:10">
      <c r="G33" t="s">
        <v>51</v>
      </c>
      <c r="H33">
        <v>15</v>
      </c>
      <c r="I33">
        <f>SHAPES!A35</f>
        <v>28</v>
      </c>
      <c r="J33" s="28">
        <v>0</v>
      </c>
    </row>
    <row r="34" spans="7:10">
      <c r="G34" t="s">
        <v>51</v>
      </c>
      <c r="H34">
        <v>15</v>
      </c>
      <c r="I34">
        <f>SHAPES!A36</f>
        <v>29</v>
      </c>
      <c r="J34" s="28">
        <v>0</v>
      </c>
    </row>
    <row r="35" spans="7:10">
      <c r="G35" t="s">
        <v>51</v>
      </c>
      <c r="H35">
        <v>15</v>
      </c>
      <c r="I35">
        <f>SHAPES!A37</f>
        <v>30</v>
      </c>
      <c r="J35" s="28">
        <v>0</v>
      </c>
    </row>
    <row r="36" spans="7:10">
      <c r="G36" t="s">
        <v>51</v>
      </c>
      <c r="H36">
        <v>15</v>
      </c>
      <c r="I36">
        <f>SHAPES!A38</f>
        <v>31</v>
      </c>
      <c r="J36" s="28">
        <v>0</v>
      </c>
    </row>
    <row r="37" spans="7:10">
      <c r="G37" t="s">
        <v>51</v>
      </c>
      <c r="H37">
        <v>15</v>
      </c>
      <c r="I37">
        <f>SHAPES!A39</f>
        <v>32</v>
      </c>
      <c r="J37" s="28">
        <v>0</v>
      </c>
    </row>
    <row r="38" spans="7:10">
      <c r="G38" t="s">
        <v>51</v>
      </c>
      <c r="H38">
        <v>15</v>
      </c>
      <c r="I38">
        <f>SHAPES!A40</f>
        <v>33</v>
      </c>
      <c r="J38" s="28">
        <v>0</v>
      </c>
    </row>
    <row r="39" spans="7:10">
      <c r="G39" t="s">
        <v>51</v>
      </c>
      <c r="H39">
        <v>15</v>
      </c>
      <c r="I39">
        <f>SHAPES!A41</f>
        <v>34</v>
      </c>
      <c r="J39" s="28">
        <v>0</v>
      </c>
    </row>
    <row r="40" spans="7:10">
      <c r="G40" t="s">
        <v>51</v>
      </c>
      <c r="H40">
        <v>15</v>
      </c>
      <c r="I40">
        <f>SHAPES!A42</f>
        <v>35</v>
      </c>
      <c r="J40" s="28">
        <v>0</v>
      </c>
    </row>
    <row r="41" spans="7:10">
      <c r="G41" t="s">
        <v>51</v>
      </c>
      <c r="H41">
        <v>15</v>
      </c>
      <c r="I41">
        <f>SHAPES!A43</f>
        <v>36</v>
      </c>
      <c r="J41" s="28">
        <v>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C1:K17"/>
  <sheetViews>
    <sheetView tabSelected="1" zoomScale="74" zoomScaleNormal="74" workbookViewId="0">
      <selection activeCell="I24" sqref="I24"/>
    </sheetView>
  </sheetViews>
  <sheetFormatPr defaultColWidth="8.72727272727273" defaultRowHeight="12.5"/>
  <cols>
    <col min="4" max="4" width="28.5454545454545" customWidth="1"/>
  </cols>
  <sheetData>
    <row r="1" spans="3:11">
      <c r="J1" s="27" t="s">
        <v>39</v>
      </c>
      <c r="K1" t="s">
        <v>52</v>
      </c>
    </row>
    <row r="2" spans="3:11">
      <c r="J2">
        <v>1</v>
      </c>
    </row>
    <row r="6" spans="3:11">
      <c r="C6" t="s">
        <v>41</v>
      </c>
    </row>
    <row r="7" spans="3:11">
      <c r="C7" t="s">
        <v>43</v>
      </c>
      <c r="D7" t="s">
        <v>44</v>
      </c>
      <c r="E7" t="s">
        <v>45</v>
      </c>
      <c r="F7" t="s">
        <v>46</v>
      </c>
    </row>
    <row r="8" spans="3:11">
      <c r="C8" t="s">
        <v>13</v>
      </c>
      <c r="D8" t="s">
        <v>53</v>
      </c>
      <c r="E8">
        <v>2019</v>
      </c>
      <c r="F8" t="str">
        <f>"*"&amp;1/10/$J$2</f>
        <v>*0.1</v>
      </c>
    </row>
    <row r="9" spans="3:11">
      <c r="C9" t="s">
        <v>13</v>
      </c>
      <c r="D9" t="str">
        <f>D8</f>
        <v>EN_STG_4hBatt*</v>
      </c>
      <c r="E9">
        <f t="shared" ref="E9:E17" si="0">E8-1</f>
        <v>2018</v>
      </c>
      <c r="F9" t="str">
        <f t="shared" ref="F9:F17" si="1">"*"&amp;1/10/$J$2</f>
        <v>*0.1</v>
      </c>
    </row>
    <row r="10" spans="3:11">
      <c r="C10" t="s">
        <v>13</v>
      </c>
      <c r="D10" t="str">
        <f t="shared" ref="D10:D17" si="2">D9</f>
        <v>EN_STG_4hBatt*</v>
      </c>
      <c r="E10">
        <f t="shared" si="0"/>
        <v>2017</v>
      </c>
      <c r="F10" t="str">
        <f t="shared" si="1"/>
        <v>*0.1</v>
      </c>
    </row>
    <row r="11" spans="3:11">
      <c r="C11" t="s">
        <v>13</v>
      </c>
      <c r="D11" t="str">
        <f t="shared" si="2"/>
        <v>EN_STG_4hBatt*</v>
      </c>
      <c r="E11">
        <f t="shared" si="0"/>
        <v>2016</v>
      </c>
      <c r="F11" t="str">
        <f t="shared" si="1"/>
        <v>*0.1</v>
      </c>
    </row>
    <row r="12" spans="3:11">
      <c r="C12" t="s">
        <v>13</v>
      </c>
      <c r="D12" t="str">
        <f t="shared" si="2"/>
        <v>EN_STG_4hBatt*</v>
      </c>
      <c r="E12">
        <f t="shared" si="0"/>
        <v>2015</v>
      </c>
      <c r="F12" t="str">
        <f t="shared" si="1"/>
        <v>*0.1</v>
      </c>
    </row>
    <row r="13" spans="3:11">
      <c r="C13" t="s">
        <v>13</v>
      </c>
      <c r="D13" t="str">
        <f t="shared" si="2"/>
        <v>EN_STG_4hBatt*</v>
      </c>
      <c r="E13">
        <f t="shared" si="0"/>
        <v>2014</v>
      </c>
      <c r="F13" t="str">
        <f t="shared" si="1"/>
        <v>*0.1</v>
      </c>
    </row>
    <row r="14" spans="3:11">
      <c r="C14" t="s">
        <v>13</v>
      </c>
      <c r="D14" t="str">
        <f t="shared" si="2"/>
        <v>EN_STG_4hBatt*</v>
      </c>
      <c r="E14">
        <f t="shared" si="0"/>
        <v>2013</v>
      </c>
      <c r="F14" t="str">
        <f t="shared" si="1"/>
        <v>*0.1</v>
      </c>
    </row>
    <row r="15" spans="3:11">
      <c r="C15" t="s">
        <v>13</v>
      </c>
      <c r="D15" t="str">
        <f t="shared" si="2"/>
        <v>EN_STG_4hBatt*</v>
      </c>
      <c r="E15">
        <f t="shared" si="0"/>
        <v>2012</v>
      </c>
      <c r="F15" t="str">
        <f t="shared" si="1"/>
        <v>*0.1</v>
      </c>
    </row>
    <row r="16" spans="3:11">
      <c r="C16" t="s">
        <v>13</v>
      </c>
      <c r="D16" t="str">
        <f t="shared" si="2"/>
        <v>EN_STG_4hBatt*</v>
      </c>
      <c r="E16">
        <f t="shared" si="0"/>
        <v>2011</v>
      </c>
      <c r="F16" t="str">
        <f t="shared" si="1"/>
        <v>*0.1</v>
      </c>
    </row>
    <row r="17" spans="3:6">
      <c r="C17" t="s">
        <v>13</v>
      </c>
      <c r="D17" t="str">
        <f t="shared" si="2"/>
        <v>EN_STG_4hBatt*</v>
      </c>
      <c r="E17">
        <f t="shared" si="0"/>
        <v>2010</v>
      </c>
      <c r="F17" t="str">
        <f t="shared" si="1"/>
        <v>*0.1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K57"/>
  <sheetViews>
    <sheetView workbookViewId="0">
      <selection activeCell="A1" sqref="A1"/>
    </sheetView>
  </sheetViews>
  <sheetFormatPr defaultColWidth="9.13636363636364" defaultRowHeight="14.5"/>
  <cols>
    <col min="1" max="16384" width="9.13636363636364" style="11"/>
  </cols>
  <sheetData>
    <row r="4" spans="1:7">
      <c r="B4" s="14" t="s">
        <v>54</v>
      </c>
      <c r="C4" s="15">
        <v>0.192</v>
      </c>
      <c r="D4" s="15">
        <v>0.195</v>
      </c>
      <c r="E4" s="15">
        <v>0.131</v>
      </c>
      <c r="F4" s="15">
        <v>0.13</v>
      </c>
      <c r="G4" s="15"/>
    </row>
    <row r="5" spans="1:7">
      <c r="B5" s="14" t="s">
        <v>55</v>
      </c>
      <c r="C5" s="15">
        <v>1200</v>
      </c>
      <c r="D5" s="15">
        <v>900</v>
      </c>
      <c r="E5" s="15">
        <v>21</v>
      </c>
      <c r="F5" s="15">
        <v>52</v>
      </c>
      <c r="G5" s="15"/>
    </row>
    <row r="7" spans="1:7">
      <c r="B7" s="16" t="s">
        <v>56</v>
      </c>
      <c r="C7" s="16">
        <f t="shared" ref="C7:F7" si="0">SUM(C8:C32)</f>
        <v>10.0234245384626</v>
      </c>
      <c r="D7" s="16">
        <f t="shared" si="0"/>
        <v>11.9503259310896</v>
      </c>
      <c r="E7" s="16">
        <f t="shared" si="0"/>
        <v>19.9589529077991</v>
      </c>
      <c r="F7" s="16">
        <f t="shared" si="0"/>
        <v>15.0360677410005</v>
      </c>
      <c r="G7" s="17" t="s">
        <v>57</v>
      </c>
    </row>
    <row r="8" spans="1:7">
      <c r="A8" s="11">
        <v>1</v>
      </c>
      <c r="B8" s="18">
        <v>0.98</v>
      </c>
      <c r="C8" s="19">
        <f>(1/(1+EXP(-(50-$A8)*C$4)))^C$5</f>
        <v>0.906219385211314</v>
      </c>
      <c r="D8" s="19">
        <f>(1/(1+EXP(-(50-$A8)*D$4)))^D$5</f>
        <v>0.938230830558969</v>
      </c>
      <c r="E8" s="19">
        <f>(1/(1+EXP(-(50-$A8)*E$4)))^E$5</f>
        <v>0.966370359922775</v>
      </c>
      <c r="F8" s="19">
        <f>(1/(1+EXP(-(50-$A8)*F$4)))^F$5</f>
        <v>0.914885692356098</v>
      </c>
      <c r="G8" s="20"/>
    </row>
    <row r="9" spans="1:7">
      <c r="A9" s="11">
        <v>2</v>
      </c>
      <c r="B9" s="18">
        <v>0.970622580135159</v>
      </c>
      <c r="C9" s="19">
        <f t="shared" ref="C9:F57" si="1">(1/(1+EXP(-(50-$A9)*C$4)))^C$5</f>
        <v>0.887526560438355</v>
      </c>
      <c r="D9" s="19">
        <f t="shared" si="1"/>
        <v>0.925439283531944</v>
      </c>
      <c r="E9" s="19">
        <f t="shared" si="1"/>
        <v>0.961758676863334</v>
      </c>
      <c r="F9" s="19">
        <f t="shared" si="1"/>
        <v>0.903667527866718</v>
      </c>
      <c r="G9" s="20"/>
    </row>
    <row r="10" spans="1:7">
      <c r="A10" s="11">
        <v>3</v>
      </c>
      <c r="B10" s="18">
        <v>0.962396435716511</v>
      </c>
      <c r="C10" s="19">
        <f t="shared" si="1"/>
        <v>0.865393324683414</v>
      </c>
      <c r="D10" s="19">
        <f t="shared" si="1"/>
        <v>0.910128364505219</v>
      </c>
      <c r="E10" s="19">
        <f t="shared" si="1"/>
        <v>0.956529615654335</v>
      </c>
      <c r="F10" s="19">
        <f t="shared" si="1"/>
        <v>0.891062569793048</v>
      </c>
      <c r="G10" s="20"/>
    </row>
    <row r="11" spans="1:7">
      <c r="A11" s="11">
        <v>4</v>
      </c>
      <c r="B11" s="18">
        <v>0.962396435716511</v>
      </c>
      <c r="C11" s="19">
        <f t="shared" si="1"/>
        <v>0.839314002453786</v>
      </c>
      <c r="D11" s="19">
        <f t="shared" si="1"/>
        <v>0.891861795425706</v>
      </c>
      <c r="E11" s="19">
        <f t="shared" si="1"/>
        <v>0.950604963935119</v>
      </c>
      <c r="F11" s="19">
        <f t="shared" si="1"/>
        <v>0.876925728837395</v>
      </c>
      <c r="G11" s="20"/>
    </row>
    <row r="12" spans="1:7">
      <c r="A12" s="11">
        <v>5</v>
      </c>
      <c r="B12" s="18">
        <v>0.953348946865523</v>
      </c>
      <c r="C12" s="19">
        <f t="shared" si="1"/>
        <v>0.808766111793418</v>
      </c>
      <c r="D12" s="19">
        <f t="shared" si="1"/>
        <v>0.870155573115599</v>
      </c>
      <c r="E12" s="19">
        <f t="shared" si="1"/>
        <v>0.943897915356145</v>
      </c>
      <c r="F12" s="19">
        <f t="shared" si="1"/>
        <v>0.861104397852864</v>
      </c>
      <c r="G12" s="20"/>
    </row>
    <row r="13" spans="1:7">
      <c r="A13" s="11">
        <v>6</v>
      </c>
      <c r="B13" s="18">
        <v>0.946947220933845</v>
      </c>
      <c r="C13" s="19">
        <f t="shared" si="1"/>
        <v>0.773239215092304</v>
      </c>
      <c r="D13" s="19">
        <f t="shared" si="1"/>
        <v>0.844486434298216</v>
      </c>
      <c r="E13" s="19">
        <f t="shared" si="1"/>
        <v>0.936312523381613</v>
      </c>
      <c r="F13" s="19">
        <f t="shared" si="1"/>
        <v>0.843440509350422</v>
      </c>
      <c r="G13" s="20"/>
    </row>
    <row r="14" spans="1:7">
      <c r="A14" s="11">
        <v>7</v>
      </c>
      <c r="B14" s="18">
        <v>0.946947220933845</v>
      </c>
      <c r="C14" s="19">
        <f t="shared" si="1"/>
        <v>0.732278494099783</v>
      </c>
      <c r="D14" s="19">
        <f t="shared" si="1"/>
        <v>0.814308706204866</v>
      </c>
      <c r="E14" s="19">
        <f t="shared" si="1"/>
        <v>0.927743253132952</v>
      </c>
      <c r="F14" s="19">
        <f t="shared" si="1"/>
        <v>0.823773522375577</v>
      </c>
      <c r="G14" s="20"/>
    </row>
    <row r="15" spans="1:7">
      <c r="A15" s="11">
        <v>8</v>
      </c>
      <c r="B15" s="18">
        <v>0.926261114788064</v>
      </c>
      <c r="C15" s="19">
        <f t="shared" si="1"/>
        <v>0.685546224575631</v>
      </c>
      <c r="D15" s="19">
        <f t="shared" si="1"/>
        <v>0.779082860560271</v>
      </c>
      <c r="E15" s="19">
        <f t="shared" si="1"/>
        <v>0.918074687227548</v>
      </c>
      <c r="F15" s="19">
        <f t="shared" si="1"/>
        <v>0.801944546687233</v>
      </c>
      <c r="G15" s="20"/>
    </row>
    <row r="16" spans="1:7">
      <c r="A16" s="11">
        <v>9</v>
      </c>
      <c r="B16" s="18">
        <v>0.898162758045296</v>
      </c>
      <c r="C16" s="19">
        <f t="shared" si="1"/>
        <v>0.632903023475913</v>
      </c>
      <c r="D16" s="19">
        <f t="shared" si="1"/>
        <v>0.7383195238711</v>
      </c>
      <c r="E16" s="19">
        <f t="shared" si="1"/>
        <v>0.907181457650145</v>
      </c>
      <c r="F16" s="19">
        <f t="shared" si="1"/>
        <v>0.777801823096523</v>
      </c>
      <c r="G16" s="20"/>
    </row>
    <row r="17" spans="1:7">
      <c r="A17" s="11">
        <v>10</v>
      </c>
      <c r="B17" s="18">
        <v>0.898162758045296</v>
      </c>
      <c r="C17" s="19">
        <f t="shared" si="1"/>
        <v>0.574507650216493</v>
      </c>
      <c r="D17" s="19">
        <f t="shared" si="1"/>
        <v>0.691642583607144</v>
      </c>
      <c r="E17" s="19">
        <f t="shared" si="1"/>
        <v>0.894928494661952</v>
      </c>
      <c r="F17" s="19">
        <f t="shared" si="1"/>
        <v>0.751207773296982</v>
      </c>
      <c r="G17" s="20"/>
    </row>
    <row r="18" spans="1:7">
      <c r="A18" s="11">
        <v>11</v>
      </c>
      <c r="B18" s="18">
        <v>0.846189380878412</v>
      </c>
      <c r="C18" s="19">
        <f t="shared" si="1"/>
        <v>0.510928455302216</v>
      </c>
      <c r="D18" s="19">
        <f t="shared" si="1"/>
        <v>0.638873803601385</v>
      </c>
      <c r="E18" s="19">
        <f t="shared" si="1"/>
        <v>0.881171705489785</v>
      </c>
      <c r="F18" s="19">
        <f t="shared" si="1"/>
        <v>0.722047800743682</v>
      </c>
      <c r="G18" s="20"/>
    </row>
    <row r="19" spans="1:7">
      <c r="A19" s="11">
        <v>12</v>
      </c>
      <c r="B19" s="18">
        <v>0.836089965568855</v>
      </c>
      <c r="C19" s="19">
        <f t="shared" si="1"/>
        <v>0.443250713618776</v>
      </c>
      <c r="D19" s="19">
        <f t="shared" si="1"/>
        <v>0.580138223569736</v>
      </c>
      <c r="E19" s="19">
        <f t="shared" si="1"/>
        <v>0.865759219524715</v>
      </c>
      <c r="F19" s="19">
        <f t="shared" si="1"/>
        <v>0.690240953567927</v>
      </c>
      <c r="G19" s="20"/>
    </row>
    <row r="20" spans="1:7">
      <c r="A20" s="11">
        <v>13</v>
      </c>
      <c r="B20" s="18">
        <v>0.785347748818551</v>
      </c>
      <c r="C20" s="19">
        <f t="shared" si="1"/>
        <v>0.373152419091481</v>
      </c>
      <c r="D20" s="19">
        <f t="shared" si="1"/>
        <v>0.515983628855313</v>
      </c>
      <c r="E20" s="19">
        <f t="shared" si="1"/>
        <v>0.848533361850074</v>
      </c>
      <c r="F20" s="19">
        <f t="shared" si="1"/>
        <v>0.655752436144864</v>
      </c>
      <c r="G20" s="20"/>
    </row>
    <row r="21" spans="1:7">
      <c r="A21" s="11">
        <v>14</v>
      </c>
      <c r="B21" s="18">
        <v>0.765158424624948</v>
      </c>
      <c r="C21" s="19">
        <f t="shared" si="1"/>
        <v>0.302909076264049</v>
      </c>
      <c r="D21" s="19">
        <f t="shared" si="1"/>
        <v>0.447497806996866</v>
      </c>
      <c r="E21" s="19">
        <f t="shared" si="1"/>
        <v>0.829333541043553</v>
      </c>
      <c r="F21" s="19">
        <f t="shared" si="1"/>
        <v>0.61860776150924</v>
      </c>
      <c r="G21" s="20"/>
    </row>
    <row r="22" spans="1:7">
      <c r="A22" s="11">
        <v>15</v>
      </c>
      <c r="B22" s="18">
        <v>0.722888201491699</v>
      </c>
      <c r="C22" s="19">
        <f t="shared" si="1"/>
        <v>0.23528138033045</v>
      </c>
      <c r="D22" s="19">
        <f t="shared" si="1"/>
        <v>0.376394405858965</v>
      </c>
      <c r="E22" s="19">
        <f t="shared" si="1"/>
        <v>0.808000257000151</v>
      </c>
      <c r="F22" s="19">
        <f t="shared" si="1"/>
        <v>0.578908057444174</v>
      </c>
      <c r="G22" s="20"/>
    </row>
    <row r="23" spans="1:7">
      <c r="A23" s="11">
        <v>16</v>
      </c>
      <c r="B23" s="18">
        <v>0.662206654111213</v>
      </c>
      <c r="C23" s="19">
        <f t="shared" si="1"/>
        <v>0.1732480236977</v>
      </c>
      <c r="D23" s="19">
        <f t="shared" si="1"/>
        <v>0.305024495274644</v>
      </c>
      <c r="E23" s="19">
        <f t="shared" si="1"/>
        <v>0.784380444928941</v>
      </c>
      <c r="F23" s="19">
        <f t="shared" si="1"/>
        <v>0.536845665869112</v>
      </c>
      <c r="G23" s="20"/>
    </row>
    <row r="24" spans="1:7">
      <c r="A24" s="11">
        <v>17</v>
      </c>
      <c r="B24" s="18">
        <v>0.623093147917535</v>
      </c>
      <c r="C24" s="19">
        <f t="shared" si="1"/>
        <v>0.11958021751459</v>
      </c>
      <c r="D24" s="19">
        <f t="shared" si="1"/>
        <v>0.236262757898913</v>
      </c>
      <c r="E24" s="19">
        <f t="shared" si="1"/>
        <v>0.75833436545842</v>
      </c>
      <c r="F24" s="19">
        <f t="shared" si="1"/>
        <v>0.492718712520419</v>
      </c>
      <c r="G24" s="20"/>
    </row>
    <row r="25" spans="1:7">
      <c r="A25" s="11">
        <v>18</v>
      </c>
      <c r="B25" s="18">
        <v>0.537592092285781</v>
      </c>
      <c r="C25" s="19">
        <f t="shared" si="1"/>
        <v>0.0763196147056263</v>
      </c>
      <c r="D25" s="19">
        <f t="shared" si="1"/>
        <v>0.173225455866289</v>
      </c>
      <c r="E25" s="19">
        <f t="shared" si="1"/>
        <v>0.729744218200363</v>
      </c>
      <c r="F25" s="19">
        <f t="shared" si="1"/>
        <v>0.446942799578822</v>
      </c>
      <c r="G25" s="20"/>
    </row>
    <row r="26" spans="1:7">
      <c r="A26" s="11">
        <v>19</v>
      </c>
      <c r="B26" s="18">
        <v>0.474189219095591</v>
      </c>
      <c r="C26" s="19">
        <f t="shared" si="1"/>
        <v>0.0443026892620923</v>
      </c>
      <c r="D26" s="19">
        <f t="shared" si="1"/>
        <v>0.118814738805559</v>
      </c>
      <c r="E26" s="19">
        <f t="shared" si="1"/>
        <v>0.698524584808679</v>
      </c>
      <c r="F26" s="19">
        <f t="shared" si="1"/>
        <v>0.400057451000559</v>
      </c>
      <c r="G26" s="20"/>
    </row>
    <row r="27" spans="1:7">
      <c r="A27" s="11">
        <v>20</v>
      </c>
      <c r="B27" s="18">
        <v>0.422091220937619</v>
      </c>
      <c r="C27" s="19">
        <f t="shared" si="1"/>
        <v>0.0229281766898145</v>
      </c>
      <c r="D27" s="19">
        <f t="shared" si="1"/>
        <v>0.0751563871916662</v>
      </c>
      <c r="E27" s="19">
        <f t="shared" si="1"/>
        <v>0.664634682968127</v>
      </c>
      <c r="F27" s="19">
        <f t="shared" si="1"/>
        <v>0.352724529092067</v>
      </c>
      <c r="G27" s="20"/>
    </row>
    <row r="28" spans="1:7">
      <c r="A28" s="11">
        <v>21</v>
      </c>
      <c r="B28" s="18">
        <v>0.346971016058413</v>
      </c>
      <c r="C28" s="19">
        <f t="shared" si="1"/>
        <v>0.0103268678591589</v>
      </c>
      <c r="D28" s="19">
        <f t="shared" si="1"/>
        <v>0.0430894887796983</v>
      </c>
      <c r="E28" s="19">
        <f t="shared" si="1"/>
        <v>0.628092219448125</v>
      </c>
      <c r="F28" s="19">
        <f t="shared" si="1"/>
        <v>0.305715704765527</v>
      </c>
      <c r="G28" s="20"/>
    </row>
    <row r="29" spans="1:7">
      <c r="A29" s="11">
        <v>22</v>
      </c>
      <c r="B29" s="18">
        <v>0.293064361762058</v>
      </c>
      <c r="C29" s="19">
        <f t="shared" si="1"/>
        <v>0.00393145344541023</v>
      </c>
      <c r="D29" s="19">
        <f t="shared" si="1"/>
        <v>0.0219260148806106</v>
      </c>
      <c r="E29" s="19">
        <f t="shared" si="1"/>
        <v>0.588988354885599</v>
      </c>
      <c r="F29" s="19">
        <f t="shared" si="1"/>
        <v>0.25988641177864</v>
      </c>
      <c r="G29" s="20"/>
    </row>
    <row r="30" spans="1:7">
      <c r="A30" s="11">
        <v>23</v>
      </c>
      <c r="B30" s="18">
        <v>0.232858040357466</v>
      </c>
      <c r="C30" s="19">
        <f t="shared" si="1"/>
        <v>0.00122126980138214</v>
      </c>
      <c r="D30" s="19">
        <f t="shared" si="1"/>
        <v>0.00965316125123916</v>
      </c>
      <c r="E30" s="19">
        <f t="shared" si="1"/>
        <v>0.547502928572496</v>
      </c>
      <c r="F30" s="19">
        <f t="shared" si="1"/>
        <v>0.216134768758909</v>
      </c>
      <c r="G30" s="20"/>
    </row>
    <row r="31" spans="1:7">
      <c r="A31" s="11">
        <v>24</v>
      </c>
      <c r="B31" s="18">
        <v>0.190942528947818</v>
      </c>
      <c r="C31" s="19">
        <f t="shared" si="1"/>
        <v>0.000296659508114373</v>
      </c>
      <c r="D31" s="19">
        <f t="shared" si="1"/>
        <v>0.00356535659104143</v>
      </c>
      <c r="E31" s="19">
        <f t="shared" si="1"/>
        <v>0.503918645433383</v>
      </c>
      <c r="F31" s="19">
        <f t="shared" si="1"/>
        <v>0.17534587855983</v>
      </c>
      <c r="G31" s="20"/>
    </row>
    <row r="32" spans="1:7">
      <c r="A32" s="11">
        <v>25</v>
      </c>
      <c r="B32" s="18">
        <v>0.164653096923697</v>
      </c>
      <c r="C32" s="19">
        <f t="shared" si="1"/>
        <v>5.35293312880216e-5</v>
      </c>
      <c r="D32" s="19">
        <f t="shared" si="1"/>
        <v>0.00106424998867156</v>
      </c>
      <c r="E32" s="19">
        <f t="shared" si="1"/>
        <v>0.458632430400759</v>
      </c>
      <c r="F32" s="19">
        <f t="shared" si="1"/>
        <v>0.138324718153866</v>
      </c>
      <c r="G32" s="20"/>
    </row>
    <row r="33" spans="1:11">
      <c r="A33" s="11">
        <v>26</v>
      </c>
      <c r="B33" s="18">
        <v>0.148868327448333</v>
      </c>
      <c r="C33" s="19">
        <f t="shared" si="1"/>
        <v>6.74423475754726e-6</v>
      </c>
      <c r="D33" s="19">
        <f t="shared" si="1"/>
        <v>0.000245403816057935</v>
      </c>
      <c r="E33" s="19">
        <f t="shared" si="1"/>
        <v>0.412161672924921</v>
      </c>
      <c r="F33" s="19">
        <f t="shared" si="1"/>
        <v>0.105724230407663</v>
      </c>
      <c r="G33" s="20"/>
    </row>
    <row r="34" spans="1:11">
      <c r="A34" s="11">
        <v>27</v>
      </c>
      <c r="B34" s="18">
        <v>0.11454490726822</v>
      </c>
      <c r="C34" s="19">
        <f t="shared" si="1"/>
        <v>5.50705105352367e-7</v>
      </c>
      <c r="D34" s="19">
        <f t="shared" si="1"/>
        <v>4.13929618796038e-5</v>
      </c>
      <c r="E34" s="19">
        <f t="shared" si="1"/>
        <v>0.365142725874107</v>
      </c>
      <c r="F34" s="19">
        <f t="shared" si="1"/>
        <v>0.0779785453058308</v>
      </c>
      <c r="G34" s="20"/>
    </row>
    <row r="35" spans="1:11">
      <c r="A35" s="11">
        <v>28</v>
      </c>
      <c r="B35" s="18">
        <v>0.103054577939045</v>
      </c>
      <c r="C35" s="19">
        <f t="shared" si="1"/>
        <v>2.6646577225688e-8</v>
      </c>
      <c r="D35" s="19">
        <f t="shared" si="1"/>
        <v>4.78188415507316e-6</v>
      </c>
      <c r="E35" s="19">
        <f t="shared" si="1"/>
        <v>0.318318944915169</v>
      </c>
      <c r="F35" s="19">
        <f t="shared" si="1"/>
        <v>0.0552534242125428</v>
      </c>
      <c r="G35" s="20"/>
    </row>
    <row r="36" ht="15.25" spans="1:11">
      <c r="A36" s="11">
        <v>29</v>
      </c>
      <c r="B36" s="18">
        <v>0.0950979000353695</v>
      </c>
      <c r="C36" s="19">
        <f t="shared" si="1"/>
        <v>6.86109253935805e-10</v>
      </c>
      <c r="D36" s="19">
        <f t="shared" si="1"/>
        <v>3.49520200309893e-7</v>
      </c>
      <c r="E36" s="19">
        <f t="shared" si="1"/>
        <v>0.272515947885678</v>
      </c>
      <c r="F36" s="19">
        <f t="shared" si="1"/>
        <v>0.0374257781970897</v>
      </c>
      <c r="G36" s="20"/>
    </row>
    <row r="37" ht="15.5" spans="1:11">
      <c r="A37" s="11">
        <v>30</v>
      </c>
      <c r="B37" s="18">
        <v>0.0950979000353695</v>
      </c>
      <c r="C37" s="19">
        <f t="shared" si="1"/>
        <v>8.2645524853028e-12</v>
      </c>
      <c r="D37" s="19">
        <f t="shared" si="1"/>
        <v>1.46945298074594e-8</v>
      </c>
      <c r="E37" s="19">
        <f t="shared" si="1"/>
        <v>0.228602829015039</v>
      </c>
      <c r="F37" s="19">
        <f t="shared" si="1"/>
        <v>0.024100468898179</v>
      </c>
      <c r="G37" s="20"/>
      <c r="I37" s="21">
        <v>20</v>
      </c>
      <c r="J37" s="22" t="s">
        <v>58</v>
      </c>
      <c r="K37" s="23"/>
    </row>
    <row r="38" ht="16.25" spans="1:11">
      <c r="A38" s="11">
        <v>31</v>
      </c>
      <c r="B38" s="18">
        <v>0.0794965091942965</v>
      </c>
      <c r="C38" s="19">
        <f t="shared" si="1"/>
        <v>3.99248227801898e-14</v>
      </c>
      <c r="D38" s="19">
        <f t="shared" si="1"/>
        <v>3.16957251470982e-10</v>
      </c>
      <c r="E38" s="19">
        <f t="shared" si="1"/>
        <v>0.1874399026682</v>
      </c>
      <c r="F38" s="19">
        <f t="shared" si="1"/>
        <v>0.0146654724946527</v>
      </c>
      <c r="G38" s="20"/>
      <c r="I38" s="24">
        <v>15</v>
      </c>
      <c r="J38" s="25" t="s">
        <v>59</v>
      </c>
      <c r="K38" s="26"/>
    </row>
    <row r="39" spans="1:11">
      <c r="A39" s="11">
        <v>32</v>
      </c>
      <c r="B39" s="18">
        <v>0.0568420433598065</v>
      </c>
      <c r="C39" s="19">
        <f t="shared" si="1"/>
        <v>6.43818749795908e-17</v>
      </c>
      <c r="D39" s="19">
        <f t="shared" si="1"/>
        <v>3.05927625547114e-12</v>
      </c>
      <c r="E39" s="19">
        <f t="shared" si="1"/>
        <v>0.149816134662246</v>
      </c>
      <c r="F39" s="19">
        <f t="shared" si="1"/>
        <v>0.00837724347223734</v>
      </c>
      <c r="G39" s="20"/>
    </row>
    <row r="40" spans="1:11">
      <c r="A40" s="11">
        <v>33</v>
      </c>
      <c r="B40" s="18">
        <v>0.0542540888865057</v>
      </c>
      <c r="C40" s="19">
        <f t="shared" si="1"/>
        <v>2.78692808868817e-20</v>
      </c>
      <c r="D40" s="19">
        <f t="shared" si="1"/>
        <v>1.12256021557371e-14</v>
      </c>
      <c r="E40" s="19">
        <f t="shared" si="1"/>
        <v>0.116382437982868</v>
      </c>
      <c r="F40" s="19">
        <f t="shared" si="1"/>
        <v>0.00445960432889931</v>
      </c>
      <c r="G40" s="20"/>
    </row>
    <row r="41" spans="1:11">
      <c r="A41" s="11">
        <v>34</v>
      </c>
      <c r="B41" s="18">
        <v>0.0542540888865057</v>
      </c>
      <c r="C41" s="19">
        <f t="shared" si="1"/>
        <v>2.50254185482109e-24</v>
      </c>
      <c r="D41" s="19">
        <f t="shared" si="1"/>
        <v>1.29036644913749e-17</v>
      </c>
      <c r="E41" s="19">
        <f t="shared" si="1"/>
        <v>0.0875898228328662</v>
      </c>
      <c r="F41" s="19">
        <f t="shared" si="1"/>
        <v>0.00219517829753202</v>
      </c>
      <c r="G41" s="20"/>
    </row>
    <row r="42" spans="1:11">
      <c r="A42" s="11">
        <v>35</v>
      </c>
      <c r="B42" s="18">
        <v>0.0542540888865057</v>
      </c>
      <c r="C42" s="19">
        <f t="shared" si="1"/>
        <v>3.44187211361019e-29</v>
      </c>
      <c r="D42" s="19">
        <f t="shared" si="1"/>
        <v>3.69671135557014e-21</v>
      </c>
      <c r="E42" s="19">
        <f t="shared" si="1"/>
        <v>0.0636430653415445</v>
      </c>
      <c r="F42" s="19">
        <f t="shared" si="1"/>
        <v>0.000990702863321507</v>
      </c>
      <c r="G42" s="20"/>
    </row>
    <row r="43" spans="1:11">
      <c r="A43" s="11">
        <v>36</v>
      </c>
      <c r="B43" s="18">
        <v>0.0453752228971555</v>
      </c>
      <c r="C43" s="19">
        <f t="shared" si="1"/>
        <v>5.08488119352033e-35</v>
      </c>
      <c r="D43" s="19">
        <f t="shared" si="1"/>
        <v>2.01780834205926e-25</v>
      </c>
      <c r="E43" s="19">
        <f t="shared" si="1"/>
        <v>0.0444800833434214</v>
      </c>
      <c r="F43" s="19">
        <f t="shared" si="1"/>
        <v>0.000406238313725398</v>
      </c>
      <c r="G43" s="20"/>
    </row>
    <row r="44" spans="1:11">
      <c r="A44" s="11">
        <v>37</v>
      </c>
      <c r="B44" s="18">
        <v>0.0330173163442898</v>
      </c>
      <c r="C44" s="19">
        <f t="shared" si="1"/>
        <v>5.34466962894203e-42</v>
      </c>
      <c r="D44" s="19">
        <f t="shared" si="1"/>
        <v>1.5342782793287e-30</v>
      </c>
      <c r="E44" s="19">
        <f t="shared" si="1"/>
        <v>0.0297838898972336</v>
      </c>
      <c r="F44" s="19">
        <f t="shared" si="1"/>
        <v>0.000149900948741295</v>
      </c>
      <c r="G44" s="20"/>
    </row>
    <row r="45" spans="1:11">
      <c r="A45" s="11">
        <v>38</v>
      </c>
      <c r="B45" s="18">
        <v>0.0330173163442898</v>
      </c>
      <c r="C45" s="19">
        <f t="shared" si="1"/>
        <v>2.48753719707069e-50</v>
      </c>
      <c r="D45" s="19">
        <f t="shared" si="1"/>
        <v>1.13154945051616e-36</v>
      </c>
      <c r="E45" s="19">
        <f t="shared" si="1"/>
        <v>0.0190279481314734</v>
      </c>
      <c r="F45" s="19">
        <f t="shared" si="1"/>
        <v>4.92743912646851e-5</v>
      </c>
      <c r="G45" s="20"/>
    </row>
    <row r="46" spans="1:11">
      <c r="A46" s="11">
        <v>39</v>
      </c>
      <c r="B46" s="18">
        <v>0.031841483991343</v>
      </c>
      <c r="C46" s="19">
        <f t="shared" si="1"/>
        <v>2.98709273777631e-60</v>
      </c>
      <c r="D46" s="19">
        <f t="shared" si="1"/>
        <v>5.34979488148274e-44</v>
      </c>
      <c r="E46" s="19">
        <f t="shared" si="1"/>
        <v>0.011548223188478</v>
      </c>
      <c r="F46" s="19">
        <f t="shared" si="1"/>
        <v>1.42778241771178e-5</v>
      </c>
      <c r="G46" s="20"/>
    </row>
    <row r="47" spans="1:11">
      <c r="A47" s="11">
        <v>40</v>
      </c>
      <c r="B47" s="18">
        <v>0.0289468036284937</v>
      </c>
      <c r="C47" s="19">
        <f t="shared" si="1"/>
        <v>5.04092981981214e-72</v>
      </c>
      <c r="D47" s="19">
        <f t="shared" si="1"/>
        <v>1.0155773516225e-52</v>
      </c>
      <c r="E47" s="19">
        <f t="shared" si="1"/>
        <v>0.00662848337086842</v>
      </c>
      <c r="F47" s="19">
        <f t="shared" si="1"/>
        <v>3.60770183438638e-6</v>
      </c>
      <c r="G47" s="20"/>
    </row>
    <row r="48" spans="1:11">
      <c r="A48" s="11">
        <v>41</v>
      </c>
      <c r="B48" s="18">
        <v>0.0260521232656443</v>
      </c>
      <c r="C48" s="19">
        <f t="shared" si="1"/>
        <v>6.09869056937694e-86</v>
      </c>
      <c r="D48" s="19">
        <f t="shared" si="1"/>
        <v>4.59937564837077e-63</v>
      </c>
      <c r="E48" s="19">
        <f t="shared" si="1"/>
        <v>0.00358198121587089</v>
      </c>
      <c r="F48" s="19">
        <f t="shared" si="1"/>
        <v>7.86262836388685e-7</v>
      </c>
      <c r="G48" s="20"/>
    </row>
    <row r="49" spans="1:7">
      <c r="A49" s="11">
        <v>42</v>
      </c>
      <c r="B49" s="18">
        <v>0.0231574429027949</v>
      </c>
      <c r="C49" s="19">
        <f t="shared" si="1"/>
        <v>2.54322977557799e-102</v>
      </c>
      <c r="D49" s="19">
        <f t="shared" si="1"/>
        <v>2.81328835742251e-75</v>
      </c>
      <c r="E49" s="19">
        <f t="shared" si="1"/>
        <v>0.00181417657127675</v>
      </c>
      <c r="F49" s="19">
        <f t="shared" si="1"/>
        <v>1.46193015454287e-7</v>
      </c>
      <c r="G49" s="20"/>
    </row>
    <row r="50" spans="1:7">
      <c r="A50" s="11">
        <v>43</v>
      </c>
      <c r="B50" s="18">
        <v>0.0202627625399456</v>
      </c>
      <c r="C50" s="19">
        <f t="shared" si="1"/>
        <v>1.67650027026223e-121</v>
      </c>
      <c r="D50" s="19">
        <f t="shared" si="1"/>
        <v>1.26504110236933e-89</v>
      </c>
      <c r="E50" s="19">
        <f t="shared" si="1"/>
        <v>0.000857351614537152</v>
      </c>
      <c r="F50" s="19">
        <f t="shared" si="1"/>
        <v>2.29435548157318e-8</v>
      </c>
      <c r="G50" s="20"/>
    </row>
    <row r="51" spans="1:7">
      <c r="A51" s="11">
        <v>44</v>
      </c>
      <c r="B51" s="18">
        <v>0.0173680821770962</v>
      </c>
      <c r="C51" s="19">
        <f t="shared" si="1"/>
        <v>7.78570335510438e-144</v>
      </c>
      <c r="D51" s="19">
        <f t="shared" si="1"/>
        <v>2.22006086811815e-106</v>
      </c>
      <c r="E51" s="19">
        <f t="shared" si="1"/>
        <v>0.000376458594281512</v>
      </c>
      <c r="F51" s="19">
        <f t="shared" si="1"/>
        <v>3.00829776838304e-9</v>
      </c>
      <c r="G51" s="20"/>
    </row>
    <row r="52" spans="1:7">
      <c r="A52" s="11">
        <v>45</v>
      </c>
      <c r="B52" s="18">
        <v>0.0144734018142468</v>
      </c>
      <c r="C52" s="19">
        <f t="shared" si="1"/>
        <v>1.13174612312143e-169</v>
      </c>
      <c r="D52" s="19">
        <f t="shared" si="1"/>
        <v>8.03262555274651e-126</v>
      </c>
      <c r="E52" s="19">
        <f t="shared" si="1"/>
        <v>0.000152979402302229</v>
      </c>
      <c r="F52" s="19">
        <f t="shared" si="1"/>
        <v>3.26406539912992e-10</v>
      </c>
      <c r="G52" s="20"/>
    </row>
    <row r="53" spans="1:7">
      <c r="A53" s="11">
        <v>46</v>
      </c>
      <c r="B53" s="18">
        <v>0.0115787214513975</v>
      </c>
      <c r="C53" s="19">
        <f t="shared" si="1"/>
        <v>2.35537253900522e-199</v>
      </c>
      <c r="D53" s="19">
        <f t="shared" si="1"/>
        <v>3.23146037062183e-148</v>
      </c>
      <c r="E53" s="19">
        <f t="shared" si="1"/>
        <v>5.73260931245053e-5</v>
      </c>
      <c r="F53" s="19">
        <f t="shared" si="1"/>
        <v>2.90558610240178e-11</v>
      </c>
      <c r="G53" s="20"/>
    </row>
    <row r="54" spans="1:7">
      <c r="A54" s="11">
        <v>47</v>
      </c>
      <c r="B54" s="18">
        <v>0.00868404108854809</v>
      </c>
      <c r="C54" s="19">
        <f t="shared" si="1"/>
        <v>3.42957733088786e-233</v>
      </c>
      <c r="D54" s="19">
        <f t="shared" si="1"/>
        <v>8.19736610112632e-174</v>
      </c>
      <c r="E54" s="19">
        <f t="shared" si="1"/>
        <v>1.97484236454548e-5</v>
      </c>
      <c r="F54" s="19">
        <f t="shared" si="1"/>
        <v>2.10627395377568e-12</v>
      </c>
      <c r="G54" s="20"/>
    </row>
    <row r="55" spans="1:7">
      <c r="A55" s="11">
        <v>48</v>
      </c>
      <c r="B55" s="18">
        <v>0.00578936072569872</v>
      </c>
      <c r="C55" s="19">
        <f t="shared" si="1"/>
        <v>1.89670438496799e-271</v>
      </c>
      <c r="D55" s="19">
        <f t="shared" si="1"/>
        <v>8.07212567278304e-203</v>
      </c>
      <c r="E55" s="19">
        <f t="shared" si="1"/>
        <v>6.23851575799832e-6</v>
      </c>
      <c r="F55" s="19">
        <f t="shared" si="1"/>
        <v>1.23588203550676e-13</v>
      </c>
      <c r="G55" s="20"/>
    </row>
    <row r="56" spans="1:7">
      <c r="A56" s="11">
        <v>49</v>
      </c>
      <c r="B56" s="18">
        <v>0.00289468036284934</v>
      </c>
      <c r="C56" s="19">
        <f t="shared" si="1"/>
        <v>2.49421781354134e-314</v>
      </c>
      <c r="D56" s="19">
        <f t="shared" si="1"/>
        <v>2.12544751796573e-235</v>
      </c>
      <c r="E56" s="19">
        <f t="shared" si="1"/>
        <v>1.80381580962101e-6</v>
      </c>
      <c r="F56" s="19">
        <f t="shared" si="1"/>
        <v>5.84361885257411e-15</v>
      </c>
      <c r="G56" s="20"/>
    </row>
    <row r="57" spans="1:7">
      <c r="A57" s="11">
        <v>50</v>
      </c>
      <c r="B57" s="18">
        <v>0</v>
      </c>
      <c r="C57" s="19">
        <f t="shared" si="1"/>
        <v>0</v>
      </c>
      <c r="D57" s="19">
        <f t="shared" si="1"/>
        <v>1.18305218616677e-271</v>
      </c>
      <c r="E57" s="19">
        <f t="shared" si="1"/>
        <v>4.76837158203125e-7</v>
      </c>
      <c r="F57" s="19">
        <f t="shared" si="1"/>
        <v>2.22044604925031e-16</v>
      </c>
      <c r="G57" s="20"/>
    </row>
  </sheetData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I31"/>
  <sheetViews>
    <sheetView workbookViewId="0">
      <selection activeCell="A1" sqref="A1"/>
    </sheetView>
  </sheetViews>
  <sheetFormatPr defaultColWidth="9" defaultRowHeight="12.5"/>
  <cols>
    <col min="2" max="2" width="20.4" customWidth="1"/>
    <col min="3" max="3" width="14.2636363636364" customWidth="1"/>
    <col min="4" max="4" width="14.8636363636364" customWidth="1"/>
    <col min="5" max="5" width="5.72727272727273" customWidth="1"/>
    <col min="6" max="6" width="2" customWidth="1"/>
  </cols>
  <sheetData>
    <row r="3" spans="2:9">
      <c r="B3" t="s">
        <v>26</v>
      </c>
    </row>
    <row r="4" spans="2:9">
      <c r="B4" t="s">
        <v>43</v>
      </c>
      <c r="C4" t="s">
        <v>48</v>
      </c>
      <c r="D4" t="s">
        <v>60</v>
      </c>
      <c r="E4" t="s">
        <v>49</v>
      </c>
    </row>
    <row r="5" spans="2:9">
      <c r="B5" t="s">
        <v>61</v>
      </c>
      <c r="C5">
        <v>2018</v>
      </c>
      <c r="D5" t="s">
        <v>62</v>
      </c>
      <c r="E5">
        <v>99999</v>
      </c>
    </row>
    <row r="8" spans="2:9">
      <c r="B8" t="s">
        <v>63</v>
      </c>
    </row>
    <row r="9" spans="2:9">
      <c r="B9" t="s">
        <v>45</v>
      </c>
      <c r="C9" t="s">
        <v>49</v>
      </c>
      <c r="D9" t="s">
        <v>64</v>
      </c>
    </row>
    <row r="10" spans="2:9">
      <c r="B10">
        <v>2100</v>
      </c>
      <c r="C10" t="s">
        <v>65</v>
      </c>
      <c r="D10" t="s">
        <v>66</v>
      </c>
    </row>
    <row r="14" ht="14.5" spans="2:9">
      <c r="C14" s="10"/>
      <c r="D14" s="11"/>
      <c r="E14" s="11"/>
      <c r="F14" s="11"/>
    </row>
    <row r="15" ht="14.5" spans="2:9">
      <c r="C15" s="10"/>
      <c r="D15" s="10"/>
      <c r="E15" s="11"/>
      <c r="F15" s="11"/>
      <c r="I15" s="12"/>
    </row>
    <row r="16" ht="14.5" spans="2:9">
      <c r="B16" t="s">
        <v>67</v>
      </c>
      <c r="C16" s="10"/>
      <c r="D16" s="10"/>
      <c r="E16" s="11"/>
      <c r="F16" s="11"/>
      <c r="I16" s="12"/>
    </row>
    <row r="17" spans="2:8">
      <c r="B17" t="s">
        <v>60</v>
      </c>
      <c r="C17" t="s">
        <v>68</v>
      </c>
      <c r="D17" t="s">
        <v>69</v>
      </c>
    </row>
    <row r="18" spans="2:8">
      <c r="B18" t="s">
        <v>70</v>
      </c>
      <c r="C18" t="s">
        <v>71</v>
      </c>
      <c r="D18" t="s">
        <v>72</v>
      </c>
    </row>
    <row r="19" spans="2:8">
      <c r="B19" t="s">
        <v>73</v>
      </c>
      <c r="C19" t="s">
        <v>71</v>
      </c>
      <c r="D19" t="s">
        <v>74</v>
      </c>
    </row>
    <row r="22" spans="2:8">
      <c r="B22" t="s">
        <v>2</v>
      </c>
    </row>
    <row r="23" spans="2:8">
      <c r="B23" t="s">
        <v>43</v>
      </c>
      <c r="C23" t="s">
        <v>60</v>
      </c>
      <c r="D23" t="s">
        <v>64</v>
      </c>
      <c r="E23" t="s">
        <v>49</v>
      </c>
    </row>
    <row r="24" spans="2:8">
      <c r="B24" t="s">
        <v>75</v>
      </c>
      <c r="C24" t="s">
        <v>70</v>
      </c>
      <c r="D24" t="s">
        <v>76</v>
      </c>
      <c r="E24">
        <v>2150</v>
      </c>
    </row>
    <row r="25" spans="2:8">
      <c r="B25" t="s">
        <v>75</v>
      </c>
      <c r="C25" t="str">
        <f>B19</f>
        <v>SUP_OilSupply</v>
      </c>
      <c r="D25" t="s">
        <v>77</v>
      </c>
      <c r="E25">
        <v>2150</v>
      </c>
    </row>
    <row r="29" spans="2:8">
      <c r="B29" t="s">
        <v>41</v>
      </c>
    </row>
    <row r="30" spans="2:8">
      <c r="B30" t="s">
        <v>43</v>
      </c>
      <c r="C30" t="s">
        <v>60</v>
      </c>
      <c r="D30" t="s">
        <v>48</v>
      </c>
      <c r="E30" t="s">
        <v>45</v>
      </c>
      <c r="F30" t="s">
        <v>49</v>
      </c>
    </row>
    <row r="31" ht="13" spans="2:8">
      <c r="B31" t="s">
        <v>78</v>
      </c>
      <c r="C31" t="s">
        <v>79</v>
      </c>
      <c r="D31">
        <v>2020</v>
      </c>
      <c r="E31">
        <v>2019</v>
      </c>
      <c r="F31" t="s">
        <v>65</v>
      </c>
      <c r="H31" s="13" t="s">
        <v>80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workbookViewId="0">
      <selection activeCell="C23" sqref="C23"/>
    </sheetView>
  </sheetViews>
  <sheetFormatPr defaultColWidth="9.13636363636364" defaultRowHeight="14.5"/>
  <cols>
    <col min="1" max="2" width="9.13636363636364" style="3"/>
    <col min="3" max="3" width="26" style="3" customWidth="1"/>
    <col min="4" max="4" width="11.8636363636364" style="3" customWidth="1"/>
    <col min="5" max="5" width="7.72727272727273" style="3" customWidth="1"/>
    <col min="6" max="6" width="8.26363636363636" style="3" customWidth="1"/>
    <col min="7" max="7" width="26" style="3" customWidth="1"/>
    <col min="8" max="8" width="9.6" style="3" customWidth="1"/>
    <col min="9" max="9" width="9.13636363636364" style="3"/>
    <col min="10" max="10" width="6.86363636363636" style="3" customWidth="1"/>
    <col min="11" max="16384" width="9.13636363636364" style="3"/>
  </cols>
  <sheetData>
    <row r="1" spans="1:12">
      <c r="A1" s="4" t="s">
        <v>81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1:12">
      <c r="A3" s="4"/>
      <c r="B3" s="4"/>
      <c r="C3" s="5" t="s">
        <v>2</v>
      </c>
      <c r="D3" s="4"/>
      <c r="E3" s="4"/>
      <c r="F3" s="4"/>
      <c r="G3" s="4"/>
      <c r="H3" s="4"/>
      <c r="I3" s="4"/>
      <c r="J3" s="4"/>
      <c r="K3" s="4"/>
      <c r="L3" s="4"/>
    </row>
    <row r="4" spans="1:12">
      <c r="A4" s="4"/>
      <c r="B4" s="4"/>
      <c r="C4" s="4" t="s">
        <v>43</v>
      </c>
      <c r="D4" s="4" t="s">
        <v>47</v>
      </c>
      <c r="E4" s="4" t="s">
        <v>82</v>
      </c>
      <c r="F4" s="4" t="s">
        <v>46</v>
      </c>
      <c r="G4" s="4" t="s">
        <v>60</v>
      </c>
      <c r="H4" s="4" t="s">
        <v>69</v>
      </c>
      <c r="I4" s="4" t="s">
        <v>83</v>
      </c>
      <c r="J4" s="4"/>
      <c r="K4" s="4"/>
      <c r="L4" s="4" t="s">
        <v>84</v>
      </c>
    </row>
    <row r="5" spans="1:12">
      <c r="A5" s="4"/>
      <c r="B5" s="4"/>
      <c r="C5" s="6" t="s">
        <v>85</v>
      </c>
      <c r="D5" s="6" t="s">
        <v>86</v>
      </c>
      <c r="E5" s="6"/>
      <c r="F5" s="7">
        <v>0.25</v>
      </c>
      <c r="G5" s="6" t="s">
        <v>87</v>
      </c>
      <c r="H5" s="6"/>
      <c r="I5" s="6" t="s">
        <v>86</v>
      </c>
      <c r="J5" s="4"/>
      <c r="K5" s="4"/>
      <c r="L5" s="4"/>
    </row>
    <row r="6" spans="1:12">
      <c r="A6" s="4"/>
      <c r="B6" s="4"/>
      <c r="C6" s="4" t="s">
        <v>85</v>
      </c>
      <c r="D6" s="4" t="s">
        <v>88</v>
      </c>
      <c r="E6" s="4"/>
      <c r="F6" s="8">
        <v>0.25</v>
      </c>
      <c r="G6" s="4" t="s">
        <v>89</v>
      </c>
      <c r="H6" s="4"/>
      <c r="I6" s="4" t="s">
        <v>88</v>
      </c>
      <c r="J6" s="4"/>
      <c r="K6" s="4"/>
      <c r="L6" s="4"/>
    </row>
    <row r="7" spans="1:12">
      <c r="A7" s="4"/>
      <c r="B7" s="4"/>
      <c r="C7" s="4" t="s">
        <v>90</v>
      </c>
      <c r="D7" s="4" t="s">
        <v>91</v>
      </c>
      <c r="E7" s="4" t="s">
        <v>92</v>
      </c>
      <c r="F7" s="8">
        <v>0.31</v>
      </c>
      <c r="G7" s="4" t="s">
        <v>93</v>
      </c>
      <c r="H7" s="4"/>
      <c r="I7" s="4"/>
      <c r="J7" s="4"/>
      <c r="K7" s="4"/>
      <c r="L7" s="4"/>
    </row>
    <row r="8" spans="1:12">
      <c r="A8" s="4"/>
      <c r="B8" s="4"/>
      <c r="C8" s="4" t="s">
        <v>90</v>
      </c>
      <c r="D8" s="4" t="s">
        <v>86</v>
      </c>
      <c r="E8" s="4" t="s">
        <v>92</v>
      </c>
      <c r="F8" s="8">
        <v>1</v>
      </c>
      <c r="G8" s="4" t="s">
        <v>87</v>
      </c>
      <c r="H8" s="4"/>
      <c r="I8" s="4" t="s">
        <v>86</v>
      </c>
      <c r="J8" s="4"/>
      <c r="K8" s="4"/>
      <c r="L8" s="4"/>
    </row>
    <row r="9" spans="1:12">
      <c r="A9" s="4"/>
      <c r="B9" s="4"/>
      <c r="C9" s="4" t="s">
        <v>90</v>
      </c>
      <c r="D9" s="4" t="s">
        <v>88</v>
      </c>
      <c r="E9" s="4" t="s">
        <v>92</v>
      </c>
      <c r="F9" s="8">
        <v>1</v>
      </c>
      <c r="G9" s="4" t="s">
        <v>89</v>
      </c>
      <c r="H9" s="4"/>
      <c r="I9" s="4" t="s">
        <v>88</v>
      </c>
      <c r="J9" s="4"/>
      <c r="K9" s="4"/>
      <c r="L9" s="4"/>
    </row>
    <row r="10" spans="1:12">
      <c r="A10" s="4"/>
      <c r="B10" s="4"/>
      <c r="C10" s="4" t="s">
        <v>90</v>
      </c>
      <c r="D10" s="4" t="s">
        <v>94</v>
      </c>
      <c r="E10" s="4" t="s">
        <v>92</v>
      </c>
      <c r="F10" s="8">
        <v>0.67</v>
      </c>
      <c r="G10" s="4" t="s">
        <v>93</v>
      </c>
      <c r="H10" s="4"/>
      <c r="I10" s="4"/>
      <c r="J10" s="4"/>
      <c r="K10" s="4"/>
      <c r="L10" s="4" t="s">
        <v>95</v>
      </c>
    </row>
    <row r="11" spans="1:12">
      <c r="A11" s="4"/>
      <c r="B11" s="4"/>
      <c r="C11" s="4" t="s">
        <v>96</v>
      </c>
      <c r="D11" s="4"/>
      <c r="E11" s="4"/>
      <c r="F11" s="8">
        <v>0.8</v>
      </c>
      <c r="G11" s="4" t="s">
        <v>93</v>
      </c>
      <c r="H11" s="4"/>
      <c r="I11" s="4"/>
      <c r="J11" s="4"/>
      <c r="K11" s="4"/>
      <c r="L11" s="4"/>
    </row>
    <row r="12" spans="1:12">
      <c r="A12" s="4"/>
      <c r="B12" s="4"/>
      <c r="C12" s="4" t="s">
        <v>97</v>
      </c>
      <c r="D12" s="4" t="s">
        <v>98</v>
      </c>
      <c r="E12" s="4"/>
      <c r="F12" s="4">
        <v>1.25</v>
      </c>
      <c r="G12" s="4" t="s">
        <v>87</v>
      </c>
      <c r="H12" s="4" t="s">
        <v>86</v>
      </c>
      <c r="I12" s="4"/>
      <c r="J12" s="4"/>
      <c r="K12" s="4"/>
      <c r="L12" s="4"/>
    </row>
    <row r="13" spans="1:12">
      <c r="A13" s="4"/>
      <c r="B13" s="4"/>
      <c r="C13" s="9" t="s">
        <v>97</v>
      </c>
      <c r="D13" s="9" t="s">
        <v>98</v>
      </c>
      <c r="E13" s="9"/>
      <c r="F13" s="9">
        <v>0.8</v>
      </c>
      <c r="G13" s="9" t="s">
        <v>89</v>
      </c>
      <c r="H13" s="9" t="s">
        <v>88</v>
      </c>
      <c r="I13" s="9"/>
      <c r="J13" s="4"/>
      <c r="K13" s="4"/>
      <c r="L13" s="4"/>
    </row>
    <row r="14" spans="1:12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1:12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spans="1:12">
      <c r="A16" s="4"/>
      <c r="B16" s="4"/>
      <c r="C16" s="5" t="s">
        <v>99</v>
      </c>
      <c r="D16" s="4"/>
      <c r="E16" s="4"/>
      <c r="F16" s="4"/>
      <c r="G16" s="4"/>
      <c r="H16" s="4"/>
      <c r="I16" s="4"/>
      <c r="J16" s="4"/>
      <c r="K16" s="4"/>
      <c r="L16" s="4"/>
    </row>
    <row r="17" spans="1:12">
      <c r="A17" s="4"/>
      <c r="B17" s="4"/>
      <c r="C17" s="4" t="s">
        <v>60</v>
      </c>
      <c r="D17" s="4" t="s">
        <v>69</v>
      </c>
      <c r="E17" s="4" t="s">
        <v>49</v>
      </c>
      <c r="F17" s="4"/>
      <c r="G17" s="4"/>
      <c r="H17" s="4"/>
      <c r="I17" s="4"/>
      <c r="J17" s="4"/>
      <c r="K17" s="4"/>
      <c r="L17" s="4"/>
    </row>
    <row r="18" spans="1:12">
      <c r="A18" s="4"/>
      <c r="B18" s="4"/>
      <c r="C18" s="4" t="s">
        <v>87</v>
      </c>
      <c r="D18" s="4" t="s">
        <v>98</v>
      </c>
      <c r="E18" s="4" t="s">
        <v>100</v>
      </c>
      <c r="F18" s="4"/>
      <c r="G18" s="4"/>
      <c r="H18" s="4"/>
      <c r="I18" s="4"/>
      <c r="J18" s="4"/>
      <c r="K18" s="4"/>
      <c r="L18" s="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39"/>
  <sheetViews>
    <sheetView topLeftCell="A6" workbookViewId="0">
      <selection activeCell="C5" sqref="C5:C39"/>
    </sheetView>
  </sheetViews>
  <sheetFormatPr defaultColWidth="9" defaultRowHeight="12.5"/>
  <cols>
    <col min="3" max="3" width="14.4" customWidth="1"/>
    <col min="5" max="13" width="9.6" customWidth="1"/>
  </cols>
  <sheetData>
    <row r="3" spans="3:13">
      <c r="C3" t="s">
        <v>101</v>
      </c>
    </row>
    <row r="4" ht="15.5" spans="3:13">
      <c r="C4" s="1" t="s">
        <v>102</v>
      </c>
      <c r="D4" s="1" t="s">
        <v>103</v>
      </c>
      <c r="E4" s="1">
        <v>2019</v>
      </c>
      <c r="F4" s="1">
        <v>2020</v>
      </c>
      <c r="G4" s="1">
        <v>2023</v>
      </c>
      <c r="H4" s="1">
        <v>2025</v>
      </c>
      <c r="I4" s="1">
        <v>2030</v>
      </c>
      <c r="J4" s="1">
        <v>2035</v>
      </c>
      <c r="K4" s="1">
        <v>2040</v>
      </c>
      <c r="L4" s="1">
        <v>2045</v>
      </c>
      <c r="M4" s="1">
        <v>2050</v>
      </c>
    </row>
    <row r="5" ht="15.5" spans="3:13">
      <c r="C5" s="1" t="s">
        <v>104</v>
      </c>
      <c r="D5" s="1" t="s">
        <v>105</v>
      </c>
      <c r="E5" s="2">
        <v>1015.57785219713</v>
      </c>
      <c r="F5" s="2">
        <v>1037.01473698061</v>
      </c>
      <c r="G5" s="2">
        <v>1127.61866769891</v>
      </c>
      <c r="H5" s="2">
        <v>1192.89451864597</v>
      </c>
      <c r="I5" s="2">
        <v>1370.05677173614</v>
      </c>
      <c r="J5" s="2">
        <v>1665.88413628056</v>
      </c>
      <c r="K5" s="2">
        <v>2199.3436201368</v>
      </c>
      <c r="L5" s="2">
        <v>2925.87637226267</v>
      </c>
      <c r="M5" s="2">
        <v>3795.92770380334</v>
      </c>
    </row>
    <row r="6" ht="15.5" spans="3:13">
      <c r="C6" s="1" t="s">
        <v>106</v>
      </c>
      <c r="D6" s="1" t="s">
        <v>105</v>
      </c>
      <c r="E6" s="2">
        <v>700.506390189112</v>
      </c>
      <c r="F6" s="2">
        <v>708.187423292878</v>
      </c>
      <c r="G6" s="2">
        <v>763.456291089545</v>
      </c>
      <c r="H6" s="2">
        <v>809.880234686472</v>
      </c>
      <c r="I6" s="2">
        <v>984.300013102204</v>
      </c>
      <c r="J6" s="2">
        <v>1267.90458730955</v>
      </c>
      <c r="K6" s="2">
        <v>1745.47108445086</v>
      </c>
      <c r="L6" s="2">
        <v>2427.96068174782</v>
      </c>
      <c r="M6" s="2">
        <v>3278.02249606961</v>
      </c>
    </row>
    <row r="7" ht="15.5" spans="3:13">
      <c r="C7" s="1" t="s">
        <v>107</v>
      </c>
      <c r="D7" s="1" t="s">
        <v>105</v>
      </c>
      <c r="E7" s="2">
        <v>811.760710025002</v>
      </c>
      <c r="F7" s="2">
        <v>803.644381254031</v>
      </c>
      <c r="G7" s="2">
        <v>816.735144712492</v>
      </c>
      <c r="H7" s="2">
        <v>828.38482385546</v>
      </c>
      <c r="I7" s="2">
        <v>866.15624018891</v>
      </c>
      <c r="J7" s="2">
        <v>932.447059584168</v>
      </c>
      <c r="K7" s="2">
        <v>1036.67083840925</v>
      </c>
      <c r="L7" s="2">
        <v>1169.76924846412</v>
      </c>
      <c r="M7" s="2">
        <v>1316.33975710608</v>
      </c>
    </row>
    <row r="8" ht="15.5" spans="3:13">
      <c r="C8" s="1" t="s">
        <v>108</v>
      </c>
      <c r="D8" s="1" t="s">
        <v>105</v>
      </c>
      <c r="E8" s="2">
        <v>224.684568772695</v>
      </c>
      <c r="F8" s="2">
        <v>221.658821619</v>
      </c>
      <c r="G8" s="2">
        <v>229.211458542644</v>
      </c>
      <c r="H8" s="2">
        <v>230.394037153742</v>
      </c>
      <c r="I8" s="2">
        <v>232.438606018886</v>
      </c>
      <c r="J8" s="2">
        <v>238.378802292813</v>
      </c>
      <c r="K8" s="2">
        <v>247.640926063722</v>
      </c>
      <c r="L8" s="2">
        <v>265.373430289485</v>
      </c>
      <c r="M8" s="2">
        <v>282.416268561145</v>
      </c>
    </row>
    <row r="9" ht="15.5" spans="3:13">
      <c r="C9" s="1" t="s">
        <v>109</v>
      </c>
      <c r="D9" s="1" t="s">
        <v>105</v>
      </c>
      <c r="E9" s="2">
        <v>91.3213206364547</v>
      </c>
      <c r="F9" s="2">
        <v>92.6404840937767</v>
      </c>
      <c r="G9" s="2">
        <v>92.5984420524589</v>
      </c>
      <c r="H9" s="2">
        <v>91.4898158422601</v>
      </c>
      <c r="I9" s="2">
        <v>93.5552740948178</v>
      </c>
      <c r="J9" s="2">
        <v>95.9559380661831</v>
      </c>
      <c r="K9" s="2">
        <v>101.209166619483</v>
      </c>
      <c r="L9" s="2">
        <v>109.271397028133</v>
      </c>
      <c r="M9" s="2">
        <v>115.392425870025</v>
      </c>
    </row>
    <row r="10" ht="15.5" spans="3:13">
      <c r="C10" s="1" t="s">
        <v>110</v>
      </c>
      <c r="D10" s="1" t="s">
        <v>105</v>
      </c>
      <c r="E10" s="2">
        <v>720.056906884785</v>
      </c>
      <c r="F10" s="2">
        <v>719.556627078013</v>
      </c>
      <c r="G10" s="2">
        <v>733.373956427643</v>
      </c>
      <c r="H10" s="2">
        <v>742.088533821348</v>
      </c>
      <c r="I10" s="2">
        <v>755.510974755295</v>
      </c>
      <c r="J10" s="2">
        <v>772.143483151526</v>
      </c>
      <c r="K10" s="2">
        <v>808.860835882477</v>
      </c>
      <c r="L10" s="2">
        <v>859.578580594601</v>
      </c>
      <c r="M10" s="2">
        <v>917.862208599184</v>
      </c>
    </row>
    <row r="11" ht="15.5" spans="3:13">
      <c r="C11" s="1" t="s">
        <v>111</v>
      </c>
      <c r="D11" s="1" t="s">
        <v>105</v>
      </c>
      <c r="E11" s="2">
        <v>1889.629495543</v>
      </c>
      <c r="F11" s="2">
        <v>1859.9687751164</v>
      </c>
      <c r="G11" s="2">
        <v>1981.78033291991</v>
      </c>
      <c r="H11" s="2">
        <v>2049.79112447664</v>
      </c>
      <c r="I11" s="2">
        <v>2098.78105924734</v>
      </c>
      <c r="J11" s="2">
        <v>2290.11734063228</v>
      </c>
      <c r="K11" s="2">
        <v>2754.80771382896</v>
      </c>
      <c r="L11" s="2">
        <v>3444.89980463834</v>
      </c>
      <c r="M11" s="2">
        <v>4246.97439528645</v>
      </c>
    </row>
    <row r="12" ht="15.5" spans="3:13">
      <c r="C12" s="1" t="s">
        <v>112</v>
      </c>
      <c r="D12" s="1" t="s">
        <v>105</v>
      </c>
      <c r="E12" s="2">
        <v>22744.2339083522</v>
      </c>
      <c r="F12" s="2">
        <v>23606.9665005486</v>
      </c>
      <c r="G12" s="2">
        <v>24450.2550934097</v>
      </c>
      <c r="H12" s="2">
        <v>25084.4224967097</v>
      </c>
      <c r="I12" s="2">
        <v>26155.0416914015</v>
      </c>
      <c r="J12" s="2">
        <v>26842.4787162917</v>
      </c>
      <c r="K12" s="2">
        <v>27770.8078025527</v>
      </c>
      <c r="L12" s="2">
        <v>28938.6996602857</v>
      </c>
      <c r="M12" s="2">
        <v>29909.1495814007</v>
      </c>
    </row>
    <row r="13" ht="15.5" spans="3:13">
      <c r="C13" s="1" t="s">
        <v>113</v>
      </c>
      <c r="D13" s="1" t="s">
        <v>105</v>
      </c>
      <c r="E13" s="2">
        <v>106.71394978007</v>
      </c>
      <c r="F13" s="2">
        <v>105.86114713288</v>
      </c>
      <c r="G13" s="2">
        <v>111.769604710543</v>
      </c>
      <c r="H13" s="2">
        <v>115.436623165546</v>
      </c>
      <c r="I13" s="2">
        <v>120.433369853716</v>
      </c>
      <c r="J13" s="2">
        <v>125.53400071485</v>
      </c>
      <c r="K13" s="2">
        <v>133.215918481045</v>
      </c>
      <c r="L13" s="2">
        <v>140.231846964562</v>
      </c>
      <c r="M13" s="2">
        <v>145.791724644316</v>
      </c>
    </row>
    <row r="14" ht="15.5" spans="3:13">
      <c r="C14" s="1" t="s">
        <v>114</v>
      </c>
      <c r="D14" s="1" t="s">
        <v>105</v>
      </c>
      <c r="E14" s="2">
        <v>298.431610121176</v>
      </c>
      <c r="F14" s="2">
        <v>302.891536772257</v>
      </c>
      <c r="G14" s="2">
        <v>303.590972202189</v>
      </c>
      <c r="H14" s="2">
        <v>306.287576652962</v>
      </c>
      <c r="I14" s="2">
        <v>309.521178544634</v>
      </c>
      <c r="J14" s="2">
        <v>317.514465675274</v>
      </c>
      <c r="K14" s="2">
        <v>349.884297902855</v>
      </c>
      <c r="L14" s="2">
        <v>374.428069554838</v>
      </c>
      <c r="M14" s="2">
        <v>402.873694207413</v>
      </c>
    </row>
    <row r="15" ht="15.5" spans="3:13">
      <c r="C15" s="1" t="s">
        <v>115</v>
      </c>
      <c r="D15" s="1" t="s">
        <v>105</v>
      </c>
      <c r="E15" s="2">
        <v>1523.31830942518</v>
      </c>
      <c r="F15" s="2">
        <v>1518.03306002552</v>
      </c>
      <c r="G15" s="2">
        <v>1551.10407188437</v>
      </c>
      <c r="H15" s="2">
        <v>1590.28740164799</v>
      </c>
      <c r="I15" s="2">
        <v>1565.03609854446</v>
      </c>
      <c r="J15" s="2">
        <v>1579.33124731023</v>
      </c>
      <c r="K15" s="2">
        <v>1626.56371385418</v>
      </c>
      <c r="L15" s="2">
        <v>1782.14555116026</v>
      </c>
      <c r="M15" s="2">
        <v>1964.29883037776</v>
      </c>
    </row>
    <row r="16" ht="15.5" spans="3:13">
      <c r="C16" s="1" t="s">
        <v>116</v>
      </c>
      <c r="D16" s="1" t="s">
        <v>105</v>
      </c>
      <c r="E16" s="2">
        <v>1751.82770057674</v>
      </c>
      <c r="F16" s="2">
        <v>1741.22491771675</v>
      </c>
      <c r="G16" s="2">
        <v>1748.58986706485</v>
      </c>
      <c r="H16" s="2">
        <v>1773.67723745575</v>
      </c>
      <c r="I16" s="2">
        <v>1746.78484731398</v>
      </c>
      <c r="J16" s="2">
        <v>1764.44051833082</v>
      </c>
      <c r="K16" s="2">
        <v>1885.75198265507</v>
      </c>
      <c r="L16" s="2">
        <v>2091.14588739423</v>
      </c>
      <c r="M16" s="2">
        <v>2203.62619393307</v>
      </c>
    </row>
    <row r="17" ht="15.5" spans="3:13">
      <c r="C17" s="1" t="s">
        <v>117</v>
      </c>
      <c r="D17" s="1" t="s">
        <v>105</v>
      </c>
      <c r="E17" s="2">
        <v>202.965719423183</v>
      </c>
      <c r="F17" s="2">
        <v>200.796513584471</v>
      </c>
      <c r="G17" s="2">
        <v>211.698151044089</v>
      </c>
      <c r="H17" s="2">
        <v>219.361788377134</v>
      </c>
      <c r="I17" s="2">
        <v>223.695189227577</v>
      </c>
      <c r="J17" s="2">
        <v>232.498849232118</v>
      </c>
      <c r="K17" s="2">
        <v>250.211044493798</v>
      </c>
      <c r="L17" s="2">
        <v>271.693840391958</v>
      </c>
      <c r="M17" s="2">
        <v>292.167447409053</v>
      </c>
    </row>
    <row r="18" ht="15.5" spans="3:13">
      <c r="C18" s="1" t="s">
        <v>118</v>
      </c>
      <c r="D18" s="1" t="s">
        <v>105</v>
      </c>
      <c r="E18" s="2">
        <v>422.154863455916</v>
      </c>
      <c r="F18" s="2">
        <v>424.207924638176</v>
      </c>
      <c r="G18" s="2">
        <v>438.132377784779</v>
      </c>
      <c r="H18" s="2">
        <v>448.440585003087</v>
      </c>
      <c r="I18" s="2">
        <v>467.986483101575</v>
      </c>
      <c r="J18" s="2">
        <v>493.927958226482</v>
      </c>
      <c r="K18" s="2">
        <v>531.222605933791</v>
      </c>
      <c r="L18" s="2">
        <v>570.409474012972</v>
      </c>
      <c r="M18" s="2">
        <v>601.324795064838</v>
      </c>
    </row>
    <row r="19" ht="15.5" spans="3:13">
      <c r="C19" s="1" t="s">
        <v>119</v>
      </c>
      <c r="D19" s="1" t="s">
        <v>105</v>
      </c>
      <c r="E19" s="2">
        <v>60.4539572974715</v>
      </c>
      <c r="F19" s="2">
        <v>60.59246295926</v>
      </c>
      <c r="G19" s="2">
        <v>65.3816416592109</v>
      </c>
      <c r="H19" s="2">
        <v>68.7131115967035</v>
      </c>
      <c r="I19" s="2">
        <v>76.3826051943315</v>
      </c>
      <c r="J19" s="2">
        <v>84.8463366031251</v>
      </c>
      <c r="K19" s="2">
        <v>94.1027591069653</v>
      </c>
      <c r="L19" s="2">
        <v>103.016887042525</v>
      </c>
      <c r="M19" s="2">
        <v>112.218052947304</v>
      </c>
    </row>
    <row r="20" ht="15.5" spans="3:13">
      <c r="C20" s="1" t="s">
        <v>120</v>
      </c>
      <c r="D20" s="1" t="s">
        <v>105</v>
      </c>
      <c r="E20" s="2">
        <v>4502.38020205123</v>
      </c>
      <c r="F20" s="2">
        <v>4572.60507127652</v>
      </c>
      <c r="G20" s="2">
        <v>5494.71646075169</v>
      </c>
      <c r="H20" s="2">
        <v>6074.71125752964</v>
      </c>
      <c r="I20" s="2">
        <v>7626.5520416464</v>
      </c>
      <c r="J20" s="2">
        <v>9561.4403506468</v>
      </c>
      <c r="K20" s="2">
        <v>12130.9279229059</v>
      </c>
      <c r="L20" s="2">
        <v>15065.5257697937</v>
      </c>
      <c r="M20" s="2">
        <v>18404.055717985</v>
      </c>
    </row>
    <row r="21" ht="15.5" spans="3:13">
      <c r="C21" s="1" t="s">
        <v>121</v>
      </c>
      <c r="D21" s="1" t="s">
        <v>105</v>
      </c>
      <c r="E21" s="2">
        <v>101.514199512125</v>
      </c>
      <c r="F21" s="2">
        <v>107.040188910481</v>
      </c>
      <c r="G21" s="2">
        <v>110.336748175391</v>
      </c>
      <c r="H21" s="2">
        <v>114.96915766046</v>
      </c>
      <c r="I21" s="2">
        <v>117.768768215006</v>
      </c>
      <c r="J21" s="2">
        <v>122.605229659658</v>
      </c>
      <c r="K21" s="2">
        <v>134.149507756878</v>
      </c>
      <c r="L21" s="2">
        <v>151.578310273947</v>
      </c>
      <c r="M21" s="2">
        <v>168.944520472062</v>
      </c>
    </row>
    <row r="22" ht="15.5" spans="3:13">
      <c r="C22" s="1" t="s">
        <v>122</v>
      </c>
      <c r="D22" s="1" t="s">
        <v>105</v>
      </c>
      <c r="E22" s="2">
        <v>1015.30841514321</v>
      </c>
      <c r="F22" s="2">
        <v>1002.56260242359</v>
      </c>
      <c r="G22" s="2">
        <v>1019.52943157746</v>
      </c>
      <c r="H22" s="2">
        <v>1031.95629586965</v>
      </c>
      <c r="I22" s="2">
        <v>1002.42600621985</v>
      </c>
      <c r="J22" s="2">
        <v>1029.72756882515</v>
      </c>
      <c r="K22" s="2">
        <v>1088.30096650283</v>
      </c>
      <c r="L22" s="2">
        <v>1164.25160516749</v>
      </c>
      <c r="M22" s="2">
        <v>1249.22121537408</v>
      </c>
    </row>
    <row r="23" ht="15.5" spans="3:13">
      <c r="C23" s="1" t="s">
        <v>123</v>
      </c>
      <c r="D23" s="1" t="s">
        <v>105</v>
      </c>
      <c r="E23" s="2">
        <v>3272.7165337573</v>
      </c>
      <c r="F23" s="2">
        <v>3211.59710233487</v>
      </c>
      <c r="G23" s="2">
        <v>3239.82915146128</v>
      </c>
      <c r="H23" s="2">
        <v>3238.62087811627</v>
      </c>
      <c r="I23" s="2">
        <v>3213.90891662095</v>
      </c>
      <c r="J23" s="2">
        <v>3256.12710807577</v>
      </c>
      <c r="K23" s="2">
        <v>3456.4015716034</v>
      </c>
      <c r="L23" s="2">
        <v>3742.03367769938</v>
      </c>
      <c r="M23" s="2">
        <v>4027.39454479793</v>
      </c>
    </row>
    <row r="24" ht="15.5" spans="3:13">
      <c r="C24" s="1" t="s">
        <v>124</v>
      </c>
      <c r="D24" s="1" t="s">
        <v>105</v>
      </c>
      <c r="E24" s="2">
        <v>1881.5013573081</v>
      </c>
      <c r="F24" s="2">
        <v>1905.6331219769</v>
      </c>
      <c r="G24" s="2">
        <v>1996.34343971699</v>
      </c>
      <c r="H24" s="2">
        <v>2105.65649432344</v>
      </c>
      <c r="I24" s="2">
        <v>2347.37742658956</v>
      </c>
      <c r="J24" s="2">
        <v>2732.7680573898</v>
      </c>
      <c r="K24" s="2">
        <v>3313.66405562039</v>
      </c>
      <c r="L24" s="2">
        <v>4015.72356023045</v>
      </c>
      <c r="M24" s="2">
        <v>4820.8975175147</v>
      </c>
    </row>
    <row r="25" ht="15.5" spans="3:13">
      <c r="C25" s="1" t="s">
        <v>125</v>
      </c>
      <c r="D25" s="1" t="s">
        <v>105</v>
      </c>
      <c r="E25" s="2">
        <v>2675.25809958813</v>
      </c>
      <c r="F25" s="2">
        <v>2679.63167210421</v>
      </c>
      <c r="G25" s="2">
        <v>2853.99312986777</v>
      </c>
      <c r="H25" s="2">
        <v>3015.03945410957</v>
      </c>
      <c r="I25" s="2">
        <v>3321.72607654027</v>
      </c>
      <c r="J25" s="2">
        <v>3774.24787151231</v>
      </c>
      <c r="K25" s="2">
        <v>4537.44528154882</v>
      </c>
      <c r="L25" s="2">
        <v>5464.79403391664</v>
      </c>
      <c r="M25" s="2">
        <v>6304.34603582939</v>
      </c>
    </row>
    <row r="26" ht="15.5" spans="3:13">
      <c r="C26" s="1" t="s">
        <v>126</v>
      </c>
      <c r="D26" s="1" t="s">
        <v>105</v>
      </c>
      <c r="E26" s="2">
        <v>17145.4052610998</v>
      </c>
      <c r="F26" s="2">
        <v>17104.1935090524</v>
      </c>
      <c r="G26" s="2">
        <v>17311.0707244867</v>
      </c>
      <c r="H26" s="2">
        <v>17524.9162900633</v>
      </c>
      <c r="I26" s="2">
        <v>17486.59065799</v>
      </c>
      <c r="J26" s="2">
        <v>17861.5162045354</v>
      </c>
      <c r="K26" s="2">
        <v>19209.1825873353</v>
      </c>
      <c r="L26" s="2">
        <v>20872.5950363844</v>
      </c>
      <c r="M26" s="2">
        <v>22450.1623301513</v>
      </c>
    </row>
    <row r="27" ht="15.5" spans="3:13">
      <c r="C27" s="1" t="s">
        <v>127</v>
      </c>
      <c r="D27" s="1" t="s">
        <v>105</v>
      </c>
      <c r="E27" s="2">
        <v>424.951304727839</v>
      </c>
      <c r="F27" s="2">
        <v>427.740228572879</v>
      </c>
      <c r="G27" s="2">
        <v>439.154594993977</v>
      </c>
      <c r="H27" s="2">
        <v>450.031215173994</v>
      </c>
      <c r="I27" s="2">
        <v>455.98010156531</v>
      </c>
      <c r="J27" s="2">
        <v>466.076295842655</v>
      </c>
      <c r="K27" s="2">
        <v>496.08036550802</v>
      </c>
      <c r="L27" s="2">
        <v>539.529405127338</v>
      </c>
      <c r="M27" s="2">
        <v>582.17574012869</v>
      </c>
    </row>
    <row r="28" ht="15.5" spans="3:13">
      <c r="C28" s="1" t="s">
        <v>128</v>
      </c>
      <c r="D28" s="1" t="s">
        <v>105</v>
      </c>
      <c r="E28" s="2">
        <v>518.434065125709</v>
      </c>
      <c r="F28" s="2">
        <v>528.075357769929</v>
      </c>
      <c r="G28" s="2">
        <v>557.201064486678</v>
      </c>
      <c r="H28" s="2">
        <v>571.332406161887</v>
      </c>
      <c r="I28" s="2">
        <v>608.935317143709</v>
      </c>
      <c r="J28" s="2">
        <v>641.110808923055</v>
      </c>
      <c r="K28" s="2">
        <v>667.682080637942</v>
      </c>
      <c r="L28" s="2">
        <v>700.023925617931</v>
      </c>
      <c r="M28" s="2">
        <v>789.491975892405</v>
      </c>
    </row>
    <row r="29" ht="15.5" spans="3:13">
      <c r="C29" s="1" t="s">
        <v>129</v>
      </c>
      <c r="D29" s="1" t="s">
        <v>105</v>
      </c>
      <c r="E29" s="2">
        <v>9220.17454914368</v>
      </c>
      <c r="F29" s="2">
        <v>9416.06706695193</v>
      </c>
      <c r="G29" s="2">
        <v>10119.6743208035</v>
      </c>
      <c r="H29" s="2">
        <v>10633.4451400848</v>
      </c>
      <c r="I29" s="2">
        <v>12101.4505189081</v>
      </c>
      <c r="J29" s="2">
        <v>13902.2525251278</v>
      </c>
      <c r="K29" s="2">
        <v>16778.8849073298</v>
      </c>
      <c r="L29" s="2">
        <v>20034.4874996652</v>
      </c>
      <c r="M29" s="2">
        <v>23441.7652900775</v>
      </c>
    </row>
    <row r="30" ht="15.5" spans="3:13">
      <c r="C30" s="1" t="s">
        <v>130</v>
      </c>
      <c r="D30" s="1" t="s">
        <v>105</v>
      </c>
      <c r="E30" s="2">
        <v>3015.83085759749</v>
      </c>
      <c r="F30" s="2">
        <v>3010.98916845573</v>
      </c>
      <c r="G30" s="2">
        <v>2850.62026436412</v>
      </c>
      <c r="H30" s="2">
        <v>2846.270849853</v>
      </c>
      <c r="I30" s="2">
        <v>3011.21000401546</v>
      </c>
      <c r="J30" s="2">
        <v>3097.48332177206</v>
      </c>
      <c r="K30" s="2">
        <v>3330.42257881761</v>
      </c>
      <c r="L30" s="2">
        <v>3597.25757300807</v>
      </c>
      <c r="M30" s="2">
        <v>3875.89558066925</v>
      </c>
    </row>
    <row r="31" ht="15.5" spans="3:13">
      <c r="C31" s="1" t="s">
        <v>131</v>
      </c>
      <c r="D31" s="1" t="s">
        <v>105</v>
      </c>
      <c r="E31" s="2">
        <v>1127.93756615386</v>
      </c>
      <c r="F31" s="2">
        <v>1115.04379214834</v>
      </c>
      <c r="G31" s="2">
        <v>1142.48347282559</v>
      </c>
      <c r="H31" s="2">
        <v>1155.28295745882</v>
      </c>
      <c r="I31" s="2">
        <v>1228.78335181374</v>
      </c>
      <c r="J31" s="2">
        <v>1300.780060604</v>
      </c>
      <c r="K31" s="2">
        <v>1457.99013557827</v>
      </c>
      <c r="L31" s="2">
        <v>1580.23081826058</v>
      </c>
      <c r="M31" s="2">
        <v>1753.53967428258</v>
      </c>
    </row>
    <row r="32" ht="15.5" spans="3:13">
      <c r="C32" s="1" t="s">
        <v>132</v>
      </c>
      <c r="D32" s="1" t="s">
        <v>105</v>
      </c>
      <c r="E32" s="2">
        <v>688.370874685496</v>
      </c>
      <c r="F32" s="2">
        <v>681.377893590665</v>
      </c>
      <c r="G32" s="2">
        <v>671.378047738662</v>
      </c>
      <c r="H32" s="2">
        <v>669.853056712089</v>
      </c>
      <c r="I32" s="2">
        <v>681.891206343725</v>
      </c>
      <c r="J32" s="2">
        <v>744.251715440297</v>
      </c>
      <c r="K32" s="2">
        <v>884.706753658681</v>
      </c>
      <c r="L32" s="2">
        <v>1071.04439872585</v>
      </c>
      <c r="M32" s="2">
        <v>1295.84825774367</v>
      </c>
    </row>
    <row r="33" ht="15.5" spans="3:13">
      <c r="C33" s="1" t="s">
        <v>133</v>
      </c>
      <c r="D33" s="1" t="s">
        <v>105</v>
      </c>
      <c r="E33" s="2">
        <v>1011.5972956086</v>
      </c>
      <c r="F33" s="2">
        <v>1008.73482254592</v>
      </c>
      <c r="G33" s="2">
        <v>1037.55084774788</v>
      </c>
      <c r="H33" s="2">
        <v>1064.04581840171</v>
      </c>
      <c r="I33" s="2">
        <v>1039.22195716001</v>
      </c>
      <c r="J33" s="2">
        <v>1075.27410864228</v>
      </c>
      <c r="K33" s="2">
        <v>1166.77193707517</v>
      </c>
      <c r="L33" s="2">
        <v>1289.62810770992</v>
      </c>
      <c r="M33" s="2">
        <v>1423.29369996679</v>
      </c>
    </row>
    <row r="34" ht="15.5" spans="3:13">
      <c r="C34" s="1" t="s">
        <v>134</v>
      </c>
      <c r="D34" s="1" t="s">
        <v>105</v>
      </c>
      <c r="E34" s="2">
        <v>837.061651779598</v>
      </c>
      <c r="F34" s="2">
        <v>838.970174052067</v>
      </c>
      <c r="G34" s="2">
        <v>838.144381283427</v>
      </c>
      <c r="H34" s="2">
        <v>843.160256344376</v>
      </c>
      <c r="I34" s="2">
        <v>871.478605015623</v>
      </c>
      <c r="J34" s="2">
        <v>914.811703704446</v>
      </c>
      <c r="K34" s="2">
        <v>974.564330989989</v>
      </c>
      <c r="L34" s="2">
        <v>1043.30530784173</v>
      </c>
      <c r="M34" s="2">
        <v>1111.76953486682</v>
      </c>
    </row>
    <row r="35" ht="15.5" spans="3:13">
      <c r="C35" s="1" t="s">
        <v>135</v>
      </c>
      <c r="D35" s="1" t="s">
        <v>105</v>
      </c>
      <c r="E35" s="2">
        <v>191.441300795113</v>
      </c>
      <c r="F35" s="2">
        <v>190.443472303878</v>
      </c>
      <c r="G35" s="2">
        <v>191.15088620439</v>
      </c>
      <c r="H35" s="2">
        <v>192.509181115961</v>
      </c>
      <c r="I35" s="2">
        <v>190.990306725668</v>
      </c>
      <c r="J35" s="2">
        <v>202.709546104397</v>
      </c>
      <c r="K35" s="2">
        <v>208.475543108351</v>
      </c>
      <c r="L35" s="2">
        <v>221.816879103907</v>
      </c>
      <c r="M35" s="2">
        <v>239.790209513569</v>
      </c>
    </row>
    <row r="36" ht="15.5" spans="3:13">
      <c r="C36" s="1" t="s">
        <v>136</v>
      </c>
      <c r="D36" s="1" t="s">
        <v>105</v>
      </c>
      <c r="E36" s="2">
        <v>902.992257070818</v>
      </c>
      <c r="F36" s="2">
        <v>920.485799693816</v>
      </c>
      <c r="G36" s="2">
        <v>996.249938483025</v>
      </c>
      <c r="H36" s="2">
        <v>1045.04532969809</v>
      </c>
      <c r="I36" s="2">
        <v>1105.42578700347</v>
      </c>
      <c r="J36" s="2">
        <v>1177.6842510907</v>
      </c>
      <c r="K36" s="2">
        <v>1289.77518729408</v>
      </c>
      <c r="L36" s="2">
        <v>1395.37471724666</v>
      </c>
      <c r="M36" s="2">
        <v>1497.08145201408</v>
      </c>
    </row>
    <row r="37" ht="15.5" spans="3:13">
      <c r="C37" s="1" t="s">
        <v>137</v>
      </c>
      <c r="D37" s="1" t="s">
        <v>105</v>
      </c>
      <c r="E37" s="2">
        <v>1059.49247089325</v>
      </c>
      <c r="F37" s="2">
        <v>1053.138669625</v>
      </c>
      <c r="G37" s="2">
        <v>1069.51362306586</v>
      </c>
      <c r="H37" s="2">
        <v>1102.82335767951</v>
      </c>
      <c r="I37" s="2">
        <v>1110.9877935943</v>
      </c>
      <c r="J37" s="2">
        <v>1142.0942630254</v>
      </c>
      <c r="K37" s="2">
        <v>1242.40965379208</v>
      </c>
      <c r="L37" s="2">
        <v>1399.16314718121</v>
      </c>
      <c r="M37" s="2">
        <v>1567.33531962641</v>
      </c>
    </row>
    <row r="38" ht="15.5" spans="3:13">
      <c r="C38" s="1" t="s">
        <v>138</v>
      </c>
      <c r="D38" s="1" t="s">
        <v>105</v>
      </c>
      <c r="E38" s="2">
        <v>422.378294713019</v>
      </c>
      <c r="F38" s="2">
        <v>431.385488241428</v>
      </c>
      <c r="G38" s="2">
        <v>382.600992473691</v>
      </c>
      <c r="H38" s="2">
        <v>354.785063348349</v>
      </c>
      <c r="I38" s="2">
        <v>412.31956693474</v>
      </c>
      <c r="J38" s="2">
        <v>504.224434322444</v>
      </c>
      <c r="K38" s="2">
        <v>637.782784875819</v>
      </c>
      <c r="L38" s="2">
        <v>755.087128417368</v>
      </c>
      <c r="M38" s="2">
        <v>893.520716668517</v>
      </c>
    </row>
    <row r="39" ht="15.5" spans="3:13">
      <c r="C39" s="1" t="s">
        <v>139</v>
      </c>
      <c r="D39" s="1" t="s">
        <v>105</v>
      </c>
      <c r="E39" s="2">
        <v>220.412355031244</v>
      </c>
      <c r="F39" s="2">
        <v>217.199540847687</v>
      </c>
      <c r="G39" s="2">
        <v>237.807647829066</v>
      </c>
      <c r="H39" s="2">
        <v>249.745224538684</v>
      </c>
      <c r="I39" s="2">
        <v>288.631819741434</v>
      </c>
      <c r="J39" s="2">
        <v>340.349259388337</v>
      </c>
      <c r="K39" s="2">
        <v>406.332915412861</v>
      </c>
      <c r="L39" s="2">
        <v>473.614939937575</v>
      </c>
      <c r="M39" s="2">
        <v>535.009548871934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Elec</vt:lpstr>
      <vt:lpstr>Transport</vt:lpstr>
      <vt:lpstr>storage</vt:lpstr>
      <vt:lpstr>SHAPES</vt:lpstr>
      <vt:lpstr>Misc</vt:lpstr>
      <vt:lpstr>pumped hydro</vt:lpstr>
      <vt:lpstr>non-TRA elec dem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2001-09-28T18:48:00Z</dcterms:created>
  <dcterms:modified xsi:type="dcterms:W3CDTF">2026-08-07T05:19:54Z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184978671403008</vt:r8>
  </property>
  <property fmtid="{D5CDD505-2E9C-101B-9397-08002B2CF9AE}" pid="3" name="{A44787D4-0540-4523-9961-78E4036D8C6D}">
    <vt:lpwstr>{E5E86C4F-4557-4DD9-B272-72199BE960CF}</vt:lpwstr>
  </property>
  <property fmtid="{D5CDD505-2E9C-101B-9397-08002B2CF9AE}" pid="4" name="ICV">
    <vt:lpwstr>65F73813A2F74F509EDF5409A6CF8D60_12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