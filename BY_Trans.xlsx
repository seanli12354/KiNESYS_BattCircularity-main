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8710" firstSheet="3" activeTab="8"/>
  </bookViews>
  <sheets>
    <sheet name="Elec" sheetId="22" r:id="rId1"/>
    <sheet name="Transport" sheetId="23" r:id="rId2"/>
    <sheet name="storage" sheetId="30" r:id="rId3"/>
    <sheet name="SHAPES" sheetId="24" r:id="rId4"/>
    <sheet name="Misc" sheetId="26" r:id="rId5"/>
    <sheet name="pumped hydro" sheetId="27" r:id="rId6"/>
    <sheet name="non-TRA elec dem" sheetId="29" r:id="rId7"/>
    <sheet name="INDELC_generator" sheetId="31" r:id="rId8"/>
    <sheet name="Elc_demand" sheetId="3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B32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 removed this one</t>
        </r>
      </text>
    </comment>
    <comment ref="B35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I removed it bcz if you let them retire post 2025 then 2060 will appear an abrupt</t>
        </r>
      </text>
    </comment>
  </commentList>
</comments>
</file>

<file path=xl/comments2.xml><?xml version="1.0" encoding="utf-8"?>
<comments xmlns="http://schemas.openxmlformats.org/spreadsheetml/2006/main">
  <authors>
    <author>Amit Kanudia</author>
  </authors>
  <commentList>
    <comment ref="B5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22-02-2022
relaxing base-year bound. IEA balances report 47EJ pri bio, but 3.5EJ biofuels are also reported as primary production.</t>
        </r>
      </text>
    </comment>
  </commentList>
</comments>
</file>

<file path=xl/sharedStrings.xml><?xml version="1.0" encoding="utf-8"?>
<sst xmlns="http://schemas.openxmlformats.org/spreadsheetml/2006/main" count="653" uniqueCount="203">
  <si>
    <t>~md-v_s:</t>
  </si>
  <si>
    <t>default parameters for electricity generation technologies</t>
  </si>
  <si>
    <t>~TFM_INS</t>
  </si>
  <si>
    <t>Attribute</t>
  </si>
  <si>
    <t>Curr</t>
  </si>
  <si>
    <t>Attrib_Cond</t>
  </si>
  <si>
    <t>LimType</t>
  </si>
  <si>
    <t>Year</t>
  </si>
  <si>
    <t>AllRegions</t>
  </si>
  <si>
    <t>PSET_SET</t>
  </si>
  <si>
    <t>PSET_PN</t>
  </si>
  <si>
    <t>PSET_CI</t>
  </si>
  <si>
    <t>NCAP_BND</t>
  </si>
  <si>
    <t>PASTI</t>
  </si>
  <si>
    <t>FX</t>
  </si>
  <si>
    <t>ELE,CHP,STS,STG</t>
  </si>
  <si>
    <t>-EN_STG_4hBatt*</t>
  </si>
  <si>
    <t>PRC_CAPACT</t>
  </si>
  <si>
    <t>PEAK</t>
  </si>
  <si>
    <t>ELCSPV</t>
  </si>
  <si>
    <t>ELCWIN</t>
  </si>
  <si>
    <t>~TFM_UPD</t>
  </si>
  <si>
    <t>EFF</t>
  </si>
  <si>
    <t>ELCNUC</t>
  </si>
  <si>
    <t>*HYD,*SPV,*WIN</t>
  </si>
  <si>
    <t>INVCOST</t>
  </si>
  <si>
    <t>USD11</t>
  </si>
  <si>
    <t>ELE</t>
  </si>
  <si>
    <t>EP*Coa*</t>
  </si>
  <si>
    <t>EP*NGA*,EP*Oil*</t>
  </si>
  <si>
    <t>ELE,STS</t>
  </si>
  <si>
    <t>EP*Hyd*</t>
  </si>
  <si>
    <t>ELIFE</t>
  </si>
  <si>
    <t>EP*</t>
  </si>
  <si>
    <t>RCAP_BND</t>
  </si>
  <si>
    <t>UP</t>
  </si>
  <si>
    <t>ELE,CHP</t>
  </si>
  <si>
    <t>-ELCHYD,-ELCBIO,-ELCWAS,-ELCSPV,-ELCWIN</t>
  </si>
  <si>
    <t>ELCNGA</t>
  </si>
  <si>
    <t>~md-v_c:</t>
  </si>
  <si>
    <t>Distributing the base-year Vehicle stock over the last 20 years - based on the probabilistic retirement profile</t>
  </si>
  <si>
    <t>~TFM_MIG</t>
  </si>
  <si>
    <t>~TFM_INS: Limtype=FX</t>
  </si>
  <si>
    <t>attribute</t>
  </si>
  <si>
    <t>pset_pn</t>
  </si>
  <si>
    <t>year2</t>
  </si>
  <si>
    <t>allregions</t>
  </si>
  <si>
    <t>other_indexes</t>
  </si>
  <si>
    <t>year</t>
  </si>
  <si>
    <t>value</t>
  </si>
  <si>
    <t>Trd[_]*</t>
  </si>
  <si>
    <t>SHAPE</t>
  </si>
  <si>
    <t>Different with Trd*, batteries need to be distributed over past time or the optimization will have a time gap for recycling becuae their end-time before 2040</t>
  </si>
  <si>
    <t>EN_STG_4hBatt*</t>
  </si>
  <si>
    <t>*0.291</t>
  </si>
  <si>
    <t>*0.308</t>
  </si>
  <si>
    <t>*0.159</t>
  </si>
  <si>
    <t>*0.121</t>
  </si>
  <si>
    <t>*0.065</t>
  </si>
  <si>
    <t>*0.037</t>
  </si>
  <si>
    <t>*0.019</t>
  </si>
  <si>
    <t>*0.000</t>
  </si>
  <si>
    <t>k</t>
  </si>
  <si>
    <t>a</t>
  </si>
  <si>
    <t>Data (18.5)</t>
  </si>
  <si>
    <t>Mean AGE (TLIFE = 25)</t>
  </si>
  <si>
    <t>trucks and buses</t>
  </si>
  <si>
    <t>lcv, pas and mot</t>
  </si>
  <si>
    <t>process</t>
  </si>
  <si>
    <t>ACT_BND</t>
  </si>
  <si>
    <t>MinBIOBSL-07</t>
  </si>
  <si>
    <t>~TFM_MIG: attribute=stock</t>
  </si>
  <si>
    <t>pset_ci</t>
  </si>
  <si>
    <t>*1</t>
  </si>
  <si>
    <t>???GEO,???STH</t>
  </si>
  <si>
    <t>~TFM_TOPINS</t>
  </si>
  <si>
    <t>io</t>
  </si>
  <si>
    <t>commodity</t>
  </si>
  <si>
    <t>SUP_GasSupply</t>
  </si>
  <si>
    <t>IN</t>
  </si>
  <si>
    <t>GAS[_]*</t>
  </si>
  <si>
    <t>SUP_OilSupply</t>
  </si>
  <si>
    <t>OIL[_]*</t>
  </si>
  <si>
    <t>START</t>
  </si>
  <si>
    <t>-Gas[_]*</t>
  </si>
  <si>
    <t>-Oil[_]*</t>
  </si>
  <si>
    <t>flo_shar</t>
  </si>
  <si>
    <t>FT_ELC*,FT_SUP*,FT_IND*</t>
  </si>
  <si>
    <t>~md-v_r: relaxing flo_share in 2019 as BFG etc not functional anymore</t>
  </si>
  <si>
    <t>~md-v_s: default parameters for pumped hydro - assuming 6h storage</t>
  </si>
  <si>
    <t>timeslice</t>
  </si>
  <si>
    <t>pset_co</t>
  </si>
  <si>
    <t>assuming 6h storage capacity for day-night operation of pumped hydro</t>
  </si>
  <si>
    <t>NCAP_AFAC</t>
  </si>
  <si>
    <t>ELC</t>
  </si>
  <si>
    <t>EP_HPS*</t>
  </si>
  <si>
    <t>INDELC</t>
  </si>
  <si>
    <t>EA_HPS*</t>
  </si>
  <si>
    <t>NCAP_AFC</t>
  </si>
  <si>
    <t>ACT</t>
  </si>
  <si>
    <t>DAYNITE</t>
  </si>
  <si>
    <t>E?_HPS*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</si>
  <si>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</si>
  <si>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</si>
  <si>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</si>
  <si>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</si>
  <si>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</si>
  <si>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</si>
  <si>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OUT</t>
  </si>
  <si>
    <t>*Migrated from ssp projections deducting transport demand, but N-P need revise</t>
  </si>
  <si>
    <t>~TFM_DINS-TS: attribute=Demand; commodity=ELCDem</t>
  </si>
  <si>
    <t>region</t>
  </si>
  <si>
    <t>unit</t>
  </si>
  <si>
    <t>Africa_North</t>
  </si>
  <si>
    <t>PJ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</si>
  <si>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</si>
  <si>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</si>
  <si>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</si>
  <si>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</si>
  <si>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</si>
  <si>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</si>
  <si>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</si>
  <si>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</si>
  <si>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</si>
  <si>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</si>
  <si>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</si>
  <si>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</si>
  <si>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</si>
  <si>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</si>
  <si>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</si>
  <si>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</si>
  <si>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</si>
  <si>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</si>
  <si>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</si>
  <si>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</si>
  <si>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</si>
  <si>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</si>
  <si>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</si>
  <si>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</si>
  <si>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</si>
  <si>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</si>
  <si>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</si>
  <si>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</si>
  <si>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</si>
  <si>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</si>
  <si>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</si>
  <si>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</si>
  <si>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</si>
  <si>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</si>
  <si>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CommName</t>
  </si>
  <si>
    <t>TimeSlice</t>
  </si>
  <si>
    <t>Csets</t>
  </si>
  <si>
    <t>COM_FR</t>
  </si>
  <si>
    <t>ELCDem</t>
  </si>
  <si>
    <t>S1H1</t>
  </si>
  <si>
    <t>DEM</t>
  </si>
  <si>
    <t>S1H2</t>
  </si>
  <si>
    <t>S1H3</t>
  </si>
  <si>
    <t>S1H4</t>
  </si>
  <si>
    <t>S1H5</t>
  </si>
  <si>
    <t>S1H6</t>
  </si>
  <si>
    <t>S1H7</t>
  </si>
  <si>
    <t>S1H8</t>
  </si>
  <si>
    <t>S2H1</t>
  </si>
  <si>
    <t>S2H2</t>
  </si>
  <si>
    <t>S2H3</t>
  </si>
  <si>
    <t>S2H4</t>
  </si>
  <si>
    <t>S2H5</t>
  </si>
  <si>
    <t>S2H6</t>
  </si>
  <si>
    <t>S2H7</t>
  </si>
  <si>
    <t>S2H8</t>
  </si>
  <si>
    <t>S3H1</t>
  </si>
  <si>
    <t>S3H2</t>
  </si>
  <si>
    <t>S3H3</t>
  </si>
  <si>
    <t>S3H4</t>
  </si>
  <si>
    <t>S3H5</t>
  </si>
  <si>
    <t>S3H6</t>
  </si>
  <si>
    <t>S3H7</t>
  </si>
  <si>
    <t>S3H8</t>
  </si>
  <si>
    <t>S4H1</t>
  </si>
  <si>
    <t>S4H2</t>
  </si>
  <si>
    <t>S4H3</t>
  </si>
  <si>
    <t>S4H4</t>
  </si>
  <si>
    <t>S4H5</t>
  </si>
  <si>
    <t>S4H6</t>
  </si>
  <si>
    <t>S4H7</t>
  </si>
  <si>
    <t>S4H8</t>
  </si>
  <si>
    <t>S5H1</t>
  </si>
  <si>
    <t>S5H2</t>
  </si>
  <si>
    <t>S5H3</t>
  </si>
  <si>
    <t>S5H4</t>
  </si>
  <si>
    <t>S5H5</t>
  </si>
  <si>
    <t>S5H6</t>
  </si>
  <si>
    <t>S5H7</t>
  </si>
  <si>
    <t>S5H8</t>
  </si>
  <si>
    <t>S6H1</t>
  </si>
  <si>
    <t>S6H2</t>
  </si>
  <si>
    <t>S6H3</t>
  </si>
  <si>
    <t>S6H4</t>
  </si>
  <si>
    <t>S6H5</t>
  </si>
  <si>
    <t>S6H6</t>
  </si>
  <si>
    <t>S6H7</t>
  </si>
  <si>
    <t>S6H8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</si>
</sst>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"/>
    <numFmt numFmtId="179" formatCode="0.000"/>
  </numFmts>
  <fonts count="35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b/>
      <i/>
      <sz val="10"/>
      <name val="Arial"/>
      <charset val="134"/>
    </font>
    <font>
      <b/>
      <i/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9"/>
      <name val="Tahoma"/>
      <charset val="134"/>
    </font>
    <font>
      <b/>
      <sz val="9"/>
      <name val="Tahoma"/>
      <charset val="134"/>
    </font>
    <font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6" borderId="4" applyNumberFormat="0" applyAlignment="0" applyProtection="0"/>
    <xf numFmtId="0" fontId="20" fillId="11" borderId="13" applyNumberFormat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7" borderId="0" applyNumberFormat="0" applyBorder="0" applyAlignment="0" applyProtection="0"/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0" fillId="0" borderId="0"/>
  </cellStyleXfs>
  <cellXfs count="41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/>
    <xf numFmtId="0" fontId="1" fillId="0" borderId="0" xfId="0" applyFont="1" applyFill="1" applyAlignment="1"/>
    <xf numFmtId="0" fontId="3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55"/>
    <xf numFmtId="0" fontId="1" fillId="3" borderId="0" xfId="0" applyFont="1" applyFill="1" applyAlignment="1">
      <alignment vertical="center"/>
    </xf>
    <xf numFmtId="2" fontId="4" fillId="0" borderId="0" xfId="55" applyNumberFormat="1"/>
    <xf numFmtId="0" fontId="1" fillId="0" borderId="0" xfId="53"/>
    <xf numFmtId="0" fontId="5" fillId="0" borderId="0" xfId="53" applyFont="1"/>
    <xf numFmtId="0" fontId="5" fillId="4" borderId="0" xfId="53" applyFont="1" applyFill="1"/>
    <xf numFmtId="0" fontId="5" fillId="0" borderId="1" xfId="53" applyFont="1" applyBorder="1"/>
    <xf numFmtId="2" fontId="5" fillId="0" borderId="1" xfId="53" applyNumberFormat="1" applyFont="1" applyBorder="1"/>
    <xf numFmtId="2" fontId="5" fillId="0" borderId="0" xfId="53" applyNumberFormat="1" applyFont="1"/>
    <xf numFmtId="0" fontId="5" fillId="0" borderId="2" xfId="53" applyFont="1" applyBorder="1"/>
    <xf numFmtId="0" fontId="1" fillId="0" borderId="0" xfId="52" applyFont="1"/>
    <xf numFmtId="0" fontId="1" fillId="0" borderId="0" xfId="52"/>
    <xf numFmtId="0" fontId="0" fillId="0" borderId="0" xfId="0" applyFont="1"/>
    <xf numFmtId="0" fontId="6" fillId="5" borderId="3" xfId="8" applyFont="1"/>
    <xf numFmtId="0" fontId="7" fillId="0" borderId="0" xfId="52" applyFont="1" applyAlignment="1">
      <alignment horizontal="center"/>
    </xf>
    <xf numFmtId="0" fontId="8" fillId="6" borderId="4" xfId="16"/>
    <xf numFmtId="178" fontId="9" fillId="7" borderId="0" xfId="22" applyNumberFormat="1" applyFont="1"/>
    <xf numFmtId="0" fontId="10" fillId="0" borderId="0" xfId="52" applyFont="1"/>
    <xf numFmtId="179" fontId="1" fillId="8" borderId="0" xfId="52" applyNumberFormat="1" applyFill="1"/>
    <xf numFmtId="179" fontId="1" fillId="0" borderId="0" xfId="52" applyNumberFormat="1"/>
    <xf numFmtId="2" fontId="1" fillId="0" borderId="0" xfId="52" applyNumberFormat="1"/>
    <xf numFmtId="0" fontId="11" fillId="0" borderId="5" xfId="52" applyFont="1" applyBorder="1"/>
    <xf numFmtId="0" fontId="11" fillId="0" borderId="6" xfId="52" applyFont="1" applyBorder="1"/>
    <xf numFmtId="0" fontId="11" fillId="0" borderId="7" xfId="52" applyFont="1" applyBorder="1"/>
    <xf numFmtId="0" fontId="11" fillId="0" borderId="8" xfId="52" applyFont="1" applyBorder="1"/>
    <xf numFmtId="0" fontId="11" fillId="0" borderId="9" xfId="52" applyFont="1" applyBorder="1"/>
    <xf numFmtId="0" fontId="11" fillId="0" borderId="10" xfId="52" applyFont="1" applyBorder="1"/>
    <xf numFmtId="0" fontId="0" fillId="5" borderId="3" xfId="8" applyFont="1"/>
    <xf numFmtId="0" fontId="0" fillId="9" borderId="0" xfId="0" applyFill="1"/>
    <xf numFmtId="0" fontId="1" fillId="9" borderId="0" xfId="0" applyFont="1" applyFill="1" applyAlignment="1">
      <alignment vertical="center"/>
    </xf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10" borderId="0" xfId="0" applyFill="1"/>
    <xf numFmtId="0" fontId="0" fillId="3" borderId="0" xfId="0" applyFill="1"/>
    <xf numFmtId="0" fontId="0" fillId="0" borderId="0" xfId="0" applyNumberFormat="1" quotePrefix="1"/>
    <xf numFmtId="0" fontId="0" fillId="0" borderId="0" xfId="0" quotePrefix="1"/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2" xfId="50"/>
    <cellStyle name="Normal 2 2" xfId="51"/>
    <cellStyle name="Normal 3" xfId="52"/>
    <cellStyle name="Normal 4" xfId="53"/>
    <cellStyle name="Normal 5" xfId="54"/>
    <cellStyle name="Normal 6" xfId="55"/>
    <cellStyle name="Normale_Scen_UC_IND-StrucConst" xfId="5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SHAPES!$B$7</c:f>
              <c:strCache>
                <c:ptCount val="1"/>
                <c:pt idx="0">
                  <c:v>Data (18.5)</c:v>
                </c:pt>
              </c:strCache>
            </c:strRef>
          </c:tx>
          <c:spPr>
            <a:ln w="25400" cap="rnd" cmpd="dbl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SHAPES!$B$8:$B$57</c:f>
              <c:numCache>
                <c:formatCode>0.000</c:formatCode>
                <c:ptCount val="50"/>
                <c:pt idx="0">
                  <c:v>0.98</c:v>
                </c:pt>
                <c:pt idx="1">
                  <c:v>0.970622580135159</c:v>
                </c:pt>
                <c:pt idx="2">
                  <c:v>0.962396435716511</c:v>
                </c:pt>
                <c:pt idx="3">
                  <c:v>0.962396435716511</c:v>
                </c:pt>
                <c:pt idx="4">
                  <c:v>0.953348946865523</c:v>
                </c:pt>
                <c:pt idx="5">
                  <c:v>0.946947220933845</c:v>
                </c:pt>
                <c:pt idx="6">
                  <c:v>0.946947220933845</c:v>
                </c:pt>
                <c:pt idx="7">
                  <c:v>0.926261114788064</c:v>
                </c:pt>
                <c:pt idx="8">
                  <c:v>0.898162758045296</c:v>
                </c:pt>
                <c:pt idx="9">
                  <c:v>0.898162758045296</c:v>
                </c:pt>
                <c:pt idx="10">
                  <c:v>0.846189380878412</c:v>
                </c:pt>
                <c:pt idx="11">
                  <c:v>0.836089965568855</c:v>
                </c:pt>
                <c:pt idx="12">
                  <c:v>0.785347748818551</c:v>
                </c:pt>
                <c:pt idx="13">
                  <c:v>0.765158424624948</c:v>
                </c:pt>
                <c:pt idx="14">
                  <c:v>0.722888201491699</c:v>
                </c:pt>
                <c:pt idx="15">
                  <c:v>0.662206654111213</c:v>
                </c:pt>
                <c:pt idx="16">
                  <c:v>0.623093147917535</c:v>
                </c:pt>
                <c:pt idx="17">
                  <c:v>0.537592092285781</c:v>
                </c:pt>
                <c:pt idx="18">
                  <c:v>0.474189219095591</c:v>
                </c:pt>
                <c:pt idx="19">
                  <c:v>0.422091220937619</c:v>
                </c:pt>
                <c:pt idx="20">
                  <c:v>0.346971016058413</c:v>
                </c:pt>
                <c:pt idx="21">
                  <c:v>0.293064361762058</c:v>
                </c:pt>
                <c:pt idx="22">
                  <c:v>0.232858040357466</c:v>
                </c:pt>
                <c:pt idx="23">
                  <c:v>0.190942528947818</c:v>
                </c:pt>
                <c:pt idx="24">
                  <c:v>0.164653096923697</c:v>
                </c:pt>
                <c:pt idx="25">
                  <c:v>0.148868327448333</c:v>
                </c:pt>
                <c:pt idx="26">
                  <c:v>0.11454490726822</c:v>
                </c:pt>
                <c:pt idx="27">
                  <c:v>0.103054577939045</c:v>
                </c:pt>
                <c:pt idx="28">
                  <c:v>0.0950979000353695</c:v>
                </c:pt>
                <c:pt idx="29">
                  <c:v>0.0950979000353695</c:v>
                </c:pt>
                <c:pt idx="30">
                  <c:v>0.0794965091942965</c:v>
                </c:pt>
                <c:pt idx="31">
                  <c:v>0.0568420433598065</c:v>
                </c:pt>
                <c:pt idx="32">
                  <c:v>0.0542540888865057</c:v>
                </c:pt>
                <c:pt idx="33">
                  <c:v>0.0542540888865057</c:v>
                </c:pt>
                <c:pt idx="34">
                  <c:v>0.0542540888865057</c:v>
                </c:pt>
                <c:pt idx="35">
                  <c:v>0.0453752228971555</c:v>
                </c:pt>
                <c:pt idx="36">
                  <c:v>0.0330173163442898</c:v>
                </c:pt>
                <c:pt idx="37">
                  <c:v>0.0330173163442898</c:v>
                </c:pt>
                <c:pt idx="38">
                  <c:v>0.031841483991343</c:v>
                </c:pt>
                <c:pt idx="39">
                  <c:v>0.0289468036284937</c:v>
                </c:pt>
                <c:pt idx="40">
                  <c:v>0.0260521232656443</c:v>
                </c:pt>
                <c:pt idx="41">
                  <c:v>0.0231574429027949</c:v>
                </c:pt>
                <c:pt idx="42">
                  <c:v>0.0202627625399456</c:v>
                </c:pt>
                <c:pt idx="43">
                  <c:v>0.0173680821770962</c:v>
                </c:pt>
                <c:pt idx="44">
                  <c:v>0.0144734018142468</c:v>
                </c:pt>
                <c:pt idx="45">
                  <c:v>0.0115787214513975</c:v>
                </c:pt>
                <c:pt idx="46">
                  <c:v>0.00868404108854809</c:v>
                </c:pt>
                <c:pt idx="47">
                  <c:v>0.00578936072569872</c:v>
                </c:pt>
                <c:pt idx="48">
                  <c:v>0.00289468036284934</c:v>
                </c:pt>
                <c:pt idx="49">
                  <c:v>0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SHAPES!$C$7</c:f>
              <c:strCache>
                <c:ptCount val="1"/>
                <c:pt idx="0">
                  <c:v>10.0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SHAPES!$C$8:$C$57</c:f>
              <c:numCache>
                <c:formatCode>0.000</c:formatCode>
                <c:ptCount val="50"/>
                <c:pt idx="0">
                  <c:v>0.906219385211314</c:v>
                </c:pt>
                <c:pt idx="1">
                  <c:v>0.887526560438355</c:v>
                </c:pt>
                <c:pt idx="2">
                  <c:v>0.865393324683414</c:v>
                </c:pt>
                <c:pt idx="3">
                  <c:v>0.839314002453786</c:v>
                </c:pt>
                <c:pt idx="4">
                  <c:v>0.808766111793418</c:v>
                </c:pt>
                <c:pt idx="5">
                  <c:v>0.773239215092304</c:v>
                </c:pt>
                <c:pt idx="6">
                  <c:v>0.732278494099783</c:v>
                </c:pt>
                <c:pt idx="7">
                  <c:v>0.685546224575631</c:v>
                </c:pt>
                <c:pt idx="8">
                  <c:v>0.632903023475913</c:v>
                </c:pt>
                <c:pt idx="9">
                  <c:v>0.574507650216493</c:v>
                </c:pt>
                <c:pt idx="10">
                  <c:v>0.510928455302216</c:v>
                </c:pt>
                <c:pt idx="11">
                  <c:v>0.443250713618776</c:v>
                </c:pt>
                <c:pt idx="12">
                  <c:v>0.373152419091481</c:v>
                </c:pt>
                <c:pt idx="13">
                  <c:v>0.302909076264049</c:v>
                </c:pt>
                <c:pt idx="14">
                  <c:v>0.23528138033045</c:v>
                </c:pt>
                <c:pt idx="15">
                  <c:v>0.1732480236977</c:v>
                </c:pt>
                <c:pt idx="16">
                  <c:v>0.11958021751459</c:v>
                </c:pt>
                <c:pt idx="17">
                  <c:v>0.0763196147056263</c:v>
                </c:pt>
                <c:pt idx="18">
                  <c:v>0.0443026892620923</c:v>
                </c:pt>
                <c:pt idx="19">
                  <c:v>0.0229281766898145</c:v>
                </c:pt>
                <c:pt idx="20">
                  <c:v>0.0103268678591589</c:v>
                </c:pt>
                <c:pt idx="21">
                  <c:v>0.00393145344541023</c:v>
                </c:pt>
                <c:pt idx="22">
                  <c:v>0.00122126980138214</c:v>
                </c:pt>
                <c:pt idx="23">
                  <c:v>0.000296659508114373</c:v>
                </c:pt>
                <c:pt idx="24">
                  <c:v>5.35293312880216e-5</c:v>
                </c:pt>
                <c:pt idx="25">
                  <c:v>6.74423475754726e-6</c:v>
                </c:pt>
                <c:pt idx="26">
                  <c:v>5.50705105352367e-7</c:v>
                </c:pt>
                <c:pt idx="27">
                  <c:v>2.6646577225688e-8</c:v>
                </c:pt>
                <c:pt idx="28">
                  <c:v>6.86109253935805e-10</c:v>
                </c:pt>
                <c:pt idx="29">
                  <c:v>8.2645524853028e-12</c:v>
                </c:pt>
                <c:pt idx="30">
                  <c:v>3.99248227801898e-14</c:v>
                </c:pt>
                <c:pt idx="31">
                  <c:v>6.43818749795908e-17</c:v>
                </c:pt>
                <c:pt idx="32">
                  <c:v>2.78692808868817e-20</c:v>
                </c:pt>
                <c:pt idx="33">
                  <c:v>2.50254185482109e-24</c:v>
                </c:pt>
                <c:pt idx="34">
                  <c:v>3.44187211361019e-29</c:v>
                </c:pt>
                <c:pt idx="35">
                  <c:v>5.08488119352033e-35</c:v>
                </c:pt>
                <c:pt idx="36">
                  <c:v>5.34466962894203e-42</c:v>
                </c:pt>
                <c:pt idx="37">
                  <c:v>2.48753719707069e-50</c:v>
                </c:pt>
                <c:pt idx="38">
                  <c:v>2.98709273777631e-60</c:v>
                </c:pt>
                <c:pt idx="39">
                  <c:v>5.04092981981214e-72</c:v>
                </c:pt>
                <c:pt idx="40">
                  <c:v>6.09869056937694e-86</c:v>
                </c:pt>
                <c:pt idx="41">
                  <c:v>2.54322977557799e-102</c:v>
                </c:pt>
                <c:pt idx="42">
                  <c:v>1.67650027026223e-121</c:v>
                </c:pt>
                <c:pt idx="43">
                  <c:v>7.78570335510438e-144</c:v>
                </c:pt>
                <c:pt idx="44">
                  <c:v>1.13174612312143e-169</c:v>
                </c:pt>
                <c:pt idx="45">
                  <c:v>2.35537253900522e-199</c:v>
                </c:pt>
                <c:pt idx="46">
                  <c:v>3.42957733088786e-233</c:v>
                </c:pt>
                <c:pt idx="47">
                  <c:v>1.89670438496799e-271</c:v>
                </c:pt>
                <c:pt idx="48">
                  <c:v>2.49421781354134e-314</c:v>
                </c:pt>
                <c:pt idx="49">
                  <c:v>0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SHAPES!$D$7</c:f>
              <c:strCache>
                <c:ptCount val="1"/>
                <c:pt idx="0">
                  <c:v>12.0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SHAPES!$D$8:$D$57</c:f>
              <c:numCache>
                <c:formatCode>0.000</c:formatCode>
                <c:ptCount val="50"/>
                <c:pt idx="0">
                  <c:v>0.938230830558969</c:v>
                </c:pt>
                <c:pt idx="1">
                  <c:v>0.925439283531944</c:v>
                </c:pt>
                <c:pt idx="2">
                  <c:v>0.910128364505219</c:v>
                </c:pt>
                <c:pt idx="3">
                  <c:v>0.891861795425706</c:v>
                </c:pt>
                <c:pt idx="4">
                  <c:v>0.870155573115599</c:v>
                </c:pt>
                <c:pt idx="5">
                  <c:v>0.844486434298216</c:v>
                </c:pt>
                <c:pt idx="6">
                  <c:v>0.814308706204866</c:v>
                </c:pt>
                <c:pt idx="7">
                  <c:v>0.779082860560271</c:v>
                </c:pt>
                <c:pt idx="8">
                  <c:v>0.7383195238711</c:v>
                </c:pt>
                <c:pt idx="9">
                  <c:v>0.691642583607144</c:v>
                </c:pt>
                <c:pt idx="10">
                  <c:v>0.638873803601385</c:v>
                </c:pt>
                <c:pt idx="11">
                  <c:v>0.580138223569736</c:v>
                </c:pt>
                <c:pt idx="12">
                  <c:v>0.515983628855313</c:v>
                </c:pt>
                <c:pt idx="13">
                  <c:v>0.447497806996866</c:v>
                </c:pt>
                <c:pt idx="14">
                  <c:v>0.376394405858965</c:v>
                </c:pt>
                <c:pt idx="15">
                  <c:v>0.305024495274644</c:v>
                </c:pt>
                <c:pt idx="16">
                  <c:v>0.236262757898913</c:v>
                </c:pt>
                <c:pt idx="17">
                  <c:v>0.173225455866289</c:v>
                </c:pt>
                <c:pt idx="18">
                  <c:v>0.118814738805559</c:v>
                </c:pt>
                <c:pt idx="19">
                  <c:v>0.0751563871916662</c:v>
                </c:pt>
                <c:pt idx="20">
                  <c:v>0.0430894887796983</c:v>
                </c:pt>
                <c:pt idx="21">
                  <c:v>0.0219260148806106</c:v>
                </c:pt>
                <c:pt idx="22">
                  <c:v>0.00965316125123916</c:v>
                </c:pt>
                <c:pt idx="23">
                  <c:v>0.00356535659104143</c:v>
                </c:pt>
                <c:pt idx="24">
                  <c:v>0.00106424998867156</c:v>
                </c:pt>
                <c:pt idx="25">
                  <c:v>0.000245403816057935</c:v>
                </c:pt>
                <c:pt idx="26">
                  <c:v>4.13929618796038e-5</c:v>
                </c:pt>
                <c:pt idx="27">
                  <c:v>4.78188415507316e-6</c:v>
                </c:pt>
                <c:pt idx="28">
                  <c:v>3.49520200309893e-7</c:v>
                </c:pt>
                <c:pt idx="29">
                  <c:v>1.46945298074594e-8</c:v>
                </c:pt>
                <c:pt idx="30">
                  <c:v>3.16957251470982e-10</c:v>
                </c:pt>
                <c:pt idx="31">
                  <c:v>3.05927625547114e-12</c:v>
                </c:pt>
                <c:pt idx="32">
                  <c:v>1.12256021557371e-14</c:v>
                </c:pt>
                <c:pt idx="33">
                  <c:v>1.29036644913749e-17</c:v>
                </c:pt>
                <c:pt idx="34">
                  <c:v>3.69671135557014e-21</c:v>
                </c:pt>
                <c:pt idx="35">
                  <c:v>2.01780834205926e-25</c:v>
                </c:pt>
                <c:pt idx="36">
                  <c:v>1.5342782793287e-30</c:v>
                </c:pt>
                <c:pt idx="37">
                  <c:v>1.13154945051616e-36</c:v>
                </c:pt>
                <c:pt idx="38">
                  <c:v>5.34979488148274e-44</c:v>
                </c:pt>
                <c:pt idx="39">
                  <c:v>1.0155773516225e-52</c:v>
                </c:pt>
                <c:pt idx="40">
                  <c:v>4.59937564837077e-63</c:v>
                </c:pt>
                <c:pt idx="41">
                  <c:v>2.81328835742251e-75</c:v>
                </c:pt>
                <c:pt idx="42">
                  <c:v>1.26504110236933e-89</c:v>
                </c:pt>
                <c:pt idx="43">
                  <c:v>2.22006086811815e-106</c:v>
                </c:pt>
                <c:pt idx="44">
                  <c:v>8.03262555274651e-126</c:v>
                </c:pt>
                <c:pt idx="45">
                  <c:v>3.23146037062183e-148</c:v>
                </c:pt>
                <c:pt idx="46">
                  <c:v>8.19736610112632e-174</c:v>
                </c:pt>
                <c:pt idx="47">
                  <c:v>8.07212567278304e-203</c:v>
                </c:pt>
                <c:pt idx="48">
                  <c:v>2.12544751796573e-235</c:v>
                </c:pt>
                <c:pt idx="49">
                  <c:v>1.18305218616677e-271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SHAPES!$E$7</c:f>
              <c:strCache>
                <c:ptCount val="1"/>
                <c:pt idx="0">
                  <c:v>20.0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SHAPES!$E$8:$E$57</c:f>
              <c:numCache>
                <c:formatCode>0.000</c:formatCode>
                <c:ptCount val="50"/>
                <c:pt idx="0">
                  <c:v>0.966370359922775</c:v>
                </c:pt>
                <c:pt idx="1">
                  <c:v>0.961758676863334</c:v>
                </c:pt>
                <c:pt idx="2">
                  <c:v>0.956529615654335</c:v>
                </c:pt>
                <c:pt idx="3">
                  <c:v>0.950604963935119</c:v>
                </c:pt>
                <c:pt idx="4">
                  <c:v>0.943897915356145</c:v>
                </c:pt>
                <c:pt idx="5">
                  <c:v>0.936312523381613</c:v>
                </c:pt>
                <c:pt idx="6">
                  <c:v>0.927743253132952</c:v>
                </c:pt>
                <c:pt idx="7">
                  <c:v>0.918074687227548</c:v>
                </c:pt>
                <c:pt idx="8">
                  <c:v>0.907181457650145</c:v>
                </c:pt>
                <c:pt idx="9">
                  <c:v>0.894928494661952</c:v>
                </c:pt>
                <c:pt idx="10">
                  <c:v>0.881171705489785</c:v>
                </c:pt>
                <c:pt idx="11">
                  <c:v>0.865759219524715</c:v>
                </c:pt>
                <c:pt idx="12">
                  <c:v>0.848533361850074</c:v>
                </c:pt>
                <c:pt idx="13">
                  <c:v>0.829333541043553</c:v>
                </c:pt>
                <c:pt idx="14">
                  <c:v>0.808000257000151</c:v>
                </c:pt>
                <c:pt idx="15">
                  <c:v>0.784380444928941</c:v>
                </c:pt>
                <c:pt idx="16">
                  <c:v>0.75833436545842</c:v>
                </c:pt>
                <c:pt idx="17">
                  <c:v>0.729744218200363</c:v>
                </c:pt>
                <c:pt idx="18">
                  <c:v>0.698524584808679</c:v>
                </c:pt>
                <c:pt idx="19">
                  <c:v>0.664634682968127</c:v>
                </c:pt>
                <c:pt idx="20">
                  <c:v>0.628092219448125</c:v>
                </c:pt>
                <c:pt idx="21">
                  <c:v>0.588988354885599</c:v>
                </c:pt>
                <c:pt idx="22">
                  <c:v>0.547502928572496</c:v>
                </c:pt>
                <c:pt idx="23">
                  <c:v>0.503918645433383</c:v>
                </c:pt>
                <c:pt idx="24">
                  <c:v>0.458632430400759</c:v>
                </c:pt>
                <c:pt idx="25">
                  <c:v>0.412161672924921</c:v>
                </c:pt>
                <c:pt idx="26">
                  <c:v>0.365142725874107</c:v>
                </c:pt>
                <c:pt idx="27">
                  <c:v>0.318318944915169</c:v>
                </c:pt>
                <c:pt idx="28">
                  <c:v>0.272515947885678</c:v>
                </c:pt>
                <c:pt idx="29">
                  <c:v>0.228602829015039</c:v>
                </c:pt>
                <c:pt idx="30">
                  <c:v>0.1874399026682</c:v>
                </c:pt>
                <c:pt idx="31">
                  <c:v>0.149816134662246</c:v>
                </c:pt>
                <c:pt idx="32">
                  <c:v>0.116382437982868</c:v>
                </c:pt>
                <c:pt idx="33">
                  <c:v>0.0875898228328662</c:v>
                </c:pt>
                <c:pt idx="34">
                  <c:v>0.0636430653415445</c:v>
                </c:pt>
                <c:pt idx="35">
                  <c:v>0.0444800833434214</c:v>
                </c:pt>
                <c:pt idx="36">
                  <c:v>0.0297838898972336</c:v>
                </c:pt>
                <c:pt idx="37">
                  <c:v>0.0190279481314734</c:v>
                </c:pt>
                <c:pt idx="38">
                  <c:v>0.011548223188478</c:v>
                </c:pt>
                <c:pt idx="39">
                  <c:v>0.00662848337086842</c:v>
                </c:pt>
                <c:pt idx="40">
                  <c:v>0.00358198121587089</c:v>
                </c:pt>
                <c:pt idx="41">
                  <c:v>0.00181417657127675</c:v>
                </c:pt>
                <c:pt idx="42">
                  <c:v>0.000857351614537152</c:v>
                </c:pt>
                <c:pt idx="43">
                  <c:v>0.000376458594281512</c:v>
                </c:pt>
                <c:pt idx="44">
                  <c:v>0.000152979402302229</c:v>
                </c:pt>
                <c:pt idx="45">
                  <c:v>5.73260931245053e-5</c:v>
                </c:pt>
                <c:pt idx="46">
                  <c:v>1.97484236454548e-5</c:v>
                </c:pt>
                <c:pt idx="47">
                  <c:v>6.23851575799832e-6</c:v>
                </c:pt>
                <c:pt idx="48">
                  <c:v>1.80381580962101e-6</c:v>
                </c:pt>
                <c:pt idx="49">
                  <c:v>4.76837158203125e-7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SHAPES!$F$7</c:f>
              <c:strCache>
                <c:ptCount val="1"/>
                <c:pt idx="0">
                  <c:v>15.0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SHAPES!$F$8:$F$57</c:f>
              <c:numCache>
                <c:formatCode>0.000</c:formatCode>
                <c:ptCount val="50"/>
                <c:pt idx="0">
                  <c:v>0.914885692356098</c:v>
                </c:pt>
                <c:pt idx="1">
                  <c:v>0.903667527866718</c:v>
                </c:pt>
                <c:pt idx="2">
                  <c:v>0.891062569793048</c:v>
                </c:pt>
                <c:pt idx="3">
                  <c:v>0.876925728837395</c:v>
                </c:pt>
                <c:pt idx="4">
                  <c:v>0.861104397852864</c:v>
                </c:pt>
                <c:pt idx="5">
                  <c:v>0.843440509350422</c:v>
                </c:pt>
                <c:pt idx="6">
                  <c:v>0.823773522375577</c:v>
                </c:pt>
                <c:pt idx="7">
                  <c:v>0.801944546687233</c:v>
                </c:pt>
                <c:pt idx="8">
                  <c:v>0.777801823096523</c:v>
                </c:pt>
                <c:pt idx="9">
                  <c:v>0.751207773296982</c:v>
                </c:pt>
                <c:pt idx="10">
                  <c:v>0.722047800743682</c:v>
                </c:pt>
                <c:pt idx="11">
                  <c:v>0.690240953567927</c:v>
                </c:pt>
                <c:pt idx="12">
                  <c:v>0.655752436144864</c:v>
                </c:pt>
                <c:pt idx="13">
                  <c:v>0.61860776150924</c:v>
                </c:pt>
                <c:pt idx="14">
                  <c:v>0.578908057444174</c:v>
                </c:pt>
                <c:pt idx="15">
                  <c:v>0.536845665869112</c:v>
                </c:pt>
                <c:pt idx="16">
                  <c:v>0.492718712520419</c:v>
                </c:pt>
                <c:pt idx="17">
                  <c:v>0.446942799578822</c:v>
                </c:pt>
                <c:pt idx="18">
                  <c:v>0.400057451000559</c:v>
                </c:pt>
                <c:pt idx="19">
                  <c:v>0.352724529092067</c:v>
                </c:pt>
                <c:pt idx="20">
                  <c:v>0.305715704765527</c:v>
                </c:pt>
                <c:pt idx="21">
                  <c:v>0.25988641177864</c:v>
                </c:pt>
                <c:pt idx="22">
                  <c:v>0.216134768758909</c:v>
                </c:pt>
                <c:pt idx="23">
                  <c:v>0.17534587855983</c:v>
                </c:pt>
                <c:pt idx="24">
                  <c:v>0.138324718153866</c:v>
                </c:pt>
                <c:pt idx="25">
                  <c:v>0.105724230407663</c:v>
                </c:pt>
                <c:pt idx="26">
                  <c:v>0.0779785453058308</c:v>
                </c:pt>
                <c:pt idx="27">
                  <c:v>0.0552534242125428</c:v>
                </c:pt>
                <c:pt idx="28">
                  <c:v>0.0374257781970897</c:v>
                </c:pt>
                <c:pt idx="29">
                  <c:v>0.024100468898179</c:v>
                </c:pt>
                <c:pt idx="30">
                  <c:v>0.0146654724946527</c:v>
                </c:pt>
                <c:pt idx="31">
                  <c:v>0.00837724347223734</c:v>
                </c:pt>
                <c:pt idx="32">
                  <c:v>0.00445960432889931</c:v>
                </c:pt>
                <c:pt idx="33">
                  <c:v>0.00219517829753202</c:v>
                </c:pt>
                <c:pt idx="34">
                  <c:v>0.000990702863321507</c:v>
                </c:pt>
                <c:pt idx="35">
                  <c:v>0.000406238313725398</c:v>
                </c:pt>
                <c:pt idx="36">
                  <c:v>0.000149900948741295</c:v>
                </c:pt>
                <c:pt idx="37">
                  <c:v>4.92743912646851e-5</c:v>
                </c:pt>
                <c:pt idx="38">
                  <c:v>1.42778241771178e-5</c:v>
                </c:pt>
                <c:pt idx="39">
                  <c:v>3.60770183438638e-6</c:v>
                </c:pt>
                <c:pt idx="40">
                  <c:v>7.86262836388685e-7</c:v>
                </c:pt>
                <c:pt idx="41">
                  <c:v>1.46193015454287e-7</c:v>
                </c:pt>
                <c:pt idx="42">
                  <c:v>2.29435548157318e-8</c:v>
                </c:pt>
                <c:pt idx="43">
                  <c:v>3.00829776838304e-9</c:v>
                </c:pt>
                <c:pt idx="44">
                  <c:v>3.26406539912992e-10</c:v>
                </c:pt>
                <c:pt idx="45">
                  <c:v>2.90558610240178e-11</c:v>
                </c:pt>
                <c:pt idx="46">
                  <c:v>2.10627395377568e-12</c:v>
                </c:pt>
                <c:pt idx="47">
                  <c:v>1.23588203550676e-13</c:v>
                </c:pt>
                <c:pt idx="48">
                  <c:v>5.84361885257411e-15</c:v>
                </c:pt>
                <c:pt idx="49">
                  <c:v>2.22044604925031e-16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48880"/>
        <c:axId val="647947632"/>
      </c:scatterChart>
      <c:valAx>
        <c:axId val="6479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947632"/>
        <c:crosses val="autoZero"/>
        <c:crossBetween val="midCat"/>
      </c:valAx>
      <c:valAx>
        <c:axId val="6479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94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0e4a9e-01c1-42f1-a63c-aad21976dc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9525</xdr:colOff>
      <xdr:row>8</xdr:row>
      <xdr:rowOff>133350</xdr:rowOff>
    </xdr:from>
    <xdr:to>
      <xdr:col>19</xdr:col>
      <xdr:colOff>161925</xdr:colOff>
      <xdr:row>32</xdr:row>
      <xdr:rowOff>19050</xdr:rowOff>
    </xdr:to>
    <xdr:graphicFrame>
      <xdr:nvGraphicFramePr>
        <xdr:cNvPr id="2" name="Chart 1"/>
        <xdr:cNvGraphicFramePr/>
      </xdr:nvGraphicFramePr>
      <xdr:xfrm>
        <a:off x="5114925" y="1606550"/>
        <a:ext cx="7172325" cy="430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307942</xdr:colOff>
      <xdr:row>2</xdr:row>
      <xdr:rowOff>137001</xdr:rowOff>
    </xdr:from>
    <xdr:ext cx="2930557" cy="809426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7327265" y="504825"/>
              <a:ext cx="2930525" cy="809625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IN" sz="2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IN" sz="2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IN" sz="2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2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d>
                                  <m:dPr>
                                    <m:ctrlPr>
                                      <a:rPr lang="en-IN" sz="2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2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  <m:r>
                                      <a:rPr lang="en-US" sz="2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sSup>
                                      <m:sSupPr>
                                        <m:ctrlP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𝑘𝑥</m:t>
                                        </m:r>
                                      </m:sup>
                                    </m:sSup>
                                  </m:e>
                                </m:d>
                              </m:den>
                            </m:f>
                          </m:e>
                        </m:d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</m:sSup>
                  </m:oMath>
                </m:oMathPara>
              </a14:m>
              <a:endParaRPr lang="en-IN" sz="24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7327265" y="504825"/>
              <a:ext cx="2930525" cy="809625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>
                  <a:latin typeface="Cambria Math" panose="02040503050406030204" pitchFamily="18" charset="0"/>
                </a:rPr>
                <a:t>𝑆</a:t>
              </a:r>
              <a:r>
                <a:rPr lang="en-US" sz="2400" b="0">
                  <a:latin typeface="Cambria Math" panose="02040503050406030204" pitchFamily="18" charset="0"/>
                </a:rPr>
                <a:t>(</a:t>
              </a:r>
              <a:r>
                <a:rPr lang="en-US" sz="2400" b="0">
                  <a:latin typeface="Cambria Math" panose="02040503050406030204" pitchFamily="18" charset="0"/>
                </a:rPr>
                <a:t>𝑥</a:t>
              </a:r>
              <a:r>
                <a:rPr lang="en-US" sz="2400" b="0">
                  <a:latin typeface="Cambria Math" panose="02040503050406030204" pitchFamily="18" charset="0"/>
                </a:rPr>
                <a:t>)=</a:t>
              </a:r>
              <a:r>
                <a:rPr lang="en-IN" sz="24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{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IN" sz="24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IN" sz="24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24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𝑘𝑥</a:t>
              </a:r>
              <a:r>
                <a:rPr lang="en-IN" sz="24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IN" sz="24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}</a:t>
              </a:r>
              <a:r>
                <a:rPr lang="en-IN" sz="2400">
                  <a:latin typeface="Cambria Math" panose="02040503050406030204" pitchFamily="18" charset="0"/>
                </a:rPr>
                <a:t>^</a:t>
              </a:r>
              <a:r>
                <a:rPr lang="en-US" sz="2400" b="0">
                  <a:latin typeface="Cambria Math" panose="02040503050406030204" pitchFamily="18" charset="0"/>
                </a:rPr>
                <a:t>𝑎</a:t>
              </a:r>
              <a:endParaRPr lang="en-IN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72" zoomScaleNormal="72" workbookViewId="0">
      <selection activeCell="H40" sqref="H40"/>
    </sheetView>
  </sheetViews>
  <sheetFormatPr defaultColWidth="9" defaultRowHeight="12.5"/>
  <cols>
    <col min="2" max="2" width="13.4" customWidth="1"/>
    <col min="3" max="3" width="6.6" customWidth="1"/>
    <col min="4" max="4" width="10.2636363636364" customWidth="1"/>
    <col min="5" max="5" width="7.6" customWidth="1"/>
    <col min="6" max="6" width="4.72727272727273" customWidth="1"/>
    <col min="7" max="7" width="9.4" customWidth="1"/>
    <col min="8" max="8" width="18.3636363636364" customWidth="1"/>
    <col min="9" max="9" width="24.9090909090909" customWidth="1"/>
    <col min="10" max="10" width="25.7272727272727" customWidth="1"/>
  </cols>
  <sheetData>
    <row r="1" spans="1:10">
      <c r="A1" s="33" t="s">
        <v>0</v>
      </c>
      <c r="B1" t="s">
        <v>1</v>
      </c>
    </row>
    <row r="3" spans="1:10">
      <c r="B3" t="s">
        <v>2</v>
      </c>
    </row>
    <row r="4" spans="1:10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B5" t="s">
        <v>12</v>
      </c>
      <c r="D5" t="s">
        <v>13</v>
      </c>
      <c r="E5" t="s">
        <v>14</v>
      </c>
      <c r="F5">
        <v>0</v>
      </c>
      <c r="G5">
        <v>2</v>
      </c>
      <c r="H5" t="s">
        <v>15</v>
      </c>
      <c r="I5" s="41" t="s">
        <v>16</v>
      </c>
    </row>
    <row r="6" spans="1:10">
      <c r="B6" t="s">
        <v>17</v>
      </c>
      <c r="D6" t="s">
        <v>13</v>
      </c>
      <c r="G6" s="36">
        <v>31.536</v>
      </c>
      <c r="H6" t="s">
        <v>15</v>
      </c>
      <c r="I6" s="41" t="s">
        <v>16</v>
      </c>
    </row>
    <row r="7" spans="1:10">
      <c r="B7" t="s">
        <v>13</v>
      </c>
      <c r="D7" t="s">
        <v>13</v>
      </c>
      <c r="F7">
        <v>0</v>
      </c>
      <c r="G7">
        <v>1</v>
      </c>
      <c r="H7" t="s">
        <v>15</v>
      </c>
      <c r="I7" s="41" t="s">
        <v>16</v>
      </c>
    </row>
    <row r="8" spans="1:10">
      <c r="B8" t="s">
        <v>18</v>
      </c>
      <c r="G8">
        <v>1</v>
      </c>
      <c r="H8" t="s">
        <v>15</v>
      </c>
    </row>
    <row r="9" spans="1:10">
      <c r="B9" t="s">
        <v>18</v>
      </c>
      <c r="G9">
        <v>0.15</v>
      </c>
      <c r="J9" t="s">
        <v>19</v>
      </c>
    </row>
    <row r="10" spans="1:10">
      <c r="B10" t="s">
        <v>18</v>
      </c>
      <c r="G10">
        <v>0.25</v>
      </c>
      <c r="J10" t="s">
        <v>20</v>
      </c>
    </row>
    <row r="16" spans="1:10">
      <c r="B16" t="s">
        <v>21</v>
      </c>
    </row>
    <row r="17" spans="2:10">
      <c r="B17" t="s">
        <v>3</v>
      </c>
      <c r="C17" t="s">
        <v>4</v>
      </c>
      <c r="D17" t="s">
        <v>5</v>
      </c>
      <c r="E17" t="s">
        <v>6</v>
      </c>
      <c r="F17" t="s">
        <v>7</v>
      </c>
      <c r="G17" t="s">
        <v>8</v>
      </c>
      <c r="H17" t="s">
        <v>9</v>
      </c>
      <c r="I17" t="s">
        <v>11</v>
      </c>
    </row>
    <row r="18" spans="2:10">
      <c r="B18" t="s">
        <v>22</v>
      </c>
      <c r="G18">
        <v>0.32</v>
      </c>
      <c r="I18" t="s">
        <v>23</v>
      </c>
    </row>
    <row r="19" spans="2:10">
      <c r="B19" t="s">
        <v>22</v>
      </c>
      <c r="G19">
        <v>1</v>
      </c>
      <c r="I19" t="s">
        <v>24</v>
      </c>
    </row>
    <row r="24" spans="2:10">
      <c r="B24" t="s">
        <v>2</v>
      </c>
    </row>
    <row r="25" spans="2:10"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11</v>
      </c>
      <c r="J25" t="s">
        <v>10</v>
      </c>
    </row>
    <row r="26" spans="2:10">
      <c r="B26" t="s">
        <v>25</v>
      </c>
      <c r="C26" t="s">
        <v>26</v>
      </c>
      <c r="G26" s="38">
        <v>2882.65777101602</v>
      </c>
      <c r="H26" t="s">
        <v>27</v>
      </c>
      <c r="J26" t="s">
        <v>28</v>
      </c>
    </row>
    <row r="27" spans="2:10">
      <c r="B27" t="s">
        <v>25</v>
      </c>
      <c r="C27" t="s">
        <v>26</v>
      </c>
      <c r="G27" s="38">
        <v>893.709136548464</v>
      </c>
      <c r="H27" t="s">
        <v>27</v>
      </c>
      <c r="J27" t="s">
        <v>29</v>
      </c>
    </row>
    <row r="28" spans="2:10">
      <c r="B28" t="s">
        <v>25</v>
      </c>
      <c r="C28" t="s">
        <v>26</v>
      </c>
      <c r="G28" s="38">
        <v>3000</v>
      </c>
      <c r="H28" t="s">
        <v>30</v>
      </c>
      <c r="J28" t="s">
        <v>31</v>
      </c>
    </row>
    <row r="32" spans="2:10">
      <c r="B32" s="39" t="s">
        <v>32</v>
      </c>
      <c r="C32" s="39"/>
      <c r="D32" s="39"/>
      <c r="E32" s="39"/>
      <c r="F32" s="39"/>
      <c r="G32" s="39">
        <v>30</v>
      </c>
      <c r="H32" s="39"/>
      <c r="I32" s="39"/>
      <c r="J32" s="39" t="s">
        <v>33</v>
      </c>
    </row>
    <row r="35" spans="2:10">
      <c r="B35" s="40" t="s">
        <v>34</v>
      </c>
      <c r="D35" t="s">
        <v>13</v>
      </c>
      <c r="E35" t="s">
        <v>35</v>
      </c>
      <c r="F35">
        <v>2025</v>
      </c>
      <c r="G35">
        <v>0</v>
      </c>
      <c r="H35" t="s">
        <v>36</v>
      </c>
      <c r="J35" s="42" t="s">
        <v>37</v>
      </c>
    </row>
    <row r="36" spans="2:10">
      <c r="B36" s="40" t="s">
        <v>34</v>
      </c>
      <c r="D36" t="s">
        <v>13</v>
      </c>
      <c r="E36" t="s">
        <v>35</v>
      </c>
      <c r="F36">
        <v>2030</v>
      </c>
      <c r="G36">
        <v>0</v>
      </c>
      <c r="H36" t="s">
        <v>36</v>
      </c>
      <c r="J36" t="s">
        <v>38</v>
      </c>
    </row>
    <row r="37" spans="2:10">
      <c r="B37" s="40" t="s">
        <v>34</v>
      </c>
      <c r="D37" t="s">
        <v>13</v>
      </c>
      <c r="E37" t="s">
        <v>35</v>
      </c>
      <c r="F37">
        <v>0</v>
      </c>
      <c r="G37">
        <v>4</v>
      </c>
      <c r="H37" t="s">
        <v>36</v>
      </c>
      <c r="J37" s="42" t="str">
        <f xml:space="preserve">J35</f>
        <v>-ELCHYD,-ELCBIO,-ELCWAS,-ELCSPV,-ELCWIN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41"/>
  <sheetViews>
    <sheetView zoomScale="64" zoomScaleNormal="64" workbookViewId="0">
      <selection activeCell="G4" sqref="G4"/>
    </sheetView>
  </sheetViews>
  <sheetFormatPr defaultColWidth="9" defaultRowHeight="12.5"/>
  <cols>
    <col min="3" max="3" width="7.90909090909091" customWidth="1"/>
    <col min="4" max="4" width="6.09090909090909" customWidth="1"/>
    <col min="5" max="5" width="21.0909090909091" customWidth="1"/>
    <col min="7" max="7" width="9.86363636363636" customWidth="1"/>
    <col min="8" max="8" width="12.6" customWidth="1"/>
    <col min="9" max="9" width="4.6" customWidth="1"/>
    <col min="10" max="10" width="8.13636363636364" customWidth="1"/>
    <col min="12" max="12" width="20.4" customWidth="1"/>
    <col min="13" max="13" width="7.13636363636364" customWidth="1"/>
    <col min="14" max="14" width="4.26363636363636" customWidth="1"/>
    <col min="15" max="15" width="5" customWidth="1"/>
  </cols>
  <sheetData>
    <row r="1" spans="2:15">
      <c r="J1" s="33" t="s">
        <v>39</v>
      </c>
      <c r="K1" t="s">
        <v>40</v>
      </c>
    </row>
    <row r="2" spans="2:15">
      <c r="J2" s="36">
        <f xml:space="preserve">AVERAGE(J6:J25)</f>
        <v>0.593551382979919</v>
      </c>
    </row>
    <row r="4" spans="2:15">
      <c r="B4" t="s">
        <v>41</v>
      </c>
      <c r="G4" t="s">
        <v>2</v>
      </c>
      <c r="L4" t="s">
        <v>42</v>
      </c>
    </row>
    <row r="5" spans="2:15">
      <c r="B5" t="s">
        <v>43</v>
      </c>
      <c r="C5" t="s">
        <v>44</v>
      </c>
      <c r="D5" t="s">
        <v>45</v>
      </c>
      <c r="E5" t="s">
        <v>46</v>
      </c>
      <c r="G5" t="s">
        <v>43</v>
      </c>
      <c r="H5" t="s">
        <v>47</v>
      </c>
      <c r="I5" t="s">
        <v>48</v>
      </c>
      <c r="J5" t="s">
        <v>49</v>
      </c>
      <c r="L5" t="s">
        <v>43</v>
      </c>
      <c r="M5" t="s">
        <v>44</v>
      </c>
      <c r="N5" t="s">
        <v>48</v>
      </c>
      <c r="O5" t="s">
        <v>49</v>
      </c>
    </row>
    <row r="6" spans="2:15">
      <c r="B6" t="s">
        <v>13</v>
      </c>
      <c r="C6" t="s">
        <v>50</v>
      </c>
      <c r="D6">
        <v>2019</v>
      </c>
      <c r="E6" t="str">
        <f xml:space="preserve">"*"&amp;1/20/$J$2</f>
        <v>*0.0842387052473461</v>
      </c>
      <c r="G6" t="s">
        <v>51</v>
      </c>
      <c r="H6">
        <v>15</v>
      </c>
      <c r="I6">
        <f xml:space="preserve">SHAPES!A8</f>
        <v>1</v>
      </c>
      <c r="J6" s="36">
        <f xml:space="preserve">SHAPES!D8</f>
        <v>0.938230830558969</v>
      </c>
      <c r="L6" t="s">
        <v>12</v>
      </c>
      <c r="M6" t="s">
        <v>50</v>
      </c>
      <c r="N6">
        <v>0</v>
      </c>
      <c r="O6">
        <v>2</v>
      </c>
    </row>
    <row r="7" spans="2:15">
      <c r="B7" t="s">
        <v>13</v>
      </c>
      <c r="C7" t="s">
        <v>50</v>
      </c>
      <c r="D7">
        <f xml:space="preserve">D6-1</f>
        <v>2018</v>
      </c>
      <c r="E7" t="str">
        <f t="shared" ref="E7:E25" si="0" xml:space="preserve">"*"&amp;1/20/$J$2</f>
        <v>*0.0842387052473461</v>
      </c>
      <c r="G7" t="s">
        <v>51</v>
      </c>
      <c r="H7">
        <v>15</v>
      </c>
      <c r="I7">
        <f xml:space="preserve">SHAPES!A9</f>
        <v>2</v>
      </c>
      <c r="J7" s="36">
        <f xml:space="preserve">SHAPES!D9</f>
        <v>0.925439283531944</v>
      </c>
    </row>
    <row r="8" spans="2:15">
      <c r="B8" t="s">
        <v>13</v>
      </c>
      <c r="C8" t="s">
        <v>50</v>
      </c>
      <c r="D8">
        <f t="shared" ref="D8:D25" si="1" xml:space="preserve">D7-1</f>
        <v>2017</v>
      </c>
      <c r="E8" t="str">
        <f t="shared" si="0"/>
        <v>*0.0842387052473461</v>
      </c>
      <c r="G8" t="s">
        <v>51</v>
      </c>
      <c r="H8">
        <v>15</v>
      </c>
      <c r="I8">
        <f xml:space="preserve">SHAPES!A10</f>
        <v>3</v>
      </c>
      <c r="J8" s="36">
        <f xml:space="preserve">SHAPES!D10</f>
        <v>0.910128364505219</v>
      </c>
    </row>
    <row r="9" spans="2:15">
      <c r="B9" t="s">
        <v>13</v>
      </c>
      <c r="C9" t="s">
        <v>50</v>
      </c>
      <c r="D9">
        <f t="shared" si="1"/>
        <v>2016</v>
      </c>
      <c r="E9" t="str">
        <f t="shared" si="0"/>
        <v>*0.0842387052473461</v>
      </c>
      <c r="G9" t="s">
        <v>51</v>
      </c>
      <c r="H9">
        <v>15</v>
      </c>
      <c r="I9">
        <f xml:space="preserve">SHAPES!A11</f>
        <v>4</v>
      </c>
      <c r="J9" s="36">
        <f xml:space="preserve">SHAPES!D11</f>
        <v>0.891861795425706</v>
      </c>
    </row>
    <row r="10" spans="2:15">
      <c r="B10" t="s">
        <v>13</v>
      </c>
      <c r="C10" t="s">
        <v>50</v>
      </c>
      <c r="D10">
        <f t="shared" si="1"/>
        <v>2015</v>
      </c>
      <c r="E10" t="str">
        <f t="shared" si="0"/>
        <v>*0.0842387052473461</v>
      </c>
      <c r="G10" t="s">
        <v>51</v>
      </c>
      <c r="H10">
        <v>15</v>
      </c>
      <c r="I10">
        <f xml:space="preserve">SHAPES!A12</f>
        <v>5</v>
      </c>
      <c r="J10" s="36">
        <f xml:space="preserve">SHAPES!D12</f>
        <v>0.870155573115599</v>
      </c>
    </row>
    <row r="11" spans="2:15">
      <c r="B11" t="s">
        <v>13</v>
      </c>
      <c r="C11" t="s">
        <v>50</v>
      </c>
      <c r="D11">
        <f t="shared" si="1"/>
        <v>2014</v>
      </c>
      <c r="E11" t="str">
        <f t="shared" si="0"/>
        <v>*0.0842387052473461</v>
      </c>
      <c r="G11" t="s">
        <v>51</v>
      </c>
      <c r="H11">
        <v>15</v>
      </c>
      <c r="I11">
        <f xml:space="preserve">SHAPES!A13</f>
        <v>6</v>
      </c>
      <c r="J11" s="36">
        <f xml:space="preserve">SHAPES!D13</f>
        <v>0.844486434298216</v>
      </c>
    </row>
    <row r="12" spans="2:15">
      <c r="B12" t="s">
        <v>13</v>
      </c>
      <c r="C12" t="s">
        <v>50</v>
      </c>
      <c r="D12">
        <f t="shared" si="1"/>
        <v>2013</v>
      </c>
      <c r="E12" t="str">
        <f t="shared" si="0"/>
        <v>*0.0842387052473461</v>
      </c>
      <c r="G12" t="s">
        <v>51</v>
      </c>
      <c r="H12">
        <v>15</v>
      </c>
      <c r="I12">
        <f xml:space="preserve">SHAPES!A14</f>
        <v>7</v>
      </c>
      <c r="J12" s="36">
        <f xml:space="preserve">SHAPES!D14</f>
        <v>0.814308706204866</v>
      </c>
    </row>
    <row r="13" spans="2:15">
      <c r="B13" t="s">
        <v>13</v>
      </c>
      <c r="C13" t="s">
        <v>50</v>
      </c>
      <c r="D13">
        <f t="shared" si="1"/>
        <v>2012</v>
      </c>
      <c r="E13" t="str">
        <f t="shared" si="0"/>
        <v>*0.0842387052473461</v>
      </c>
      <c r="G13" t="s">
        <v>51</v>
      </c>
      <c r="H13">
        <v>15</v>
      </c>
      <c r="I13">
        <f xml:space="preserve">SHAPES!A15</f>
        <v>8</v>
      </c>
      <c r="J13" s="36">
        <f xml:space="preserve">SHAPES!D15</f>
        <v>0.779082860560271</v>
      </c>
    </row>
    <row r="14" spans="2:15">
      <c r="B14" t="s">
        <v>13</v>
      </c>
      <c r="C14" t="s">
        <v>50</v>
      </c>
      <c r="D14">
        <f t="shared" si="1"/>
        <v>2011</v>
      </c>
      <c r="E14" t="str">
        <f t="shared" si="0"/>
        <v>*0.0842387052473461</v>
      </c>
      <c r="G14" t="s">
        <v>51</v>
      </c>
      <c r="H14">
        <v>15</v>
      </c>
      <c r="I14">
        <f xml:space="preserve">SHAPES!A16</f>
        <v>9</v>
      </c>
      <c r="J14" s="36">
        <f xml:space="preserve">SHAPES!D16</f>
        <v>0.7383195238711</v>
      </c>
    </row>
    <row r="15" spans="2:15">
      <c r="B15" t="s">
        <v>13</v>
      </c>
      <c r="C15" t="s">
        <v>50</v>
      </c>
      <c r="D15">
        <f t="shared" si="1"/>
        <v>2010</v>
      </c>
      <c r="E15" t="str">
        <f t="shared" si="0"/>
        <v>*0.0842387052473461</v>
      </c>
      <c r="G15" t="s">
        <v>51</v>
      </c>
      <c r="H15">
        <v>15</v>
      </c>
      <c r="I15">
        <f xml:space="preserve">SHAPES!A17</f>
        <v>10</v>
      </c>
      <c r="J15" s="36">
        <f xml:space="preserve">SHAPES!D17</f>
        <v>0.691642583607144</v>
      </c>
    </row>
    <row r="16" spans="2:15">
      <c r="B16" t="s">
        <v>13</v>
      </c>
      <c r="C16" t="s">
        <v>50</v>
      </c>
      <c r="D16">
        <f t="shared" si="1"/>
        <v>2009</v>
      </c>
      <c r="E16" t="str">
        <f t="shared" si="0"/>
        <v>*0.0842387052473461</v>
      </c>
      <c r="G16" t="s">
        <v>51</v>
      </c>
      <c r="H16">
        <v>15</v>
      </c>
      <c r="I16">
        <f xml:space="preserve">SHAPES!A18</f>
        <v>11</v>
      </c>
      <c r="J16" s="36">
        <f xml:space="preserve">SHAPES!D18</f>
        <v>0.638873803601385</v>
      </c>
    </row>
    <row r="17" spans="2:10">
      <c r="B17" t="s">
        <v>13</v>
      </c>
      <c r="C17" t="s">
        <v>50</v>
      </c>
      <c r="D17">
        <f t="shared" si="1"/>
        <v>2008</v>
      </c>
      <c r="E17" t="str">
        <f t="shared" si="0"/>
        <v>*0.0842387052473461</v>
      </c>
      <c r="G17" t="s">
        <v>51</v>
      </c>
      <c r="H17">
        <v>15</v>
      </c>
      <c r="I17">
        <f xml:space="preserve">SHAPES!A19</f>
        <v>12</v>
      </c>
      <c r="J17" s="36">
        <f xml:space="preserve">SHAPES!D19</f>
        <v>0.580138223569736</v>
      </c>
    </row>
    <row r="18" spans="2:10">
      <c r="B18" t="s">
        <v>13</v>
      </c>
      <c r="C18" t="s">
        <v>50</v>
      </c>
      <c r="D18">
        <f t="shared" si="1"/>
        <v>2007</v>
      </c>
      <c r="E18" t="str">
        <f t="shared" si="0"/>
        <v>*0.0842387052473461</v>
      </c>
      <c r="G18" t="s">
        <v>51</v>
      </c>
      <c r="H18">
        <v>15</v>
      </c>
      <c r="I18">
        <f xml:space="preserve">SHAPES!A20</f>
        <v>13</v>
      </c>
      <c r="J18" s="36">
        <f xml:space="preserve">SHAPES!D20</f>
        <v>0.515983628855313</v>
      </c>
    </row>
    <row r="19" spans="2:10">
      <c r="B19" t="s">
        <v>13</v>
      </c>
      <c r="C19" t="s">
        <v>50</v>
      </c>
      <c r="D19">
        <f t="shared" si="1"/>
        <v>2006</v>
      </c>
      <c r="E19" t="str">
        <f t="shared" si="0"/>
        <v>*0.0842387052473461</v>
      </c>
      <c r="G19" t="s">
        <v>51</v>
      </c>
      <c r="H19">
        <v>15</v>
      </c>
      <c r="I19">
        <f xml:space="preserve">SHAPES!A21</f>
        <v>14</v>
      </c>
      <c r="J19" s="36">
        <f xml:space="preserve">SHAPES!D21</f>
        <v>0.447497806996866</v>
      </c>
    </row>
    <row r="20" spans="2:10">
      <c r="B20" t="s">
        <v>13</v>
      </c>
      <c r="C20" t="s">
        <v>50</v>
      </c>
      <c r="D20">
        <f t="shared" si="1"/>
        <v>2005</v>
      </c>
      <c r="E20" t="str">
        <f t="shared" si="0"/>
        <v>*0.0842387052473461</v>
      </c>
      <c r="G20" t="s">
        <v>51</v>
      </c>
      <c r="H20">
        <v>15</v>
      </c>
      <c r="I20">
        <f xml:space="preserve">SHAPES!A22</f>
        <v>15</v>
      </c>
      <c r="J20" s="36">
        <f xml:space="preserve">SHAPES!D22</f>
        <v>0.376394405858965</v>
      </c>
    </row>
    <row r="21" spans="2:10">
      <c r="B21" t="s">
        <v>13</v>
      </c>
      <c r="C21" t="s">
        <v>50</v>
      </c>
      <c r="D21">
        <f t="shared" si="1"/>
        <v>2004</v>
      </c>
      <c r="E21" t="str">
        <f t="shared" si="0"/>
        <v>*0.0842387052473461</v>
      </c>
      <c r="G21" t="s">
        <v>51</v>
      </c>
      <c r="H21">
        <v>15</v>
      </c>
      <c r="I21">
        <f xml:space="preserve">SHAPES!A23</f>
        <v>16</v>
      </c>
      <c r="J21" s="36">
        <f xml:space="preserve">SHAPES!D23</f>
        <v>0.305024495274644</v>
      </c>
    </row>
    <row r="22" spans="2:10">
      <c r="B22" t="s">
        <v>13</v>
      </c>
      <c r="C22" t="s">
        <v>50</v>
      </c>
      <c r="D22">
        <f t="shared" si="1"/>
        <v>2003</v>
      </c>
      <c r="E22" t="str">
        <f t="shared" si="0"/>
        <v>*0.0842387052473461</v>
      </c>
      <c r="G22" t="s">
        <v>51</v>
      </c>
      <c r="H22">
        <v>15</v>
      </c>
      <c r="I22">
        <f xml:space="preserve">SHAPES!A24</f>
        <v>17</v>
      </c>
      <c r="J22" s="36">
        <f xml:space="preserve">SHAPES!D24</f>
        <v>0.236262757898913</v>
      </c>
    </row>
    <row r="23" spans="2:10">
      <c r="B23" t="s">
        <v>13</v>
      </c>
      <c r="C23" t="s">
        <v>50</v>
      </c>
      <c r="D23">
        <f t="shared" si="1"/>
        <v>2002</v>
      </c>
      <c r="E23" t="str">
        <f t="shared" si="0"/>
        <v>*0.0842387052473461</v>
      </c>
      <c r="G23" t="s">
        <v>51</v>
      </c>
      <c r="H23">
        <v>15</v>
      </c>
      <c r="I23">
        <f xml:space="preserve">SHAPES!A25</f>
        <v>18</v>
      </c>
      <c r="J23" s="36">
        <f xml:space="preserve">SHAPES!D25</f>
        <v>0.173225455866289</v>
      </c>
    </row>
    <row r="24" spans="2:10">
      <c r="B24" t="s">
        <v>13</v>
      </c>
      <c r="C24" t="s">
        <v>50</v>
      </c>
      <c r="D24">
        <f t="shared" si="1"/>
        <v>2001</v>
      </c>
      <c r="E24" t="str">
        <f t="shared" si="0"/>
        <v>*0.0842387052473461</v>
      </c>
      <c r="G24" t="s">
        <v>51</v>
      </c>
      <c r="H24">
        <v>15</v>
      </c>
      <c r="I24">
        <f xml:space="preserve">SHAPES!A26</f>
        <v>19</v>
      </c>
      <c r="J24" s="36">
        <f xml:space="preserve">SHAPES!D26</f>
        <v>0.118814738805559</v>
      </c>
    </row>
    <row r="25" spans="2:10">
      <c r="B25" t="s">
        <v>13</v>
      </c>
      <c r="C25" t="s">
        <v>50</v>
      </c>
      <c r="D25" s="34">
        <v>2000</v>
      </c>
      <c r="E25" t="str">
        <f t="shared" si="0"/>
        <v>*0.0842387052473461</v>
      </c>
      <c r="G25" t="s">
        <v>51</v>
      </c>
      <c r="H25">
        <v>15</v>
      </c>
      <c r="I25">
        <f xml:space="preserve">SHAPES!A27</f>
        <v>20</v>
      </c>
      <c r="J25" s="36">
        <f xml:space="preserve">SHAPES!D27</f>
        <v>0.0751563871916662</v>
      </c>
    </row>
    <row r="26" spans="2:10">
      <c r="G26" t="s">
        <v>51</v>
      </c>
      <c r="H26">
        <v>15</v>
      </c>
      <c r="I26">
        <f xml:space="preserve">SHAPES!A28</f>
        <v>21</v>
      </c>
      <c r="J26" s="36">
        <f xml:space="preserve">SHAPES!D28</f>
        <v>0.0430894887796983</v>
      </c>
    </row>
    <row r="27" spans="2:10">
      <c r="G27" t="s">
        <v>51</v>
      </c>
      <c r="H27">
        <v>15</v>
      </c>
      <c r="I27">
        <f xml:space="preserve">SHAPES!A29</f>
        <v>22</v>
      </c>
      <c r="J27" s="36">
        <f xml:space="preserve">SHAPES!D29</f>
        <v>0.0219260148806106</v>
      </c>
    </row>
    <row r="28" spans="2:10">
      <c r="G28" t="s">
        <v>51</v>
      </c>
      <c r="H28">
        <v>15</v>
      </c>
      <c r="I28">
        <f xml:space="preserve">SHAPES!A30</f>
        <v>23</v>
      </c>
      <c r="J28" s="36">
        <f xml:space="preserve">SHAPES!D30</f>
        <v>0.00965316125123916</v>
      </c>
    </row>
    <row r="29" spans="2:10">
      <c r="G29" t="s">
        <v>51</v>
      </c>
      <c r="H29">
        <v>15</v>
      </c>
      <c r="I29">
        <f xml:space="preserve">SHAPES!A31</f>
        <v>24</v>
      </c>
      <c r="J29" s="36">
        <v>0</v>
      </c>
    </row>
    <row r="30" spans="2:10">
      <c r="G30" t="s">
        <v>51</v>
      </c>
      <c r="H30">
        <v>15</v>
      </c>
      <c r="I30">
        <f xml:space="preserve">SHAPES!A32</f>
        <v>25</v>
      </c>
      <c r="J30" s="36">
        <v>0</v>
      </c>
    </row>
    <row r="31" spans="2:10">
      <c r="G31" t="s">
        <v>51</v>
      </c>
      <c r="H31">
        <v>15</v>
      </c>
      <c r="I31">
        <f xml:space="preserve">SHAPES!A33</f>
        <v>26</v>
      </c>
      <c r="J31" s="36">
        <v>0</v>
      </c>
    </row>
    <row r="32" spans="2:10">
      <c r="G32" t="s">
        <v>51</v>
      </c>
      <c r="H32">
        <v>15</v>
      </c>
      <c r="I32">
        <f xml:space="preserve">SHAPES!A34</f>
        <v>27</v>
      </c>
      <c r="J32" s="36">
        <v>0</v>
      </c>
    </row>
    <row r="33" spans="7:10">
      <c r="G33" t="s">
        <v>51</v>
      </c>
      <c r="H33">
        <v>15</v>
      </c>
      <c r="I33">
        <f xml:space="preserve">SHAPES!A35</f>
        <v>28</v>
      </c>
      <c r="J33" s="36">
        <v>0</v>
      </c>
    </row>
    <row r="34" spans="7:10">
      <c r="G34" t="s">
        <v>51</v>
      </c>
      <c r="H34">
        <v>15</v>
      </c>
      <c r="I34">
        <f xml:space="preserve">SHAPES!A36</f>
        <v>29</v>
      </c>
      <c r="J34" s="36">
        <v>0</v>
      </c>
    </row>
    <row r="35" spans="7:10">
      <c r="G35" t="s">
        <v>51</v>
      </c>
      <c r="H35">
        <v>15</v>
      </c>
      <c r="I35">
        <f xml:space="preserve">SHAPES!A37</f>
        <v>30</v>
      </c>
      <c r="J35" s="36">
        <v>0</v>
      </c>
    </row>
    <row r="36" spans="7:10">
      <c r="G36" t="s">
        <v>51</v>
      </c>
      <c r="H36">
        <v>15</v>
      </c>
      <c r="I36">
        <f xml:space="preserve">SHAPES!A38</f>
        <v>31</v>
      </c>
      <c r="J36" s="36">
        <v>0</v>
      </c>
    </row>
    <row r="37" spans="7:10">
      <c r="G37" t="s">
        <v>51</v>
      </c>
      <c r="H37">
        <v>15</v>
      </c>
      <c r="I37">
        <f xml:space="preserve">SHAPES!A39</f>
        <v>32</v>
      </c>
      <c r="J37" s="36">
        <v>0</v>
      </c>
    </row>
    <row r="38" spans="7:10">
      <c r="G38" t="s">
        <v>51</v>
      </c>
      <c r="H38">
        <v>15</v>
      </c>
      <c r="I38">
        <f xml:space="preserve">SHAPES!A40</f>
        <v>33</v>
      </c>
      <c r="J38" s="36">
        <v>0</v>
      </c>
    </row>
    <row r="39" spans="7:10">
      <c r="G39" t="s">
        <v>51</v>
      </c>
      <c r="H39">
        <v>15</v>
      </c>
      <c r="I39">
        <f xml:space="preserve">SHAPES!A41</f>
        <v>34</v>
      </c>
      <c r="J39" s="36">
        <v>0</v>
      </c>
    </row>
    <row r="40" spans="7:10">
      <c r="G40" t="s">
        <v>51</v>
      </c>
      <c r="H40">
        <v>15</v>
      </c>
      <c r="I40">
        <f xml:space="preserve">SHAPES!A42</f>
        <v>35</v>
      </c>
      <c r="J40" s="36">
        <v>0</v>
      </c>
    </row>
    <row r="41" spans="7:10">
      <c r="G41" t="s">
        <v>51</v>
      </c>
      <c r="H41">
        <v>15</v>
      </c>
      <c r="I41">
        <f xml:space="preserve">SHAPES!A43</f>
        <v>36</v>
      </c>
      <c r="J41" s="36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C1:K38"/>
  <sheetViews>
    <sheetView zoomScale="74" zoomScaleNormal="74" topLeftCell="A2" workbookViewId="0">
      <selection activeCell="M24" sqref="M24:M25"/>
    </sheetView>
  </sheetViews>
  <sheetFormatPr defaultColWidth="8.72727272727273" defaultRowHeight="12.5"/>
  <cols>
    <col min="4" max="4" width="28.5454545454545" customWidth="1"/>
  </cols>
  <sheetData>
    <row r="1" spans="3:11">
      <c r="J1" s="33" t="s">
        <v>39</v>
      </c>
      <c r="K1" t="s">
        <v>52</v>
      </c>
    </row>
    <row r="2" spans="3:11">
      <c r="J2">
        <v>1</v>
      </c>
    </row>
    <row r="6" spans="3:11">
      <c r="C6" t="s">
        <v>41</v>
      </c>
    </row>
    <row r="7" spans="3:11">
      <c r="C7" t="s">
        <v>43</v>
      </c>
      <c r="D7" t="s">
        <v>44</v>
      </c>
      <c r="E7" t="s">
        <v>45</v>
      </c>
      <c r="F7" t="s">
        <v>46</v>
      </c>
    </row>
    <row r="8" ht="14.5" spans="3:11">
      <c r="C8" t="s">
        <v>13</v>
      </c>
      <c r="D8" t="s">
        <v>53</v>
      </c>
      <c r="E8">
        <v>2019</v>
      </c>
      <c r="F8" s="5" t="s">
        <v>54</v>
      </c>
      <c r="G8" s="5"/>
    </row>
    <row r="9" ht="14.5" spans="3:11">
      <c r="C9" t="s">
        <v>13</v>
      </c>
      <c r="D9" t="str">
        <f xml:space="preserve">D8</f>
        <v>EN_STG_4hBatt*</v>
      </c>
      <c r="E9">
        <f t="shared" ref="E9:E17" si="0" xml:space="preserve">E8-1</f>
        <v>2018</v>
      </c>
      <c r="F9" s="5" t="s">
        <v>55</v>
      </c>
      <c r="G9" s="5"/>
    </row>
    <row r="10" ht="14.5" spans="3:11">
      <c r="C10" t="s">
        <v>13</v>
      </c>
      <c r="D10" t="str">
        <f t="shared" ref="D10:D17" si="1" xml:space="preserve">D9</f>
        <v>EN_STG_4hBatt*</v>
      </c>
      <c r="E10">
        <f t="shared" si="0"/>
        <v>2017</v>
      </c>
      <c r="F10" s="5" t="s">
        <v>56</v>
      </c>
      <c r="G10" s="5"/>
    </row>
    <row r="11" ht="14.5" spans="3:11">
      <c r="C11" t="s">
        <v>13</v>
      </c>
      <c r="D11" t="str">
        <f t="shared" si="1"/>
        <v>EN_STG_4hBatt*</v>
      </c>
      <c r="E11">
        <f t="shared" si="0"/>
        <v>2016</v>
      </c>
      <c r="F11" s="5" t="s">
        <v>57</v>
      </c>
      <c r="G11" s="5"/>
    </row>
    <row r="12" ht="14.5" spans="3:11">
      <c r="C12" t="s">
        <v>13</v>
      </c>
      <c r="D12" t="str">
        <f t="shared" si="1"/>
        <v>EN_STG_4hBatt*</v>
      </c>
      <c r="E12">
        <f t="shared" si="0"/>
        <v>2015</v>
      </c>
      <c r="F12" s="5" t="s">
        <v>58</v>
      </c>
      <c r="G12" s="5"/>
    </row>
    <row r="13" ht="14.5" spans="3:11">
      <c r="C13" t="s">
        <v>13</v>
      </c>
      <c r="D13" t="str">
        <f t="shared" si="1"/>
        <v>EN_STG_4hBatt*</v>
      </c>
      <c r="E13">
        <f t="shared" si="0"/>
        <v>2014</v>
      </c>
      <c r="F13" s="5" t="s">
        <v>59</v>
      </c>
      <c r="G13" s="5"/>
    </row>
    <row r="14" ht="14.5" spans="3:11">
      <c r="C14" t="s">
        <v>13</v>
      </c>
      <c r="D14" t="str">
        <f t="shared" si="1"/>
        <v>EN_STG_4hBatt*</v>
      </c>
      <c r="E14">
        <f t="shared" si="0"/>
        <v>2013</v>
      </c>
      <c r="F14" s="5" t="s">
        <v>60</v>
      </c>
      <c r="G14" s="5"/>
    </row>
    <row r="15" ht="14.5" spans="3:11">
      <c r="C15" t="s">
        <v>13</v>
      </c>
      <c r="D15" t="str">
        <f t="shared" si="1"/>
        <v>EN_STG_4hBatt*</v>
      </c>
      <c r="E15">
        <f t="shared" si="0"/>
        <v>2012</v>
      </c>
      <c r="F15" s="5" t="s">
        <v>61</v>
      </c>
      <c r="G15" s="5"/>
    </row>
    <row r="16" ht="14.5" spans="3:11">
      <c r="C16" t="s">
        <v>13</v>
      </c>
      <c r="D16" t="str">
        <f t="shared" si="1"/>
        <v>EN_STG_4hBatt*</v>
      </c>
      <c r="E16">
        <f t="shared" si="0"/>
        <v>2011</v>
      </c>
      <c r="F16" s="5" t="s">
        <v>61</v>
      </c>
      <c r="G16" s="5"/>
    </row>
    <row r="17" ht="14.5" spans="3:7">
      <c r="C17" t="s">
        <v>13</v>
      </c>
      <c r="D17" t="str">
        <f t="shared" si="1"/>
        <v>EN_STG_4hBatt*</v>
      </c>
      <c r="E17">
        <f t="shared" si="0"/>
        <v>2010</v>
      </c>
      <c r="F17" s="5" t="s">
        <v>61</v>
      </c>
      <c r="G17" s="5"/>
    </row>
    <row r="18" ht="14.5" spans="3:7">
      <c r="C18" s="34"/>
      <c r="D18" s="34"/>
      <c r="E18" s="34"/>
      <c r="F18" s="35"/>
    </row>
    <row r="19" ht="14.5" spans="3:7">
      <c r="C19" s="34"/>
      <c r="D19" s="34"/>
      <c r="E19" s="34"/>
      <c r="F19" s="35"/>
    </row>
    <row r="20" ht="14.5" spans="3:7">
      <c r="C20" s="34"/>
      <c r="D20" s="34"/>
      <c r="E20" s="34"/>
      <c r="F20" s="35"/>
    </row>
    <row r="21" ht="14.5" spans="3:7">
      <c r="C21" s="34"/>
      <c r="D21" s="34"/>
      <c r="E21" s="34"/>
      <c r="F21" s="35"/>
    </row>
    <row r="22" ht="14.5" spans="3:7">
      <c r="C22" s="34"/>
      <c r="D22" s="34"/>
      <c r="E22" s="34"/>
      <c r="F22" s="35"/>
    </row>
    <row r="23" ht="14.5" spans="3:7">
      <c r="C23" s="34"/>
      <c r="D23" s="34"/>
      <c r="E23" s="34"/>
      <c r="F23" s="35"/>
      <c r="G23" s="5"/>
    </row>
    <row r="24" ht="14.5" spans="3:7">
      <c r="C24" s="34"/>
      <c r="D24" s="34"/>
      <c r="E24" s="34"/>
      <c r="F24" s="35"/>
    </row>
    <row r="25" ht="14.5" spans="3:7">
      <c r="C25" s="34"/>
      <c r="D25" s="34"/>
      <c r="E25" s="34"/>
      <c r="F25" s="35"/>
    </row>
    <row r="26" ht="14.5" spans="3:7">
      <c r="C26" s="34"/>
      <c r="D26" s="34"/>
      <c r="E26" s="34"/>
      <c r="F26" s="35"/>
    </row>
    <row r="27" ht="14.5" spans="3:7">
      <c r="C27" s="34"/>
      <c r="D27" s="34"/>
      <c r="E27" s="34"/>
      <c r="F27" s="35"/>
    </row>
    <row r="28" spans="3:7">
      <c r="C28" s="34"/>
      <c r="D28" s="34"/>
      <c r="E28" s="34"/>
      <c r="F28" s="34"/>
    </row>
    <row r="29" spans="3:7">
      <c r="C29" s="34"/>
      <c r="D29" s="34"/>
      <c r="E29" s="34"/>
      <c r="F29" s="34"/>
    </row>
    <row r="30" spans="3:7">
      <c r="C30" s="34"/>
      <c r="D30" s="34"/>
      <c r="E30" s="34"/>
      <c r="F30" s="34"/>
    </row>
    <row r="31" spans="3:7">
      <c r="C31" s="34"/>
      <c r="D31" s="34"/>
      <c r="E31" s="34"/>
      <c r="F31" s="34"/>
    </row>
    <row r="32" spans="3:7">
      <c r="C32" s="34"/>
      <c r="D32" s="34"/>
      <c r="E32" s="34"/>
      <c r="F32" s="34"/>
    </row>
    <row r="33" spans="3:6">
      <c r="C33" s="34"/>
      <c r="D33" s="34"/>
      <c r="E33" s="34"/>
      <c r="F33" s="34"/>
    </row>
    <row r="34" spans="3:6">
      <c r="C34" s="34"/>
      <c r="D34" s="34"/>
      <c r="E34" s="34"/>
      <c r="F34" s="34"/>
    </row>
    <row r="35" spans="3:6">
      <c r="C35" s="34"/>
      <c r="D35" s="34"/>
      <c r="E35" s="34"/>
      <c r="F35" s="34"/>
    </row>
    <row r="36" spans="3:6">
      <c r="C36" s="34"/>
      <c r="D36" s="34"/>
      <c r="E36" s="34"/>
      <c r="F36" s="34"/>
    </row>
    <row r="37" spans="3:6">
      <c r="C37" s="34"/>
      <c r="D37" s="34"/>
      <c r="E37" s="34"/>
      <c r="F37" s="34"/>
    </row>
    <row r="38" spans="3:6">
      <c r="C38" s="34"/>
      <c r="D38" s="34"/>
      <c r="E38" s="34"/>
      <c r="F38" s="3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57"/>
  <sheetViews>
    <sheetView workbookViewId="0">
      <selection activeCell="A1" sqref="A1"/>
    </sheetView>
  </sheetViews>
  <sheetFormatPr defaultColWidth="9.13636363636364" defaultRowHeight="14.5"/>
  <cols>
    <col min="1" max="16384" width="9.13636363636364" style="17"/>
  </cols>
  <sheetData>
    <row r="4" spans="1:7">
      <c r="B4" s="20" t="s">
        <v>62</v>
      </c>
      <c r="C4" s="21">
        <v>0.192</v>
      </c>
      <c r="D4" s="21">
        <v>0.195</v>
      </c>
      <c r="E4" s="21">
        <v>0.131</v>
      </c>
      <c r="F4" s="21">
        <v>0.13</v>
      </c>
      <c r="G4" s="21"/>
    </row>
    <row r="5" spans="1:7">
      <c r="B5" s="20" t="s">
        <v>63</v>
      </c>
      <c r="C5" s="21">
        <v>1200</v>
      </c>
      <c r="D5" s="21">
        <v>900</v>
      </c>
      <c r="E5" s="21">
        <v>21</v>
      </c>
      <c r="F5" s="21">
        <v>52</v>
      </c>
      <c r="G5" s="21"/>
    </row>
    <row r="7" spans="1:7">
      <c r="B7" s="22" t="s">
        <v>64</v>
      </c>
      <c r="C7" s="22">
        <f t="shared" ref="C7:F7" si="0" xml:space="preserve">SUM(C8:C32)</f>
        <v>10.0234245384626</v>
      </c>
      <c r="D7" s="22">
        <f t="shared" si="0"/>
        <v>11.9503259310896</v>
      </c>
      <c r="E7" s="22">
        <f t="shared" si="0"/>
        <v>19.9589529077991</v>
      </c>
      <c r="F7" s="22">
        <f t="shared" si="0"/>
        <v>15.0360677410005</v>
      </c>
      <c r="G7" s="23" t="s">
        <v>65</v>
      </c>
    </row>
    <row r="8" spans="1:7">
      <c r="A8" s="17">
        <v>1</v>
      </c>
      <c r="B8" s="24">
        <v>0.98</v>
      </c>
      <c r="C8" s="25">
        <f xml:space="preserve">(1/(1+EXP(-(50-$A8)*C$4)))^C$5</f>
        <v>0.906219385211314</v>
      </c>
      <c r="D8" s="25">
        <f xml:space="preserve">(1/(1+EXP(-(50-$A8)*D$4)))^D$5</f>
        <v>0.938230830558969</v>
      </c>
      <c r="E8" s="25">
        <f xml:space="preserve">(1/(1+EXP(-(50-$A8)*E$4)))^E$5</f>
        <v>0.966370359922775</v>
      </c>
      <c r="F8" s="25">
        <f xml:space="preserve">(1/(1+EXP(-(50-$A8)*F$4)))^F$5</f>
        <v>0.914885692356098</v>
      </c>
      <c r="G8" s="26"/>
    </row>
    <row r="9" spans="1:7">
      <c r="A9" s="17">
        <v>2</v>
      </c>
      <c r="B9" s="24">
        <v>0.970622580135159</v>
      </c>
      <c r="C9" s="25">
        <f t="shared" ref="C9:F57" si="1" xml:space="preserve">(1/(1+EXP(-(50-$A9)*C$4)))^C$5</f>
        <v>0.887526560438355</v>
      </c>
      <c r="D9" s="25">
        <f t="shared" si="1"/>
        <v>0.925439283531944</v>
      </c>
      <c r="E9" s="25">
        <f t="shared" si="1"/>
        <v>0.961758676863334</v>
      </c>
      <c r="F9" s="25">
        <f t="shared" si="1"/>
        <v>0.903667527866718</v>
      </c>
      <c r="G9" s="26"/>
    </row>
    <row r="10" spans="1:7">
      <c r="A10" s="17">
        <v>3</v>
      </c>
      <c r="B10" s="24">
        <v>0.962396435716511</v>
      </c>
      <c r="C10" s="25">
        <f t="shared" si="1"/>
        <v>0.865393324683414</v>
      </c>
      <c r="D10" s="25">
        <f t="shared" si="1"/>
        <v>0.910128364505219</v>
      </c>
      <c r="E10" s="25">
        <f t="shared" si="1"/>
        <v>0.956529615654335</v>
      </c>
      <c r="F10" s="25">
        <f t="shared" si="1"/>
        <v>0.891062569793048</v>
      </c>
      <c r="G10" s="26"/>
    </row>
    <row r="11" spans="1:7">
      <c r="A11" s="17">
        <v>4</v>
      </c>
      <c r="B11" s="24">
        <v>0.962396435716511</v>
      </c>
      <c r="C11" s="25">
        <f t="shared" si="1"/>
        <v>0.839314002453786</v>
      </c>
      <c r="D11" s="25">
        <f t="shared" si="1"/>
        <v>0.891861795425706</v>
      </c>
      <c r="E11" s="25">
        <f t="shared" si="1"/>
        <v>0.950604963935119</v>
      </c>
      <c r="F11" s="25">
        <f t="shared" si="1"/>
        <v>0.876925728837395</v>
      </c>
      <c r="G11" s="26"/>
    </row>
    <row r="12" spans="1:7">
      <c r="A12" s="17">
        <v>5</v>
      </c>
      <c r="B12" s="24">
        <v>0.953348946865523</v>
      </c>
      <c r="C12" s="25">
        <f t="shared" si="1"/>
        <v>0.808766111793418</v>
      </c>
      <c r="D12" s="25">
        <f t="shared" si="1"/>
        <v>0.870155573115599</v>
      </c>
      <c r="E12" s="25">
        <f t="shared" si="1"/>
        <v>0.943897915356145</v>
      </c>
      <c r="F12" s="25">
        <f t="shared" si="1"/>
        <v>0.861104397852864</v>
      </c>
      <c r="G12" s="26"/>
    </row>
    <row r="13" spans="1:7">
      <c r="A13" s="17">
        <v>6</v>
      </c>
      <c r="B13" s="24">
        <v>0.946947220933845</v>
      </c>
      <c r="C13" s="25">
        <f t="shared" si="1"/>
        <v>0.773239215092304</v>
      </c>
      <c r="D13" s="25">
        <f t="shared" si="1"/>
        <v>0.844486434298216</v>
      </c>
      <c r="E13" s="25">
        <f t="shared" si="1"/>
        <v>0.936312523381613</v>
      </c>
      <c r="F13" s="25">
        <f t="shared" si="1"/>
        <v>0.843440509350422</v>
      </c>
      <c r="G13" s="26"/>
    </row>
    <row r="14" spans="1:7">
      <c r="A14" s="17">
        <v>7</v>
      </c>
      <c r="B14" s="24">
        <v>0.946947220933845</v>
      </c>
      <c r="C14" s="25">
        <f t="shared" si="1"/>
        <v>0.732278494099783</v>
      </c>
      <c r="D14" s="25">
        <f t="shared" si="1"/>
        <v>0.814308706204866</v>
      </c>
      <c r="E14" s="25">
        <f t="shared" si="1"/>
        <v>0.927743253132952</v>
      </c>
      <c r="F14" s="25">
        <f t="shared" si="1"/>
        <v>0.823773522375577</v>
      </c>
      <c r="G14" s="26"/>
    </row>
    <row r="15" spans="1:7">
      <c r="A15" s="17">
        <v>8</v>
      </c>
      <c r="B15" s="24">
        <v>0.926261114788064</v>
      </c>
      <c r="C15" s="25">
        <f t="shared" si="1"/>
        <v>0.685546224575631</v>
      </c>
      <c r="D15" s="25">
        <f t="shared" si="1"/>
        <v>0.779082860560271</v>
      </c>
      <c r="E15" s="25">
        <f t="shared" si="1"/>
        <v>0.918074687227548</v>
      </c>
      <c r="F15" s="25">
        <f t="shared" si="1"/>
        <v>0.801944546687233</v>
      </c>
      <c r="G15" s="26"/>
    </row>
    <row r="16" spans="1:7">
      <c r="A16" s="17">
        <v>9</v>
      </c>
      <c r="B16" s="24">
        <v>0.898162758045296</v>
      </c>
      <c r="C16" s="25">
        <f t="shared" si="1"/>
        <v>0.632903023475913</v>
      </c>
      <c r="D16" s="25">
        <f t="shared" si="1"/>
        <v>0.7383195238711</v>
      </c>
      <c r="E16" s="25">
        <f t="shared" si="1"/>
        <v>0.907181457650145</v>
      </c>
      <c r="F16" s="25">
        <f t="shared" si="1"/>
        <v>0.777801823096523</v>
      </c>
      <c r="G16" s="26"/>
    </row>
    <row r="17" spans="1:7">
      <c r="A17" s="17">
        <v>10</v>
      </c>
      <c r="B17" s="24">
        <v>0.898162758045296</v>
      </c>
      <c r="C17" s="25">
        <f t="shared" si="1"/>
        <v>0.574507650216493</v>
      </c>
      <c r="D17" s="25">
        <f t="shared" si="1"/>
        <v>0.691642583607144</v>
      </c>
      <c r="E17" s="25">
        <f t="shared" si="1"/>
        <v>0.894928494661952</v>
      </c>
      <c r="F17" s="25">
        <f t="shared" si="1"/>
        <v>0.751207773296982</v>
      </c>
      <c r="G17" s="26"/>
    </row>
    <row r="18" spans="1:7">
      <c r="A18" s="17">
        <v>11</v>
      </c>
      <c r="B18" s="24">
        <v>0.846189380878412</v>
      </c>
      <c r="C18" s="25">
        <f t="shared" si="1"/>
        <v>0.510928455302216</v>
      </c>
      <c r="D18" s="25">
        <f t="shared" si="1"/>
        <v>0.638873803601385</v>
      </c>
      <c r="E18" s="25">
        <f t="shared" si="1"/>
        <v>0.881171705489785</v>
      </c>
      <c r="F18" s="25">
        <f t="shared" si="1"/>
        <v>0.722047800743682</v>
      </c>
      <c r="G18" s="26"/>
    </row>
    <row r="19" spans="1:7">
      <c r="A19" s="17">
        <v>12</v>
      </c>
      <c r="B19" s="24">
        <v>0.836089965568855</v>
      </c>
      <c r="C19" s="25">
        <f t="shared" si="1"/>
        <v>0.443250713618776</v>
      </c>
      <c r="D19" s="25">
        <f t="shared" si="1"/>
        <v>0.580138223569736</v>
      </c>
      <c r="E19" s="25">
        <f t="shared" si="1"/>
        <v>0.865759219524715</v>
      </c>
      <c r="F19" s="25">
        <f t="shared" si="1"/>
        <v>0.690240953567927</v>
      </c>
      <c r="G19" s="26"/>
    </row>
    <row r="20" spans="1:7">
      <c r="A20" s="17">
        <v>13</v>
      </c>
      <c r="B20" s="24">
        <v>0.785347748818551</v>
      </c>
      <c r="C20" s="25">
        <f t="shared" si="1"/>
        <v>0.373152419091481</v>
      </c>
      <c r="D20" s="25">
        <f t="shared" si="1"/>
        <v>0.515983628855313</v>
      </c>
      <c r="E20" s="25">
        <f t="shared" si="1"/>
        <v>0.848533361850074</v>
      </c>
      <c r="F20" s="25">
        <f t="shared" si="1"/>
        <v>0.655752436144864</v>
      </c>
      <c r="G20" s="26"/>
    </row>
    <row r="21" spans="1:7">
      <c r="A21" s="17">
        <v>14</v>
      </c>
      <c r="B21" s="24">
        <v>0.765158424624948</v>
      </c>
      <c r="C21" s="25">
        <f t="shared" si="1"/>
        <v>0.302909076264049</v>
      </c>
      <c r="D21" s="25">
        <f t="shared" si="1"/>
        <v>0.447497806996866</v>
      </c>
      <c r="E21" s="25">
        <f t="shared" si="1"/>
        <v>0.829333541043553</v>
      </c>
      <c r="F21" s="25">
        <f t="shared" si="1"/>
        <v>0.61860776150924</v>
      </c>
      <c r="G21" s="26"/>
    </row>
    <row r="22" spans="1:7">
      <c r="A22" s="17">
        <v>15</v>
      </c>
      <c r="B22" s="24">
        <v>0.722888201491699</v>
      </c>
      <c r="C22" s="25">
        <f t="shared" si="1"/>
        <v>0.23528138033045</v>
      </c>
      <c r="D22" s="25">
        <f t="shared" si="1"/>
        <v>0.376394405858965</v>
      </c>
      <c r="E22" s="25">
        <f t="shared" si="1"/>
        <v>0.808000257000151</v>
      </c>
      <c r="F22" s="25">
        <f t="shared" si="1"/>
        <v>0.578908057444174</v>
      </c>
      <c r="G22" s="26"/>
    </row>
    <row r="23" spans="1:7">
      <c r="A23" s="17">
        <v>16</v>
      </c>
      <c r="B23" s="24">
        <v>0.662206654111213</v>
      </c>
      <c r="C23" s="25">
        <f t="shared" si="1"/>
        <v>0.1732480236977</v>
      </c>
      <c r="D23" s="25">
        <f t="shared" si="1"/>
        <v>0.305024495274644</v>
      </c>
      <c r="E23" s="25">
        <f t="shared" si="1"/>
        <v>0.784380444928941</v>
      </c>
      <c r="F23" s="25">
        <f t="shared" si="1"/>
        <v>0.536845665869112</v>
      </c>
      <c r="G23" s="26"/>
    </row>
    <row r="24" spans="1:7">
      <c r="A24" s="17">
        <v>17</v>
      </c>
      <c r="B24" s="24">
        <v>0.623093147917535</v>
      </c>
      <c r="C24" s="25">
        <f t="shared" si="1"/>
        <v>0.11958021751459</v>
      </c>
      <c r="D24" s="25">
        <f t="shared" si="1"/>
        <v>0.236262757898913</v>
      </c>
      <c r="E24" s="25">
        <f t="shared" si="1"/>
        <v>0.75833436545842</v>
      </c>
      <c r="F24" s="25">
        <f t="shared" si="1"/>
        <v>0.492718712520419</v>
      </c>
      <c r="G24" s="26"/>
    </row>
    <row r="25" spans="1:7">
      <c r="A25" s="17">
        <v>18</v>
      </c>
      <c r="B25" s="24">
        <v>0.537592092285781</v>
      </c>
      <c r="C25" s="25">
        <f t="shared" si="1"/>
        <v>0.0763196147056263</v>
      </c>
      <c r="D25" s="25">
        <f t="shared" si="1"/>
        <v>0.173225455866289</v>
      </c>
      <c r="E25" s="25">
        <f t="shared" si="1"/>
        <v>0.729744218200363</v>
      </c>
      <c r="F25" s="25">
        <f t="shared" si="1"/>
        <v>0.446942799578822</v>
      </c>
      <c r="G25" s="26"/>
    </row>
    <row r="26" spans="1:7">
      <c r="A26" s="17">
        <v>19</v>
      </c>
      <c r="B26" s="24">
        <v>0.474189219095591</v>
      </c>
      <c r="C26" s="25">
        <f t="shared" si="1"/>
        <v>0.0443026892620923</v>
      </c>
      <c r="D26" s="25">
        <f t="shared" si="1"/>
        <v>0.118814738805559</v>
      </c>
      <c r="E26" s="25">
        <f t="shared" si="1"/>
        <v>0.698524584808679</v>
      </c>
      <c r="F26" s="25">
        <f t="shared" si="1"/>
        <v>0.400057451000559</v>
      </c>
      <c r="G26" s="26"/>
    </row>
    <row r="27" spans="1:7">
      <c r="A27" s="17">
        <v>20</v>
      </c>
      <c r="B27" s="24">
        <v>0.422091220937619</v>
      </c>
      <c r="C27" s="25">
        <f t="shared" si="1"/>
        <v>0.0229281766898145</v>
      </c>
      <c r="D27" s="25">
        <f t="shared" si="1"/>
        <v>0.0751563871916662</v>
      </c>
      <c r="E27" s="25">
        <f t="shared" si="1"/>
        <v>0.664634682968127</v>
      </c>
      <c r="F27" s="25">
        <f t="shared" si="1"/>
        <v>0.352724529092067</v>
      </c>
      <c r="G27" s="26"/>
    </row>
    <row r="28" spans="1:7">
      <c r="A28" s="17">
        <v>21</v>
      </c>
      <c r="B28" s="24">
        <v>0.346971016058413</v>
      </c>
      <c r="C28" s="25">
        <f t="shared" si="1"/>
        <v>0.0103268678591589</v>
      </c>
      <c r="D28" s="25">
        <f t="shared" si="1"/>
        <v>0.0430894887796983</v>
      </c>
      <c r="E28" s="25">
        <f t="shared" si="1"/>
        <v>0.628092219448125</v>
      </c>
      <c r="F28" s="25">
        <f t="shared" si="1"/>
        <v>0.305715704765527</v>
      </c>
      <c r="G28" s="26"/>
    </row>
    <row r="29" spans="1:7">
      <c r="A29" s="17">
        <v>22</v>
      </c>
      <c r="B29" s="24">
        <v>0.293064361762058</v>
      </c>
      <c r="C29" s="25">
        <f t="shared" si="1"/>
        <v>0.00393145344541023</v>
      </c>
      <c r="D29" s="25">
        <f t="shared" si="1"/>
        <v>0.0219260148806106</v>
      </c>
      <c r="E29" s="25">
        <f t="shared" si="1"/>
        <v>0.588988354885599</v>
      </c>
      <c r="F29" s="25">
        <f t="shared" si="1"/>
        <v>0.25988641177864</v>
      </c>
      <c r="G29" s="26"/>
    </row>
    <row r="30" spans="1:7">
      <c r="A30" s="17">
        <v>23</v>
      </c>
      <c r="B30" s="24">
        <v>0.232858040357466</v>
      </c>
      <c r="C30" s="25">
        <f t="shared" si="1"/>
        <v>0.00122126980138214</v>
      </c>
      <c r="D30" s="25">
        <f t="shared" si="1"/>
        <v>0.00965316125123916</v>
      </c>
      <c r="E30" s="25">
        <f t="shared" si="1"/>
        <v>0.547502928572496</v>
      </c>
      <c r="F30" s="25">
        <f t="shared" si="1"/>
        <v>0.216134768758909</v>
      </c>
      <c r="G30" s="26"/>
    </row>
    <row r="31" spans="1:7">
      <c r="A31" s="17">
        <v>24</v>
      </c>
      <c r="B31" s="24">
        <v>0.190942528947818</v>
      </c>
      <c r="C31" s="25">
        <f t="shared" si="1"/>
        <v>0.000296659508114373</v>
      </c>
      <c r="D31" s="25">
        <f t="shared" si="1"/>
        <v>0.00356535659104143</v>
      </c>
      <c r="E31" s="25">
        <f t="shared" si="1"/>
        <v>0.503918645433383</v>
      </c>
      <c r="F31" s="25">
        <f t="shared" si="1"/>
        <v>0.17534587855983</v>
      </c>
      <c r="G31" s="26"/>
    </row>
    <row r="32" spans="1:7">
      <c r="A32" s="17">
        <v>25</v>
      </c>
      <c r="B32" s="24">
        <v>0.164653096923697</v>
      </c>
      <c r="C32" s="25">
        <f t="shared" si="1"/>
        <v>5.35293312880216e-5</v>
      </c>
      <c r="D32" s="25">
        <f t="shared" si="1"/>
        <v>0.00106424998867156</v>
      </c>
      <c r="E32" s="25">
        <f t="shared" si="1"/>
        <v>0.458632430400759</v>
      </c>
      <c r="F32" s="25">
        <f t="shared" si="1"/>
        <v>0.138324718153866</v>
      </c>
      <c r="G32" s="26"/>
    </row>
    <row r="33" spans="1:11">
      <c r="A33" s="17">
        <v>26</v>
      </c>
      <c r="B33" s="24">
        <v>0.148868327448333</v>
      </c>
      <c r="C33" s="25">
        <f t="shared" si="1"/>
        <v>6.74423475754726e-6</v>
      </c>
      <c r="D33" s="25">
        <f t="shared" si="1"/>
        <v>0.000245403816057935</v>
      </c>
      <c r="E33" s="25">
        <f t="shared" si="1"/>
        <v>0.412161672924921</v>
      </c>
      <c r="F33" s="25">
        <f t="shared" si="1"/>
        <v>0.105724230407663</v>
      </c>
      <c r="G33" s="26"/>
    </row>
    <row r="34" spans="1:11">
      <c r="A34" s="17">
        <v>27</v>
      </c>
      <c r="B34" s="24">
        <v>0.11454490726822</v>
      </c>
      <c r="C34" s="25">
        <f t="shared" si="1"/>
        <v>5.50705105352367e-7</v>
      </c>
      <c r="D34" s="25">
        <f t="shared" si="1"/>
        <v>4.13929618796038e-5</v>
      </c>
      <c r="E34" s="25">
        <f t="shared" si="1"/>
        <v>0.365142725874107</v>
      </c>
      <c r="F34" s="25">
        <f t="shared" si="1"/>
        <v>0.0779785453058308</v>
      </c>
      <c r="G34" s="26"/>
    </row>
    <row r="35" spans="1:11">
      <c r="A35" s="17">
        <v>28</v>
      </c>
      <c r="B35" s="24">
        <v>0.103054577939045</v>
      </c>
      <c r="C35" s="25">
        <f t="shared" si="1"/>
        <v>2.6646577225688e-8</v>
      </c>
      <c r="D35" s="25">
        <f t="shared" si="1"/>
        <v>4.78188415507316e-6</v>
      </c>
      <c r="E35" s="25">
        <f t="shared" si="1"/>
        <v>0.318318944915169</v>
      </c>
      <c r="F35" s="25">
        <f t="shared" si="1"/>
        <v>0.0552534242125428</v>
      </c>
      <c r="G35" s="26"/>
    </row>
    <row r="36" ht="15.25" spans="1:11">
      <c r="A36" s="17">
        <v>29</v>
      </c>
      <c r="B36" s="24">
        <v>0.0950979000353695</v>
      </c>
      <c r="C36" s="25">
        <f t="shared" si="1"/>
        <v>6.86109253935805e-10</v>
      </c>
      <c r="D36" s="25">
        <f t="shared" si="1"/>
        <v>3.49520200309893e-7</v>
      </c>
      <c r="E36" s="25">
        <f t="shared" si="1"/>
        <v>0.272515947885678</v>
      </c>
      <c r="F36" s="25">
        <f t="shared" si="1"/>
        <v>0.0374257781970897</v>
      </c>
      <c r="G36" s="26"/>
    </row>
    <row r="37" ht="15.5" spans="1:11">
      <c r="A37" s="17">
        <v>30</v>
      </c>
      <c r="B37" s="24">
        <v>0.0950979000353695</v>
      </c>
      <c r="C37" s="25">
        <f t="shared" si="1"/>
        <v>8.2645524853028e-12</v>
      </c>
      <c r="D37" s="25">
        <f t="shared" si="1"/>
        <v>1.46945298074594e-8</v>
      </c>
      <c r="E37" s="25">
        <f t="shared" si="1"/>
        <v>0.228602829015039</v>
      </c>
      <c r="F37" s="25">
        <f t="shared" si="1"/>
        <v>0.024100468898179</v>
      </c>
      <c r="G37" s="26"/>
      <c r="I37" s="27">
        <v>20</v>
      </c>
      <c r="J37" s="28" t="s">
        <v>66</v>
      </c>
      <c r="K37" s="29"/>
    </row>
    <row r="38" ht="16.25" spans="1:11">
      <c r="A38" s="17">
        <v>31</v>
      </c>
      <c r="B38" s="24">
        <v>0.0794965091942965</v>
      </c>
      <c r="C38" s="25">
        <f t="shared" si="1"/>
        <v>3.99248227801898e-14</v>
      </c>
      <c r="D38" s="25">
        <f t="shared" si="1"/>
        <v>3.16957251470982e-10</v>
      </c>
      <c r="E38" s="25">
        <f t="shared" si="1"/>
        <v>0.1874399026682</v>
      </c>
      <c r="F38" s="25">
        <f t="shared" si="1"/>
        <v>0.0146654724946527</v>
      </c>
      <c r="G38" s="26"/>
      <c r="I38" s="30">
        <v>15</v>
      </c>
      <c r="J38" s="31" t="s">
        <v>67</v>
      </c>
      <c r="K38" s="32"/>
    </row>
    <row r="39" spans="1:11">
      <c r="A39" s="17">
        <v>32</v>
      </c>
      <c r="B39" s="24">
        <v>0.0568420433598065</v>
      </c>
      <c r="C39" s="25">
        <f t="shared" si="1"/>
        <v>6.43818749795908e-17</v>
      </c>
      <c r="D39" s="25">
        <f t="shared" si="1"/>
        <v>3.05927625547114e-12</v>
      </c>
      <c r="E39" s="25">
        <f t="shared" si="1"/>
        <v>0.149816134662246</v>
      </c>
      <c r="F39" s="25">
        <f t="shared" si="1"/>
        <v>0.00837724347223734</v>
      </c>
      <c r="G39" s="26"/>
    </row>
    <row r="40" spans="1:11">
      <c r="A40" s="17">
        <v>33</v>
      </c>
      <c r="B40" s="24">
        <v>0.0542540888865057</v>
      </c>
      <c r="C40" s="25">
        <f t="shared" si="1"/>
        <v>2.78692808868817e-20</v>
      </c>
      <c r="D40" s="25">
        <f t="shared" si="1"/>
        <v>1.12256021557371e-14</v>
      </c>
      <c r="E40" s="25">
        <f t="shared" si="1"/>
        <v>0.116382437982868</v>
      </c>
      <c r="F40" s="25">
        <f t="shared" si="1"/>
        <v>0.00445960432889931</v>
      </c>
      <c r="G40" s="26"/>
    </row>
    <row r="41" spans="1:11">
      <c r="A41" s="17">
        <v>34</v>
      </c>
      <c r="B41" s="24">
        <v>0.0542540888865057</v>
      </c>
      <c r="C41" s="25">
        <f t="shared" si="1"/>
        <v>2.50254185482109e-24</v>
      </c>
      <c r="D41" s="25">
        <f t="shared" si="1"/>
        <v>1.29036644913749e-17</v>
      </c>
      <c r="E41" s="25">
        <f t="shared" si="1"/>
        <v>0.0875898228328662</v>
      </c>
      <c r="F41" s="25">
        <f t="shared" si="1"/>
        <v>0.00219517829753202</v>
      </c>
      <c r="G41" s="26"/>
    </row>
    <row r="42" spans="1:11">
      <c r="A42" s="17">
        <v>35</v>
      </c>
      <c r="B42" s="24">
        <v>0.0542540888865057</v>
      </c>
      <c r="C42" s="25">
        <f t="shared" si="1"/>
        <v>3.44187211361019e-29</v>
      </c>
      <c r="D42" s="25">
        <f t="shared" si="1"/>
        <v>3.69671135557014e-21</v>
      </c>
      <c r="E42" s="25">
        <f t="shared" si="1"/>
        <v>0.0636430653415445</v>
      </c>
      <c r="F42" s="25">
        <f t="shared" si="1"/>
        <v>0.000990702863321507</v>
      </c>
      <c r="G42" s="26"/>
    </row>
    <row r="43" spans="1:11">
      <c r="A43" s="17">
        <v>36</v>
      </c>
      <c r="B43" s="24">
        <v>0.0453752228971555</v>
      </c>
      <c r="C43" s="25">
        <f t="shared" si="1"/>
        <v>5.08488119352033e-35</v>
      </c>
      <c r="D43" s="25">
        <f t="shared" si="1"/>
        <v>2.01780834205926e-25</v>
      </c>
      <c r="E43" s="25">
        <f t="shared" si="1"/>
        <v>0.0444800833434214</v>
      </c>
      <c r="F43" s="25">
        <f t="shared" si="1"/>
        <v>0.000406238313725398</v>
      </c>
      <c r="G43" s="26"/>
    </row>
    <row r="44" spans="1:11">
      <c r="A44" s="17">
        <v>37</v>
      </c>
      <c r="B44" s="24">
        <v>0.0330173163442898</v>
      </c>
      <c r="C44" s="25">
        <f t="shared" si="1"/>
        <v>5.34466962894203e-42</v>
      </c>
      <c r="D44" s="25">
        <f t="shared" si="1"/>
        <v>1.5342782793287e-30</v>
      </c>
      <c r="E44" s="25">
        <f t="shared" si="1"/>
        <v>0.0297838898972336</v>
      </c>
      <c r="F44" s="25">
        <f t="shared" si="1"/>
        <v>0.000149900948741295</v>
      </c>
      <c r="G44" s="26"/>
    </row>
    <row r="45" spans="1:11">
      <c r="A45" s="17">
        <v>38</v>
      </c>
      <c r="B45" s="24">
        <v>0.0330173163442898</v>
      </c>
      <c r="C45" s="25">
        <f t="shared" si="1"/>
        <v>2.48753719707069e-50</v>
      </c>
      <c r="D45" s="25">
        <f t="shared" si="1"/>
        <v>1.13154945051616e-36</v>
      </c>
      <c r="E45" s="25">
        <f t="shared" si="1"/>
        <v>0.0190279481314734</v>
      </c>
      <c r="F45" s="25">
        <f t="shared" si="1"/>
        <v>4.92743912646851e-5</v>
      </c>
      <c r="G45" s="26"/>
    </row>
    <row r="46" spans="1:11">
      <c r="A46" s="17">
        <v>39</v>
      </c>
      <c r="B46" s="24">
        <v>0.031841483991343</v>
      </c>
      <c r="C46" s="25">
        <f t="shared" si="1"/>
        <v>2.98709273777631e-60</v>
      </c>
      <c r="D46" s="25">
        <f t="shared" si="1"/>
        <v>5.34979488148274e-44</v>
      </c>
      <c r="E46" s="25">
        <f t="shared" si="1"/>
        <v>0.011548223188478</v>
      </c>
      <c r="F46" s="25">
        <f t="shared" si="1"/>
        <v>1.42778241771178e-5</v>
      </c>
      <c r="G46" s="26"/>
    </row>
    <row r="47" spans="1:11">
      <c r="A47" s="17">
        <v>40</v>
      </c>
      <c r="B47" s="24">
        <v>0.0289468036284937</v>
      </c>
      <c r="C47" s="25">
        <f t="shared" si="1"/>
        <v>5.04092981981214e-72</v>
      </c>
      <c r="D47" s="25">
        <f t="shared" si="1"/>
        <v>1.0155773516225e-52</v>
      </c>
      <c r="E47" s="25">
        <f t="shared" si="1"/>
        <v>0.00662848337086842</v>
      </c>
      <c r="F47" s="25">
        <f t="shared" si="1"/>
        <v>3.60770183438638e-6</v>
      </c>
      <c r="G47" s="26"/>
    </row>
    <row r="48" spans="1:11">
      <c r="A48" s="17">
        <v>41</v>
      </c>
      <c r="B48" s="24">
        <v>0.0260521232656443</v>
      </c>
      <c r="C48" s="25">
        <f t="shared" si="1"/>
        <v>6.09869056937694e-86</v>
      </c>
      <c r="D48" s="25">
        <f t="shared" si="1"/>
        <v>4.59937564837077e-63</v>
      </c>
      <c r="E48" s="25">
        <f t="shared" si="1"/>
        <v>0.00358198121587089</v>
      </c>
      <c r="F48" s="25">
        <f t="shared" si="1"/>
        <v>7.86262836388685e-7</v>
      </c>
      <c r="G48" s="26"/>
    </row>
    <row r="49" spans="1:7">
      <c r="A49" s="17">
        <v>42</v>
      </c>
      <c r="B49" s="24">
        <v>0.0231574429027949</v>
      </c>
      <c r="C49" s="25">
        <f t="shared" si="1"/>
        <v>2.54322977557799e-102</v>
      </c>
      <c r="D49" s="25">
        <f t="shared" si="1"/>
        <v>2.81328835742251e-75</v>
      </c>
      <c r="E49" s="25">
        <f t="shared" si="1"/>
        <v>0.00181417657127675</v>
      </c>
      <c r="F49" s="25">
        <f t="shared" si="1"/>
        <v>1.46193015454287e-7</v>
      </c>
      <c r="G49" s="26"/>
    </row>
    <row r="50" spans="1:7">
      <c r="A50" s="17">
        <v>43</v>
      </c>
      <c r="B50" s="24">
        <v>0.0202627625399456</v>
      </c>
      <c r="C50" s="25">
        <f t="shared" si="1"/>
        <v>1.67650027026223e-121</v>
      </c>
      <c r="D50" s="25">
        <f t="shared" si="1"/>
        <v>1.26504110236933e-89</v>
      </c>
      <c r="E50" s="25">
        <f t="shared" si="1"/>
        <v>0.000857351614537152</v>
      </c>
      <c r="F50" s="25">
        <f t="shared" si="1"/>
        <v>2.29435548157318e-8</v>
      </c>
      <c r="G50" s="26"/>
    </row>
    <row r="51" spans="1:7">
      <c r="A51" s="17">
        <v>44</v>
      </c>
      <c r="B51" s="24">
        <v>0.0173680821770962</v>
      </c>
      <c r="C51" s="25">
        <f t="shared" si="1"/>
        <v>7.78570335510438e-144</v>
      </c>
      <c r="D51" s="25">
        <f t="shared" si="1"/>
        <v>2.22006086811815e-106</v>
      </c>
      <c r="E51" s="25">
        <f t="shared" si="1"/>
        <v>0.000376458594281512</v>
      </c>
      <c r="F51" s="25">
        <f t="shared" si="1"/>
        <v>3.00829776838304e-9</v>
      </c>
      <c r="G51" s="26"/>
    </row>
    <row r="52" spans="1:7">
      <c r="A52" s="17">
        <v>45</v>
      </c>
      <c r="B52" s="24">
        <v>0.0144734018142468</v>
      </c>
      <c r="C52" s="25">
        <f t="shared" si="1"/>
        <v>1.13174612312143e-169</v>
      </c>
      <c r="D52" s="25">
        <f t="shared" si="1"/>
        <v>8.03262555274651e-126</v>
      </c>
      <c r="E52" s="25">
        <f t="shared" si="1"/>
        <v>0.000152979402302229</v>
      </c>
      <c r="F52" s="25">
        <f t="shared" si="1"/>
        <v>3.26406539912992e-10</v>
      </c>
      <c r="G52" s="26"/>
    </row>
    <row r="53" spans="1:7">
      <c r="A53" s="17">
        <v>46</v>
      </c>
      <c r="B53" s="24">
        <v>0.0115787214513975</v>
      </c>
      <c r="C53" s="25">
        <f t="shared" si="1"/>
        <v>2.35537253900522e-199</v>
      </c>
      <c r="D53" s="25">
        <f t="shared" si="1"/>
        <v>3.23146037062183e-148</v>
      </c>
      <c r="E53" s="25">
        <f t="shared" si="1"/>
        <v>5.73260931245053e-5</v>
      </c>
      <c r="F53" s="25">
        <f t="shared" si="1"/>
        <v>2.90558610240178e-11</v>
      </c>
      <c r="G53" s="26"/>
    </row>
    <row r="54" spans="1:7">
      <c r="A54" s="17">
        <v>47</v>
      </c>
      <c r="B54" s="24">
        <v>0.00868404108854809</v>
      </c>
      <c r="C54" s="25">
        <f t="shared" si="1"/>
        <v>3.42957733088786e-233</v>
      </c>
      <c r="D54" s="25">
        <f t="shared" si="1"/>
        <v>8.19736610112632e-174</v>
      </c>
      <c r="E54" s="25">
        <f t="shared" si="1"/>
        <v>1.97484236454548e-5</v>
      </c>
      <c r="F54" s="25">
        <f t="shared" si="1"/>
        <v>2.10627395377568e-12</v>
      </c>
      <c r="G54" s="26"/>
    </row>
    <row r="55" spans="1:7">
      <c r="A55" s="17">
        <v>48</v>
      </c>
      <c r="B55" s="24">
        <v>0.00578936072569872</v>
      </c>
      <c r="C55" s="25">
        <f t="shared" si="1"/>
        <v>1.89670438496799e-271</v>
      </c>
      <c r="D55" s="25">
        <f t="shared" si="1"/>
        <v>8.07212567278304e-203</v>
      </c>
      <c r="E55" s="25">
        <f t="shared" si="1"/>
        <v>6.23851575799832e-6</v>
      </c>
      <c r="F55" s="25">
        <f t="shared" si="1"/>
        <v>1.23588203550676e-13</v>
      </c>
      <c r="G55" s="26"/>
    </row>
    <row r="56" spans="1:7">
      <c r="A56" s="17">
        <v>49</v>
      </c>
      <c r="B56" s="24">
        <v>0.00289468036284934</v>
      </c>
      <c r="C56" s="25">
        <f t="shared" si="1"/>
        <v>2.49421781354134e-314</v>
      </c>
      <c r="D56" s="25">
        <f t="shared" si="1"/>
        <v>2.12544751796573e-235</v>
      </c>
      <c r="E56" s="25">
        <f t="shared" si="1"/>
        <v>1.80381580962101e-6</v>
      </c>
      <c r="F56" s="25">
        <f t="shared" si="1"/>
        <v>5.84361885257411e-15</v>
      </c>
      <c r="G56" s="26"/>
    </row>
    <row r="57" spans="1:7">
      <c r="A57" s="17">
        <v>50</v>
      </c>
      <c r="B57" s="24">
        <v>0</v>
      </c>
      <c r="C57" s="25">
        <f t="shared" si="1"/>
        <v>0</v>
      </c>
      <c r="D57" s="25">
        <f t="shared" si="1"/>
        <v>1.18305218616677e-271</v>
      </c>
      <c r="E57" s="25">
        <f t="shared" si="1"/>
        <v>4.76837158203125e-7</v>
      </c>
      <c r="F57" s="25">
        <f t="shared" si="1"/>
        <v>2.22044604925031e-16</v>
      </c>
      <c r="G57" s="26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31"/>
  <sheetViews>
    <sheetView topLeftCell="A7" workbookViewId="0">
      <selection activeCell="B30" sqref="B30"/>
    </sheetView>
  </sheetViews>
  <sheetFormatPr defaultColWidth="9" defaultRowHeight="12.5"/>
  <cols>
    <col min="2" max="2" width="20.4" customWidth="1"/>
    <col min="3" max="3" width="14.2636363636364" customWidth="1"/>
    <col min="4" max="4" width="14.8636363636364" customWidth="1"/>
    <col min="5" max="5" width="5.72727272727273" customWidth="1"/>
    <col min="6" max="6" width="2" customWidth="1"/>
  </cols>
  <sheetData>
    <row r="3" spans="2:9">
      <c r="B3" t="s">
        <v>21</v>
      </c>
    </row>
    <row r="4" spans="2:9">
      <c r="B4" t="s">
        <v>43</v>
      </c>
      <c r="C4" t="s">
        <v>48</v>
      </c>
      <c r="D4" t="s">
        <v>68</v>
      </c>
      <c r="E4" t="s">
        <v>49</v>
      </c>
    </row>
    <row r="5" spans="2:9">
      <c r="B5" t="s">
        <v>69</v>
      </c>
      <c r="C5">
        <v>2018</v>
      </c>
      <c r="D5" t="s">
        <v>70</v>
      </c>
      <c r="E5">
        <v>99999</v>
      </c>
    </row>
    <row r="8" spans="2:9">
      <c r="B8" t="s">
        <v>71</v>
      </c>
    </row>
    <row r="9" spans="2:9">
      <c r="B9" t="s">
        <v>45</v>
      </c>
      <c r="C9" t="s">
        <v>49</v>
      </c>
      <c r="D9" t="s">
        <v>72</v>
      </c>
    </row>
    <row r="10" spans="2:9">
      <c r="B10">
        <v>2100</v>
      </c>
      <c r="C10" t="s">
        <v>73</v>
      </c>
      <c r="D10" t="s">
        <v>74</v>
      </c>
    </row>
    <row r="14" ht="14.5" spans="2:9">
      <c r="C14" s="16"/>
      <c r="D14" s="17"/>
      <c r="E14" s="17"/>
      <c r="F14" s="17"/>
    </row>
    <row r="15" ht="14.5" spans="2:9">
      <c r="C15" s="16"/>
      <c r="D15" s="16"/>
      <c r="E15" s="17"/>
      <c r="F15" s="17"/>
      <c r="I15" s="18"/>
    </row>
    <row r="16" ht="14.5" spans="2:9">
      <c r="B16" t="s">
        <v>75</v>
      </c>
      <c r="C16" s="16"/>
      <c r="D16" s="16"/>
      <c r="E16" s="17"/>
      <c r="F16" s="17"/>
      <c r="I16" s="18"/>
    </row>
    <row r="17" spans="2:8">
      <c r="B17" t="s">
        <v>68</v>
      </c>
      <c r="C17" t="s">
        <v>76</v>
      </c>
      <c r="D17" t="s">
        <v>77</v>
      </c>
    </row>
    <row r="18" spans="2:8">
      <c r="B18" t="s">
        <v>78</v>
      </c>
      <c r="C18" t="s">
        <v>79</v>
      </c>
      <c r="D18" t="s">
        <v>80</v>
      </c>
    </row>
    <row r="19" spans="2:8">
      <c r="B19" t="s">
        <v>81</v>
      </c>
      <c r="C19" t="s">
        <v>79</v>
      </c>
      <c r="D19" t="s">
        <v>82</v>
      </c>
    </row>
    <row r="22" spans="2:8">
      <c r="B22" t="s">
        <v>2</v>
      </c>
    </row>
    <row r="23" spans="2:8">
      <c r="B23" t="s">
        <v>43</v>
      </c>
      <c r="C23" t="s">
        <v>68</v>
      </c>
      <c r="D23" t="s">
        <v>72</v>
      </c>
      <c r="E23" t="s">
        <v>49</v>
      </c>
    </row>
    <row r="24" spans="2:8">
      <c r="B24" t="s">
        <v>83</v>
      </c>
      <c r="C24" t="s">
        <v>78</v>
      </c>
      <c r="D24" t="s">
        <v>84</v>
      </c>
      <c r="E24">
        <v>2150</v>
      </c>
    </row>
    <row r="25" spans="2:8">
      <c r="B25" t="s">
        <v>83</v>
      </c>
      <c r="C25" t="str">
        <f xml:space="preserve">B19</f>
        <v>SUP_OilSupply</v>
      </c>
      <c r="D25" t="s">
        <v>85</v>
      </c>
      <c r="E25">
        <v>2150</v>
      </c>
    </row>
    <row r="29" spans="2:8">
      <c r="B29" t="s">
        <v>41</v>
      </c>
    </row>
    <row r="30" spans="2:8">
      <c r="B30" t="s">
        <v>43</v>
      </c>
      <c r="C30" t="s">
        <v>68</v>
      </c>
      <c r="D30" t="s">
        <v>48</v>
      </c>
      <c r="E30" t="s">
        <v>45</v>
      </c>
      <c r="F30" t="s">
        <v>49</v>
      </c>
    </row>
    <row r="31" ht="13" spans="2:8">
      <c r="B31" t="s">
        <v>86</v>
      </c>
      <c r="C31" t="s">
        <v>87</v>
      </c>
      <c r="D31">
        <v>2020</v>
      </c>
      <c r="E31">
        <v>2019</v>
      </c>
      <c r="F31" t="s">
        <v>73</v>
      </c>
      <c r="H31" s="19" t="s">
        <v>88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C23" sqref="C23"/>
    </sheetView>
  </sheetViews>
  <sheetFormatPr defaultColWidth="9.13636363636364" defaultRowHeight="14.5"/>
  <cols>
    <col min="1" max="2" width="9.13636363636364" style="9"/>
    <col min="3" max="3" width="26" style="9" customWidth="1"/>
    <col min="4" max="4" width="11.8636363636364" style="9" customWidth="1"/>
    <col min="5" max="5" width="7.72727272727273" style="9" customWidth="1"/>
    <col min="6" max="6" width="8.26363636363636" style="9" customWidth="1"/>
    <col min="7" max="7" width="26" style="9" customWidth="1"/>
    <col min="8" max="8" width="9.6" style="9" customWidth="1"/>
    <col min="9" max="9" width="9.13636363636364" style="9"/>
    <col min="10" max="10" width="6.86363636363636" style="9" customWidth="1"/>
    <col min="11" max="16384" width="9.13636363636364" style="9"/>
  </cols>
  <sheetData>
    <row r="1" spans="1:12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/>
      <c r="B3" s="10"/>
      <c r="C3" s="11" t="s">
        <v>2</v>
      </c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/>
      <c r="B4" s="10"/>
      <c r="C4" s="10" t="s">
        <v>43</v>
      </c>
      <c r="D4" s="10" t="s">
        <v>47</v>
      </c>
      <c r="E4" s="10" t="s">
        <v>90</v>
      </c>
      <c r="F4" s="10" t="s">
        <v>46</v>
      </c>
      <c r="G4" s="10" t="s">
        <v>68</v>
      </c>
      <c r="H4" s="10" t="s">
        <v>77</v>
      </c>
      <c r="I4" s="10" t="s">
        <v>91</v>
      </c>
      <c r="J4" s="10"/>
      <c r="K4" s="10"/>
      <c r="L4" s="10" t="s">
        <v>92</v>
      </c>
    </row>
    <row r="5" spans="1:12">
      <c r="A5" s="10"/>
      <c r="B5" s="10"/>
      <c r="C5" s="12" t="s">
        <v>93</v>
      </c>
      <c r="D5" s="12" t="s">
        <v>94</v>
      </c>
      <c r="E5" s="12"/>
      <c r="F5" s="13">
        <v>0.25</v>
      </c>
      <c r="G5" s="12" t="s">
        <v>95</v>
      </c>
      <c r="H5" s="12"/>
      <c r="I5" s="12" t="s">
        <v>94</v>
      </c>
      <c r="J5" s="10"/>
      <c r="K5" s="10"/>
      <c r="L5" s="10"/>
    </row>
    <row r="6" spans="1:12">
      <c r="A6" s="10"/>
      <c r="B6" s="10"/>
      <c r="C6" s="10" t="s">
        <v>93</v>
      </c>
      <c r="D6" s="10" t="s">
        <v>96</v>
      </c>
      <c r="E6" s="10"/>
      <c r="F6" s="14">
        <v>0.25</v>
      </c>
      <c r="G6" s="10" t="s">
        <v>97</v>
      </c>
      <c r="H6" s="10"/>
      <c r="I6" s="10" t="s">
        <v>96</v>
      </c>
      <c r="J6" s="10"/>
      <c r="K6" s="10"/>
      <c r="L6" s="10"/>
    </row>
    <row r="7" spans="1:12">
      <c r="A7" s="10"/>
      <c r="B7" s="10"/>
      <c r="C7" s="10" t="s">
        <v>98</v>
      </c>
      <c r="D7" s="10" t="s">
        <v>99</v>
      </c>
      <c r="E7" s="10" t="s">
        <v>100</v>
      </c>
      <c r="F7" s="14">
        <v>0.31</v>
      </c>
      <c r="G7" s="10" t="s">
        <v>101</v>
      </c>
      <c r="H7" s="10"/>
      <c r="I7" s="10"/>
      <c r="J7" s="10"/>
      <c r="K7" s="10"/>
      <c r="L7" s="10"/>
    </row>
    <row r="8" spans="1:12">
      <c r="A8" s="10"/>
      <c r="B8" s="10"/>
      <c r="C8" s="10" t="s">
        <v>98</v>
      </c>
      <c r="D8" s="10" t="s">
        <v>94</v>
      </c>
      <c r="E8" s="10" t="s">
        <v>100</v>
      </c>
      <c r="F8" s="14">
        <v>1</v>
      </c>
      <c r="G8" s="10" t="s">
        <v>95</v>
      </c>
      <c r="H8" s="10"/>
      <c r="I8" s="10" t="s">
        <v>94</v>
      </c>
      <c r="J8" s="10"/>
      <c r="K8" s="10"/>
      <c r="L8" s="10"/>
    </row>
    <row r="9" spans="1:12">
      <c r="A9" s="10"/>
      <c r="B9" s="10"/>
      <c r="C9" s="10" t="s">
        <v>98</v>
      </c>
      <c r="D9" s="10" t="s">
        <v>96</v>
      </c>
      <c r="E9" s="10" t="s">
        <v>100</v>
      </c>
      <c r="F9" s="14">
        <v>1</v>
      </c>
      <c r="G9" s="10" t="s">
        <v>97</v>
      </c>
      <c r="H9" s="10"/>
      <c r="I9" s="10" t="s">
        <v>96</v>
      </c>
      <c r="J9" s="10"/>
      <c r="K9" s="10"/>
      <c r="L9" s="10"/>
    </row>
    <row r="10" spans="1:12">
      <c r="A10" s="10"/>
      <c r="B10" s="10"/>
      <c r="C10" s="10" t="s">
        <v>98</v>
      </c>
      <c r="D10" s="10" t="s">
        <v>102</v>
      </c>
      <c r="E10" s="10" t="s">
        <v>100</v>
      </c>
      <c r="F10" s="14">
        <v>0.67</v>
      </c>
      <c r="G10" s="10" t="s">
        <v>101</v>
      </c>
      <c r="H10" s="10"/>
      <c r="I10" s="10"/>
      <c r="J10" s="10"/>
      <c r="K10" s="10"/>
      <c r="L10" s="10" t="s">
        <v>103</v>
      </c>
    </row>
    <row r="11" spans="1:12">
      <c r="A11" s="10"/>
      <c r="B11" s="10"/>
      <c r="C11" s="10" t="s">
        <v>104</v>
      </c>
      <c r="D11" s="10"/>
      <c r="E11" s="10"/>
      <c r="F11" s="14">
        <v>0.8</v>
      </c>
      <c r="G11" s="10" t="s">
        <v>101</v>
      </c>
      <c r="H11" s="10"/>
      <c r="I11" s="10"/>
      <c r="J11" s="10"/>
      <c r="K11" s="10"/>
      <c r="L11" s="10"/>
    </row>
    <row r="12" spans="1:12">
      <c r="A12" s="10"/>
      <c r="B12" s="10"/>
      <c r="C12" s="10" t="s">
        <v>105</v>
      </c>
      <c r="D12" s="10" t="s">
        <v>106</v>
      </c>
      <c r="E12" s="10"/>
      <c r="F12" s="10">
        <v>1.25</v>
      </c>
      <c r="G12" s="10" t="s">
        <v>95</v>
      </c>
      <c r="H12" s="10" t="s">
        <v>94</v>
      </c>
      <c r="I12" s="10"/>
      <c r="J12" s="10"/>
      <c r="K12" s="10"/>
      <c r="L12" s="10"/>
    </row>
    <row r="13" spans="1:12">
      <c r="A13" s="10"/>
      <c r="B13" s="10"/>
      <c r="C13" s="15" t="s">
        <v>105</v>
      </c>
      <c r="D13" s="15" t="s">
        <v>106</v>
      </c>
      <c r="E13" s="15"/>
      <c r="F13" s="15">
        <v>0.8</v>
      </c>
      <c r="G13" s="15" t="s">
        <v>97</v>
      </c>
      <c r="H13" s="15" t="s">
        <v>96</v>
      </c>
      <c r="I13" s="15"/>
      <c r="J13" s="10"/>
      <c r="K13" s="10"/>
      <c r="L13" s="10"/>
    </row>
    <row r="14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0"/>
      <c r="C16" s="11" t="s">
        <v>107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0"/>
      <c r="B17" s="10"/>
      <c r="C17" s="10" t="s">
        <v>68</v>
      </c>
      <c r="D17" s="10" t="s">
        <v>77</v>
      </c>
      <c r="E17" s="10" t="s">
        <v>49</v>
      </c>
      <c r="F17" s="10"/>
      <c r="G17" s="10"/>
      <c r="H17" s="10"/>
      <c r="I17" s="10"/>
      <c r="J17" s="10"/>
      <c r="K17" s="10"/>
      <c r="L17" s="10"/>
    </row>
    <row r="18" spans="1:12">
      <c r="A18" s="10"/>
      <c r="B18" s="10"/>
      <c r="C18" s="10" t="s">
        <v>95</v>
      </c>
      <c r="D18" s="10" t="s">
        <v>106</v>
      </c>
      <c r="E18" s="10" t="s">
        <v>108</v>
      </c>
      <c r="F18" s="10"/>
      <c r="G18" s="10"/>
      <c r="H18" s="10"/>
      <c r="I18" s="10"/>
      <c r="J18" s="10"/>
      <c r="K18" s="10"/>
      <c r="L18" s="10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K82"/>
  <sheetViews>
    <sheetView zoomScale="47" zoomScaleNormal="47" topLeftCell="A25" workbookViewId="0">
      <selection activeCell="U24" sqref="U24"/>
    </sheetView>
  </sheetViews>
  <sheetFormatPr defaultColWidth="9" defaultRowHeight="12.5"/>
  <cols>
    <col min="3" max="3" width="14.4" customWidth="1"/>
    <col min="5" max="13" width="9.6" customWidth="1"/>
  </cols>
  <sheetData>
    <row r="1" spans="3:19">
      <c r="S1" t="s">
        <v>109</v>
      </c>
    </row>
    <row r="3" spans="3:19">
      <c r="C3" t="s">
        <v>110</v>
      </c>
    </row>
    <row r="4" ht="15.5" spans="3:19">
      <c r="C4" s="6" t="s">
        <v>111</v>
      </c>
      <c r="D4" s="6" t="s">
        <v>112</v>
      </c>
      <c r="E4" s="6">
        <v>2019</v>
      </c>
      <c r="F4" s="6">
        <v>2020</v>
      </c>
      <c r="G4" s="6">
        <v>2023</v>
      </c>
      <c r="H4" s="6">
        <v>2025</v>
      </c>
      <c r="I4" s="6">
        <v>2030</v>
      </c>
      <c r="J4" s="6">
        <v>2035</v>
      </c>
      <c r="K4" s="6">
        <v>2040</v>
      </c>
      <c r="L4" s="6">
        <v>2045</v>
      </c>
      <c r="M4" s="6">
        <v>2050</v>
      </c>
      <c r="N4" s="7">
        <v>2070</v>
      </c>
      <c r="O4" s="7">
        <v>2090</v>
      </c>
      <c r="P4" s="7">
        <v>2100</v>
      </c>
    </row>
    <row r="5" ht="15.5" spans="3:19">
      <c r="C5" s="6" t="s">
        <v>113</v>
      </c>
      <c r="D5" s="6" t="s">
        <v>114</v>
      </c>
      <c r="E5" s="8">
        <v>1015.57785219713</v>
      </c>
      <c r="F5" s="8">
        <v>1037.01473698061</v>
      </c>
      <c r="G5" s="8">
        <v>1127.61866769891</v>
      </c>
      <c r="H5" s="8">
        <v>1192.89451864597</v>
      </c>
      <c r="I5" s="8">
        <v>1370.05677173614</v>
      </c>
      <c r="J5" s="8">
        <v>1665.88413628056</v>
      </c>
      <c r="K5" s="8">
        <v>2199.3436201368</v>
      </c>
      <c r="L5" s="8">
        <v>2925.87637226267</v>
      </c>
      <c r="M5" s="8">
        <v>3795.92770380334</v>
      </c>
      <c r="N5" s="7">
        <v>6600.51</v>
      </c>
      <c r="O5" s="7">
        <v>8720.43</v>
      </c>
      <c r="P5" s="7">
        <v>9222.13</v>
      </c>
    </row>
    <row r="6" ht="15.5" spans="3:19">
      <c r="C6" s="6" t="s">
        <v>115</v>
      </c>
      <c r="D6" s="6" t="s">
        <v>114</v>
      </c>
      <c r="E6" s="8">
        <v>700.506390189112</v>
      </c>
      <c r="F6" s="8">
        <v>708.187423292878</v>
      </c>
      <c r="G6" s="8">
        <v>763.456291089545</v>
      </c>
      <c r="H6" s="8">
        <v>809.880234686472</v>
      </c>
      <c r="I6" s="8">
        <v>984.300013102204</v>
      </c>
      <c r="J6" s="8">
        <v>1267.90458730955</v>
      </c>
      <c r="K6" s="8">
        <v>1745.47108445086</v>
      </c>
      <c r="L6" s="8">
        <v>2427.96068174782</v>
      </c>
      <c r="M6" s="8">
        <v>3278.02249606961</v>
      </c>
      <c r="N6" s="7">
        <v>6217.59</v>
      </c>
      <c r="O6" s="7">
        <v>8584.99</v>
      </c>
      <c r="P6" s="7">
        <v>9160.08</v>
      </c>
    </row>
    <row r="7" ht="15.5" spans="3:19">
      <c r="C7" s="6" t="s">
        <v>116</v>
      </c>
      <c r="D7" s="6" t="s">
        <v>114</v>
      </c>
      <c r="E7" s="8">
        <v>811.760710025002</v>
      </c>
      <c r="F7" s="8">
        <v>803.644381254031</v>
      </c>
      <c r="G7" s="8">
        <v>816.735144712492</v>
      </c>
      <c r="H7" s="8">
        <v>828.38482385546</v>
      </c>
      <c r="I7" s="8">
        <v>866.15624018891</v>
      </c>
      <c r="J7" s="8">
        <v>932.447059584168</v>
      </c>
      <c r="K7" s="8">
        <v>1036.67083840925</v>
      </c>
      <c r="L7" s="8">
        <v>1169.76924846412</v>
      </c>
      <c r="M7" s="8">
        <v>1316.33975710608</v>
      </c>
      <c r="N7" s="7">
        <v>1673.84</v>
      </c>
      <c r="O7" s="7">
        <v>1888.19</v>
      </c>
      <c r="P7" s="7">
        <v>1934.33</v>
      </c>
    </row>
    <row r="8" ht="15.5" spans="3:19">
      <c r="C8" s="6" t="s">
        <v>117</v>
      </c>
      <c r="D8" s="6" t="s">
        <v>114</v>
      </c>
      <c r="E8" s="8">
        <v>224.684568772695</v>
      </c>
      <c r="F8" s="8">
        <v>221.658821619</v>
      </c>
      <c r="G8" s="8">
        <v>229.211458542644</v>
      </c>
      <c r="H8" s="8">
        <v>230.394037153742</v>
      </c>
      <c r="I8" s="8">
        <v>232.438606018886</v>
      </c>
      <c r="J8" s="8">
        <v>238.378802292813</v>
      </c>
      <c r="K8" s="8">
        <v>247.640926063722</v>
      </c>
      <c r="L8" s="8">
        <v>265.373430289485</v>
      </c>
      <c r="M8" s="8">
        <v>282.416268561145</v>
      </c>
      <c r="N8" s="7">
        <v>322.22</v>
      </c>
      <c r="O8" s="7">
        <v>344.22</v>
      </c>
      <c r="P8" s="7">
        <v>348.8</v>
      </c>
    </row>
    <row r="9" ht="15.5" spans="3:19">
      <c r="C9" s="6" t="s">
        <v>118</v>
      </c>
      <c r="D9" s="6" t="s">
        <v>114</v>
      </c>
      <c r="E9" s="8">
        <v>91.3213206364547</v>
      </c>
      <c r="F9" s="8">
        <v>92.6404840937767</v>
      </c>
      <c r="G9" s="8">
        <v>92.5984420524589</v>
      </c>
      <c r="H9" s="8">
        <v>91.4898158422601</v>
      </c>
      <c r="I9" s="8">
        <v>93.5552740948178</v>
      </c>
      <c r="J9" s="8">
        <v>95.9559380661831</v>
      </c>
      <c r="K9" s="8">
        <v>101.209166619483</v>
      </c>
      <c r="L9" s="8">
        <v>109.271397028133</v>
      </c>
      <c r="M9" s="8">
        <v>115.392425870025</v>
      </c>
      <c r="N9" s="7">
        <v>131.61</v>
      </c>
      <c r="O9" s="7">
        <v>140.58</v>
      </c>
      <c r="P9" s="7">
        <v>142.44</v>
      </c>
    </row>
    <row r="10" ht="15.5" spans="3:19">
      <c r="C10" s="6" t="s">
        <v>119</v>
      </c>
      <c r="D10" s="6" t="s">
        <v>114</v>
      </c>
      <c r="E10" s="8">
        <v>720.056906884785</v>
      </c>
      <c r="F10" s="8">
        <v>719.556627078013</v>
      </c>
      <c r="G10" s="8">
        <v>733.373956427643</v>
      </c>
      <c r="H10" s="8">
        <v>742.088533821348</v>
      </c>
      <c r="I10" s="8">
        <v>755.510974755295</v>
      </c>
      <c r="J10" s="8">
        <v>772.143483151526</v>
      </c>
      <c r="K10" s="8">
        <v>808.860835882477</v>
      </c>
      <c r="L10" s="8">
        <v>859.578580594601</v>
      </c>
      <c r="M10" s="8">
        <v>917.862208599184</v>
      </c>
      <c r="N10" s="7">
        <v>1041.96</v>
      </c>
      <c r="O10" s="7">
        <v>1110.29</v>
      </c>
      <c r="P10" s="7">
        <v>1124.49</v>
      </c>
    </row>
    <row r="11" ht="15.5" spans="3:19">
      <c r="C11" s="6" t="s">
        <v>120</v>
      </c>
      <c r="D11" s="6" t="s">
        <v>114</v>
      </c>
      <c r="E11" s="8">
        <v>1889.629495543</v>
      </c>
      <c r="F11" s="8">
        <v>1859.9687751164</v>
      </c>
      <c r="G11" s="8">
        <v>1981.78033291991</v>
      </c>
      <c r="H11" s="8">
        <v>2049.79112447664</v>
      </c>
      <c r="I11" s="8">
        <v>2098.78105924734</v>
      </c>
      <c r="J11" s="8">
        <v>2290.11734063228</v>
      </c>
      <c r="K11" s="8">
        <v>2754.80771382896</v>
      </c>
      <c r="L11" s="8">
        <v>3444.89980463834</v>
      </c>
      <c r="M11" s="8">
        <v>4246.97439528645</v>
      </c>
      <c r="N11" s="7">
        <v>6578.11</v>
      </c>
      <c r="O11" s="7">
        <v>8196.55</v>
      </c>
      <c r="P11" s="7">
        <v>8566.44</v>
      </c>
    </row>
    <row r="12" ht="15.5" spans="3:19">
      <c r="C12" s="6" t="s">
        <v>121</v>
      </c>
      <c r="D12" s="6" t="s">
        <v>114</v>
      </c>
      <c r="E12" s="8">
        <v>22744.2339083522</v>
      </c>
      <c r="F12" s="8">
        <v>23606.9665005486</v>
      </c>
      <c r="G12" s="8">
        <v>24450.2550934097</v>
      </c>
      <c r="H12" s="8">
        <v>25084.4224967097</v>
      </c>
      <c r="I12" s="8">
        <v>26155.0416914015</v>
      </c>
      <c r="J12" s="8">
        <v>26842.4787162917</v>
      </c>
      <c r="K12" s="8">
        <v>27770.8078025527</v>
      </c>
      <c r="L12" s="8">
        <v>28938.6996602857</v>
      </c>
      <c r="M12" s="8">
        <v>29909.1495814007</v>
      </c>
      <c r="N12" s="7">
        <v>32216.57</v>
      </c>
      <c r="O12" s="7">
        <v>33437.36</v>
      </c>
      <c r="P12" s="7">
        <v>33687.15</v>
      </c>
    </row>
    <row r="13" ht="15.5" spans="3:19">
      <c r="C13" s="6" t="s">
        <v>122</v>
      </c>
      <c r="D13" s="6" t="s">
        <v>114</v>
      </c>
      <c r="E13" s="8">
        <v>106.71394978007</v>
      </c>
      <c r="F13" s="8">
        <v>105.86114713288</v>
      </c>
      <c r="G13" s="8">
        <v>111.769604710543</v>
      </c>
      <c r="H13" s="8">
        <v>115.436623165546</v>
      </c>
      <c r="I13" s="8">
        <v>120.433369853716</v>
      </c>
      <c r="J13" s="8">
        <v>125.53400071485</v>
      </c>
      <c r="K13" s="8">
        <v>133.215918481045</v>
      </c>
      <c r="L13" s="8">
        <v>140.231846964562</v>
      </c>
      <c r="M13" s="8">
        <v>145.791724644316</v>
      </c>
      <c r="N13" s="7">
        <v>159.58</v>
      </c>
      <c r="O13" s="7">
        <v>166.96</v>
      </c>
      <c r="P13" s="7">
        <v>168.48</v>
      </c>
    </row>
    <row r="14" ht="15.5" spans="3:19">
      <c r="C14" s="6" t="s">
        <v>123</v>
      </c>
      <c r="D14" s="6" t="s">
        <v>114</v>
      </c>
      <c r="E14" s="8">
        <v>298.431610121176</v>
      </c>
      <c r="F14" s="8">
        <v>302.891536772257</v>
      </c>
      <c r="G14" s="8">
        <v>303.590972202189</v>
      </c>
      <c r="H14" s="8">
        <v>306.287576652962</v>
      </c>
      <c r="I14" s="8">
        <v>309.521178544634</v>
      </c>
      <c r="J14" s="8">
        <v>317.514465675274</v>
      </c>
      <c r="K14" s="8">
        <v>349.884297902855</v>
      </c>
      <c r="L14" s="8">
        <v>374.428069554838</v>
      </c>
      <c r="M14" s="8">
        <v>402.873694207413</v>
      </c>
      <c r="N14" s="7">
        <v>464.12</v>
      </c>
      <c r="O14" s="7">
        <v>498.21</v>
      </c>
      <c r="P14" s="7">
        <v>505.33</v>
      </c>
    </row>
    <row r="15" ht="15.5" spans="3:19">
      <c r="C15" s="6" t="s">
        <v>124</v>
      </c>
      <c r="D15" s="6" t="s">
        <v>114</v>
      </c>
      <c r="E15" s="8">
        <v>1523.31830942518</v>
      </c>
      <c r="F15" s="8">
        <v>1518.03306002552</v>
      </c>
      <c r="G15" s="8">
        <v>1551.10407188437</v>
      </c>
      <c r="H15" s="8">
        <v>1590.28740164799</v>
      </c>
      <c r="I15" s="8">
        <v>1565.03609854446</v>
      </c>
      <c r="J15" s="8">
        <v>1579.33124731023</v>
      </c>
      <c r="K15" s="8">
        <v>1626.56371385418</v>
      </c>
      <c r="L15" s="8">
        <v>1782.14555116026</v>
      </c>
      <c r="M15" s="8">
        <v>1964.29883037776</v>
      </c>
      <c r="N15" s="7">
        <v>2374.28</v>
      </c>
      <c r="O15" s="7">
        <v>2610.91</v>
      </c>
      <c r="P15" s="7">
        <v>2661.06</v>
      </c>
    </row>
    <row r="16" ht="15.5" spans="3:19">
      <c r="C16" s="6" t="s">
        <v>125</v>
      </c>
      <c r="D16" s="6" t="s">
        <v>114</v>
      </c>
      <c r="E16" s="8">
        <v>1751.82770057674</v>
      </c>
      <c r="F16" s="8">
        <v>1741.22491771675</v>
      </c>
      <c r="G16" s="8">
        <v>1748.58986706485</v>
      </c>
      <c r="H16" s="8">
        <v>1773.67723745575</v>
      </c>
      <c r="I16" s="8">
        <v>1746.78484731398</v>
      </c>
      <c r="J16" s="8">
        <v>1764.44051833082</v>
      </c>
      <c r="K16" s="8">
        <v>1885.75198265507</v>
      </c>
      <c r="L16" s="8">
        <v>2091.14588739423</v>
      </c>
      <c r="M16" s="8">
        <v>2203.62619393307</v>
      </c>
      <c r="N16" s="7">
        <v>2576.66</v>
      </c>
      <c r="O16" s="7">
        <v>2786.65</v>
      </c>
      <c r="P16" s="7">
        <v>2830.71</v>
      </c>
    </row>
    <row r="17" ht="15.5" spans="3:16">
      <c r="C17" s="6" t="s">
        <v>126</v>
      </c>
      <c r="D17" s="6" t="s">
        <v>114</v>
      </c>
      <c r="E17" s="8">
        <v>202.965719423183</v>
      </c>
      <c r="F17" s="8">
        <v>200.796513584471</v>
      </c>
      <c r="G17" s="8">
        <v>211.698151044089</v>
      </c>
      <c r="H17" s="8">
        <v>219.361788377134</v>
      </c>
      <c r="I17" s="8">
        <v>223.695189227577</v>
      </c>
      <c r="J17" s="8">
        <v>232.498849232118</v>
      </c>
      <c r="K17" s="8">
        <v>250.211044493798</v>
      </c>
      <c r="L17" s="8">
        <v>271.693840391958</v>
      </c>
      <c r="M17" s="8">
        <v>292.167447409053</v>
      </c>
      <c r="N17" s="7">
        <v>341.37</v>
      </c>
      <c r="O17" s="7">
        <v>369.05</v>
      </c>
      <c r="P17" s="7">
        <v>374.86</v>
      </c>
    </row>
    <row r="18" ht="15.5" spans="3:16">
      <c r="C18" s="6" t="s">
        <v>127</v>
      </c>
      <c r="D18" s="6" t="s">
        <v>114</v>
      </c>
      <c r="E18" s="8">
        <v>422.154863455916</v>
      </c>
      <c r="F18" s="8">
        <v>424.207924638176</v>
      </c>
      <c r="G18" s="8">
        <v>438.132377784779</v>
      </c>
      <c r="H18" s="8">
        <v>448.440585003087</v>
      </c>
      <c r="I18" s="8">
        <v>467.986483101575</v>
      </c>
      <c r="J18" s="8">
        <v>493.927958226482</v>
      </c>
      <c r="K18" s="8">
        <v>531.222605933791</v>
      </c>
      <c r="L18" s="8">
        <v>570.409474012972</v>
      </c>
      <c r="M18" s="8">
        <v>601.324795064838</v>
      </c>
      <c r="N18" s="7">
        <v>680.93</v>
      </c>
      <c r="O18" s="7">
        <v>724.68</v>
      </c>
      <c r="P18" s="7">
        <v>733.77</v>
      </c>
    </row>
    <row r="19" ht="15.5" spans="3:16">
      <c r="C19" s="6" t="s">
        <v>128</v>
      </c>
      <c r="D19" s="6" t="s">
        <v>114</v>
      </c>
      <c r="E19" s="8">
        <v>60.4539572974715</v>
      </c>
      <c r="F19" s="8">
        <v>60.59246295926</v>
      </c>
      <c r="G19" s="8">
        <v>65.3816416592109</v>
      </c>
      <c r="H19" s="8">
        <v>68.7131115967035</v>
      </c>
      <c r="I19" s="8">
        <v>76.3826051943315</v>
      </c>
      <c r="J19" s="8">
        <v>84.8463366031251</v>
      </c>
      <c r="K19" s="8">
        <v>94.1027591069653</v>
      </c>
      <c r="L19" s="8">
        <v>103.016887042525</v>
      </c>
      <c r="M19" s="8">
        <v>112.218052947304</v>
      </c>
      <c r="N19" s="7">
        <v>133.93</v>
      </c>
      <c r="O19" s="7">
        <v>146.35</v>
      </c>
      <c r="P19" s="7">
        <v>148.97</v>
      </c>
    </row>
    <row r="20" ht="15.5" spans="3:16">
      <c r="C20" s="6" t="s">
        <v>129</v>
      </c>
      <c r="D20" s="6" t="s">
        <v>114</v>
      </c>
      <c r="E20" s="8">
        <v>4502.38020205123</v>
      </c>
      <c r="F20" s="8">
        <v>4572.60507127652</v>
      </c>
      <c r="G20" s="8">
        <v>5494.71646075169</v>
      </c>
      <c r="H20" s="8">
        <v>6074.71125752964</v>
      </c>
      <c r="I20" s="8">
        <v>7626.5520416464</v>
      </c>
      <c r="J20" s="8">
        <v>9561.4403506468</v>
      </c>
      <c r="K20" s="8">
        <v>12130.9279229059</v>
      </c>
      <c r="L20" s="8">
        <v>15065.5257697937</v>
      </c>
      <c r="M20" s="8">
        <v>18404.055717985</v>
      </c>
      <c r="N20" s="7">
        <v>28042.67</v>
      </c>
      <c r="O20" s="7">
        <v>34654.02</v>
      </c>
      <c r="P20" s="7">
        <v>36157.54</v>
      </c>
    </row>
    <row r="21" ht="15.5" spans="3:16">
      <c r="C21" s="6" t="s">
        <v>130</v>
      </c>
      <c r="D21" s="6" t="s">
        <v>114</v>
      </c>
      <c r="E21" s="8">
        <v>101.514199512125</v>
      </c>
      <c r="F21" s="8">
        <v>107.040188910481</v>
      </c>
      <c r="G21" s="8">
        <v>110.336748175391</v>
      </c>
      <c r="H21" s="8">
        <v>114.96915766046</v>
      </c>
      <c r="I21" s="8">
        <v>117.768768215006</v>
      </c>
      <c r="J21" s="8">
        <v>122.605229659658</v>
      </c>
      <c r="K21" s="8">
        <v>134.149507756878</v>
      </c>
      <c r="L21" s="8">
        <v>151.578310273947</v>
      </c>
      <c r="M21" s="8">
        <v>168.944520472062</v>
      </c>
      <c r="N21" s="7">
        <v>213.04</v>
      </c>
      <c r="O21" s="7">
        <v>239.31</v>
      </c>
      <c r="P21" s="7">
        <v>244.95</v>
      </c>
    </row>
    <row r="22" ht="15.5" spans="3:16">
      <c r="C22" s="6" t="s">
        <v>131</v>
      </c>
      <c r="D22" s="6" t="s">
        <v>114</v>
      </c>
      <c r="E22" s="8">
        <v>1015.30841514321</v>
      </c>
      <c r="F22" s="8">
        <v>1002.56260242359</v>
      </c>
      <c r="G22" s="8">
        <v>1019.52943157746</v>
      </c>
      <c r="H22" s="8">
        <v>1031.95629586965</v>
      </c>
      <c r="I22" s="8">
        <v>1002.42600621985</v>
      </c>
      <c r="J22" s="8">
        <v>1029.72756882515</v>
      </c>
      <c r="K22" s="8">
        <v>1088.30096650283</v>
      </c>
      <c r="L22" s="8">
        <v>1164.25160516749</v>
      </c>
      <c r="M22" s="8">
        <v>1249.22121537408</v>
      </c>
      <c r="N22" s="7">
        <v>1434.62</v>
      </c>
      <c r="O22" s="7">
        <v>1537.57</v>
      </c>
      <c r="P22" s="7">
        <v>1559.06</v>
      </c>
    </row>
    <row r="23" ht="15.5" spans="3:16">
      <c r="C23" s="6" t="s">
        <v>132</v>
      </c>
      <c r="D23" s="6" t="s">
        <v>114</v>
      </c>
      <c r="E23" s="8">
        <v>3272.7165337573</v>
      </c>
      <c r="F23" s="8">
        <v>3211.59710233487</v>
      </c>
      <c r="G23" s="8">
        <v>3239.82915146128</v>
      </c>
      <c r="H23" s="8">
        <v>3238.62087811627</v>
      </c>
      <c r="I23" s="8">
        <v>3213.90891662095</v>
      </c>
      <c r="J23" s="8">
        <v>3256.12710807577</v>
      </c>
      <c r="K23" s="8">
        <v>3456.4015716034</v>
      </c>
      <c r="L23" s="8">
        <v>3742.03367769938</v>
      </c>
      <c r="M23" s="8">
        <v>4027.39454479793</v>
      </c>
      <c r="N23" s="7">
        <v>4695.45</v>
      </c>
      <c r="O23" s="7">
        <v>5070.7</v>
      </c>
      <c r="P23" s="7">
        <v>5149.37</v>
      </c>
    </row>
    <row r="24" ht="15.5" spans="3:16">
      <c r="C24" s="6" t="s">
        <v>133</v>
      </c>
      <c r="D24" s="6" t="s">
        <v>114</v>
      </c>
      <c r="E24" s="8">
        <v>1881.5013573081</v>
      </c>
      <c r="F24" s="8">
        <v>1905.6331219769</v>
      </c>
      <c r="G24" s="8">
        <v>1996.34343971699</v>
      </c>
      <c r="H24" s="8">
        <v>2105.65649432344</v>
      </c>
      <c r="I24" s="8">
        <v>2347.37742658956</v>
      </c>
      <c r="J24" s="8">
        <v>2732.7680573898</v>
      </c>
      <c r="K24" s="8">
        <v>3313.66405562039</v>
      </c>
      <c r="L24" s="8">
        <v>4015.72356023045</v>
      </c>
      <c r="M24" s="8">
        <v>4820.8975175147</v>
      </c>
      <c r="N24" s="7">
        <v>7038.41</v>
      </c>
      <c r="O24" s="7">
        <v>8512.09</v>
      </c>
      <c r="P24" s="7">
        <v>8842.92</v>
      </c>
    </row>
    <row r="25" ht="15.5" spans="3:16">
      <c r="C25" s="6" t="s">
        <v>134</v>
      </c>
      <c r="D25" s="6" t="s">
        <v>114</v>
      </c>
      <c r="E25" s="8">
        <v>2675.25809958813</v>
      </c>
      <c r="F25" s="8">
        <v>2679.63167210421</v>
      </c>
      <c r="G25" s="8">
        <v>2853.99312986777</v>
      </c>
      <c r="H25" s="8">
        <v>3015.03945410957</v>
      </c>
      <c r="I25" s="8">
        <v>3321.72607654027</v>
      </c>
      <c r="J25" s="8">
        <v>3774.24787151231</v>
      </c>
      <c r="K25" s="8">
        <v>4537.44528154882</v>
      </c>
      <c r="L25" s="8">
        <v>5464.79403391664</v>
      </c>
      <c r="M25" s="8">
        <v>6304.34603582939</v>
      </c>
      <c r="N25" s="7">
        <v>8783</v>
      </c>
      <c r="O25" s="7">
        <v>10373.92</v>
      </c>
      <c r="P25" s="7">
        <v>10726.03</v>
      </c>
    </row>
    <row r="26" ht="15.5" spans="3:16">
      <c r="C26" s="6" t="s">
        <v>135</v>
      </c>
      <c r="D26" s="6" t="s">
        <v>114</v>
      </c>
      <c r="E26" s="8">
        <v>17145.4052610998</v>
      </c>
      <c r="F26" s="8">
        <v>17104.1935090524</v>
      </c>
      <c r="G26" s="8">
        <v>17311.0707244867</v>
      </c>
      <c r="H26" s="8">
        <v>17524.9162900633</v>
      </c>
      <c r="I26" s="8">
        <v>17486.59065799</v>
      </c>
      <c r="J26" s="8">
        <v>17861.5162045354</v>
      </c>
      <c r="K26" s="8">
        <v>19209.1825873353</v>
      </c>
      <c r="L26" s="8">
        <v>20872.5950363844</v>
      </c>
      <c r="M26" s="8">
        <v>22450.1623301513</v>
      </c>
      <c r="N26" s="7">
        <v>26253.91</v>
      </c>
      <c r="O26" s="7">
        <v>28395.38</v>
      </c>
      <c r="P26" s="7">
        <v>28844.73</v>
      </c>
    </row>
    <row r="27" ht="15.5" spans="3:16">
      <c r="C27" s="6" t="s">
        <v>136</v>
      </c>
      <c r="D27" s="6" t="s">
        <v>114</v>
      </c>
      <c r="E27" s="8">
        <v>424.951304727839</v>
      </c>
      <c r="F27" s="8">
        <v>427.740228572879</v>
      </c>
      <c r="G27" s="8">
        <v>439.154594993977</v>
      </c>
      <c r="H27" s="8">
        <v>450.031215173994</v>
      </c>
      <c r="I27" s="8">
        <v>455.98010156531</v>
      </c>
      <c r="J27" s="8">
        <v>466.076295842655</v>
      </c>
      <c r="K27" s="8">
        <v>496.08036550802</v>
      </c>
      <c r="L27" s="8">
        <v>539.529405127338</v>
      </c>
      <c r="M27" s="8">
        <v>582.17574012869</v>
      </c>
      <c r="N27" s="7">
        <v>683.66</v>
      </c>
      <c r="O27" s="7">
        <v>740.97</v>
      </c>
      <c r="P27" s="7">
        <v>753.02</v>
      </c>
    </row>
    <row r="28" ht="15.5" spans="3:16">
      <c r="C28" s="6" t="s">
        <v>137</v>
      </c>
      <c r="D28" s="6" t="s">
        <v>114</v>
      </c>
      <c r="E28" s="8">
        <v>518.434065125709</v>
      </c>
      <c r="F28" s="8">
        <v>528.075357769929</v>
      </c>
      <c r="G28" s="8">
        <v>557.201064486678</v>
      </c>
      <c r="H28" s="8">
        <v>571.332406161887</v>
      </c>
      <c r="I28" s="8">
        <v>608.935317143709</v>
      </c>
      <c r="J28" s="8">
        <v>641.110808923055</v>
      </c>
      <c r="K28" s="8">
        <v>667.682080637942</v>
      </c>
      <c r="L28" s="8">
        <v>700.023925617931</v>
      </c>
      <c r="M28" s="8">
        <v>789.491975892405</v>
      </c>
      <c r="N28" s="7">
        <v>934.18</v>
      </c>
      <c r="O28" s="7">
        <v>1016.36</v>
      </c>
      <c r="P28" s="7">
        <v>1033.67</v>
      </c>
    </row>
    <row r="29" ht="15.5" spans="3:16">
      <c r="C29" s="6" t="s">
        <v>138</v>
      </c>
      <c r="D29" s="6" t="s">
        <v>114</v>
      </c>
      <c r="E29" s="8">
        <v>9220.17454914368</v>
      </c>
      <c r="F29" s="8">
        <v>9416.06706695193</v>
      </c>
      <c r="G29" s="8">
        <v>10119.6743208035</v>
      </c>
      <c r="H29" s="8">
        <v>10633.4451400848</v>
      </c>
      <c r="I29" s="8">
        <v>12101.4505189081</v>
      </c>
      <c r="J29" s="8">
        <v>13902.2525251278</v>
      </c>
      <c r="K29" s="8">
        <v>16778.8849073298</v>
      </c>
      <c r="L29" s="8">
        <v>20034.4874996652</v>
      </c>
      <c r="M29" s="8">
        <v>23441.7652900775</v>
      </c>
      <c r="N29" s="7">
        <v>32842.17</v>
      </c>
      <c r="O29" s="7">
        <v>38901.04</v>
      </c>
      <c r="P29" s="7">
        <v>40244.31</v>
      </c>
    </row>
    <row r="30" ht="15.5" spans="3:16">
      <c r="C30" s="6" t="s">
        <v>139</v>
      </c>
      <c r="D30" s="6" t="s">
        <v>114</v>
      </c>
      <c r="E30" s="8">
        <v>3015.83085759749</v>
      </c>
      <c r="F30" s="8">
        <v>3010.98916845573</v>
      </c>
      <c r="G30" s="8">
        <v>2850.62026436412</v>
      </c>
      <c r="H30" s="8">
        <v>2846.270849853</v>
      </c>
      <c r="I30" s="8">
        <v>3011.21000401546</v>
      </c>
      <c r="J30" s="8">
        <v>3097.48332177206</v>
      </c>
      <c r="K30" s="8">
        <v>3330.42257881761</v>
      </c>
      <c r="L30" s="8">
        <v>3597.25757300807</v>
      </c>
      <c r="M30" s="8">
        <v>3875.89558066925</v>
      </c>
      <c r="N30" s="7">
        <v>4513.32</v>
      </c>
      <c r="O30" s="7">
        <v>4871.03</v>
      </c>
      <c r="P30" s="7">
        <v>4945.99</v>
      </c>
    </row>
    <row r="31" ht="15.5" spans="3:16">
      <c r="C31" s="6" t="s">
        <v>140</v>
      </c>
      <c r="D31" s="6" t="s">
        <v>114</v>
      </c>
      <c r="E31" s="8">
        <v>1127.93756615386</v>
      </c>
      <c r="F31" s="8">
        <v>1115.04379214834</v>
      </c>
      <c r="G31" s="8">
        <v>1142.48347282559</v>
      </c>
      <c r="H31" s="8">
        <v>1155.28295745882</v>
      </c>
      <c r="I31" s="8">
        <v>1228.78335181374</v>
      </c>
      <c r="J31" s="8">
        <v>1300.780060604</v>
      </c>
      <c r="K31" s="8">
        <v>1457.99013557827</v>
      </c>
      <c r="L31" s="8">
        <v>1580.23081826058</v>
      </c>
      <c r="M31" s="8">
        <v>1753.53967428258</v>
      </c>
      <c r="N31" s="7">
        <v>2110.8</v>
      </c>
      <c r="O31" s="7">
        <v>2316.36</v>
      </c>
      <c r="P31" s="7">
        <v>2359.87</v>
      </c>
    </row>
    <row r="32" ht="15.5" spans="3:16">
      <c r="C32" s="6" t="s">
        <v>141</v>
      </c>
      <c r="D32" s="6" t="s">
        <v>114</v>
      </c>
      <c r="E32" s="8">
        <v>688.370874685496</v>
      </c>
      <c r="F32" s="8">
        <v>681.377893590665</v>
      </c>
      <c r="G32" s="8">
        <v>671.378047738662</v>
      </c>
      <c r="H32" s="8">
        <v>669.853056712089</v>
      </c>
      <c r="I32" s="8">
        <v>681.891206343725</v>
      </c>
      <c r="J32" s="8">
        <v>744.251715440297</v>
      </c>
      <c r="K32" s="8">
        <v>884.706753658681</v>
      </c>
      <c r="L32" s="8">
        <v>1071.04439872585</v>
      </c>
      <c r="M32" s="8">
        <v>1295.84825774367</v>
      </c>
      <c r="N32" s="7">
        <v>1904.98</v>
      </c>
      <c r="O32" s="7">
        <v>2311.85</v>
      </c>
      <c r="P32" s="7">
        <v>2403.39</v>
      </c>
    </row>
    <row r="33" ht="15.5" spans="3:37">
      <c r="C33" s="6" t="s">
        <v>142</v>
      </c>
      <c r="D33" s="6" t="s">
        <v>114</v>
      </c>
      <c r="E33" s="8">
        <v>1011.5972956086</v>
      </c>
      <c r="F33" s="8">
        <v>1008.73482254592</v>
      </c>
      <c r="G33" s="8">
        <v>1037.55084774788</v>
      </c>
      <c r="H33" s="8">
        <v>1064.04581840171</v>
      </c>
      <c r="I33" s="8">
        <v>1039.22195716001</v>
      </c>
      <c r="J33" s="8">
        <v>1075.27410864228</v>
      </c>
      <c r="K33" s="8">
        <v>1166.77193707517</v>
      </c>
      <c r="L33" s="8">
        <v>1289.62810770992</v>
      </c>
      <c r="M33" s="8">
        <v>1423.29369996679</v>
      </c>
      <c r="N33" s="7">
        <v>1737.92</v>
      </c>
      <c r="O33" s="7">
        <v>1920.91</v>
      </c>
      <c r="P33" s="7">
        <v>1959.82</v>
      </c>
    </row>
    <row r="34" ht="15.5" spans="3:37">
      <c r="C34" s="6" t="s">
        <v>143</v>
      </c>
      <c r="D34" s="6" t="s">
        <v>114</v>
      </c>
      <c r="E34" s="8">
        <v>837.061651779598</v>
      </c>
      <c r="F34" s="8">
        <v>838.970174052067</v>
      </c>
      <c r="G34" s="8">
        <v>838.144381283427</v>
      </c>
      <c r="H34" s="8">
        <v>843.160256344376</v>
      </c>
      <c r="I34" s="8">
        <v>871.478605015623</v>
      </c>
      <c r="J34" s="8">
        <v>914.811703704446</v>
      </c>
      <c r="K34" s="8">
        <v>974.564330989989</v>
      </c>
      <c r="L34" s="8">
        <v>1043.30530784173</v>
      </c>
      <c r="M34" s="8">
        <v>1111.76953486682</v>
      </c>
      <c r="N34" s="7">
        <v>1268.85</v>
      </c>
      <c r="O34" s="7">
        <v>1355.67</v>
      </c>
      <c r="P34" s="7">
        <v>1373.75</v>
      </c>
    </row>
    <row r="35" ht="15.5" spans="3:37">
      <c r="C35" s="6" t="s">
        <v>144</v>
      </c>
      <c r="D35" s="6" t="s">
        <v>114</v>
      </c>
      <c r="E35" s="8">
        <v>191.441300795113</v>
      </c>
      <c r="F35" s="8">
        <v>190.443472303878</v>
      </c>
      <c r="G35" s="8">
        <v>191.15088620439</v>
      </c>
      <c r="H35" s="8">
        <v>192.509181115961</v>
      </c>
      <c r="I35" s="8">
        <v>190.990306725668</v>
      </c>
      <c r="J35" s="8">
        <v>202.709546104397</v>
      </c>
      <c r="K35" s="8">
        <v>208.475543108351</v>
      </c>
      <c r="L35" s="8">
        <v>221.816879103907</v>
      </c>
      <c r="M35" s="8">
        <v>239.790209513569</v>
      </c>
      <c r="N35" s="7">
        <v>275.94</v>
      </c>
      <c r="O35" s="7">
        <v>296.04</v>
      </c>
      <c r="P35" s="7">
        <v>300.24</v>
      </c>
    </row>
    <row r="36" ht="15.5" spans="3:37">
      <c r="C36" s="6" t="s">
        <v>145</v>
      </c>
      <c r="D36" s="6" t="s">
        <v>114</v>
      </c>
      <c r="E36" s="8">
        <v>902.992257070818</v>
      </c>
      <c r="F36" s="8">
        <v>920.485799693816</v>
      </c>
      <c r="G36" s="8">
        <v>996.249938483025</v>
      </c>
      <c r="H36" s="8">
        <v>1045.04532969809</v>
      </c>
      <c r="I36" s="8">
        <v>1105.42578700347</v>
      </c>
      <c r="J36" s="8">
        <v>1177.6842510907</v>
      </c>
      <c r="K36" s="8">
        <v>1289.77518729408</v>
      </c>
      <c r="L36" s="8">
        <v>1395.37471724666</v>
      </c>
      <c r="M36" s="8">
        <v>1497.08145201408</v>
      </c>
      <c r="N36" s="7">
        <v>1738.66</v>
      </c>
      <c r="O36" s="7">
        <v>1873.97</v>
      </c>
      <c r="P36" s="7">
        <v>1902.3</v>
      </c>
    </row>
    <row r="37" ht="15.5" spans="3:37">
      <c r="C37" s="6" t="s">
        <v>146</v>
      </c>
      <c r="D37" s="6" t="s">
        <v>114</v>
      </c>
      <c r="E37" s="8">
        <v>1059.49247089325</v>
      </c>
      <c r="F37" s="8">
        <v>1053.138669625</v>
      </c>
      <c r="G37" s="8">
        <v>1069.51362306586</v>
      </c>
      <c r="H37" s="8">
        <v>1102.82335767951</v>
      </c>
      <c r="I37" s="8">
        <v>1110.9877935943</v>
      </c>
      <c r="J37" s="8">
        <v>1142.0942630254</v>
      </c>
      <c r="K37" s="8">
        <v>1242.40965379208</v>
      </c>
      <c r="L37" s="8">
        <v>1399.16314718121</v>
      </c>
      <c r="M37" s="8">
        <v>1567.33531962641</v>
      </c>
      <c r="N37" s="7">
        <v>1979.92</v>
      </c>
      <c r="O37" s="7">
        <v>2226.07</v>
      </c>
      <c r="P37" s="7">
        <v>2278.95</v>
      </c>
    </row>
    <row r="38" ht="15.5" spans="3:37">
      <c r="C38" s="6" t="s">
        <v>147</v>
      </c>
      <c r="D38" s="6" t="s">
        <v>114</v>
      </c>
      <c r="E38" s="8">
        <v>422.378294713019</v>
      </c>
      <c r="F38" s="8">
        <v>431.385488241428</v>
      </c>
      <c r="G38" s="8">
        <v>382.600992473691</v>
      </c>
      <c r="H38" s="8">
        <v>354.785063348349</v>
      </c>
      <c r="I38" s="8">
        <v>412.31956693474</v>
      </c>
      <c r="J38" s="8">
        <v>504.224434322444</v>
      </c>
      <c r="K38" s="8">
        <v>637.782784875819</v>
      </c>
      <c r="L38" s="8">
        <v>755.087128417368</v>
      </c>
      <c r="M38" s="8">
        <v>893.520716668517</v>
      </c>
      <c r="N38" s="7">
        <v>1255.37</v>
      </c>
      <c r="O38" s="7">
        <v>1489.09</v>
      </c>
      <c r="P38" s="7">
        <v>1540.94</v>
      </c>
    </row>
    <row r="39" ht="15.5" spans="3:37">
      <c r="C39" s="6" t="s">
        <v>148</v>
      </c>
      <c r="D39" s="6" t="s">
        <v>114</v>
      </c>
      <c r="E39" s="8">
        <v>220.412355031244</v>
      </c>
      <c r="F39" s="8">
        <v>217.199540847687</v>
      </c>
      <c r="G39" s="8">
        <v>237.807647829066</v>
      </c>
      <c r="H39" s="8">
        <v>249.745224538684</v>
      </c>
      <c r="I39" s="8">
        <v>288.631819741434</v>
      </c>
      <c r="J39" s="8">
        <v>340.349259388337</v>
      </c>
      <c r="K39" s="8">
        <v>406.332915412861</v>
      </c>
      <c r="L39" s="8">
        <v>473.614939937575</v>
      </c>
      <c r="M39" s="8">
        <v>535.009548871934</v>
      </c>
      <c r="N39" s="7">
        <v>705.78</v>
      </c>
      <c r="O39" s="7">
        <v>811.01</v>
      </c>
      <c r="P39" s="7">
        <v>833.92</v>
      </c>
    </row>
    <row r="47" ht="14.5" spans="3:37">
      <c r="X47" s="5" t="s">
        <v>111</v>
      </c>
      <c r="Y47" s="5" t="s">
        <v>112</v>
      </c>
      <c r="Z47" s="5">
        <v>2019</v>
      </c>
      <c r="AA47" s="5">
        <v>2020</v>
      </c>
      <c r="AB47" s="5">
        <v>2023</v>
      </c>
      <c r="AC47" s="5">
        <v>2025</v>
      </c>
      <c r="AD47" s="5">
        <v>2030</v>
      </c>
      <c r="AE47" s="5">
        <v>2035</v>
      </c>
      <c r="AF47" s="5">
        <v>2040</v>
      </c>
      <c r="AG47" s="5">
        <v>2045</v>
      </c>
      <c r="AH47" s="5">
        <v>2050</v>
      </c>
      <c r="AI47" s="5">
        <v>2070</v>
      </c>
      <c r="AJ47" s="5">
        <v>2090</v>
      </c>
      <c r="AK47" s="5">
        <v>2100</v>
      </c>
    </row>
    <row r="48" ht="14.5" spans="3:37">
      <c r="X48" s="5" t="s">
        <v>113</v>
      </c>
      <c r="Y48" s="5" t="s">
        <v>114</v>
      </c>
      <c r="Z48" s="5">
        <v>1015.12</v>
      </c>
      <c r="AA48" s="5">
        <v>1036.33</v>
      </c>
      <c r="AB48" s="5">
        <v>1125.42</v>
      </c>
      <c r="AC48" s="5">
        <v>1186.93</v>
      </c>
      <c r="AD48" s="5">
        <v>1349.51</v>
      </c>
      <c r="AE48" s="5">
        <v>1615.9</v>
      </c>
      <c r="AF48" s="5">
        <v>2106.97</v>
      </c>
      <c r="AG48" s="5">
        <v>2776.66</v>
      </c>
      <c r="AH48" s="5">
        <v>3579.56</v>
      </c>
      <c r="AI48" s="5">
        <v>6154.98</v>
      </c>
      <c r="AJ48" s="5">
        <v>8131.8</v>
      </c>
      <c r="AK48" s="5">
        <v>8599.64</v>
      </c>
    </row>
    <row r="49" ht="14.5" spans="24:37">
      <c r="X49" s="5" t="s">
        <v>115</v>
      </c>
      <c r="Y49" s="5" t="s">
        <v>114</v>
      </c>
      <c r="Z49" s="5">
        <v>700.19</v>
      </c>
      <c r="AA49" s="5">
        <v>707.72</v>
      </c>
      <c r="AB49" s="5">
        <v>761.97</v>
      </c>
      <c r="AC49" s="5">
        <v>805.83</v>
      </c>
      <c r="AD49" s="5">
        <v>969.54</v>
      </c>
      <c r="AE49" s="5">
        <v>1229.86</v>
      </c>
      <c r="AF49" s="5">
        <v>1672.16</v>
      </c>
      <c r="AG49" s="5">
        <v>2304.13</v>
      </c>
      <c r="AH49" s="5">
        <v>3091.17</v>
      </c>
      <c r="AI49" s="5">
        <v>5797.91</v>
      </c>
      <c r="AJ49" s="5">
        <v>8005.51</v>
      </c>
      <c r="AK49" s="5">
        <v>8541.77</v>
      </c>
    </row>
    <row r="50" ht="14.5" spans="24:37">
      <c r="X50" s="5" t="s">
        <v>116</v>
      </c>
      <c r="Y50" s="5" t="s">
        <v>114</v>
      </c>
      <c r="Z50" s="5">
        <v>810.91</v>
      </c>
      <c r="AA50" s="5">
        <v>802.4</v>
      </c>
      <c r="AB50" s="5">
        <v>813.02</v>
      </c>
      <c r="AC50" s="5">
        <v>820.1</v>
      </c>
      <c r="AD50" s="5">
        <v>844.51</v>
      </c>
      <c r="AE50" s="5">
        <v>885.83</v>
      </c>
      <c r="AF50" s="5">
        <v>964.1</v>
      </c>
      <c r="AG50" s="5">
        <v>1070.34</v>
      </c>
      <c r="AH50" s="5">
        <v>1191.29</v>
      </c>
      <c r="AI50" s="5">
        <v>1485.54</v>
      </c>
      <c r="AJ50" s="5">
        <v>1675.77</v>
      </c>
      <c r="AK50" s="5">
        <v>1716.72</v>
      </c>
    </row>
    <row r="51" ht="14.5" spans="24:37">
      <c r="X51" s="5" t="s">
        <v>117</v>
      </c>
      <c r="Y51" s="5" t="s">
        <v>114</v>
      </c>
      <c r="Z51" s="5">
        <v>224.34</v>
      </c>
      <c r="AA51" s="5">
        <v>221.17</v>
      </c>
      <c r="AB51" s="5">
        <v>227.72</v>
      </c>
      <c r="AC51" s="5">
        <v>226.82</v>
      </c>
      <c r="AD51" s="5">
        <v>222.45</v>
      </c>
      <c r="AE51" s="5">
        <v>217.88</v>
      </c>
      <c r="AF51" s="5">
        <v>217.82</v>
      </c>
      <c r="AG51" s="5">
        <v>226.57</v>
      </c>
      <c r="AH51" s="5">
        <v>236.27</v>
      </c>
      <c r="AI51" s="5">
        <v>259.87</v>
      </c>
      <c r="AJ51" s="5">
        <v>277.61</v>
      </c>
      <c r="AK51" s="5">
        <v>281.31</v>
      </c>
    </row>
    <row r="52" ht="14.5" spans="24:37">
      <c r="X52" s="5" t="s">
        <v>118</v>
      </c>
      <c r="Y52" s="5" t="s">
        <v>114</v>
      </c>
      <c r="Z52" s="5">
        <v>91.18</v>
      </c>
      <c r="AA52" s="5">
        <v>92.44</v>
      </c>
      <c r="AB52" s="5">
        <v>92</v>
      </c>
      <c r="AC52" s="5">
        <v>90.07</v>
      </c>
      <c r="AD52" s="5">
        <v>89.54</v>
      </c>
      <c r="AE52" s="5">
        <v>87.71</v>
      </c>
      <c r="AF52" s="5">
        <v>89.02</v>
      </c>
      <c r="AG52" s="5">
        <v>93.29</v>
      </c>
      <c r="AH52" s="5">
        <v>96.54</v>
      </c>
      <c r="AI52" s="5">
        <v>106.15</v>
      </c>
      <c r="AJ52" s="5">
        <v>113.37</v>
      </c>
      <c r="AK52" s="5">
        <v>114.88</v>
      </c>
    </row>
    <row r="53" ht="14.5" spans="24:37">
      <c r="X53" s="5" t="s">
        <v>119</v>
      </c>
      <c r="Y53" s="5" t="s">
        <v>114</v>
      </c>
      <c r="Z53" s="5">
        <v>718.98</v>
      </c>
      <c r="AA53" s="5">
        <v>717.98</v>
      </c>
      <c r="AB53" s="5">
        <v>728.6</v>
      </c>
      <c r="AC53" s="5">
        <v>730.59</v>
      </c>
      <c r="AD53" s="5">
        <v>723.02</v>
      </c>
      <c r="AE53" s="5">
        <v>705.74</v>
      </c>
      <c r="AF53" s="5">
        <v>711.47</v>
      </c>
      <c r="AG53" s="5">
        <v>733.91</v>
      </c>
      <c r="AH53" s="5">
        <v>767.88</v>
      </c>
      <c r="AI53" s="5">
        <v>840.34</v>
      </c>
      <c r="AJ53" s="5">
        <v>895.45</v>
      </c>
      <c r="AK53" s="5">
        <v>906.9</v>
      </c>
    </row>
    <row r="54" ht="14.5" spans="24:37">
      <c r="X54" s="5" t="s">
        <v>120</v>
      </c>
      <c r="Y54" s="5" t="s">
        <v>114</v>
      </c>
      <c r="Z54" s="5">
        <v>1889.35</v>
      </c>
      <c r="AA54" s="5">
        <v>1859.56</v>
      </c>
      <c r="AB54" s="5">
        <v>1980.49</v>
      </c>
      <c r="AC54" s="5">
        <v>2044.67</v>
      </c>
      <c r="AD54" s="5">
        <v>2077.79</v>
      </c>
      <c r="AE54" s="5">
        <v>2244.32</v>
      </c>
      <c r="AF54" s="5">
        <v>2677.68</v>
      </c>
      <c r="AG54" s="5">
        <v>3327.77</v>
      </c>
      <c r="AH54" s="5">
        <v>4085.59</v>
      </c>
      <c r="AI54" s="5">
        <v>6282.09</v>
      </c>
      <c r="AJ54" s="5">
        <v>7827.71</v>
      </c>
      <c r="AK54" s="5">
        <v>8180.95</v>
      </c>
    </row>
    <row r="55" ht="14.5" spans="24:37">
      <c r="X55" s="5" t="s">
        <v>121</v>
      </c>
      <c r="Y55" s="5" t="s">
        <v>114</v>
      </c>
      <c r="Z55" s="5">
        <v>22703.29</v>
      </c>
      <c r="AA55" s="5">
        <v>23544.65</v>
      </c>
      <c r="AB55" s="5">
        <v>24259.55</v>
      </c>
      <c r="AC55" s="5">
        <v>24683.07</v>
      </c>
      <c r="AD55" s="5">
        <v>25213.46</v>
      </c>
      <c r="AE55" s="5">
        <v>24909.82</v>
      </c>
      <c r="AF55" s="5">
        <v>24971.51</v>
      </c>
      <c r="AG55" s="5">
        <v>25396.6</v>
      </c>
      <c r="AH55" s="5">
        <v>25817.58</v>
      </c>
      <c r="AI55" s="5">
        <v>26997.49</v>
      </c>
      <c r="AJ55" s="5">
        <v>28020.51</v>
      </c>
      <c r="AK55" s="5">
        <v>28229.83</v>
      </c>
    </row>
    <row r="56" ht="14.5" spans="24:37">
      <c r="X56" s="5" t="s">
        <v>122</v>
      </c>
      <c r="Y56" s="5" t="s">
        <v>114</v>
      </c>
      <c r="Z56" s="5">
        <v>106.55</v>
      </c>
      <c r="AA56" s="5">
        <v>105.63</v>
      </c>
      <c r="AB56" s="5">
        <v>111.04</v>
      </c>
      <c r="AC56" s="5">
        <v>113.65</v>
      </c>
      <c r="AD56" s="5">
        <v>115.25</v>
      </c>
      <c r="AE56" s="5">
        <v>114.73</v>
      </c>
      <c r="AF56" s="5">
        <v>117.18</v>
      </c>
      <c r="AG56" s="5">
        <v>119.73</v>
      </c>
      <c r="AH56" s="5">
        <v>121.97</v>
      </c>
      <c r="AI56" s="5">
        <v>128.7</v>
      </c>
      <c r="AJ56" s="5">
        <v>134.66</v>
      </c>
      <c r="AK56" s="5">
        <v>135.88</v>
      </c>
    </row>
    <row r="57" ht="14.5" spans="24:37">
      <c r="X57" s="5" t="s">
        <v>123</v>
      </c>
      <c r="Y57" s="5" t="s">
        <v>114</v>
      </c>
      <c r="Z57" s="5">
        <v>297.98</v>
      </c>
      <c r="AA57" s="5">
        <v>302.22</v>
      </c>
      <c r="AB57" s="5">
        <v>301.62</v>
      </c>
      <c r="AC57" s="5">
        <v>301.54</v>
      </c>
      <c r="AD57" s="5">
        <v>296.21</v>
      </c>
      <c r="AE57" s="5">
        <v>290.2</v>
      </c>
      <c r="AF57" s="5">
        <v>307.75</v>
      </c>
      <c r="AG57" s="5">
        <v>319.69</v>
      </c>
      <c r="AH57" s="5">
        <v>337.04</v>
      </c>
      <c r="AI57" s="5">
        <v>374.31</v>
      </c>
      <c r="AJ57" s="5">
        <v>401.81</v>
      </c>
      <c r="AK57" s="5">
        <v>407.55</v>
      </c>
    </row>
    <row r="58" ht="14.5" spans="24:37">
      <c r="X58" s="5" t="s">
        <v>124</v>
      </c>
      <c r="Y58" s="5" t="s">
        <v>114</v>
      </c>
      <c r="Z58" s="5">
        <v>1521.04</v>
      </c>
      <c r="AA58" s="5">
        <v>1514.69</v>
      </c>
      <c r="AB58" s="5">
        <v>1541.02</v>
      </c>
      <c r="AC58" s="5">
        <v>1565.64</v>
      </c>
      <c r="AD58" s="5">
        <v>1497.74</v>
      </c>
      <c r="AE58" s="5">
        <v>1443.51</v>
      </c>
      <c r="AF58" s="5">
        <v>1430.72</v>
      </c>
      <c r="AG58" s="5">
        <v>1521.6</v>
      </c>
      <c r="AH58" s="5">
        <v>1643.33</v>
      </c>
      <c r="AI58" s="5">
        <v>1914.86</v>
      </c>
      <c r="AJ58" s="5">
        <v>2105.7</v>
      </c>
      <c r="AK58" s="5">
        <v>2146.15</v>
      </c>
    </row>
    <row r="59" ht="14.5" spans="24:37">
      <c r="X59" s="5" t="s">
        <v>125</v>
      </c>
      <c r="Y59" s="5" t="s">
        <v>114</v>
      </c>
      <c r="Z59" s="5">
        <v>1749.2</v>
      </c>
      <c r="AA59" s="5">
        <v>1737.39</v>
      </c>
      <c r="AB59" s="5">
        <v>1737.22</v>
      </c>
      <c r="AC59" s="5">
        <v>1746.19</v>
      </c>
      <c r="AD59" s="5">
        <v>1671.67</v>
      </c>
      <c r="AE59" s="5">
        <v>1612.7</v>
      </c>
      <c r="AF59" s="5">
        <v>1658.71</v>
      </c>
      <c r="AG59" s="5">
        <v>1785.42</v>
      </c>
      <c r="AH59" s="5">
        <v>1843.56</v>
      </c>
      <c r="AI59" s="5">
        <v>2078.07</v>
      </c>
      <c r="AJ59" s="5">
        <v>2247.43</v>
      </c>
      <c r="AK59" s="5">
        <v>2282.97</v>
      </c>
    </row>
    <row r="60" ht="14.5" spans="24:37">
      <c r="X60" s="5" t="s">
        <v>126</v>
      </c>
      <c r="Y60" s="5" t="s">
        <v>114</v>
      </c>
      <c r="Z60" s="5">
        <v>202.67</v>
      </c>
      <c r="AA60" s="5">
        <v>200.36</v>
      </c>
      <c r="AB60" s="5">
        <v>210.32</v>
      </c>
      <c r="AC60" s="5">
        <v>215.96</v>
      </c>
      <c r="AD60" s="5">
        <v>214.08</v>
      </c>
      <c r="AE60" s="5">
        <v>212.5</v>
      </c>
      <c r="AF60" s="5">
        <v>220.08</v>
      </c>
      <c r="AG60" s="5">
        <v>231.97</v>
      </c>
      <c r="AH60" s="5">
        <v>244.43</v>
      </c>
      <c r="AI60" s="5">
        <v>275.32</v>
      </c>
      <c r="AJ60" s="5">
        <v>297.64</v>
      </c>
      <c r="AK60" s="5">
        <v>302.32</v>
      </c>
    </row>
    <row r="61" ht="14.5" spans="24:37">
      <c r="X61" s="5" t="s">
        <v>127</v>
      </c>
      <c r="Y61" s="5" t="s">
        <v>114</v>
      </c>
      <c r="Z61" s="5">
        <v>421.52</v>
      </c>
      <c r="AA61" s="5">
        <v>423.28</v>
      </c>
      <c r="AB61" s="5">
        <v>435.28</v>
      </c>
      <c r="AC61" s="5">
        <v>441.49</v>
      </c>
      <c r="AD61" s="5">
        <v>447.87</v>
      </c>
      <c r="AE61" s="5">
        <v>451.45</v>
      </c>
      <c r="AF61" s="5">
        <v>467.26</v>
      </c>
      <c r="AG61" s="5">
        <v>487.02</v>
      </c>
      <c r="AH61" s="5">
        <v>503.06</v>
      </c>
      <c r="AI61" s="5">
        <v>549.17</v>
      </c>
      <c r="AJ61" s="5">
        <v>584.45</v>
      </c>
      <c r="AK61" s="5">
        <v>591.78</v>
      </c>
    </row>
    <row r="62" ht="14.5" spans="24:37">
      <c r="X62" s="5" t="s">
        <v>128</v>
      </c>
      <c r="Y62" s="5" t="s">
        <v>114</v>
      </c>
      <c r="Z62" s="5">
        <v>60.36</v>
      </c>
      <c r="AA62" s="5">
        <v>60.46</v>
      </c>
      <c r="AB62" s="5">
        <v>64.96</v>
      </c>
      <c r="AC62" s="5">
        <v>67.64</v>
      </c>
      <c r="AD62" s="5">
        <v>73.1</v>
      </c>
      <c r="AE62" s="5">
        <v>77.55</v>
      </c>
      <c r="AF62" s="5">
        <v>82.77</v>
      </c>
      <c r="AG62" s="5">
        <v>87.96</v>
      </c>
      <c r="AH62" s="5">
        <v>93.88</v>
      </c>
      <c r="AI62" s="5">
        <v>108.02</v>
      </c>
      <c r="AJ62" s="5">
        <v>118.03</v>
      </c>
      <c r="AK62" s="5">
        <v>120.14</v>
      </c>
    </row>
    <row r="63" ht="14.5" spans="24:37">
      <c r="X63" s="5" t="s">
        <v>129</v>
      </c>
      <c r="Y63" s="5" t="s">
        <v>114</v>
      </c>
      <c r="Z63" s="5">
        <v>4501.03</v>
      </c>
      <c r="AA63" s="5">
        <v>4570.6</v>
      </c>
      <c r="AB63" s="5">
        <v>5487.58</v>
      </c>
      <c r="AC63" s="5">
        <v>6053.45</v>
      </c>
      <c r="AD63" s="5">
        <v>7542.66</v>
      </c>
      <c r="AE63" s="5">
        <v>9351.09</v>
      </c>
      <c r="AF63" s="5">
        <v>11757.3</v>
      </c>
      <c r="AG63" s="5">
        <v>14502.08</v>
      </c>
      <c r="AH63" s="5">
        <v>17634.77</v>
      </c>
      <c r="AI63" s="5">
        <v>26654.56</v>
      </c>
      <c r="AJ63" s="5">
        <v>32938.65</v>
      </c>
      <c r="AK63" s="5">
        <v>34367.74</v>
      </c>
    </row>
    <row r="64" ht="14.5" spans="24:37">
      <c r="X64" s="5" t="s">
        <v>130</v>
      </c>
      <c r="Y64" s="5" t="s">
        <v>114</v>
      </c>
      <c r="Z64" s="5">
        <v>101.36</v>
      </c>
      <c r="AA64" s="5">
        <v>106.8</v>
      </c>
      <c r="AB64" s="5">
        <v>109.62</v>
      </c>
      <c r="AC64" s="5">
        <v>113.19</v>
      </c>
      <c r="AD64" s="5">
        <v>112.71</v>
      </c>
      <c r="AE64" s="5">
        <v>112.07</v>
      </c>
      <c r="AF64" s="5">
        <v>118</v>
      </c>
      <c r="AG64" s="5">
        <v>129.42</v>
      </c>
      <c r="AH64" s="5">
        <v>141.34</v>
      </c>
      <c r="AI64" s="5">
        <v>171.81</v>
      </c>
      <c r="AJ64" s="5">
        <v>193</v>
      </c>
      <c r="AK64" s="5">
        <v>197.55</v>
      </c>
    </row>
    <row r="65" ht="14.5" spans="24:37">
      <c r="X65" s="5" t="s">
        <v>131</v>
      </c>
      <c r="Y65" s="5" t="s">
        <v>114</v>
      </c>
      <c r="Z65" s="5">
        <v>1013.79</v>
      </c>
      <c r="AA65" s="5">
        <v>1000.35</v>
      </c>
      <c r="AB65" s="5">
        <v>1012.9</v>
      </c>
      <c r="AC65" s="5">
        <v>1015.96</v>
      </c>
      <c r="AD65" s="5">
        <v>959.33</v>
      </c>
      <c r="AE65" s="5">
        <v>941.17</v>
      </c>
      <c r="AF65" s="5">
        <v>957.27</v>
      </c>
      <c r="AG65" s="5">
        <v>994.04</v>
      </c>
      <c r="AH65" s="5">
        <v>1045.1</v>
      </c>
      <c r="AI65" s="5">
        <v>1157.02</v>
      </c>
      <c r="AJ65" s="5">
        <v>1240.05</v>
      </c>
      <c r="AK65" s="5">
        <v>1257.38</v>
      </c>
    </row>
    <row r="66" ht="14.5" spans="24:37">
      <c r="X66" s="5" t="s">
        <v>132</v>
      </c>
      <c r="Y66" s="5" t="s">
        <v>114</v>
      </c>
      <c r="Z66" s="5">
        <v>3272.23</v>
      </c>
      <c r="AA66" s="5">
        <v>3210.89</v>
      </c>
      <c r="AB66" s="5">
        <v>3237.72</v>
      </c>
      <c r="AC66" s="5">
        <v>3233.22</v>
      </c>
      <c r="AD66" s="5">
        <v>3197.84</v>
      </c>
      <c r="AE66" s="5">
        <v>3223.57</v>
      </c>
      <c r="AF66" s="5">
        <v>3408.01</v>
      </c>
      <c r="AG66" s="5">
        <v>3678.42</v>
      </c>
      <c r="AH66" s="5">
        <v>3950.87</v>
      </c>
      <c r="AI66" s="5">
        <v>4589.8</v>
      </c>
      <c r="AJ66" s="5">
        <v>4956.61</v>
      </c>
      <c r="AK66" s="5">
        <v>5033.5</v>
      </c>
    </row>
    <row r="67" ht="14.5" spans="24:37">
      <c r="X67" s="5" t="s">
        <v>133</v>
      </c>
      <c r="Y67" s="5" t="s">
        <v>114</v>
      </c>
      <c r="Z67" s="5">
        <v>1881.22</v>
      </c>
      <c r="AA67" s="5">
        <v>1905.21</v>
      </c>
      <c r="AB67" s="5">
        <v>1995.04</v>
      </c>
      <c r="AC67" s="5">
        <v>2100.4</v>
      </c>
      <c r="AD67" s="5">
        <v>2323.91</v>
      </c>
      <c r="AE67" s="5">
        <v>2678.11</v>
      </c>
      <c r="AF67" s="5">
        <v>3220.88</v>
      </c>
      <c r="AG67" s="5">
        <v>3879.19</v>
      </c>
      <c r="AH67" s="5">
        <v>4637.71</v>
      </c>
      <c r="AI67" s="5">
        <v>6721.68</v>
      </c>
      <c r="AJ67" s="5">
        <v>8129.04</v>
      </c>
      <c r="AK67" s="5">
        <v>8444.99</v>
      </c>
    </row>
    <row r="68" ht="14.5" spans="24:37">
      <c r="X68" s="5" t="s">
        <v>134</v>
      </c>
      <c r="Y68" s="5" t="s">
        <v>114</v>
      </c>
      <c r="Z68" s="5">
        <v>2674.06</v>
      </c>
      <c r="AA68" s="5">
        <v>2677.86</v>
      </c>
      <c r="AB68" s="5">
        <v>2848.42</v>
      </c>
      <c r="AC68" s="5">
        <v>2999.96</v>
      </c>
      <c r="AD68" s="5">
        <v>3271.9</v>
      </c>
      <c r="AE68" s="5">
        <v>3661.02</v>
      </c>
      <c r="AF68" s="5">
        <v>4346.88</v>
      </c>
      <c r="AG68" s="5">
        <v>5186.09</v>
      </c>
      <c r="AH68" s="5">
        <v>5945</v>
      </c>
      <c r="AI68" s="5">
        <v>8190.15</v>
      </c>
      <c r="AJ68" s="5">
        <v>9673.68</v>
      </c>
      <c r="AK68" s="5">
        <v>10002.02</v>
      </c>
    </row>
    <row r="69" ht="14.5" spans="24:37">
      <c r="X69" s="5" t="s">
        <v>135</v>
      </c>
      <c r="Y69" s="5" t="s">
        <v>114</v>
      </c>
      <c r="Z69" s="5">
        <v>17129.98</v>
      </c>
      <c r="AA69" s="5">
        <v>17081.61</v>
      </c>
      <c r="AB69" s="5">
        <v>17243.56</v>
      </c>
      <c r="AC69" s="5">
        <v>17373.04</v>
      </c>
      <c r="AD69" s="5">
        <v>17101.89</v>
      </c>
      <c r="AE69" s="5">
        <v>17075.61</v>
      </c>
      <c r="AF69" s="5">
        <v>18025.89</v>
      </c>
      <c r="AG69" s="5">
        <v>19311.33</v>
      </c>
      <c r="AH69" s="5">
        <v>20573.33</v>
      </c>
      <c r="AI69" s="5">
        <v>23654.77</v>
      </c>
      <c r="AJ69" s="5">
        <v>25584.24</v>
      </c>
      <c r="AK69" s="5">
        <v>25989.1</v>
      </c>
    </row>
    <row r="70" ht="14.5" spans="24:37">
      <c r="X70" s="5" t="s">
        <v>136</v>
      </c>
      <c r="Y70" s="5" t="s">
        <v>114</v>
      </c>
      <c r="Z70" s="5">
        <v>424.31</v>
      </c>
      <c r="AA70" s="5">
        <v>426.8</v>
      </c>
      <c r="AB70" s="5">
        <v>436.3</v>
      </c>
      <c r="AC70" s="5">
        <v>443.05</v>
      </c>
      <c r="AD70" s="5">
        <v>436.37</v>
      </c>
      <c r="AE70" s="5">
        <v>426</v>
      </c>
      <c r="AF70" s="5">
        <v>436.35</v>
      </c>
      <c r="AG70" s="5">
        <v>460.65</v>
      </c>
      <c r="AH70" s="5">
        <v>487.05</v>
      </c>
      <c r="AI70" s="5">
        <v>551.37</v>
      </c>
      <c r="AJ70" s="5">
        <v>597.6</v>
      </c>
      <c r="AK70" s="5">
        <v>607.31</v>
      </c>
    </row>
    <row r="71" ht="14.5" spans="24:37">
      <c r="X71" s="5" t="s">
        <v>137</v>
      </c>
      <c r="Y71" s="5" t="s">
        <v>114</v>
      </c>
      <c r="Z71" s="5">
        <v>517.65</v>
      </c>
      <c r="AA71" s="5">
        <v>526.92</v>
      </c>
      <c r="AB71" s="5">
        <v>553.58</v>
      </c>
      <c r="AC71" s="5">
        <v>562.47</v>
      </c>
      <c r="AD71" s="5">
        <v>582.76</v>
      </c>
      <c r="AE71" s="5">
        <v>585.97</v>
      </c>
      <c r="AF71" s="5">
        <v>587.29</v>
      </c>
      <c r="AG71" s="5">
        <v>597.68</v>
      </c>
      <c r="AH71" s="5">
        <v>660.49</v>
      </c>
      <c r="AI71" s="5">
        <v>753.41</v>
      </c>
      <c r="AJ71" s="5">
        <v>819.7</v>
      </c>
      <c r="AK71" s="5">
        <v>833.65</v>
      </c>
    </row>
    <row r="72" ht="14.5" spans="24:37">
      <c r="X72" s="5" t="s">
        <v>138</v>
      </c>
      <c r="Y72" s="5" t="s">
        <v>114</v>
      </c>
      <c r="Z72" s="5">
        <v>9216.02</v>
      </c>
      <c r="AA72" s="5">
        <v>9409.86</v>
      </c>
      <c r="AB72" s="5">
        <v>10099.94</v>
      </c>
      <c r="AC72" s="5">
        <v>10580.28</v>
      </c>
      <c r="AD72" s="5">
        <v>11919.93</v>
      </c>
      <c r="AE72" s="5">
        <v>13485.18</v>
      </c>
      <c r="AF72" s="5">
        <v>16074.17</v>
      </c>
      <c r="AG72" s="5">
        <v>19012.73</v>
      </c>
      <c r="AH72" s="5">
        <v>22105.59</v>
      </c>
      <c r="AI72" s="5">
        <v>30625.33</v>
      </c>
      <c r="AJ72" s="5">
        <v>36275.22</v>
      </c>
      <c r="AK72" s="5">
        <v>37527.82</v>
      </c>
    </row>
    <row r="73" ht="14.5" spans="24:37">
      <c r="X73" s="5" t="s">
        <v>139</v>
      </c>
      <c r="Y73" s="5" t="s">
        <v>114</v>
      </c>
      <c r="Z73" s="5">
        <v>3014.47</v>
      </c>
      <c r="AA73" s="5">
        <v>3009</v>
      </c>
      <c r="AB73" s="5">
        <v>2845.06</v>
      </c>
      <c r="AC73" s="5">
        <v>2832.04</v>
      </c>
      <c r="AD73" s="5">
        <v>2966.04</v>
      </c>
      <c r="AE73" s="5">
        <v>3004.56</v>
      </c>
      <c r="AF73" s="5">
        <v>3190.54</v>
      </c>
      <c r="AG73" s="5">
        <v>3413.8</v>
      </c>
      <c r="AH73" s="5">
        <v>3654.97</v>
      </c>
      <c r="AI73" s="5">
        <v>4208.67</v>
      </c>
      <c r="AJ73" s="5">
        <v>4542.23</v>
      </c>
      <c r="AK73" s="5">
        <v>4612.13</v>
      </c>
    </row>
    <row r="74" ht="14.5" spans="24:37">
      <c r="X74" s="5" t="s">
        <v>140</v>
      </c>
      <c r="Y74" s="5" t="s">
        <v>114</v>
      </c>
      <c r="Z74" s="5">
        <v>1127.43</v>
      </c>
      <c r="AA74" s="5">
        <v>1114.3</v>
      </c>
      <c r="AB74" s="5">
        <v>1140.25</v>
      </c>
      <c r="AC74" s="5">
        <v>1149.5</v>
      </c>
      <c r="AD74" s="5">
        <v>1210.35</v>
      </c>
      <c r="AE74" s="5">
        <v>1261.76</v>
      </c>
      <c r="AF74" s="5">
        <v>1396.75</v>
      </c>
      <c r="AG74" s="5">
        <v>1499.64</v>
      </c>
      <c r="AH74" s="5">
        <v>1653.59</v>
      </c>
      <c r="AI74" s="5">
        <v>1968.32</v>
      </c>
      <c r="AJ74" s="5">
        <v>2160</v>
      </c>
      <c r="AK74" s="5">
        <v>2200.58</v>
      </c>
    </row>
    <row r="75" ht="14.5" spans="24:37">
      <c r="X75" s="5" t="s">
        <v>141</v>
      </c>
      <c r="Y75" s="5" t="s">
        <v>114</v>
      </c>
      <c r="Z75" s="5">
        <v>688.06</v>
      </c>
      <c r="AA75" s="5">
        <v>680.93</v>
      </c>
      <c r="AB75" s="5">
        <v>670.07</v>
      </c>
      <c r="AC75" s="5">
        <v>666.5</v>
      </c>
      <c r="AD75" s="5">
        <v>671.66</v>
      </c>
      <c r="AE75" s="5">
        <v>721.92</v>
      </c>
      <c r="AF75" s="5">
        <v>847.55</v>
      </c>
      <c r="AG75" s="5">
        <v>1016.42</v>
      </c>
      <c r="AH75" s="5">
        <v>1221.99</v>
      </c>
      <c r="AI75" s="5">
        <v>1776.39</v>
      </c>
      <c r="AJ75" s="5">
        <v>2155.8</v>
      </c>
      <c r="AK75" s="5">
        <v>2241.16</v>
      </c>
    </row>
    <row r="76" ht="14.5" spans="24:37">
      <c r="X76" s="5" t="s">
        <v>142</v>
      </c>
      <c r="Y76" s="5" t="s">
        <v>114</v>
      </c>
      <c r="Z76" s="5">
        <v>1010.08</v>
      </c>
      <c r="AA76" s="5">
        <v>1006.51</v>
      </c>
      <c r="AB76" s="5">
        <v>1030.81</v>
      </c>
      <c r="AC76" s="5">
        <v>1047.56</v>
      </c>
      <c r="AD76" s="5">
        <v>994.53</v>
      </c>
      <c r="AE76" s="5">
        <v>982.8</v>
      </c>
      <c r="AF76" s="5">
        <v>1026.29</v>
      </c>
      <c r="AG76" s="5">
        <v>1101.09</v>
      </c>
      <c r="AH76" s="5">
        <v>1190.72</v>
      </c>
      <c r="AI76" s="5">
        <v>1401.63</v>
      </c>
      <c r="AJ76" s="5">
        <v>1549.21</v>
      </c>
      <c r="AK76" s="5">
        <v>1580.59</v>
      </c>
    </row>
    <row r="77" ht="14.5" spans="24:37">
      <c r="X77" s="5" t="s">
        <v>143</v>
      </c>
      <c r="Y77" s="5" t="s">
        <v>114</v>
      </c>
      <c r="Z77" s="5">
        <v>835.8</v>
      </c>
      <c r="AA77" s="5">
        <v>837.12</v>
      </c>
      <c r="AB77" s="5">
        <v>832.69</v>
      </c>
      <c r="AC77" s="5">
        <v>830.09</v>
      </c>
      <c r="AD77" s="5">
        <v>834.01</v>
      </c>
      <c r="AE77" s="5">
        <v>836.14</v>
      </c>
      <c r="AF77" s="5">
        <v>857.22</v>
      </c>
      <c r="AG77" s="5">
        <v>890.78</v>
      </c>
      <c r="AH77" s="5">
        <v>930.11</v>
      </c>
      <c r="AI77" s="5">
        <v>1023.33</v>
      </c>
      <c r="AJ77" s="5">
        <v>1093.35</v>
      </c>
      <c r="AK77" s="5">
        <v>1107.93</v>
      </c>
    </row>
    <row r="78" ht="14.5" spans="24:37">
      <c r="X78" s="5" t="s">
        <v>144</v>
      </c>
      <c r="Y78" s="5" t="s">
        <v>114</v>
      </c>
      <c r="Z78" s="5">
        <v>191.15</v>
      </c>
      <c r="AA78" s="5">
        <v>190.02</v>
      </c>
      <c r="AB78" s="5">
        <v>189.91</v>
      </c>
      <c r="AC78" s="5">
        <v>189.53</v>
      </c>
      <c r="AD78" s="5">
        <v>182.78</v>
      </c>
      <c r="AE78" s="5">
        <v>185.28</v>
      </c>
      <c r="AF78" s="5">
        <v>183.38</v>
      </c>
      <c r="AG78" s="5">
        <v>189.39</v>
      </c>
      <c r="AH78" s="5">
        <v>200.61</v>
      </c>
      <c r="AI78" s="5">
        <v>222.54</v>
      </c>
      <c r="AJ78" s="5">
        <v>238.76</v>
      </c>
      <c r="AK78" s="5">
        <v>242.14</v>
      </c>
    </row>
    <row r="79" ht="14.5" spans="24:37">
      <c r="X79" s="5" t="s">
        <v>145</v>
      </c>
      <c r="Y79" s="5" t="s">
        <v>114</v>
      </c>
      <c r="Z79" s="5">
        <v>901.64</v>
      </c>
      <c r="AA79" s="5">
        <v>918.46</v>
      </c>
      <c r="AB79" s="5">
        <v>989.77</v>
      </c>
      <c r="AC79" s="5">
        <v>1028.85</v>
      </c>
      <c r="AD79" s="5">
        <v>1057.9</v>
      </c>
      <c r="AE79" s="5">
        <v>1076.4</v>
      </c>
      <c r="AF79" s="5">
        <v>1134.49</v>
      </c>
      <c r="AG79" s="5">
        <v>1191.37</v>
      </c>
      <c r="AH79" s="5">
        <v>1252.46</v>
      </c>
      <c r="AI79" s="5">
        <v>1402.23</v>
      </c>
      <c r="AJ79" s="5">
        <v>1511.35</v>
      </c>
      <c r="AK79" s="5">
        <v>1534.2</v>
      </c>
    </row>
    <row r="80" ht="14.5" spans="24:37">
      <c r="X80" s="5" t="s">
        <v>146</v>
      </c>
      <c r="Y80" s="5" t="s">
        <v>114</v>
      </c>
      <c r="Z80" s="5">
        <v>1057.9</v>
      </c>
      <c r="AA80" s="5">
        <v>1050.82</v>
      </c>
      <c r="AB80" s="5">
        <v>1062.56</v>
      </c>
      <c r="AC80" s="5">
        <v>1085.73</v>
      </c>
      <c r="AD80" s="5">
        <v>1063.22</v>
      </c>
      <c r="AE80" s="5">
        <v>1043.87</v>
      </c>
      <c r="AF80" s="5">
        <v>1092.82</v>
      </c>
      <c r="AG80" s="5">
        <v>1194.6</v>
      </c>
      <c r="AH80" s="5">
        <v>1311.24</v>
      </c>
      <c r="AI80" s="5">
        <v>1596.81</v>
      </c>
      <c r="AJ80" s="5">
        <v>1795.32</v>
      </c>
      <c r="AK80" s="5">
        <v>1837.97</v>
      </c>
    </row>
    <row r="81" ht="14.5" spans="24:37">
      <c r="X81" s="5" t="s">
        <v>147</v>
      </c>
      <c r="Y81" s="5" t="s">
        <v>114</v>
      </c>
      <c r="Z81" s="5">
        <v>421.75</v>
      </c>
      <c r="AA81" s="5">
        <v>430.44</v>
      </c>
      <c r="AB81" s="5">
        <v>380.11</v>
      </c>
      <c r="AC81" s="5">
        <v>349.29</v>
      </c>
      <c r="AD81" s="5">
        <v>394.59</v>
      </c>
      <c r="AE81" s="5">
        <v>460.86</v>
      </c>
      <c r="AF81" s="5">
        <v>560.99</v>
      </c>
      <c r="AG81" s="5">
        <v>644.7</v>
      </c>
      <c r="AH81" s="5">
        <v>747.52</v>
      </c>
      <c r="AI81" s="5">
        <v>1012.46</v>
      </c>
      <c r="AJ81" s="5">
        <v>1200.95</v>
      </c>
      <c r="AK81" s="5">
        <v>1242.77</v>
      </c>
    </row>
    <row r="82" ht="14.5" spans="24:37">
      <c r="X82" s="5" t="s">
        <v>148</v>
      </c>
      <c r="Y82" s="5" t="s">
        <v>114</v>
      </c>
      <c r="Z82" s="5">
        <v>220.08</v>
      </c>
      <c r="AA82" s="5">
        <v>216.72</v>
      </c>
      <c r="AB82" s="5">
        <v>236.26</v>
      </c>
      <c r="AC82" s="5">
        <v>245.88</v>
      </c>
      <c r="AD82" s="5">
        <v>276.22</v>
      </c>
      <c r="AE82" s="5">
        <v>311.08</v>
      </c>
      <c r="AF82" s="5">
        <v>357.41</v>
      </c>
      <c r="AG82" s="5">
        <v>404.37</v>
      </c>
      <c r="AH82" s="5">
        <v>447.59</v>
      </c>
      <c r="AI82" s="5">
        <v>569.21</v>
      </c>
      <c r="AJ82" s="5">
        <v>654.08</v>
      </c>
      <c r="AK82" s="5">
        <v>672.56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3:J15"/>
  <sheetViews>
    <sheetView workbookViewId="0">
      <selection activeCell="H28" sqref="H28"/>
    </sheetView>
  </sheetViews>
  <sheetFormatPr defaultColWidth="8.72727272727273" defaultRowHeight="12.5"/>
  <cols>
    <col min="8" max="8" width="16.2727272727273" customWidth="1"/>
  </cols>
  <sheetData>
    <row r="13" ht="14.5" spans="9:10">
      <c r="I13" s="5"/>
    </row>
    <row r="15" ht="14.5" spans="9:10">
      <c r="J15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I17" sqref="I17"/>
    </sheetView>
  </sheetViews>
  <sheetFormatPr defaultColWidth="8.72727272727273" defaultRowHeight="14.5" outlineLevelCol="5"/>
  <cols>
    <col min="1" max="1" width="9.27272727272727" style="1" customWidth="1"/>
    <col min="2" max="2" width="12.1818181818182" style="1" customWidth="1"/>
    <col min="3" max="3" width="10" style="1" customWidth="1"/>
    <col min="4" max="4" width="12.8181818181818" style="1" customWidth="1"/>
  </cols>
  <sheetData>
    <row r="1" spans="1:6">
      <c r="C1" t="s">
        <v>2</v>
      </c>
    </row>
    <row r="2" spans="1:6">
      <c r="A2" t="s">
        <v>43</v>
      </c>
      <c r="B2" s="2" t="s">
        <v>149</v>
      </c>
      <c r="C2" s="3" t="s">
        <v>150</v>
      </c>
      <c r="D2" s="1" t="s">
        <v>8</v>
      </c>
      <c r="E2" s="4" t="s">
        <v>151</v>
      </c>
      <c r="F2" t="s">
        <v>48</v>
      </c>
    </row>
    <row r="3" spans="1:6">
      <c r="A3" s="1" t="s">
        <v>152</v>
      </c>
      <c r="B3" s="1" t="s">
        <v>153</v>
      </c>
      <c r="C3" s="1" t="s">
        <v>154</v>
      </c>
      <c r="D3" s="1">
        <v>0.037057043</v>
      </c>
      <c r="E3" t="s">
        <v>155</v>
      </c>
      <c r="F3">
        <v>2019</v>
      </c>
    </row>
    <row r="4" spans="1:6">
      <c r="A4" s="1" t="s">
        <v>152</v>
      </c>
      <c r="B4" s="1" t="s">
        <v>153</v>
      </c>
      <c r="C4" s="1" t="s">
        <v>156</v>
      </c>
      <c r="D4" s="1">
        <v>0.01431031</v>
      </c>
      <c r="E4" t="s">
        <v>155</v>
      </c>
      <c r="F4">
        <f xml:space="preserve">F3</f>
        <v>2019</v>
      </c>
    </row>
    <row r="5" spans="1:6">
      <c r="A5" s="1" t="s">
        <v>152</v>
      </c>
      <c r="B5" s="1" t="s">
        <v>153</v>
      </c>
      <c r="C5" s="1" t="s">
        <v>157</v>
      </c>
      <c r="D5" s="1">
        <v>0.031935713</v>
      </c>
      <c r="E5" t="s">
        <v>155</v>
      </c>
      <c r="F5">
        <f t="shared" ref="F5:F50" si="0" xml:space="preserve">F4</f>
        <v>2019</v>
      </c>
    </row>
    <row r="6" spans="1:6">
      <c r="A6" s="1" t="s">
        <v>152</v>
      </c>
      <c r="B6" s="1" t="s">
        <v>153</v>
      </c>
      <c r="C6" s="1" t="s">
        <v>158</v>
      </c>
      <c r="D6" s="1">
        <v>0.031333153</v>
      </c>
      <c r="E6" t="s">
        <v>155</v>
      </c>
      <c r="F6">
        <f t="shared" si="0"/>
        <v>2019</v>
      </c>
    </row>
    <row r="7" spans="1:6">
      <c r="A7" s="1" t="s">
        <v>152</v>
      </c>
      <c r="B7" s="1" t="s">
        <v>153</v>
      </c>
      <c r="C7" s="1" t="s">
        <v>159</v>
      </c>
      <c r="D7" s="1">
        <v>0.015967293</v>
      </c>
      <c r="E7" t="s">
        <v>155</v>
      </c>
      <c r="F7">
        <f t="shared" si="0"/>
        <v>2019</v>
      </c>
    </row>
    <row r="8" spans="1:6">
      <c r="A8" s="1" t="s">
        <v>152</v>
      </c>
      <c r="B8" s="1" t="s">
        <v>153</v>
      </c>
      <c r="C8" s="1" t="s">
        <v>160</v>
      </c>
      <c r="D8" s="1">
        <v>0.008888083</v>
      </c>
      <c r="E8" t="s">
        <v>155</v>
      </c>
      <c r="F8">
        <f t="shared" si="0"/>
        <v>2019</v>
      </c>
    </row>
    <row r="9" spans="1:6">
      <c r="A9" s="1" t="s">
        <v>152</v>
      </c>
      <c r="B9" s="1" t="s">
        <v>153</v>
      </c>
      <c r="C9" s="1" t="s">
        <v>161</v>
      </c>
      <c r="D9" s="1">
        <v>0.025307249</v>
      </c>
      <c r="E9" t="s">
        <v>155</v>
      </c>
      <c r="F9">
        <f t="shared" si="0"/>
        <v>2019</v>
      </c>
    </row>
    <row r="10" spans="1:6">
      <c r="A10" s="1" t="s">
        <v>152</v>
      </c>
      <c r="B10" s="1" t="s">
        <v>153</v>
      </c>
      <c r="C10" s="1" t="s">
        <v>162</v>
      </c>
      <c r="D10" s="1">
        <v>0.01431031</v>
      </c>
      <c r="E10" t="s">
        <v>155</v>
      </c>
      <c r="F10">
        <f t="shared" si="0"/>
        <v>2019</v>
      </c>
    </row>
    <row r="11" spans="1:6">
      <c r="A11" s="1" t="s">
        <v>152</v>
      </c>
      <c r="B11" s="1" t="s">
        <v>153</v>
      </c>
      <c r="C11" s="1" t="s">
        <v>163</v>
      </c>
      <c r="D11" s="1">
        <v>0.032602373</v>
      </c>
      <c r="E11" t="s">
        <v>155</v>
      </c>
      <c r="F11">
        <f t="shared" si="0"/>
        <v>2019</v>
      </c>
    </row>
    <row r="12" spans="1:6">
      <c r="A12" s="1" t="s">
        <v>152</v>
      </c>
      <c r="B12" s="1" t="s">
        <v>153</v>
      </c>
      <c r="C12" s="1" t="s">
        <v>164</v>
      </c>
      <c r="D12" s="1">
        <v>0.012590036</v>
      </c>
      <c r="E12" t="s">
        <v>155</v>
      </c>
      <c r="F12">
        <f t="shared" si="0"/>
        <v>2019</v>
      </c>
    </row>
    <row r="13" spans="1:6">
      <c r="A13" s="1" t="s">
        <v>152</v>
      </c>
      <c r="B13" s="1" t="s">
        <v>153</v>
      </c>
      <c r="C13" s="1" t="s">
        <v>165</v>
      </c>
      <c r="D13" s="1">
        <v>0.028096701</v>
      </c>
      <c r="E13" t="s">
        <v>155</v>
      </c>
      <c r="F13">
        <f t="shared" si="0"/>
        <v>2019</v>
      </c>
    </row>
    <row r="14" spans="1:6">
      <c r="A14" s="1" t="s">
        <v>152</v>
      </c>
      <c r="B14" s="1" t="s">
        <v>153</v>
      </c>
      <c r="C14" s="1" t="s">
        <v>166</v>
      </c>
      <c r="D14" s="1">
        <v>0.027566575</v>
      </c>
      <c r="E14" t="s">
        <v>155</v>
      </c>
      <c r="F14">
        <f t="shared" si="0"/>
        <v>2019</v>
      </c>
    </row>
    <row r="15" spans="1:6">
      <c r="A15" s="1" t="s">
        <v>152</v>
      </c>
      <c r="B15" s="1" t="s">
        <v>153</v>
      </c>
      <c r="C15" s="1" t="s">
        <v>167</v>
      </c>
      <c r="D15" s="1">
        <v>0.014047829</v>
      </c>
      <c r="E15" t="s">
        <v>155</v>
      </c>
      <c r="F15">
        <f t="shared" si="0"/>
        <v>2019</v>
      </c>
    </row>
    <row r="16" spans="1:6">
      <c r="A16" s="1" t="s">
        <v>152</v>
      </c>
      <c r="B16" s="1" t="s">
        <v>153</v>
      </c>
      <c r="C16" s="1" t="s">
        <v>168</v>
      </c>
      <c r="D16" s="1">
        <v>0.007819075</v>
      </c>
      <c r="E16" t="s">
        <v>155</v>
      </c>
      <c r="F16">
        <f t="shared" si="0"/>
        <v>2019</v>
      </c>
    </row>
    <row r="17" spans="1:6">
      <c r="A17" s="1" t="s">
        <v>152</v>
      </c>
      <c r="B17" s="1" t="s">
        <v>153</v>
      </c>
      <c r="C17" s="1" t="s">
        <v>169</v>
      </c>
      <c r="D17" s="1">
        <v>0.022264484</v>
      </c>
      <c r="E17" t="s">
        <v>155</v>
      </c>
      <c r="F17">
        <f t="shared" si="0"/>
        <v>2019</v>
      </c>
    </row>
    <row r="18" spans="1:6">
      <c r="A18" s="1" t="s">
        <v>152</v>
      </c>
      <c r="B18" s="1" t="s">
        <v>153</v>
      </c>
      <c r="C18" s="1" t="s">
        <v>170</v>
      </c>
      <c r="D18" s="1">
        <v>0.012590036</v>
      </c>
      <c r="E18" t="s">
        <v>155</v>
      </c>
      <c r="F18">
        <f t="shared" si="0"/>
        <v>2019</v>
      </c>
    </row>
    <row r="19" spans="1:6">
      <c r="A19" s="1" t="s">
        <v>152</v>
      </c>
      <c r="B19" s="1" t="s">
        <v>153</v>
      </c>
      <c r="C19" s="1" t="s">
        <v>171</v>
      </c>
      <c r="D19" s="1">
        <v>0.032675781</v>
      </c>
      <c r="E19" t="s">
        <v>155</v>
      </c>
      <c r="F19">
        <f t="shared" si="0"/>
        <v>2019</v>
      </c>
    </row>
    <row r="20" spans="1:6">
      <c r="A20" s="1" t="s">
        <v>152</v>
      </c>
      <c r="B20" s="1" t="s">
        <v>153</v>
      </c>
      <c r="C20" s="1" t="s">
        <v>172</v>
      </c>
      <c r="D20" s="1">
        <v>0.012618696</v>
      </c>
      <c r="E20" t="s">
        <v>155</v>
      </c>
      <c r="F20">
        <f t="shared" si="0"/>
        <v>2019</v>
      </c>
    </row>
    <row r="21" spans="1:6">
      <c r="A21" s="1" t="s">
        <v>152</v>
      </c>
      <c r="B21" s="1" t="s">
        <v>153</v>
      </c>
      <c r="C21" s="1" t="s">
        <v>173</v>
      </c>
      <c r="D21" s="1">
        <v>0.028159616</v>
      </c>
      <c r="E21" t="s">
        <v>155</v>
      </c>
      <c r="F21">
        <f t="shared" si="0"/>
        <v>2019</v>
      </c>
    </row>
    <row r="22" spans="1:6">
      <c r="A22" s="1" t="s">
        <v>152</v>
      </c>
      <c r="B22" s="1" t="s">
        <v>153</v>
      </c>
      <c r="C22" s="1" t="s">
        <v>174</v>
      </c>
      <c r="D22" s="1">
        <v>0.027628302</v>
      </c>
      <c r="E22" t="s">
        <v>155</v>
      </c>
      <c r="F22">
        <f t="shared" si="0"/>
        <v>2019</v>
      </c>
    </row>
    <row r="23" spans="1:6">
      <c r="A23" s="1" t="s">
        <v>152</v>
      </c>
      <c r="B23" s="1" t="s">
        <v>153</v>
      </c>
      <c r="C23" s="1" t="s">
        <v>175</v>
      </c>
      <c r="D23" s="1">
        <v>0.014079808</v>
      </c>
      <c r="E23" t="s">
        <v>155</v>
      </c>
      <c r="F23">
        <f t="shared" si="0"/>
        <v>2019</v>
      </c>
    </row>
    <row r="24" spans="1:6">
      <c r="A24" s="1" t="s">
        <v>152</v>
      </c>
      <c r="B24" s="1" t="s">
        <v>153</v>
      </c>
      <c r="C24" s="1" t="s">
        <v>176</v>
      </c>
      <c r="D24" s="1">
        <v>0.007836311</v>
      </c>
      <c r="E24" t="s">
        <v>155</v>
      </c>
      <c r="F24">
        <f t="shared" si="0"/>
        <v>2019</v>
      </c>
    </row>
    <row r="25" spans="1:6">
      <c r="A25" s="1" t="s">
        <v>152</v>
      </c>
      <c r="B25" s="1" t="s">
        <v>153</v>
      </c>
      <c r="C25" s="1" t="s">
        <v>177</v>
      </c>
      <c r="D25" s="1">
        <v>0.022314633</v>
      </c>
      <c r="E25" t="s">
        <v>155</v>
      </c>
      <c r="F25">
        <f t="shared" si="0"/>
        <v>2019</v>
      </c>
    </row>
    <row r="26" spans="1:6">
      <c r="A26" s="1" t="s">
        <v>152</v>
      </c>
      <c r="B26" s="1" t="s">
        <v>153</v>
      </c>
      <c r="C26" s="1" t="s">
        <v>178</v>
      </c>
      <c r="D26" s="1">
        <v>0.012618696</v>
      </c>
      <c r="E26" t="s">
        <v>155</v>
      </c>
      <c r="F26">
        <f t="shared" si="0"/>
        <v>2019</v>
      </c>
    </row>
    <row r="27" spans="1:6">
      <c r="A27" s="1" t="s">
        <v>152</v>
      </c>
      <c r="B27" s="1" t="s">
        <v>153</v>
      </c>
      <c r="C27" s="1" t="s">
        <v>179</v>
      </c>
      <c r="D27" s="1">
        <v>0.036459292</v>
      </c>
      <c r="E27" t="s">
        <v>155</v>
      </c>
      <c r="F27">
        <f t="shared" si="0"/>
        <v>2019</v>
      </c>
    </row>
    <row r="28" spans="1:6">
      <c r="A28" s="1" t="s">
        <v>152</v>
      </c>
      <c r="B28" s="1" t="s">
        <v>153</v>
      </c>
      <c r="C28" s="1" t="s">
        <v>180</v>
      </c>
      <c r="D28" s="1">
        <v>0.014079808</v>
      </c>
      <c r="E28" t="s">
        <v>155</v>
      </c>
      <c r="F28">
        <f t="shared" si="0"/>
        <v>2019</v>
      </c>
    </row>
    <row r="29" spans="1:6">
      <c r="A29" s="1" t="s">
        <v>152</v>
      </c>
      <c r="B29" s="1" t="s">
        <v>153</v>
      </c>
      <c r="C29" s="1" t="s">
        <v>181</v>
      </c>
      <c r="D29" s="1">
        <v>0.031420203</v>
      </c>
      <c r="E29" t="s">
        <v>155</v>
      </c>
      <c r="F29">
        <f t="shared" si="0"/>
        <v>2019</v>
      </c>
    </row>
    <row r="30" spans="1:6">
      <c r="A30" s="1" t="s">
        <v>152</v>
      </c>
      <c r="B30" s="1" t="s">
        <v>153</v>
      </c>
      <c r="C30" s="1" t="s">
        <v>182</v>
      </c>
      <c r="D30" s="1">
        <v>0.030827369</v>
      </c>
      <c r="E30" t="s">
        <v>155</v>
      </c>
      <c r="F30">
        <f t="shared" si="0"/>
        <v>2019</v>
      </c>
    </row>
    <row r="31" spans="1:6">
      <c r="A31" s="1" t="s">
        <v>152</v>
      </c>
      <c r="B31" s="1" t="s">
        <v>153</v>
      </c>
      <c r="C31" s="1" t="s">
        <v>183</v>
      </c>
      <c r="D31" s="1">
        <v>0.015710101</v>
      </c>
      <c r="E31" t="s">
        <v>155</v>
      </c>
      <c r="F31">
        <f t="shared" si="0"/>
        <v>2019</v>
      </c>
    </row>
    <row r="32" spans="1:6">
      <c r="A32" s="1" t="s">
        <v>152</v>
      </c>
      <c r="B32" s="1" t="s">
        <v>153</v>
      </c>
      <c r="C32" s="1" t="s">
        <v>184</v>
      </c>
      <c r="D32" s="1">
        <v>0.008743674</v>
      </c>
      <c r="E32" t="s">
        <v>155</v>
      </c>
      <c r="F32">
        <f t="shared" si="0"/>
        <v>2019</v>
      </c>
    </row>
    <row r="33" spans="1:6">
      <c r="A33" s="1" t="s">
        <v>152</v>
      </c>
      <c r="B33" s="1" t="s">
        <v>153</v>
      </c>
      <c r="C33" s="1" t="s">
        <v>185</v>
      </c>
      <c r="D33" s="1">
        <v>0.024898433</v>
      </c>
      <c r="E33" t="s">
        <v>155</v>
      </c>
      <c r="F33">
        <f t="shared" si="0"/>
        <v>2019</v>
      </c>
    </row>
    <row r="34" spans="1:6">
      <c r="A34" s="1" t="s">
        <v>152</v>
      </c>
      <c r="B34" s="1" t="s">
        <v>153</v>
      </c>
      <c r="C34" s="1" t="s">
        <v>186</v>
      </c>
      <c r="D34" s="1">
        <v>0.014079808</v>
      </c>
      <c r="E34" t="s">
        <v>155</v>
      </c>
      <c r="F34">
        <f t="shared" si="0"/>
        <v>2019</v>
      </c>
    </row>
    <row r="35" spans="1:6">
      <c r="A35" s="1" t="s">
        <v>152</v>
      </c>
      <c r="B35" s="1" t="s">
        <v>153</v>
      </c>
      <c r="C35" s="1" t="s">
        <v>187</v>
      </c>
      <c r="D35" s="1">
        <v>0.03508347</v>
      </c>
      <c r="E35" t="s">
        <v>155</v>
      </c>
      <c r="F35">
        <f t="shared" si="0"/>
        <v>2019</v>
      </c>
    </row>
    <row r="36" spans="1:6">
      <c r="A36" s="1" t="s">
        <v>152</v>
      </c>
      <c r="B36" s="1" t="s">
        <v>153</v>
      </c>
      <c r="C36" s="1" t="s">
        <v>188</v>
      </c>
      <c r="D36" s="1">
        <v>0.013548494</v>
      </c>
      <c r="E36" t="s">
        <v>155</v>
      </c>
      <c r="F36">
        <f t="shared" si="0"/>
        <v>2019</v>
      </c>
    </row>
    <row r="37" spans="1:6">
      <c r="A37" s="1" t="s">
        <v>152</v>
      </c>
      <c r="B37" s="1" t="s">
        <v>153</v>
      </c>
      <c r="C37" s="1" t="s">
        <v>189</v>
      </c>
      <c r="D37" s="1">
        <v>0.030234535</v>
      </c>
      <c r="E37" t="s">
        <v>155</v>
      </c>
      <c r="F37">
        <f t="shared" si="0"/>
        <v>2019</v>
      </c>
    </row>
    <row r="38" spans="1:6">
      <c r="A38" s="1" t="s">
        <v>152</v>
      </c>
      <c r="B38" s="1" t="s">
        <v>153</v>
      </c>
      <c r="C38" s="1" t="s">
        <v>190</v>
      </c>
      <c r="D38" s="1">
        <v>0.029664072</v>
      </c>
      <c r="E38" t="s">
        <v>155</v>
      </c>
      <c r="F38">
        <f t="shared" si="0"/>
        <v>2019</v>
      </c>
    </row>
    <row r="39" spans="1:6">
      <c r="A39" s="1" t="s">
        <v>152</v>
      </c>
      <c r="B39" s="1" t="s">
        <v>153</v>
      </c>
      <c r="C39" s="1" t="s">
        <v>191</v>
      </c>
      <c r="D39" s="1">
        <v>0.015117267</v>
      </c>
      <c r="E39" t="s">
        <v>155</v>
      </c>
      <c r="F39">
        <f t="shared" si="0"/>
        <v>2019</v>
      </c>
    </row>
    <row r="40" spans="1:6">
      <c r="A40" s="1" t="s">
        <v>152</v>
      </c>
      <c r="B40" s="1" t="s">
        <v>153</v>
      </c>
      <c r="C40" s="1" t="s">
        <v>192</v>
      </c>
      <c r="D40" s="1">
        <v>0.008413724</v>
      </c>
      <c r="E40" t="s">
        <v>155</v>
      </c>
      <c r="F40">
        <f t="shared" si="0"/>
        <v>2019</v>
      </c>
    </row>
    <row r="41" spans="1:6">
      <c r="A41" s="1" t="s">
        <v>152</v>
      </c>
      <c r="B41" s="1" t="s">
        <v>153</v>
      </c>
      <c r="C41" s="1" t="s">
        <v>193</v>
      </c>
      <c r="D41" s="1">
        <v>0.023958869</v>
      </c>
      <c r="E41" t="s">
        <v>155</v>
      </c>
      <c r="F41">
        <f t="shared" si="0"/>
        <v>2019</v>
      </c>
    </row>
    <row r="42" spans="1:6">
      <c r="A42" s="1" t="s">
        <v>152</v>
      </c>
      <c r="B42" s="1" t="s">
        <v>153</v>
      </c>
      <c r="C42" s="1" t="s">
        <v>194</v>
      </c>
      <c r="D42" s="1">
        <v>0.013548494</v>
      </c>
      <c r="E42" t="s">
        <v>155</v>
      </c>
      <c r="F42">
        <f t="shared" si="0"/>
        <v>2019</v>
      </c>
    </row>
    <row r="43" spans="1:6">
      <c r="A43" s="1" t="s">
        <v>152</v>
      </c>
      <c r="B43" s="1" t="s">
        <v>153</v>
      </c>
      <c r="C43" s="1" t="s">
        <v>195</v>
      </c>
      <c r="D43" s="1">
        <v>0.033019736</v>
      </c>
      <c r="E43" t="s">
        <v>155</v>
      </c>
      <c r="F43">
        <f t="shared" si="0"/>
        <v>2019</v>
      </c>
    </row>
    <row r="44" spans="1:6">
      <c r="A44" s="1" t="s">
        <v>152</v>
      </c>
      <c r="B44" s="1" t="s">
        <v>153</v>
      </c>
      <c r="C44" s="1" t="s">
        <v>196</v>
      </c>
      <c r="D44" s="1">
        <v>0.012751524</v>
      </c>
      <c r="E44" t="s">
        <v>155</v>
      </c>
      <c r="F44">
        <f t="shared" si="0"/>
        <v>2019</v>
      </c>
    </row>
    <row r="45" spans="1:6">
      <c r="A45" s="1" t="s">
        <v>152</v>
      </c>
      <c r="B45" s="1" t="s">
        <v>153</v>
      </c>
      <c r="C45" s="1" t="s">
        <v>197</v>
      </c>
      <c r="D45" s="1">
        <v>0.028456033</v>
      </c>
      <c r="E45" t="s">
        <v>155</v>
      </c>
      <c r="F45">
        <f t="shared" si="0"/>
        <v>2019</v>
      </c>
    </row>
    <row r="46" spans="1:6">
      <c r="A46" s="1" t="s">
        <v>152</v>
      </c>
      <c r="B46" s="1" t="s">
        <v>153</v>
      </c>
      <c r="C46" s="1" t="s">
        <v>198</v>
      </c>
      <c r="D46" s="1">
        <v>0.027919127</v>
      </c>
      <c r="E46" t="s">
        <v>155</v>
      </c>
      <c r="F46">
        <f t="shared" si="0"/>
        <v>2019</v>
      </c>
    </row>
    <row r="47" spans="1:6">
      <c r="A47" s="1" t="s">
        <v>152</v>
      </c>
      <c r="B47" s="1" t="s">
        <v>153</v>
      </c>
      <c r="C47" s="1" t="s">
        <v>199</v>
      </c>
      <c r="D47" s="1">
        <v>0.014228016</v>
      </c>
      <c r="E47" t="s">
        <v>155</v>
      </c>
      <c r="F47">
        <f t="shared" si="0"/>
        <v>2019</v>
      </c>
    </row>
    <row r="48" spans="1:6">
      <c r="A48" s="1" t="s">
        <v>152</v>
      </c>
      <c r="B48" s="1" t="s">
        <v>153</v>
      </c>
      <c r="C48" s="1" t="s">
        <v>200</v>
      </c>
      <c r="D48" s="1">
        <v>0.007918799</v>
      </c>
      <c r="E48" t="s">
        <v>155</v>
      </c>
      <c r="F48">
        <f t="shared" si="0"/>
        <v>2019</v>
      </c>
    </row>
    <row r="49" spans="1:6">
      <c r="A49" s="1" t="s">
        <v>152</v>
      </c>
      <c r="B49" s="1" t="s">
        <v>153</v>
      </c>
      <c r="C49" s="1" t="s">
        <v>201</v>
      </c>
      <c r="D49" s="1">
        <v>0.022549524</v>
      </c>
      <c r="E49" t="s">
        <v>155</v>
      </c>
      <c r="F49">
        <f t="shared" si="0"/>
        <v>2019</v>
      </c>
    </row>
    <row r="50" spans="1:6">
      <c r="A50" s="1" t="s">
        <v>152</v>
      </c>
      <c r="B50" s="1" t="s">
        <v>153</v>
      </c>
      <c r="C50" s="1" t="s">
        <v>202</v>
      </c>
      <c r="D50" s="1">
        <v>0.012751524</v>
      </c>
      <c r="E50" t="s">
        <v>155</v>
      </c>
      <c r="F50">
        <f t="shared" si="0"/>
        <v>2019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Dell Computer Corporation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Elec</vt:lpstr>
      <vt:lpstr>Transport</vt:lpstr>
      <vt:lpstr>storage</vt:lpstr>
      <vt:lpstr>SHAPES</vt:lpstr>
      <vt:lpstr>Misc</vt:lpstr>
      <vt:lpstr>pumped hydro</vt:lpstr>
      <vt:lpstr>non-TRA elec dem</vt:lpstr>
      <vt:lpstr>INDELC_generator</vt:lpstr>
      <vt:lpstr>Elc_demand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2001-09-28T18:48:00Z</dcterms:created>
  <dcterms:modified xsi:type="dcterms:W3CDTF">2026-10-20T12:17:36Z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184978671403008</vt:r8>
  </property>
  <property fmtid="{D5CDD505-2E9C-101B-9397-08002B2CF9AE}" pid="3" name="{A44787D4-0540-4523-9961-78E4036D8C6D}">
    <vt:lpwstr>{E5E86C4F-4557-4DD9-B272-72199BE960CF}</vt:lpwstr>
  </property>
  <property fmtid="{D5CDD505-2E9C-101B-9397-08002B2CF9AE}" pid="4" name="ICV">
    <vt:lpwstr>65F73813A2F74F509EDF5409A6CF8D60_12</vt:lpwstr>
  </property>
  <property fmtid="{D5CDD505-2E9C-101B-9397-08002B2CF9AE}" pid="5" name="KSOProductBuildVer">
    <vt:lpwstr>1033-12.1.0.29162</vt:lpwstr>
  </property>
  <property fmtid="{D5CDD505-2E9C-101B-9397-08002B2CF9AE}" pid="6" name="CalculationRule">
    <vt:i4>0</vt:i4>
  </property>
</Properties>
</file>